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tariff_equlizer\data\ipem\"/>
    </mc:Choice>
  </mc:AlternateContent>
  <xr:revisionPtr revIDLastSave="0" documentId="13_ncr:1_{4900BA30-30A5-4904-A34C-B425C789CCD6}" xr6:coauthVersionLast="47" xr6:coauthVersionMax="47" xr10:uidLastSave="{00000000-0000-0000-0000-000000000000}"/>
  <bookViews>
    <workbookView xWindow="-103" yWindow="-103" windowWidth="29692" windowHeight="11829" firstSheet="1" activeTab="1" xr2:uid="{00000000-000D-0000-FFFF-FFFF00000000}"/>
  </bookViews>
  <sheets>
    <sheet name="Выпадение всего" sheetId="10" r:id="rId1"/>
    <sheet name="Уголь_эластика_экспорт" sheetId="9" r:id="rId2"/>
    <sheet name="План погрузки" sheetId="11" r:id="rId3"/>
    <sheet name="Уголь_эластика_внутр" sheetId="1" r:id="rId4"/>
    <sheet name="Уголь_коэфф" sheetId="7" r:id="rId5"/>
    <sheet name="Цены,перевалка,аренда" sheetId="6" r:id="rId6"/>
    <sheet name="Курс $" sheetId="5" r:id="rId7"/>
    <sheet name="Технический лист_сниж тарифа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Order1" hidden="1">255</definedName>
    <definedName name="_xlnm._FilterDatabase" localSheetId="0" hidden="1">'Выпадение всего'!$A$4:$J$4</definedName>
    <definedName name="_xlnm._FilterDatabase" localSheetId="2" hidden="1">'План погрузки'!$A$4:$AN$82</definedName>
    <definedName name="_xlnm._FilterDatabase" localSheetId="3" hidden="1">Уголь_эластика_внутр!$B$3:$GO$27</definedName>
    <definedName name="_xlnm._FilterDatabase" localSheetId="1" hidden="1">Уголь_эластика_экспорт!$B$3:$IR$27</definedName>
    <definedName name="AS2DocOpenMode" hidden="1">"AS2DocumentEdit"</definedName>
    <definedName name="ccc" localSheetId="1">#REF!</definedName>
    <definedName name="ccc">#REF!</definedName>
    <definedName name="cmndBase" localSheetId="1">#REF!</definedName>
    <definedName name="cmndBase">#REF!</definedName>
    <definedName name="cmndDayMonthTo" localSheetId="1">#REF!</definedName>
    <definedName name="cmndDayMonthTo">#REF!</definedName>
    <definedName name="cmndDays" localSheetId="1">#REF!</definedName>
    <definedName name="cmndDays">#REF!</definedName>
    <definedName name="cmndDocNum" localSheetId="1">#REF!</definedName>
    <definedName name="cmndDocNum">#REF!</definedName>
    <definedName name="cmndDocSer" localSheetId="1">#REF!</definedName>
    <definedName name="cmndDocSer">#REF!</definedName>
    <definedName name="cmndFIO" localSheetId="1">#REF!</definedName>
    <definedName name="cmndFIO">#REF!</definedName>
    <definedName name="cmndOrdDay" localSheetId="1">#REF!</definedName>
    <definedName name="cmndOrdDay">#REF!</definedName>
    <definedName name="cmndOrdMonth" localSheetId="1">#REF!</definedName>
    <definedName name="cmndOrdMonth">#REF!</definedName>
    <definedName name="cmndOrdNum" localSheetId="1">#REF!</definedName>
    <definedName name="cmndOrdNum">#REF!</definedName>
    <definedName name="cmndOrdYear" localSheetId="1">#REF!</definedName>
    <definedName name="cmndOrdYear">#REF!</definedName>
    <definedName name="cmndPoint" localSheetId="1">#REF!</definedName>
    <definedName name="cmndPoint">#REF!</definedName>
    <definedName name="cmndPoint1" localSheetId="1">#REF!</definedName>
    <definedName name="cmndPoint1">#REF!</definedName>
    <definedName name="cmndPos" localSheetId="1">#REF!</definedName>
    <definedName name="cmndPos">#REF!</definedName>
    <definedName name="cmndYearTo" localSheetId="1">#REF!</definedName>
    <definedName name="cmndYearTo">#REF!</definedName>
    <definedName name="cntAddition" localSheetId="1">#REF!</definedName>
    <definedName name="cntAddition">#REF!</definedName>
    <definedName name="cntDay" localSheetId="1">#REF!</definedName>
    <definedName name="cntDay">#REF!</definedName>
    <definedName name="cntMonth" localSheetId="1">#REF!</definedName>
    <definedName name="cntMonth">#REF!</definedName>
    <definedName name="cntName" localSheetId="1">#REF!</definedName>
    <definedName name="cntName">#REF!</definedName>
    <definedName name="cntNumber" localSheetId="1">#REF!</definedName>
    <definedName name="cntNumber">#REF!</definedName>
    <definedName name="cntPayer" localSheetId="1">#REF!</definedName>
    <definedName name="cntPayer">#REF!</definedName>
    <definedName name="cntPayer1" localSheetId="1">#REF!</definedName>
    <definedName name="cntPayer1">#REF!</definedName>
    <definedName name="cntPayerAddr1" localSheetId="1">#REF!</definedName>
    <definedName name="cntPayerAddr1">#REF!</definedName>
    <definedName name="cntPayerAddr2" localSheetId="1">#REF!</definedName>
    <definedName name="cntPayerAddr2">#REF!</definedName>
    <definedName name="cntPayerBank1" localSheetId="1">#REF!</definedName>
    <definedName name="cntPayerBank1">#REF!</definedName>
    <definedName name="cntPayerBank2" localSheetId="1">#REF!</definedName>
    <definedName name="cntPayerBank2">#REF!</definedName>
    <definedName name="cntPayerBank3" localSheetId="1">#REF!</definedName>
    <definedName name="cntPayerBank3">#REF!</definedName>
    <definedName name="cntPayerCount" localSheetId="1">#REF!</definedName>
    <definedName name="cntPayerCount">#REF!</definedName>
    <definedName name="cntPayerCountCor" localSheetId="1">#REF!</definedName>
    <definedName name="cntPayerCountCor">#REF!</definedName>
    <definedName name="cntPriceC" localSheetId="1">#REF!</definedName>
    <definedName name="cntPriceC">#REF!</definedName>
    <definedName name="cntPriceR" localSheetId="1">#REF!</definedName>
    <definedName name="cntPriceR">#REF!</definedName>
    <definedName name="cntQnt" localSheetId="1">#REF!</definedName>
    <definedName name="cntQnt">#REF!</definedName>
    <definedName name="cntSumC" localSheetId="1">#REF!</definedName>
    <definedName name="cntSumC">#REF!</definedName>
    <definedName name="cntSumR" localSheetId="1">#REF!</definedName>
    <definedName name="cntSumR">#REF!</definedName>
    <definedName name="cntSuppAddr1" localSheetId="1">#REF!</definedName>
    <definedName name="cntSuppAddr1">#REF!</definedName>
    <definedName name="cntSuppAddr2" localSheetId="1">#REF!</definedName>
    <definedName name="cntSuppAddr2">#REF!</definedName>
    <definedName name="cntSuppBank" localSheetId="1">#REF!</definedName>
    <definedName name="cntSuppBank">#REF!</definedName>
    <definedName name="cntSuppCount" localSheetId="1">#REF!</definedName>
    <definedName name="cntSuppCount">#REF!</definedName>
    <definedName name="cntSuppCountCor" localSheetId="1">#REF!</definedName>
    <definedName name="cntSuppCountCor">#REF!</definedName>
    <definedName name="cntSupplier" localSheetId="1">#REF!</definedName>
    <definedName name="cntSupplier">#REF!</definedName>
    <definedName name="cntSuppMFO1" localSheetId="1">#REF!</definedName>
    <definedName name="cntSuppMFO1">#REF!</definedName>
    <definedName name="cntSuppMFO2" localSheetId="1">#REF!</definedName>
    <definedName name="cntSuppMFO2">#REF!</definedName>
    <definedName name="cntSuppTlf" localSheetId="1">#REF!</definedName>
    <definedName name="cntSuppTlf">#REF!</definedName>
    <definedName name="cntUnit" localSheetId="1">#REF!</definedName>
    <definedName name="cntUnit">#REF!</definedName>
    <definedName name="cntYear" localSheetId="1">#REF!</definedName>
    <definedName name="cntYear">#REF!</definedName>
    <definedName name="DF_GRID_2" localSheetId="7">История [1]корректировок!$C$10:$I$11</definedName>
    <definedName name="DF_GRID_2" localSheetId="1">История [1]корректировок!$C$10:$I$11</definedName>
    <definedName name="DF_GRID_2">История [1]корректировок!$C$10:$I$11</definedName>
    <definedName name="DF_NAVPANEL_13" localSheetId="1">[2]Отчет!#REF!</definedName>
    <definedName name="DF_NAVPANEL_13">[2]Отчет!#REF!</definedName>
    <definedName name="DF_NAVPANEL_18" localSheetId="1">[2]Отчет!#REF!</definedName>
    <definedName name="DF_NAVPANEL_18">[2]Отчет!#REF!</definedName>
    <definedName name="dvrCustomer" localSheetId="1">#REF!</definedName>
    <definedName name="dvrCustomer">#REF!</definedName>
    <definedName name="dvrDay" localSheetId="1">#REF!</definedName>
    <definedName name="dvrDay">#REF!</definedName>
    <definedName name="dvrDocDay" localSheetId="1">#REF!</definedName>
    <definedName name="dvrDocDay">#REF!</definedName>
    <definedName name="dvrDocIss" localSheetId="1">#REF!</definedName>
    <definedName name="dvrDocIss">#REF!</definedName>
    <definedName name="dvrDocMonth" localSheetId="1">#REF!</definedName>
    <definedName name="dvrDocMonth">#REF!</definedName>
    <definedName name="dvrDocNum" localSheetId="1">#REF!</definedName>
    <definedName name="dvrDocNum">#REF!</definedName>
    <definedName name="dvrDocSer" localSheetId="1">#REF!</definedName>
    <definedName name="dvrDocSer">#REF!</definedName>
    <definedName name="dvrDocYear" localSheetId="1">#REF!</definedName>
    <definedName name="dvrDocYear">#REF!</definedName>
    <definedName name="dvrMonth" localSheetId="1">#REF!</definedName>
    <definedName name="dvrMonth">#REF!</definedName>
    <definedName name="dvrName" localSheetId="1">#REF!</definedName>
    <definedName name="dvrName">#REF!</definedName>
    <definedName name="dvrNo" localSheetId="1">#REF!</definedName>
    <definedName name="dvrNo">#REF!</definedName>
    <definedName name="dvrNumber" localSheetId="1">#REF!</definedName>
    <definedName name="dvrNumber">#REF!</definedName>
    <definedName name="dvrOrder" localSheetId="1">#REF!</definedName>
    <definedName name="dvrOrder">#REF!</definedName>
    <definedName name="dvrPayer" localSheetId="1">#REF!</definedName>
    <definedName name="dvrPayer">#REF!</definedName>
    <definedName name="dvrPayerBank1" localSheetId="1">#REF!</definedName>
    <definedName name="dvrPayerBank1">#REF!</definedName>
    <definedName name="dvrPayerBank2" localSheetId="1">#REF!</definedName>
    <definedName name="dvrPayerBank2">#REF!</definedName>
    <definedName name="dvrPayerCount" localSheetId="1">#REF!</definedName>
    <definedName name="dvrPayerCount">#REF!</definedName>
    <definedName name="dvrQnt" localSheetId="1">#REF!</definedName>
    <definedName name="dvrQnt">#REF!</definedName>
    <definedName name="dvrReceiver" localSheetId="1">#REF!</definedName>
    <definedName name="dvrReceiver">#REF!</definedName>
    <definedName name="dvrSupplier" localSheetId="1">#REF!</definedName>
    <definedName name="dvrSupplier">#REF!</definedName>
    <definedName name="dvrUnit" localSheetId="1">#REF!</definedName>
    <definedName name="dvrUnit">#REF!</definedName>
    <definedName name="dvrValidDay" localSheetId="1">#REF!</definedName>
    <definedName name="dvrValidDay">#REF!</definedName>
    <definedName name="dvrValidMonth" localSheetId="1">#REF!</definedName>
    <definedName name="dvrValidMonth">#REF!</definedName>
    <definedName name="dvrValidYear" localSheetId="1">#REF!</definedName>
    <definedName name="dvrValidYear">#REF!</definedName>
    <definedName name="dvrYear" localSheetId="1">#REF!</definedName>
    <definedName name="dvrYear">#REF!</definedName>
    <definedName name="elkAddr1" localSheetId="1">#REF!</definedName>
    <definedName name="elkAddr1">#REF!</definedName>
    <definedName name="elkAddr2" localSheetId="1">#REF!</definedName>
    <definedName name="elkAddr2">#REF!</definedName>
    <definedName name="elkCount" localSheetId="1">#REF!</definedName>
    <definedName name="elkCount">#REF!</definedName>
    <definedName name="elkCountFrom" localSheetId="1">#REF!</definedName>
    <definedName name="elkCountFrom">#REF!</definedName>
    <definedName name="elkCountTo" localSheetId="1">#REF!</definedName>
    <definedName name="elkCountTo">#REF!</definedName>
    <definedName name="elkDateFrom" localSheetId="1">#REF!</definedName>
    <definedName name="elkDateFrom">#REF!</definedName>
    <definedName name="elkDateTo" localSheetId="1">#REF!</definedName>
    <definedName name="elkDateTo">#REF!</definedName>
    <definedName name="elkDiscount" localSheetId="1">#REF!</definedName>
    <definedName name="elkDiscount">#REF!</definedName>
    <definedName name="elkKAddr1" localSheetId="1">#REF!</definedName>
    <definedName name="elkKAddr1">#REF!</definedName>
    <definedName name="elkKAddr2" localSheetId="1">#REF!</definedName>
    <definedName name="elkKAddr2">#REF!</definedName>
    <definedName name="elkKCount" localSheetId="1">#REF!</definedName>
    <definedName name="elkKCount">#REF!</definedName>
    <definedName name="elkKCountFrom" localSheetId="1">#REF!</definedName>
    <definedName name="elkKCountFrom">#REF!</definedName>
    <definedName name="elkKCountTo" localSheetId="1">#REF!</definedName>
    <definedName name="elkKCountTo">#REF!</definedName>
    <definedName name="elkKDateFrom" localSheetId="1">#REF!</definedName>
    <definedName name="elkKDateFrom">#REF!</definedName>
    <definedName name="elkKDateTo" localSheetId="1">#REF!</definedName>
    <definedName name="elkKDateTo">#REF!</definedName>
    <definedName name="elkKDiscount" localSheetId="1">#REF!</definedName>
    <definedName name="elkKDiscount">#REF!</definedName>
    <definedName name="elkKNumber" localSheetId="1">#REF!</definedName>
    <definedName name="elkKNumber">#REF!</definedName>
    <definedName name="elkKSumC" localSheetId="1">#REF!</definedName>
    <definedName name="elkKSumC">#REF!</definedName>
    <definedName name="elkKSumR" localSheetId="1">#REF!</definedName>
    <definedName name="elkKSumR">#REF!</definedName>
    <definedName name="elkKTarif" localSheetId="1">#REF!</definedName>
    <definedName name="elkKTarif">#REF!</definedName>
    <definedName name="elkNumber" localSheetId="1">#REF!</definedName>
    <definedName name="elkNumber">#REF!</definedName>
    <definedName name="elkSumC" localSheetId="1">#REF!</definedName>
    <definedName name="elkSumC">#REF!</definedName>
    <definedName name="elkSumR" localSheetId="1">#REF!</definedName>
    <definedName name="elkSumR">#REF!</definedName>
    <definedName name="elkTarif" localSheetId="1">#REF!</definedName>
    <definedName name="elkTarif">#REF!</definedName>
    <definedName name="EV__LASTREFTIME__" hidden="1">40933.5627314815</definedName>
    <definedName name="EXCEL" localSheetId="1">#REF!</definedName>
    <definedName name="EXCEL">#REF!</definedName>
    <definedName name="f" localSheetId="1">'[3]коэф. т. 5'!#REF!</definedName>
    <definedName name="f">'[3]коэф. т. 5'!#REF!</definedName>
    <definedName name="ghjhkhjd" localSheetId="1">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MonthR">[4]дор!$AD$5</definedName>
    <definedName name="Months">[4]дор!$AE$1:$AE$24</definedName>
    <definedName name="nakDay" localSheetId="1">#REF!</definedName>
    <definedName name="nakDay">#REF!</definedName>
    <definedName name="nakFrom" localSheetId="1">#REF!</definedName>
    <definedName name="nakFrom">#REF!</definedName>
    <definedName name="nakMonth" localSheetId="1">#REF!</definedName>
    <definedName name="nakMonth">#REF!</definedName>
    <definedName name="nakName" localSheetId="1">#REF!</definedName>
    <definedName name="nakName">#REF!</definedName>
    <definedName name="nakNo" localSheetId="1">#REF!</definedName>
    <definedName name="nakNo">#REF!</definedName>
    <definedName name="nakNumber" localSheetId="1">#REF!</definedName>
    <definedName name="nakNumber">#REF!</definedName>
    <definedName name="nakPriceC" localSheetId="1">#REF!</definedName>
    <definedName name="nakPriceC">#REF!</definedName>
    <definedName name="nakPriceR" localSheetId="1">#REF!</definedName>
    <definedName name="nakPriceR">#REF!</definedName>
    <definedName name="nakQnt" localSheetId="1">#REF!</definedName>
    <definedName name="nakQnt">#REF!</definedName>
    <definedName name="nakSumC" localSheetId="1">#REF!</definedName>
    <definedName name="nakSumC">#REF!</definedName>
    <definedName name="nakSumR" localSheetId="1">#REF!</definedName>
    <definedName name="nakSumR">#REF!</definedName>
    <definedName name="nakTo" localSheetId="1">#REF!</definedName>
    <definedName name="nakTo">#REF!</definedName>
    <definedName name="nakYear" localSheetId="1">#REF!</definedName>
    <definedName name="nakYear">#REF!</definedName>
    <definedName name="OUT_G142_ГНГ2001_ЕТСНГ_Список" localSheetId="1">#REF!</definedName>
    <definedName name="OUT_G142_ГНГ2001_ЕТСНГ_Список">#REF!</definedName>
    <definedName name="pmnCCode1" localSheetId="1">#REF!</definedName>
    <definedName name="pmnCCode1">#REF!</definedName>
    <definedName name="pmnCCode2" localSheetId="1">#REF!</definedName>
    <definedName name="pmnCCode2">#REF!</definedName>
    <definedName name="pmnDay" localSheetId="1">#REF!</definedName>
    <definedName name="pmnDay">#REF!</definedName>
    <definedName name="pmnDCode1" localSheetId="1">#REF!</definedName>
    <definedName name="pmnDCode1">#REF!</definedName>
    <definedName name="pmnDCode2" localSheetId="1">#REF!</definedName>
    <definedName name="pmnDCode2">#REF!</definedName>
    <definedName name="pmnDirection" localSheetId="1">#REF!</definedName>
    <definedName name="pmnDirection">#REF!</definedName>
    <definedName name="pmnMonth" localSheetId="1">#REF!</definedName>
    <definedName name="pmnMonth">#REF!</definedName>
    <definedName name="pmnNumber" localSheetId="1">#REF!</definedName>
    <definedName name="pmnNumber">#REF!</definedName>
    <definedName name="pmnOper" localSheetId="1">#REF!</definedName>
    <definedName name="pmnOper">#REF!</definedName>
    <definedName name="pmnPayer" localSheetId="1">#REF!</definedName>
    <definedName name="pmnPayer">#REF!</definedName>
    <definedName name="pmnPayer1" localSheetId="1">#REF!</definedName>
    <definedName name="pmnPayer1">#REF!</definedName>
    <definedName name="pmnPayerBank1" localSheetId="1">#REF!</definedName>
    <definedName name="pmnPayerBank1">#REF!</definedName>
    <definedName name="pmnPayerBank2" localSheetId="1">#REF!</definedName>
    <definedName name="pmnPayerBank2">#REF!</definedName>
    <definedName name="pmnPayerBank3" localSheetId="1">#REF!</definedName>
    <definedName name="pmnPayerBank3">#REF!</definedName>
    <definedName name="pmnPayerCode" localSheetId="1">#REF!</definedName>
    <definedName name="pmnPayerCode">#REF!</definedName>
    <definedName name="pmnPayerCount1" localSheetId="1">#REF!</definedName>
    <definedName name="pmnPayerCount1">#REF!</definedName>
    <definedName name="pmnPayerCount2" localSheetId="1">#REF!</definedName>
    <definedName name="pmnPayerCount2">#REF!</definedName>
    <definedName name="pmnPayerCount3" localSheetId="1">#REF!</definedName>
    <definedName name="pmnPayerCount3">#REF!</definedName>
    <definedName name="pmnRecBank1" localSheetId="1">#REF!</definedName>
    <definedName name="pmnRecBank1">#REF!</definedName>
    <definedName name="pmnRecBank2" localSheetId="1">#REF!</definedName>
    <definedName name="pmnRecBank2">#REF!</definedName>
    <definedName name="pmnRecBank3" localSheetId="1">#REF!</definedName>
    <definedName name="pmnRecBank3">#REF!</definedName>
    <definedName name="pmnRecCode" localSheetId="1">#REF!</definedName>
    <definedName name="pmnRecCode">#REF!</definedName>
    <definedName name="pmnRecCount1" localSheetId="1">#REF!</definedName>
    <definedName name="pmnRecCount1">#REF!</definedName>
    <definedName name="pmnRecCount2" localSheetId="1">#REF!</definedName>
    <definedName name="pmnRecCount2">#REF!</definedName>
    <definedName name="pmnRecCount3" localSheetId="1">#REF!</definedName>
    <definedName name="pmnRecCount3">#REF!</definedName>
    <definedName name="pmnReceiver" localSheetId="1">#REF!</definedName>
    <definedName name="pmnReceiver">#REF!</definedName>
    <definedName name="pmnReceiver1" localSheetId="1">#REF!</definedName>
    <definedName name="pmnReceiver1">#REF!</definedName>
    <definedName name="pmnSum1" localSheetId="1">#REF!</definedName>
    <definedName name="pmnSum1">#REF!</definedName>
    <definedName name="pmnSum2" localSheetId="1">#REF!</definedName>
    <definedName name="pmnSum2">#REF!</definedName>
    <definedName name="pmnWNalog" localSheetId="1">#REF!</definedName>
    <definedName name="pmnWNalog">#REF!</definedName>
    <definedName name="pmnWSum1" localSheetId="1">#REF!</definedName>
    <definedName name="pmnWSum1">#REF!</definedName>
    <definedName name="pmnWSum2" localSheetId="1">#REF!</definedName>
    <definedName name="pmnWSum2">#REF!</definedName>
    <definedName name="pmnWSum3" localSheetId="1">#REF!</definedName>
    <definedName name="pmnWSum3">#REF!</definedName>
    <definedName name="pmnYear" localSheetId="1">#REF!</definedName>
    <definedName name="pmnYear">#REF!</definedName>
    <definedName name="priApplication1" localSheetId="1">#REF!</definedName>
    <definedName name="priApplication1">#REF!</definedName>
    <definedName name="priApplication2" localSheetId="1">#REF!</definedName>
    <definedName name="priApplication2">#REF!</definedName>
    <definedName name="priDate1" localSheetId="1">#REF!</definedName>
    <definedName name="priDate1">#REF!</definedName>
    <definedName name="priDate2" localSheetId="1">#REF!</definedName>
    <definedName name="priDate2">#REF!</definedName>
    <definedName name="priKDay" localSheetId="1">#REF!</definedName>
    <definedName name="priKDay">#REF!</definedName>
    <definedName name="priKMonth" localSheetId="1">#REF!</definedName>
    <definedName name="priKMonth">#REF!</definedName>
    <definedName name="priKNumber" localSheetId="1">#REF!</definedName>
    <definedName name="priKNumber">#REF!</definedName>
    <definedName name="priKOrgn" localSheetId="1">#REF!</definedName>
    <definedName name="priKOrgn">#REF!</definedName>
    <definedName name="priKPayer1" localSheetId="1">#REF!</definedName>
    <definedName name="priKPayer1">#REF!</definedName>
    <definedName name="priKPayer2" localSheetId="1">#REF!</definedName>
    <definedName name="priKPayer2">#REF!</definedName>
    <definedName name="priKPayer3" localSheetId="1">#REF!</definedName>
    <definedName name="priKPayer3">#REF!</definedName>
    <definedName name="priKSubject1" localSheetId="1">#REF!</definedName>
    <definedName name="priKSubject1">#REF!</definedName>
    <definedName name="priKSubject2" localSheetId="1">#REF!</definedName>
    <definedName name="priKSubject2">#REF!</definedName>
    <definedName name="priKSubject3" localSheetId="1">#REF!</definedName>
    <definedName name="priKSubject3">#REF!</definedName>
    <definedName name="priKWSum1" localSheetId="1">#REF!</definedName>
    <definedName name="priKWSum1">#REF!</definedName>
    <definedName name="priKWSum2" localSheetId="1">#REF!</definedName>
    <definedName name="priKWSum2">#REF!</definedName>
    <definedName name="priKWSum3" localSheetId="1">#REF!</definedName>
    <definedName name="priKWSum3">#REF!</definedName>
    <definedName name="priKWSum4" localSheetId="1">#REF!</definedName>
    <definedName name="priKWSum4">#REF!</definedName>
    <definedName name="priKWSum5" localSheetId="1">#REF!</definedName>
    <definedName name="priKWSum5">#REF!</definedName>
    <definedName name="priKWSumC" localSheetId="1">#REF!</definedName>
    <definedName name="priKWSumC">#REF!</definedName>
    <definedName name="priKYear" localSheetId="1">#REF!</definedName>
    <definedName name="priKYear">#REF!</definedName>
    <definedName name="priNumber" localSheetId="1">#REF!</definedName>
    <definedName name="priNumber">#REF!</definedName>
    <definedName name="priOrgn" localSheetId="1">#REF!</definedName>
    <definedName name="priOrgn">#REF!</definedName>
    <definedName name="priPayer" localSheetId="1">#REF!</definedName>
    <definedName name="priPayer">#REF!</definedName>
    <definedName name="priSubject1" localSheetId="1">#REF!</definedName>
    <definedName name="priSubject1">#REF!</definedName>
    <definedName name="priSubject2" localSheetId="1">#REF!</definedName>
    <definedName name="priSubject2">#REF!</definedName>
    <definedName name="priSum" localSheetId="1">#REF!</definedName>
    <definedName name="priSum">#REF!</definedName>
    <definedName name="priWSum1" localSheetId="1">#REF!</definedName>
    <definedName name="priWSum1">#REF!</definedName>
    <definedName name="priWSum2" localSheetId="1">#REF!</definedName>
    <definedName name="priWSum2">#REF!</definedName>
    <definedName name="priWSumC" localSheetId="1">#REF!</definedName>
    <definedName name="priWSumC">#REF!</definedName>
    <definedName name="rasApplication1" localSheetId="1">#REF!</definedName>
    <definedName name="rasApplication1">#REF!</definedName>
    <definedName name="rasApplication2" localSheetId="1">#REF!</definedName>
    <definedName name="rasApplication2">#REF!</definedName>
    <definedName name="rasDate1" localSheetId="1">#REF!</definedName>
    <definedName name="rasDate1">#REF!</definedName>
    <definedName name="rasDate2" localSheetId="1">#REF!</definedName>
    <definedName name="rasDate2">#REF!</definedName>
    <definedName name="rasDoc1" localSheetId="1">#REF!</definedName>
    <definedName name="rasDoc1">#REF!</definedName>
    <definedName name="rasDoc2" localSheetId="1">#REF!</definedName>
    <definedName name="rasDoc2">#REF!</definedName>
    <definedName name="rasNumber" localSheetId="1">#REF!</definedName>
    <definedName name="rasNumber">#REF!</definedName>
    <definedName name="rasOrgn" localSheetId="1">#REF!</definedName>
    <definedName name="rasOrgn">#REF!</definedName>
    <definedName name="rasRecDay" localSheetId="1">#REF!</definedName>
    <definedName name="rasRecDay">#REF!</definedName>
    <definedName name="rasReceiver" localSheetId="1">#REF!</definedName>
    <definedName name="rasReceiver">#REF!</definedName>
    <definedName name="rasRecMonth" localSheetId="1">#REF!</definedName>
    <definedName name="rasRecMonth">#REF!</definedName>
    <definedName name="rasRecYear" localSheetId="1">#REF!</definedName>
    <definedName name="rasRecYear">#REF!</definedName>
    <definedName name="rasSubject1" localSheetId="1">#REF!</definedName>
    <definedName name="rasSubject1">#REF!</definedName>
    <definedName name="rasSubject2" localSheetId="1">#REF!</definedName>
    <definedName name="rasSubject2">#REF!</definedName>
    <definedName name="rasSum" localSheetId="1">#REF!</definedName>
    <definedName name="rasSum">#REF!</definedName>
    <definedName name="rasWRecSum1" localSheetId="1">#REF!</definedName>
    <definedName name="rasWRecSum1">#REF!</definedName>
    <definedName name="rasWRecSum2" localSheetId="1">#REF!</definedName>
    <definedName name="rasWRecSum2">#REF!</definedName>
    <definedName name="rasWRecSumC" localSheetId="1">#REF!</definedName>
    <definedName name="rasWRecSumC">#REF!</definedName>
    <definedName name="rasWSum1" localSheetId="1">#REF!</definedName>
    <definedName name="rasWSum1">#REF!</definedName>
    <definedName name="rasWSum2" localSheetId="1">#REF!</definedName>
    <definedName name="rasWSum2">#REF!</definedName>
    <definedName name="rasWSumC" localSheetId="1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itle">[4]дор!$AB$8</definedName>
    <definedName name="tlfAprt" localSheetId="1">#REF!</definedName>
    <definedName name="tlfAprt">#REF!</definedName>
    <definedName name="tlfBank" localSheetId="1">#REF!</definedName>
    <definedName name="tlfBank">#REF!</definedName>
    <definedName name="tlfCorp" localSheetId="1">#REF!</definedName>
    <definedName name="tlfCorp">#REF!</definedName>
    <definedName name="tlfCount" localSheetId="1">#REF!</definedName>
    <definedName name="tlfCount">#REF!</definedName>
    <definedName name="tlfFIO" localSheetId="1">#REF!</definedName>
    <definedName name="tlfFIO">#REF!</definedName>
    <definedName name="tlfHouse" localSheetId="1">#REF!</definedName>
    <definedName name="tlfHouse">#REF!</definedName>
    <definedName name="tlfKAprt" localSheetId="1">#REF!</definedName>
    <definedName name="tlfKAprt">#REF!</definedName>
    <definedName name="tlfKBank" localSheetId="1">#REF!</definedName>
    <definedName name="tlfKBank">#REF!</definedName>
    <definedName name="tlfKCorp" localSheetId="1">#REF!</definedName>
    <definedName name="tlfKCorp">#REF!</definedName>
    <definedName name="tlfKCount" localSheetId="1">#REF!</definedName>
    <definedName name="tlfKCount">#REF!</definedName>
    <definedName name="tlfKFio" localSheetId="1">#REF!</definedName>
    <definedName name="tlfKFio">#REF!</definedName>
    <definedName name="tlfKHouse" localSheetId="1">#REF!</definedName>
    <definedName name="tlfKHouse">#REF!</definedName>
    <definedName name="tlfKMonth" localSheetId="1">#REF!</definedName>
    <definedName name="tlfKMonth">#REF!</definedName>
    <definedName name="tlfKStreet" localSheetId="1">#REF!</definedName>
    <definedName name="tlfKStreet">#REF!</definedName>
    <definedName name="tlfKSum" localSheetId="1">#REF!</definedName>
    <definedName name="tlfKSum">#REF!</definedName>
    <definedName name="tlfKTarif" localSheetId="1">#REF!</definedName>
    <definedName name="tlfKTarif">#REF!</definedName>
    <definedName name="tlfKTlfNum" localSheetId="1">#REF!</definedName>
    <definedName name="tlfKTlfNum">#REF!</definedName>
    <definedName name="tlfKTotal" localSheetId="1">#REF!</definedName>
    <definedName name="tlfKTotal">#REF!</definedName>
    <definedName name="tlfKYear" localSheetId="1">#REF!</definedName>
    <definedName name="tlfKYear">#REF!</definedName>
    <definedName name="tlfMonth" localSheetId="1">#REF!</definedName>
    <definedName name="tlfMonth">#REF!</definedName>
    <definedName name="tlfStreet" localSheetId="1">#REF!</definedName>
    <definedName name="tlfStreet">#REF!</definedName>
    <definedName name="tlfSum" localSheetId="1">#REF!</definedName>
    <definedName name="tlfSum">#REF!</definedName>
    <definedName name="tlfTarif" localSheetId="1">#REF!</definedName>
    <definedName name="tlfTarif">#REF!</definedName>
    <definedName name="tlfTlfNum" localSheetId="1">#REF!</definedName>
    <definedName name="tlfTlfNum">#REF!</definedName>
    <definedName name="tlfTotal" localSheetId="1">#REF!</definedName>
    <definedName name="tlfTotal">#REF!</definedName>
    <definedName name="tlfYear" localSheetId="1">#REF!</definedName>
    <definedName name="tlfYear">#REF!</definedName>
    <definedName name="TonnVag">[4]дор!$AB$4</definedName>
    <definedName name="XRefCopyRangeCount" hidden="1">1</definedName>
    <definedName name="а" localSheetId="2">#REF!</definedName>
    <definedName name="а">#REF!</definedName>
    <definedName name="аа" localSheetId="1">#REF!</definedName>
    <definedName name="аа">#REF!</definedName>
    <definedName name="_xlnm.Database" localSheetId="1">#REF!</definedName>
    <definedName name="_xlnm.Database">#REF!</definedName>
    <definedName name="бююю.ю" localSheetId="2">#REF!</definedName>
    <definedName name="бююю.ю">#REF!</definedName>
    <definedName name="в" localSheetId="1">'[5]коэф. т. 5'!#REF!</definedName>
    <definedName name="в">'[5]коэф. т. 5'!#REF!</definedName>
    <definedName name="ввввв" localSheetId="2">#REF!</definedName>
    <definedName name="ввввв">#REF!</definedName>
    <definedName name="г" localSheetId="1">'[3]коэф. т. 5'!#REF!</definedName>
    <definedName name="г">'[3]коэф. т. 5'!#REF!</definedName>
    <definedName name="год">[6]Спр!$D$1:$D$3</definedName>
    <definedName name="Декабрь" localSheetId="2">#REF!</definedName>
    <definedName name="Декабрь">#REF!</definedName>
    <definedName name="дороге">[6]Спр!$A$1:$A$18</definedName>
    <definedName name="_xlnm.Print_Titles">'[7]пла. б .окт'!$A$13:$IV$17</definedName>
    <definedName name="зз">#REF!</definedName>
    <definedName name="исх1" localSheetId="1">#REF!</definedName>
    <definedName name="исх1">#REF!</definedName>
    <definedName name="Исходная" localSheetId="1">#REF!</definedName>
    <definedName name="Исходная">#REF!</definedName>
    <definedName name="й" localSheetId="1">#REF!</definedName>
    <definedName name="й">#REF!</definedName>
    <definedName name="каменный_уголь" localSheetId="2">#REF!</definedName>
    <definedName name="каменный_уголь">#REF!</definedName>
    <definedName name="копия" localSheetId="1">#REF!</definedName>
    <definedName name="копия">#REF!</definedName>
    <definedName name="март" localSheetId="2">#REF!</definedName>
    <definedName name="март">#REF!</definedName>
    <definedName name="мес" localSheetId="2">#REF!</definedName>
    <definedName name="мес">#REF!</definedName>
    <definedName name="месяц">[6]Спр!$C$1:$C$12</definedName>
    <definedName name="мммм" localSheetId="1">#REF!</definedName>
    <definedName name="мммм">#REF!</definedName>
    <definedName name="н" localSheetId="1">'[3]коэф. т. 5'!#REF!</definedName>
    <definedName name="н">'[3]коэф. т. 5'!#REF!</definedName>
    <definedName name="напитки" localSheetId="1">#REF!</definedName>
    <definedName name="напитки">#REF!</definedName>
    <definedName name="Ноябрь" localSheetId="2">#REF!</definedName>
    <definedName name="Ноябрь">#REF!</definedName>
    <definedName name="о" localSheetId="1">'[3]коэф. т. 5'!#REF!</definedName>
    <definedName name="о">'[3]коэф. т. 5'!#REF!</definedName>
    <definedName name="_xlnm.Print_Area" localSheetId="2">'План погрузки'!$A$1:$AL$82</definedName>
    <definedName name="Октябрь" localSheetId="2">#REF!</definedName>
    <definedName name="Октябрь">#REF!</definedName>
    <definedName name="ось">[8]коэфф!$D$4</definedName>
    <definedName name="отправка" localSheetId="1">#REF!</definedName>
    <definedName name="отправка">#REF!</definedName>
    <definedName name="п" localSheetId="2">#REF!</definedName>
    <definedName name="п">#REF!</definedName>
    <definedName name="Повагонная_отправка" localSheetId="1">#REF!</definedName>
    <definedName name="Повагонная_отправка">#REF!</definedName>
    <definedName name="погр" localSheetId="2">#REF!</definedName>
    <definedName name="погр">#REF!</definedName>
    <definedName name="ппп" localSheetId="1">#REF!</definedName>
    <definedName name="ппп">#REF!</definedName>
    <definedName name="ппппп" localSheetId="1">#REF!</definedName>
    <definedName name="ппппп">#REF!</definedName>
    <definedName name="р" localSheetId="1">'[3]коэф. т. 5'!#REF!</definedName>
    <definedName name="р">'[3]коэф. т. 5'!#REF!</definedName>
    <definedName name="рррр">[9]REF!$A$4:$J$1925</definedName>
    <definedName name="схемы">'[10]энерг_1 действ'!$I$3:$I$7</definedName>
    <definedName name="таб.5" localSheetId="1">#REF!</definedName>
    <definedName name="таб.5">#REF!</definedName>
    <definedName name="табл" localSheetId="1">#REF!</definedName>
    <definedName name="табл">#REF!</definedName>
    <definedName name="таблица" localSheetId="1">#REF!</definedName>
    <definedName name="таблица">#REF!</definedName>
    <definedName name="х" localSheetId="1">'[3]коэф. т. 5'!#REF!</definedName>
    <definedName name="х">'[3]коэф. т. 5'!#REF!</definedName>
    <definedName name="ы" localSheetId="1">'[3]коэф. т. 5'!#REF!</definedName>
    <definedName name="ы">'[3]коэф. т. 5'!#REF!</definedName>
    <definedName name="январь" localSheetId="2">#REF!</definedName>
    <definedName name="январь">#REF!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V1" i="9" l="1"/>
  <c r="CW3" i="9"/>
  <c r="CV3" i="9" s="1"/>
  <c r="CU3" i="9" s="1"/>
  <c r="CT3" i="9" s="1"/>
  <c r="CS3" i="9" s="1"/>
  <c r="CR3" i="9" s="1"/>
  <c r="CQ3" i="9" s="1"/>
  <c r="CP3" i="9" s="1"/>
  <c r="CO3" i="9" s="1"/>
  <c r="CN3" i="9" s="1"/>
  <c r="CM3" i="9" s="1"/>
  <c r="CL3" i="9" s="1"/>
  <c r="CK3" i="9" s="1"/>
  <c r="CJ3" i="9" s="1"/>
  <c r="CI3" i="9" s="1"/>
  <c r="CH3" i="9" s="1"/>
  <c r="CG3" i="9" s="1"/>
  <c r="CF3" i="9" s="1"/>
  <c r="CE3" i="9" s="1"/>
  <c r="CD3" i="9" s="1"/>
  <c r="CC3" i="9" s="1"/>
  <c r="CB3" i="9" s="1"/>
  <c r="CA3" i="9" s="1"/>
  <c r="BZ3" i="9" s="1"/>
  <c r="BY3" i="9" s="1"/>
  <c r="BX3" i="9" s="1"/>
  <c r="BW3" i="9" s="1"/>
  <c r="BV3" i="9" s="1"/>
  <c r="BU3" i="9" s="1"/>
  <c r="BT3" i="9" s="1"/>
  <c r="BS3" i="9" s="1"/>
  <c r="BR3" i="9" s="1"/>
  <c r="BQ3" i="9" s="1"/>
  <c r="BP3" i="9" s="1"/>
  <c r="BO3" i="9" s="1"/>
  <c r="BN3" i="9" s="1"/>
  <c r="BM3" i="9" s="1"/>
  <c r="BL3" i="9" s="1"/>
  <c r="BK3" i="9" s="1"/>
  <c r="BJ3" i="9" s="1"/>
  <c r="BI3" i="9" s="1"/>
  <c r="BH3" i="9" s="1"/>
  <c r="BG3" i="9" s="1"/>
  <c r="BF3" i="9" s="1"/>
  <c r="BE3" i="9" s="1"/>
  <c r="BD3" i="9" s="1"/>
  <c r="BC3" i="9" s="1"/>
  <c r="BB3" i="9" s="1"/>
  <c r="BA3" i="9" s="1"/>
  <c r="AZ3" i="9" s="1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CQ4" i="9"/>
  <c r="CR4" i="9"/>
  <c r="CS4" i="9"/>
  <c r="CT4" i="9"/>
  <c r="CU4" i="9"/>
  <c r="CV4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CT5" i="9"/>
  <c r="CU5" i="9"/>
  <c r="CV5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CT6" i="9"/>
  <c r="CU6" i="9"/>
  <c r="CV6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CV9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4" i="9"/>
  <c r="CW5" i="9"/>
  <c r="CW6" i="9"/>
  <c r="CW7" i="9"/>
  <c r="CW8" i="9"/>
  <c r="CW9" i="9"/>
  <c r="CW14" i="9"/>
  <c r="CW15" i="9"/>
  <c r="CW16" i="9"/>
  <c r="CY4" i="9"/>
  <c r="J17" i="10"/>
  <c r="IU2" i="9" l="1"/>
  <c r="IS2" i="9" s="1"/>
  <c r="IT2" i="9" s="1"/>
  <c r="B30" i="10" l="1"/>
  <c r="B31" i="10"/>
  <c r="B29" i="10"/>
  <c r="B41" i="10"/>
  <c r="B37" i="10"/>
  <c r="B33" i="10"/>
  <c r="B28" i="10" s="1"/>
  <c r="B26" i="10" s="1"/>
  <c r="D31" i="10" l="1"/>
  <c r="H31" i="10"/>
  <c r="L31" i="10"/>
  <c r="P31" i="10"/>
  <c r="T31" i="10"/>
  <c r="C31" i="10"/>
  <c r="D30" i="10"/>
  <c r="H30" i="10"/>
  <c r="L30" i="10"/>
  <c r="P30" i="10"/>
  <c r="T30" i="10"/>
  <c r="C30" i="10"/>
  <c r="D29" i="10"/>
  <c r="H29" i="10"/>
  <c r="L29" i="10"/>
  <c r="P29" i="10"/>
  <c r="T29" i="10"/>
  <c r="C29" i="10"/>
  <c r="H27" i="10"/>
  <c r="L27" i="10"/>
  <c r="P27" i="10"/>
  <c r="T27" i="10"/>
  <c r="D27" i="10"/>
  <c r="C27" i="10"/>
  <c r="AK82" i="11"/>
  <c r="AJ82" i="11"/>
  <c r="AI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AK81" i="11"/>
  <c r="AJ81" i="11"/>
  <c r="AI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AK80" i="11"/>
  <c r="AJ80" i="11"/>
  <c r="AI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AK79" i="11"/>
  <c r="AJ79" i="11"/>
  <c r="AI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AK78" i="11"/>
  <c r="AJ78" i="11"/>
  <c r="AI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AK77" i="11"/>
  <c r="AJ77" i="11"/>
  <c r="AI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AK76" i="11"/>
  <c r="AJ76" i="11"/>
  <c r="AI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AK75" i="11"/>
  <c r="AJ75" i="11"/>
  <c r="AI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AK74" i="11"/>
  <c r="AJ74" i="11"/>
  <c r="AI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AK73" i="11"/>
  <c r="AJ73" i="11"/>
  <c r="AI73" i="11"/>
  <c r="W73" i="11"/>
  <c r="V73" i="11"/>
  <c r="U73" i="11"/>
  <c r="T73" i="11"/>
  <c r="S73" i="11"/>
  <c r="AK72" i="11"/>
  <c r="AJ72" i="11"/>
  <c r="AI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0" i="11"/>
  <c r="Q70" i="11"/>
  <c r="P70" i="11"/>
  <c r="P71" i="11" s="1"/>
  <c r="O70" i="11"/>
  <c r="N70" i="11"/>
  <c r="M70" i="11"/>
  <c r="L70" i="11"/>
  <c r="L71" i="11" s="1"/>
  <c r="K70" i="11"/>
  <c r="J70" i="11"/>
  <c r="I70" i="11"/>
  <c r="H70" i="11"/>
  <c r="G70" i="11"/>
  <c r="F70" i="11"/>
  <c r="F71" i="11" s="1"/>
  <c r="E70" i="11"/>
  <c r="D70" i="11"/>
  <c r="C70" i="11"/>
  <c r="AK69" i="11"/>
  <c r="AJ69" i="11"/>
  <c r="AI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AK68" i="11"/>
  <c r="AJ68" i="11"/>
  <c r="AI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AK67" i="11"/>
  <c r="AJ67" i="11"/>
  <c r="AI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AK66" i="11"/>
  <c r="AJ66" i="11"/>
  <c r="AI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AK65" i="11"/>
  <c r="AJ65" i="11"/>
  <c r="AI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AK64" i="11"/>
  <c r="AJ64" i="11"/>
  <c r="AI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AK62" i="11"/>
  <c r="AJ62" i="11"/>
  <c r="AI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AK61" i="11"/>
  <c r="AJ61" i="11"/>
  <c r="AI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AK60" i="11"/>
  <c r="AJ60" i="11"/>
  <c r="AI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AK59" i="11"/>
  <c r="AJ59" i="11"/>
  <c r="AI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7" i="11"/>
  <c r="Q57" i="11"/>
  <c r="P57" i="11"/>
  <c r="P58" i="11" s="1"/>
  <c r="O57" i="11"/>
  <c r="N57" i="11"/>
  <c r="N58" i="11" s="1"/>
  <c r="M57" i="11"/>
  <c r="L57" i="11"/>
  <c r="K57" i="11"/>
  <c r="J57" i="11"/>
  <c r="J58" i="11" s="1"/>
  <c r="I57" i="11"/>
  <c r="H57" i="11"/>
  <c r="G57" i="11"/>
  <c r="F57" i="11"/>
  <c r="F58" i="11" s="1"/>
  <c r="E57" i="11"/>
  <c r="D57" i="11"/>
  <c r="C57" i="11"/>
  <c r="AK56" i="11"/>
  <c r="AJ56" i="11"/>
  <c r="AI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AK55" i="11"/>
  <c r="AJ55" i="11"/>
  <c r="AI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AK54" i="11"/>
  <c r="AJ54" i="11"/>
  <c r="AI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AK53" i="11"/>
  <c r="AJ53" i="11"/>
  <c r="AI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AK52" i="11"/>
  <c r="AJ52" i="11"/>
  <c r="AI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AK51" i="11"/>
  <c r="AJ51" i="11"/>
  <c r="AI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AK50" i="11"/>
  <c r="AJ50" i="11"/>
  <c r="AI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AK49" i="11"/>
  <c r="AJ49" i="11"/>
  <c r="AI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AK48" i="11"/>
  <c r="AJ48" i="11"/>
  <c r="AI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AK47" i="11"/>
  <c r="AJ47" i="11"/>
  <c r="AI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AK46" i="11"/>
  <c r="AJ46" i="11"/>
  <c r="AI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4" i="11"/>
  <c r="Q44" i="11"/>
  <c r="P44" i="11"/>
  <c r="O44" i="11"/>
  <c r="N44" i="11"/>
  <c r="M44" i="11"/>
  <c r="L44" i="11"/>
  <c r="K44" i="11"/>
  <c r="J44" i="11"/>
  <c r="J45" i="11" s="1"/>
  <c r="I44" i="11"/>
  <c r="H44" i="11"/>
  <c r="G44" i="11"/>
  <c r="F44" i="11"/>
  <c r="E44" i="11"/>
  <c r="D44" i="11"/>
  <c r="C44" i="11"/>
  <c r="R43" i="11"/>
  <c r="R17" i="11" s="1"/>
  <c r="Q43" i="11"/>
  <c r="Q17" i="11" s="1"/>
  <c r="P43" i="11"/>
  <c r="P17" i="11" s="1"/>
  <c r="O43" i="11"/>
  <c r="O17" i="11" s="1"/>
  <c r="N43" i="11"/>
  <c r="N17" i="11" s="1"/>
  <c r="M43" i="11"/>
  <c r="M17" i="11" s="1"/>
  <c r="L43" i="11"/>
  <c r="L17" i="11" s="1"/>
  <c r="K43" i="11"/>
  <c r="J43" i="11"/>
  <c r="I43" i="11"/>
  <c r="I17" i="11" s="1"/>
  <c r="H43" i="11"/>
  <c r="H17" i="11" s="1"/>
  <c r="G43" i="11"/>
  <c r="G17" i="11" s="1"/>
  <c r="F43" i="11"/>
  <c r="F17" i="11" s="1"/>
  <c r="E43" i="11"/>
  <c r="E17" i="11" s="1"/>
  <c r="D43" i="11"/>
  <c r="C43" i="11"/>
  <c r="C17" i="11" s="1"/>
  <c r="R42" i="11"/>
  <c r="R16" i="11" s="1"/>
  <c r="Q42" i="11"/>
  <c r="Q16" i="11" s="1"/>
  <c r="P42" i="11"/>
  <c r="P16" i="11" s="1"/>
  <c r="O42" i="11"/>
  <c r="O16" i="11" s="1"/>
  <c r="N42" i="11"/>
  <c r="N16" i="11" s="1"/>
  <c r="M42" i="11"/>
  <c r="M16" i="11" s="1"/>
  <c r="L42" i="11"/>
  <c r="K42" i="11"/>
  <c r="K16" i="11" s="1"/>
  <c r="J42" i="11"/>
  <c r="J16" i="11" s="1"/>
  <c r="I42" i="11"/>
  <c r="I16" i="11" s="1"/>
  <c r="H42" i="11"/>
  <c r="H16" i="11" s="1"/>
  <c r="G42" i="11"/>
  <c r="F42" i="11"/>
  <c r="F16" i="11" s="1"/>
  <c r="E42" i="11"/>
  <c r="E16" i="11" s="1"/>
  <c r="D42" i="11"/>
  <c r="D16" i="11" s="1"/>
  <c r="C42" i="11"/>
  <c r="C16" i="11" s="1"/>
  <c r="R41" i="11"/>
  <c r="R15" i="11" s="1"/>
  <c r="Q41" i="11"/>
  <c r="Q15" i="11" s="1"/>
  <c r="P41" i="11"/>
  <c r="P15" i="11" s="1"/>
  <c r="O41" i="11"/>
  <c r="O15" i="11" s="1"/>
  <c r="N41" i="11"/>
  <c r="N15" i="11" s="1"/>
  <c r="M41" i="11"/>
  <c r="L41" i="11"/>
  <c r="K41" i="11"/>
  <c r="K15" i="11" s="1"/>
  <c r="J41" i="11"/>
  <c r="J15" i="11" s="1"/>
  <c r="I41" i="11"/>
  <c r="H41" i="11"/>
  <c r="H15" i="11" s="1"/>
  <c r="G41" i="11"/>
  <c r="G15" i="11" s="1"/>
  <c r="F41" i="11"/>
  <c r="E41" i="11"/>
  <c r="D41" i="11"/>
  <c r="D15" i="11" s="1"/>
  <c r="C41" i="11"/>
  <c r="R40" i="11"/>
  <c r="R14" i="11" s="1"/>
  <c r="Q40" i="11"/>
  <c r="Q14" i="11" s="1"/>
  <c r="P40" i="11"/>
  <c r="P14" i="11" s="1"/>
  <c r="O40" i="11"/>
  <c r="O14" i="11" s="1"/>
  <c r="N40" i="11"/>
  <c r="N14" i="11" s="1"/>
  <c r="M40" i="11"/>
  <c r="M14" i="11" s="1"/>
  <c r="L40" i="11"/>
  <c r="K40" i="11"/>
  <c r="K14" i="11" s="1"/>
  <c r="J40" i="11"/>
  <c r="J14" i="11" s="1"/>
  <c r="I40" i="11"/>
  <c r="I14" i="11" s="1"/>
  <c r="H40" i="11"/>
  <c r="H14" i="11" s="1"/>
  <c r="G40" i="11"/>
  <c r="G14" i="11" s="1"/>
  <c r="F40" i="11"/>
  <c r="E40" i="11"/>
  <c r="D40" i="11"/>
  <c r="D14" i="11" s="1"/>
  <c r="C40" i="11"/>
  <c r="R39" i="11"/>
  <c r="R13" i="11" s="1"/>
  <c r="Q39" i="11"/>
  <c r="Q13" i="11" s="1"/>
  <c r="P39" i="11"/>
  <c r="P13" i="11" s="1"/>
  <c r="O39" i="11"/>
  <c r="O13" i="11" s="1"/>
  <c r="N39" i="11"/>
  <c r="N13" i="11" s="1"/>
  <c r="M39" i="11"/>
  <c r="M13" i="11" s="1"/>
  <c r="L39" i="11"/>
  <c r="K39" i="11"/>
  <c r="K13" i="11" s="1"/>
  <c r="J39" i="11"/>
  <c r="J13" i="11" s="1"/>
  <c r="I39" i="11"/>
  <c r="I13" i="11" s="1"/>
  <c r="H39" i="11"/>
  <c r="H13" i="11" s="1"/>
  <c r="G39" i="11"/>
  <c r="G13" i="11" s="1"/>
  <c r="F39" i="11"/>
  <c r="E39" i="11"/>
  <c r="D39" i="11"/>
  <c r="D13" i="11" s="1"/>
  <c r="C39" i="11"/>
  <c r="R38" i="11"/>
  <c r="R12" i="11" s="1"/>
  <c r="Q38" i="11"/>
  <c r="Q12" i="11" s="1"/>
  <c r="P38" i="11"/>
  <c r="P12" i="11" s="1"/>
  <c r="O38" i="11"/>
  <c r="O12" i="11" s="1"/>
  <c r="N38" i="11"/>
  <c r="N12" i="11" s="1"/>
  <c r="M38" i="11"/>
  <c r="L38" i="11"/>
  <c r="L12" i="11" s="1"/>
  <c r="K38" i="11"/>
  <c r="K12" i="11" s="1"/>
  <c r="J38" i="11"/>
  <c r="J12" i="11" s="1"/>
  <c r="I38" i="11"/>
  <c r="I12" i="11" s="1"/>
  <c r="H38" i="11"/>
  <c r="H12" i="11" s="1"/>
  <c r="G38" i="11"/>
  <c r="G12" i="11" s="1"/>
  <c r="F38" i="11"/>
  <c r="F12" i="11" s="1"/>
  <c r="E38" i="11"/>
  <c r="E12" i="11" s="1"/>
  <c r="D38" i="11"/>
  <c r="D12" i="11" s="1"/>
  <c r="C38" i="11"/>
  <c r="R37" i="11"/>
  <c r="R11" i="11" s="1"/>
  <c r="Q37" i="11"/>
  <c r="Q11" i="11" s="1"/>
  <c r="P37" i="11"/>
  <c r="P11" i="11" s="1"/>
  <c r="O37" i="11"/>
  <c r="O11" i="11" s="1"/>
  <c r="N37" i="11"/>
  <c r="N11" i="11" s="1"/>
  <c r="M37" i="11"/>
  <c r="L37" i="11"/>
  <c r="L11" i="11" s="1"/>
  <c r="K37" i="11"/>
  <c r="K11" i="11" s="1"/>
  <c r="J37" i="11"/>
  <c r="J11" i="11" s="1"/>
  <c r="I37" i="11"/>
  <c r="I11" i="11" s="1"/>
  <c r="H37" i="11"/>
  <c r="G37" i="11"/>
  <c r="G11" i="11" s="1"/>
  <c r="F37" i="11"/>
  <c r="E37" i="11"/>
  <c r="D37" i="11"/>
  <c r="D11" i="11" s="1"/>
  <c r="C37" i="11"/>
  <c r="R36" i="11"/>
  <c r="R10" i="11" s="1"/>
  <c r="Q36" i="11"/>
  <c r="Q10" i="11" s="1"/>
  <c r="P36" i="11"/>
  <c r="P10" i="11" s="1"/>
  <c r="O36" i="11"/>
  <c r="O10" i="11" s="1"/>
  <c r="N36" i="11"/>
  <c r="N10" i="11" s="1"/>
  <c r="M36" i="11"/>
  <c r="L36" i="11"/>
  <c r="L10" i="11" s="1"/>
  <c r="K36" i="11"/>
  <c r="K10" i="11" s="1"/>
  <c r="J36" i="11"/>
  <c r="J10" i="11" s="1"/>
  <c r="I36" i="11"/>
  <c r="H36" i="11"/>
  <c r="H10" i="11" s="1"/>
  <c r="G36" i="11"/>
  <c r="G10" i="11" s="1"/>
  <c r="F36" i="11"/>
  <c r="E36" i="11"/>
  <c r="E10" i="11" s="1"/>
  <c r="D36" i="11"/>
  <c r="D10" i="11" s="1"/>
  <c r="C36" i="11"/>
  <c r="C10" i="11" s="1"/>
  <c r="R35" i="11"/>
  <c r="R9" i="11" s="1"/>
  <c r="Q35" i="11"/>
  <c r="Q9" i="11" s="1"/>
  <c r="P35" i="11"/>
  <c r="P9" i="11" s="1"/>
  <c r="O35" i="11"/>
  <c r="O9" i="11" s="1"/>
  <c r="N35" i="11"/>
  <c r="N9" i="11" s="1"/>
  <c r="M35" i="11"/>
  <c r="L35" i="11"/>
  <c r="L9" i="11" s="1"/>
  <c r="K35" i="11"/>
  <c r="K9" i="11" s="1"/>
  <c r="J35" i="11"/>
  <c r="J9" i="11" s="1"/>
  <c r="I35" i="11"/>
  <c r="I9" i="11" s="1"/>
  <c r="H35" i="11"/>
  <c r="H9" i="11" s="1"/>
  <c r="G35" i="11"/>
  <c r="G9" i="11" s="1"/>
  <c r="F35" i="11"/>
  <c r="E35" i="11"/>
  <c r="D35" i="11"/>
  <c r="D9" i="11" s="1"/>
  <c r="C35" i="11"/>
  <c r="C9" i="11" s="1"/>
  <c r="R34" i="11"/>
  <c r="R8" i="11" s="1"/>
  <c r="Q34" i="11"/>
  <c r="Q8" i="11" s="1"/>
  <c r="P34" i="11"/>
  <c r="P8" i="11" s="1"/>
  <c r="O34" i="11"/>
  <c r="O8" i="11" s="1"/>
  <c r="N34" i="11"/>
  <c r="N8" i="11" s="1"/>
  <c r="M34" i="11"/>
  <c r="M8" i="11" s="1"/>
  <c r="L34" i="11"/>
  <c r="K34" i="11"/>
  <c r="K8" i="11" s="1"/>
  <c r="J34" i="11"/>
  <c r="J8" i="11" s="1"/>
  <c r="I34" i="11"/>
  <c r="I8" i="11" s="1"/>
  <c r="H34" i="11"/>
  <c r="H8" i="11" s="1"/>
  <c r="G34" i="11"/>
  <c r="F34" i="11"/>
  <c r="F8" i="11" s="1"/>
  <c r="E34" i="11"/>
  <c r="E8" i="11" s="1"/>
  <c r="D34" i="11"/>
  <c r="D8" i="11" s="1"/>
  <c r="C34" i="11"/>
  <c r="C8" i="11" s="1"/>
  <c r="R33" i="11"/>
  <c r="R7" i="11" s="1"/>
  <c r="Q33" i="11"/>
  <c r="Q7" i="11" s="1"/>
  <c r="P33" i="11"/>
  <c r="O33" i="11"/>
  <c r="O7" i="11" s="1"/>
  <c r="N33" i="11"/>
  <c r="N7" i="11" s="1"/>
  <c r="M33" i="11"/>
  <c r="M7" i="11" s="1"/>
  <c r="L33" i="11"/>
  <c r="K33" i="11"/>
  <c r="K7" i="11" s="1"/>
  <c r="J33" i="11"/>
  <c r="J7" i="11" s="1"/>
  <c r="I33" i="11"/>
  <c r="I7" i="11" s="1"/>
  <c r="H33" i="11"/>
  <c r="H7" i="11" s="1"/>
  <c r="G33" i="11"/>
  <c r="F33" i="11"/>
  <c r="F7" i="11" s="1"/>
  <c r="E33" i="11"/>
  <c r="E7" i="11" s="1"/>
  <c r="D33" i="11"/>
  <c r="D7" i="11" s="1"/>
  <c r="C33" i="11"/>
  <c r="C7" i="11" s="1"/>
  <c r="AK30" i="11"/>
  <c r="AJ30" i="11"/>
  <c r="AI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AK29" i="11"/>
  <c r="AJ29" i="11"/>
  <c r="AI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AK28" i="11"/>
  <c r="AJ28" i="11"/>
  <c r="AI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AK27" i="11"/>
  <c r="AJ27" i="11"/>
  <c r="AI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AK26" i="11"/>
  <c r="AJ26" i="11"/>
  <c r="AI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AK25" i="11"/>
  <c r="AJ25" i="11"/>
  <c r="AI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AK24" i="11"/>
  <c r="AJ24" i="11"/>
  <c r="AI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AK23" i="11"/>
  <c r="AJ23" i="11"/>
  <c r="AI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AK22" i="11"/>
  <c r="AJ22" i="11"/>
  <c r="AI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AK21" i="11"/>
  <c r="AJ21" i="11"/>
  <c r="AI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AK20" i="11"/>
  <c r="AJ20" i="11"/>
  <c r="AI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H11" i="11"/>
  <c r="E9" i="11"/>
  <c r="C28" i="10" l="1"/>
  <c r="H44" i="10"/>
  <c r="I44" i="10" s="1"/>
  <c r="J44" i="10" s="1"/>
  <c r="K44" i="10" s="1"/>
  <c r="H36" i="10"/>
  <c r="I36" i="10" s="1"/>
  <c r="H40" i="10"/>
  <c r="I40" i="10" s="1"/>
  <c r="J40" i="10" s="1"/>
  <c r="K40" i="10" s="1"/>
  <c r="H38" i="10"/>
  <c r="H34" i="10"/>
  <c r="H42" i="10"/>
  <c r="D36" i="10"/>
  <c r="E36" i="10" s="1"/>
  <c r="D40" i="10"/>
  <c r="E40" i="10" s="1"/>
  <c r="F40" i="10" s="1"/>
  <c r="G40" i="10" s="1"/>
  <c r="D44" i="10"/>
  <c r="E44" i="10" s="1"/>
  <c r="F44" i="10" s="1"/>
  <c r="G44" i="10" s="1"/>
  <c r="I27" i="10"/>
  <c r="L40" i="10"/>
  <c r="M40" i="10" s="1"/>
  <c r="N40" i="10" s="1"/>
  <c r="O40" i="10" s="1"/>
  <c r="L36" i="10"/>
  <c r="M36" i="10" s="1"/>
  <c r="L44" i="10"/>
  <c r="M44" i="10" s="1"/>
  <c r="N44" i="10" s="1"/>
  <c r="O44" i="10" s="1"/>
  <c r="M27" i="10"/>
  <c r="P44" i="10"/>
  <c r="Q44" i="10" s="1"/>
  <c r="R44" i="10" s="1"/>
  <c r="S44" i="10" s="1"/>
  <c r="P36" i="10"/>
  <c r="Q36" i="10" s="1"/>
  <c r="P40" i="10"/>
  <c r="Q40" i="10" s="1"/>
  <c r="R40" i="10" s="1"/>
  <c r="S40" i="10" s="1"/>
  <c r="Q27" i="10"/>
  <c r="T44" i="10"/>
  <c r="U44" i="10" s="1"/>
  <c r="V44" i="10" s="1"/>
  <c r="W44" i="10" s="1"/>
  <c r="T36" i="10"/>
  <c r="U36" i="10" s="1"/>
  <c r="T40" i="10"/>
  <c r="U40" i="10" s="1"/>
  <c r="V40" i="10" s="1"/>
  <c r="W40" i="10" s="1"/>
  <c r="P34" i="10"/>
  <c r="P38" i="10"/>
  <c r="P42" i="10"/>
  <c r="T42" i="10"/>
  <c r="T34" i="10"/>
  <c r="T38" i="10"/>
  <c r="U27" i="10"/>
  <c r="E27" i="10"/>
  <c r="D35" i="10"/>
  <c r="E35" i="10" s="1"/>
  <c r="D39" i="10"/>
  <c r="E39" i="10" s="1"/>
  <c r="F39" i="10" s="1"/>
  <c r="G39" i="10" s="1"/>
  <c r="D43" i="10"/>
  <c r="E43" i="10" s="1"/>
  <c r="F43" i="10" s="1"/>
  <c r="G43" i="10" s="1"/>
  <c r="H43" i="10"/>
  <c r="I43" i="10" s="1"/>
  <c r="J43" i="10" s="1"/>
  <c r="K43" i="10" s="1"/>
  <c r="H35" i="10"/>
  <c r="I35" i="10" s="1"/>
  <c r="J35" i="10" s="1"/>
  <c r="K35" i="10" s="1"/>
  <c r="H39" i="10"/>
  <c r="I39" i="10" s="1"/>
  <c r="J39" i="10" s="1"/>
  <c r="K39" i="10" s="1"/>
  <c r="L43" i="10"/>
  <c r="M43" i="10" s="1"/>
  <c r="N43" i="10" s="1"/>
  <c r="O43" i="10" s="1"/>
  <c r="L35" i="10"/>
  <c r="M35" i="10" s="1"/>
  <c r="L39" i="10"/>
  <c r="M39" i="10" s="1"/>
  <c r="N39" i="10" s="1"/>
  <c r="O39" i="10" s="1"/>
  <c r="P43" i="10"/>
  <c r="Q43" i="10" s="1"/>
  <c r="R43" i="10" s="1"/>
  <c r="S43" i="10" s="1"/>
  <c r="P35" i="10"/>
  <c r="Q35" i="10" s="1"/>
  <c r="P39" i="10"/>
  <c r="Q39" i="10" s="1"/>
  <c r="R39" i="10" s="1"/>
  <c r="S39" i="10" s="1"/>
  <c r="T43" i="10"/>
  <c r="U43" i="10" s="1"/>
  <c r="V43" i="10" s="1"/>
  <c r="W43" i="10" s="1"/>
  <c r="T35" i="10"/>
  <c r="U35" i="10" s="1"/>
  <c r="T39" i="10"/>
  <c r="U39" i="10" s="1"/>
  <c r="V39" i="10" s="1"/>
  <c r="W39" i="10" s="1"/>
  <c r="D38" i="10"/>
  <c r="D42" i="10"/>
  <c r="D34" i="10"/>
  <c r="L34" i="10"/>
  <c r="L38" i="10"/>
  <c r="L42" i="10"/>
  <c r="C26" i="10"/>
  <c r="P28" i="10"/>
  <c r="P26" i="10" s="1"/>
  <c r="T28" i="10"/>
  <c r="T26" i="10" s="1"/>
  <c r="L28" i="10"/>
  <c r="L26" i="10" s="1"/>
  <c r="H28" i="10"/>
  <c r="H26" i="10" s="1"/>
  <c r="D28" i="10"/>
  <c r="D26" i="10" s="1"/>
  <c r="U36" i="11"/>
  <c r="U37" i="11"/>
  <c r="U39" i="11"/>
  <c r="U40" i="11"/>
  <c r="U41" i="11"/>
  <c r="U16" i="11"/>
  <c r="F13" i="11"/>
  <c r="V13" i="11" s="1"/>
  <c r="Y41" i="11"/>
  <c r="AK42" i="11"/>
  <c r="W18" i="11"/>
  <c r="T70" i="11"/>
  <c r="AF14" i="11"/>
  <c r="AD9" i="11"/>
  <c r="AD17" i="11"/>
  <c r="X36" i="11"/>
  <c r="W70" i="11"/>
  <c r="X18" i="11"/>
  <c r="Y70" i="11"/>
  <c r="U17" i="11"/>
  <c r="F11" i="11"/>
  <c r="V11" i="11" s="1"/>
  <c r="F15" i="11"/>
  <c r="V15" i="11" s="1"/>
  <c r="AE16" i="11"/>
  <c r="S44" i="11"/>
  <c r="F14" i="11"/>
  <c r="V14" i="11" s="1"/>
  <c r="AE38" i="11"/>
  <c r="AI15" i="11"/>
  <c r="Y9" i="11"/>
  <c r="W15" i="11"/>
  <c r="AK10" i="11"/>
  <c r="Y13" i="11"/>
  <c r="W14" i="11"/>
  <c r="I10" i="11"/>
  <c r="X10" i="11" s="1"/>
  <c r="Z11" i="11"/>
  <c r="AA33" i="11"/>
  <c r="AA34" i="11"/>
  <c r="AA12" i="11"/>
  <c r="AA41" i="11"/>
  <c r="AA42" i="11"/>
  <c r="Y11" i="11"/>
  <c r="Z35" i="11"/>
  <c r="Z41" i="11"/>
  <c r="Z43" i="11"/>
  <c r="I15" i="11"/>
  <c r="Y15" i="11" s="1"/>
  <c r="AF17" i="11"/>
  <c r="AE18" i="11"/>
  <c r="Y34" i="11"/>
  <c r="Y43" i="11"/>
  <c r="S57" i="11"/>
  <c r="W34" i="11"/>
  <c r="L7" i="11"/>
  <c r="J17" i="11"/>
  <c r="Y17" i="11" s="1"/>
  <c r="V38" i="11"/>
  <c r="G16" i="11"/>
  <c r="W16" i="11" s="1"/>
  <c r="T44" i="11"/>
  <c r="AD57" i="11"/>
  <c r="Y7" i="11"/>
  <c r="S16" i="11"/>
  <c r="L8" i="11"/>
  <c r="AA8" i="11" s="1"/>
  <c r="S36" i="11"/>
  <c r="S39" i="11"/>
  <c r="AK34" i="11"/>
  <c r="AG43" i="11"/>
  <c r="AG11" i="11"/>
  <c r="AJ13" i="11"/>
  <c r="AF33" i="11"/>
  <c r="AF41" i="11"/>
  <c r="Y14" i="11"/>
  <c r="AD39" i="11"/>
  <c r="AD41" i="11"/>
  <c r="U8" i="11"/>
  <c r="AC43" i="11"/>
  <c r="AC44" i="11"/>
  <c r="M11" i="11"/>
  <c r="AB11" i="11" s="1"/>
  <c r="M12" i="11"/>
  <c r="AB12" i="11" s="1"/>
  <c r="M15" i="11"/>
  <c r="AC15" i="11" s="1"/>
  <c r="L16" i="11"/>
  <c r="AG35" i="11"/>
  <c r="AJ36" i="11"/>
  <c r="AI37" i="11"/>
  <c r="AG38" i="11"/>
  <c r="AG39" i="11"/>
  <c r="AI40" i="11"/>
  <c r="AF70" i="11"/>
  <c r="X8" i="11"/>
  <c r="AC13" i="11"/>
  <c r="P7" i="11"/>
  <c r="AF7" i="11" s="1"/>
  <c r="M9" i="11"/>
  <c r="M10" i="11"/>
  <c r="AB10" i="11" s="1"/>
  <c r="L13" i="11"/>
  <c r="AA13" i="11" s="1"/>
  <c r="L14" i="11"/>
  <c r="AA14" i="11" s="1"/>
  <c r="L15" i="11"/>
  <c r="AA15" i="11" s="1"/>
  <c r="K17" i="11"/>
  <c r="AA17" i="11" s="1"/>
  <c r="J31" i="11"/>
  <c r="J32" i="11" s="1"/>
  <c r="AG34" i="11"/>
  <c r="AF38" i="11"/>
  <c r="AF40" i="11"/>
  <c r="AE70" i="11"/>
  <c r="AE40" i="11"/>
  <c r="AE42" i="11"/>
  <c r="Z12" i="11"/>
  <c r="AC7" i="11"/>
  <c r="X12" i="11"/>
  <c r="AC35" i="11"/>
  <c r="AC36" i="11"/>
  <c r="AC37" i="11"/>
  <c r="AC41" i="11"/>
  <c r="U57" i="11"/>
  <c r="AB40" i="11"/>
  <c r="AB35" i="11"/>
  <c r="W10" i="11"/>
  <c r="U12" i="11"/>
  <c r="G8" i="11"/>
  <c r="V8" i="11" s="1"/>
  <c r="F9" i="11"/>
  <c r="U9" i="11" s="1"/>
  <c r="F10" i="11"/>
  <c r="U10" i="11" s="1"/>
  <c r="E11" i="11"/>
  <c r="E13" i="11"/>
  <c r="E14" i="11"/>
  <c r="T14" i="11" s="1"/>
  <c r="E15" i="11"/>
  <c r="D17" i="11"/>
  <c r="T17" i="11" s="1"/>
  <c r="S18" i="11"/>
  <c r="H19" i="11"/>
  <c r="G19" i="11"/>
  <c r="G7" i="11"/>
  <c r="AJ7" i="11" s="1"/>
  <c r="S9" i="11"/>
  <c r="S10" i="11"/>
  <c r="C11" i="11"/>
  <c r="S11" i="11" s="1"/>
  <c r="C12" i="11"/>
  <c r="S12" i="11" s="1"/>
  <c r="C13" i="11"/>
  <c r="S13" i="11" s="1"/>
  <c r="C14" i="11"/>
  <c r="S14" i="11" s="1"/>
  <c r="C15" i="11"/>
  <c r="S15" i="11" s="1"/>
  <c r="AG17" i="11"/>
  <c r="AG18" i="11"/>
  <c r="X34" i="11"/>
  <c r="W35" i="11"/>
  <c r="W36" i="11"/>
  <c r="W38" i="11"/>
  <c r="W39" i="11"/>
  <c r="V43" i="11"/>
  <c r="AJ15" i="11"/>
  <c r="AG13" i="11"/>
  <c r="AE10" i="11"/>
  <c r="AE14" i="11"/>
  <c r="AD18" i="11"/>
  <c r="T39" i="11"/>
  <c r="S40" i="11"/>
  <c r="AA57" i="11"/>
  <c r="T7" i="11"/>
  <c r="E19" i="11"/>
  <c r="R31" i="11"/>
  <c r="R32" i="11" s="1"/>
  <c r="AG37" i="11"/>
  <c r="AD42" i="11"/>
  <c r="R5" i="11"/>
  <c r="R6" i="11" s="1"/>
  <c r="AE8" i="11"/>
  <c r="AD10" i="11"/>
  <c r="AK18" i="11"/>
  <c r="F31" i="11"/>
  <c r="F32" i="11" s="1"/>
  <c r="Q31" i="11"/>
  <c r="Q32" i="11" s="1"/>
  <c r="AE35" i="11"/>
  <c r="AE36" i="11"/>
  <c r="AE39" i="11"/>
  <c r="AC40" i="11"/>
  <c r="AB42" i="11"/>
  <c r="AB43" i="11"/>
  <c r="AA44" i="11"/>
  <c r="AC57" i="11"/>
  <c r="AF9" i="11"/>
  <c r="AI17" i="11"/>
  <c r="C31" i="11"/>
  <c r="P31" i="11"/>
  <c r="P32" i="11" s="1"/>
  <c r="J5" i="11"/>
  <c r="J6" i="11" s="1"/>
  <c r="AC8" i="11"/>
  <c r="AA9" i="11"/>
  <c r="AA10" i="11"/>
  <c r="O31" i="11"/>
  <c r="Z44" i="11"/>
  <c r="Q45" i="11"/>
  <c r="Q5" i="11"/>
  <c r="N5" i="11"/>
  <c r="H5" i="11"/>
  <c r="AD7" i="11"/>
  <c r="Z9" i="11"/>
  <c r="W12" i="11"/>
  <c r="X13" i="11"/>
  <c r="AK15" i="11"/>
  <c r="N31" i="11"/>
  <c r="N32" i="11" s="1"/>
  <c r="AD34" i="11"/>
  <c r="AC39" i="11"/>
  <c r="AA40" i="11"/>
  <c r="Y42" i="11"/>
  <c r="X44" i="11"/>
  <c r="N45" i="11"/>
  <c r="Z57" i="11"/>
  <c r="Q58" i="11"/>
  <c r="AF58" i="11" s="1"/>
  <c r="AA70" i="11"/>
  <c r="W11" i="11"/>
  <c r="AF16" i="11"/>
  <c r="M31" i="11"/>
  <c r="AA36" i="11"/>
  <c r="AA37" i="11"/>
  <c r="AA38" i="11"/>
  <c r="X42" i="11"/>
  <c r="W43" i="11"/>
  <c r="W44" i="11"/>
  <c r="K45" i="11"/>
  <c r="Z45" i="11" s="1"/>
  <c r="Y57" i="11"/>
  <c r="T12" i="11"/>
  <c r="AC17" i="11"/>
  <c r="AB18" i="11"/>
  <c r="Z33" i="11"/>
  <c r="Y35" i="11"/>
  <c r="Z36" i="11"/>
  <c r="Y37" i="11"/>
  <c r="Y38" i="11"/>
  <c r="Y39" i="11"/>
  <c r="W40" i="11"/>
  <c r="W42" i="11"/>
  <c r="U43" i="11"/>
  <c r="U44" i="11"/>
  <c r="H45" i="11"/>
  <c r="M58" i="11"/>
  <c r="AC58" i="11" s="1"/>
  <c r="O71" i="11"/>
  <c r="AE71" i="11" s="1"/>
  <c r="Z15" i="11"/>
  <c r="AC16" i="11"/>
  <c r="AA18" i="11"/>
  <c r="G45" i="11"/>
  <c r="R19" i="11"/>
  <c r="Y33" i="11"/>
  <c r="X37" i="11"/>
  <c r="D45" i="11"/>
  <c r="I58" i="11"/>
  <c r="Y58" i="11" s="1"/>
  <c r="J71" i="11"/>
  <c r="AJ12" i="11"/>
  <c r="AI13" i="11"/>
  <c r="AG14" i="11"/>
  <c r="AG15" i="11"/>
  <c r="Y18" i="11"/>
  <c r="O19" i="11"/>
  <c r="V35" i="11"/>
  <c r="AJ37" i="11"/>
  <c r="S41" i="11"/>
  <c r="S42" i="11"/>
  <c r="C45" i="11"/>
  <c r="G58" i="11"/>
  <c r="V70" i="11"/>
  <c r="G71" i="11"/>
  <c r="N19" i="11"/>
  <c r="AJ44" i="11"/>
  <c r="AF10" i="11"/>
  <c r="AE12" i="11"/>
  <c r="AE15" i="11"/>
  <c r="L19" i="11"/>
  <c r="U33" i="11"/>
  <c r="U35" i="11"/>
  <c r="T36" i="11"/>
  <c r="T38" i="11"/>
  <c r="AK40" i="11"/>
  <c r="AG41" i="11"/>
  <c r="AG42" i="11"/>
  <c r="D58" i="11"/>
  <c r="S70" i="11"/>
  <c r="D71" i="11"/>
  <c r="D5" i="11"/>
  <c r="AG9" i="11"/>
  <c r="AG10" i="11"/>
  <c r="AE11" i="11"/>
  <c r="AD15" i="11"/>
  <c r="K19" i="11"/>
  <c r="S37" i="11"/>
  <c r="S38" i="11"/>
  <c r="AK39" i="11"/>
  <c r="AE43" i="11"/>
  <c r="AE44" i="11"/>
  <c r="AG57" i="11"/>
  <c r="C71" i="11"/>
  <c r="S33" i="11"/>
  <c r="D31" i="11"/>
  <c r="D32" i="11" s="1"/>
  <c r="AJ39" i="11"/>
  <c r="AG70" i="11"/>
  <c r="AF57" i="11"/>
  <c r="Z8" i="11"/>
  <c r="X9" i="11"/>
  <c r="AK11" i="11"/>
  <c r="AI12" i="11"/>
  <c r="AF13" i="11"/>
  <c r="AD14" i="11"/>
  <c r="Z16" i="11"/>
  <c r="X17" i="11"/>
  <c r="V18" i="11"/>
  <c r="D19" i="11"/>
  <c r="L31" i="11"/>
  <c r="X33" i="11"/>
  <c r="V34" i="11"/>
  <c r="T35" i="11"/>
  <c r="AK35" i="11"/>
  <c r="AI36" i="11"/>
  <c r="AF37" i="11"/>
  <c r="AD38" i="11"/>
  <c r="AB39" i="11"/>
  <c r="Z40" i="11"/>
  <c r="X41" i="11"/>
  <c r="V42" i="11"/>
  <c r="T43" i="11"/>
  <c r="AK43" i="11"/>
  <c r="AI44" i="11"/>
  <c r="P45" i="11"/>
  <c r="X57" i="11"/>
  <c r="AD70" i="11"/>
  <c r="O5" i="11"/>
  <c r="Y8" i="11"/>
  <c r="W9" i="11"/>
  <c r="AJ11" i="11"/>
  <c r="AG12" i="11"/>
  <c r="AE13" i="11"/>
  <c r="AC14" i="11"/>
  <c r="Y16" i="11"/>
  <c r="W17" i="11"/>
  <c r="U18" i="11"/>
  <c r="C19" i="11"/>
  <c r="K31" i="11"/>
  <c r="W33" i="11"/>
  <c r="U34" i="11"/>
  <c r="S35" i="11"/>
  <c r="AJ35" i="11"/>
  <c r="AG36" i="11"/>
  <c r="AE37" i="11"/>
  <c r="AC38" i="11"/>
  <c r="AA39" i="11"/>
  <c r="Y40" i="11"/>
  <c r="W41" i="11"/>
  <c r="U42" i="11"/>
  <c r="S43" i="11"/>
  <c r="AJ43" i="11"/>
  <c r="AG44" i="11"/>
  <c r="O45" i="11"/>
  <c r="W57" i="11"/>
  <c r="E58" i="11"/>
  <c r="AC70" i="11"/>
  <c r="K71" i="11"/>
  <c r="Z7" i="11"/>
  <c r="T10" i="11"/>
  <c r="X16" i="11"/>
  <c r="V17" i="11"/>
  <c r="T18" i="11"/>
  <c r="V33" i="11"/>
  <c r="T34" i="11"/>
  <c r="AI35" i="11"/>
  <c r="AF36" i="11"/>
  <c r="AD37" i="11"/>
  <c r="AB38" i="11"/>
  <c r="Z39" i="11"/>
  <c r="X40" i="11"/>
  <c r="V41" i="11"/>
  <c r="T42" i="11"/>
  <c r="AI43" i="11"/>
  <c r="AF44" i="11"/>
  <c r="V57" i="11"/>
  <c r="AB70" i="11"/>
  <c r="AI11" i="11"/>
  <c r="AF12" i="11"/>
  <c r="AD13" i="11"/>
  <c r="AJ10" i="11"/>
  <c r="AJ18" i="11"/>
  <c r="Q19" i="11"/>
  <c r="I31" i="11"/>
  <c r="S34" i="11"/>
  <c r="AJ34" i="11"/>
  <c r="AJ42" i="11"/>
  <c r="M45" i="11"/>
  <c r="C58" i="11"/>
  <c r="I71" i="11"/>
  <c r="X7" i="11"/>
  <c r="T9" i="11"/>
  <c r="AK9" i="11"/>
  <c r="AI10" i="11"/>
  <c r="AF11" i="11"/>
  <c r="AD12" i="11"/>
  <c r="AB13" i="11"/>
  <c r="Z14" i="11"/>
  <c r="AK17" i="11"/>
  <c r="AI18" i="11"/>
  <c r="P19" i="11"/>
  <c r="H31" i="11"/>
  <c r="T33" i="11"/>
  <c r="AK33" i="11"/>
  <c r="AI34" i="11"/>
  <c r="AF35" i="11"/>
  <c r="AD36" i="11"/>
  <c r="AB37" i="11"/>
  <c r="Z38" i="11"/>
  <c r="X39" i="11"/>
  <c r="V40" i="11"/>
  <c r="T41" i="11"/>
  <c r="AK41" i="11"/>
  <c r="AI42" i="11"/>
  <c r="AF43" i="11"/>
  <c r="AD44" i="11"/>
  <c r="L45" i="11"/>
  <c r="T57" i="11"/>
  <c r="AK57" i="11"/>
  <c r="R58" i="11"/>
  <c r="Z70" i="11"/>
  <c r="H71" i="11"/>
  <c r="K5" i="11"/>
  <c r="AJ9" i="11"/>
  <c r="AJ17" i="11"/>
  <c r="G31" i="11"/>
  <c r="AJ33" i="11"/>
  <c r="AJ41" i="11"/>
  <c r="AJ57" i="11"/>
  <c r="T8" i="11"/>
  <c r="AI9" i="11"/>
  <c r="Z13" i="11"/>
  <c r="X14" i="11"/>
  <c r="AF18" i="11"/>
  <c r="AI33" i="11"/>
  <c r="AF34" i="11"/>
  <c r="AD35" i="11"/>
  <c r="AB36" i="11"/>
  <c r="Z37" i="11"/>
  <c r="X38" i="11"/>
  <c r="V39" i="11"/>
  <c r="T40" i="11"/>
  <c r="AI41" i="11"/>
  <c r="AF42" i="11"/>
  <c r="AD43" i="11"/>
  <c r="AB44" i="11"/>
  <c r="AI57" i="11"/>
  <c r="X70" i="11"/>
  <c r="AD11" i="11"/>
  <c r="T16" i="11"/>
  <c r="U7" i="11"/>
  <c r="S8" i="11"/>
  <c r="M19" i="11"/>
  <c r="E31" i="11"/>
  <c r="AG33" i="11"/>
  <c r="AE34" i="11"/>
  <c r="AJ40" i="11"/>
  <c r="I45" i="11"/>
  <c r="Y45" i="11" s="1"/>
  <c r="O58" i="11"/>
  <c r="AE58" i="11" s="1"/>
  <c r="E71" i="11"/>
  <c r="U71" i="11" s="1"/>
  <c r="S7" i="11"/>
  <c r="AG8" i="11"/>
  <c r="AE9" i="11"/>
  <c r="AA11" i="11"/>
  <c r="Y12" i="11"/>
  <c r="W13" i="11"/>
  <c r="AG16" i="11"/>
  <c r="AE17" i="11"/>
  <c r="AC18" i="11"/>
  <c r="AE33" i="11"/>
  <c r="AC34" i="11"/>
  <c r="AA35" i="11"/>
  <c r="Y36" i="11"/>
  <c r="W37" i="11"/>
  <c r="U38" i="11"/>
  <c r="AG40" i="11"/>
  <c r="AE41" i="11"/>
  <c r="AC42" i="11"/>
  <c r="AA43" i="11"/>
  <c r="Y44" i="11"/>
  <c r="AE57" i="11"/>
  <c r="U70" i="11"/>
  <c r="AF8" i="11"/>
  <c r="AK14" i="11"/>
  <c r="J19" i="11"/>
  <c r="AD33" i="11"/>
  <c r="AB34" i="11"/>
  <c r="V37" i="11"/>
  <c r="AK38" i="11"/>
  <c r="AI39" i="11"/>
  <c r="F45" i="11"/>
  <c r="L58" i="11"/>
  <c r="AK70" i="11"/>
  <c r="R71" i="11"/>
  <c r="AG7" i="11"/>
  <c r="AJ14" i="11"/>
  <c r="I19" i="11"/>
  <c r="AC33" i="11"/>
  <c r="AJ38" i="11"/>
  <c r="E45" i="11"/>
  <c r="K58" i="11"/>
  <c r="AJ70" i="11"/>
  <c r="Q71" i="11"/>
  <c r="AD8" i="11"/>
  <c r="Z10" i="11"/>
  <c r="X11" i="11"/>
  <c r="V12" i="11"/>
  <c r="AK13" i="11"/>
  <c r="AI14" i="11"/>
  <c r="AF15" i="11"/>
  <c r="AD16" i="11"/>
  <c r="AB17" i="11"/>
  <c r="Z18" i="11"/>
  <c r="AB33" i="11"/>
  <c r="Z34" i="11"/>
  <c r="X35" i="11"/>
  <c r="V36" i="11"/>
  <c r="T37" i="11"/>
  <c r="AK37" i="11"/>
  <c r="AI38" i="11"/>
  <c r="AF39" i="11"/>
  <c r="AD40" i="11"/>
  <c r="AB41" i="11"/>
  <c r="Z42" i="11"/>
  <c r="X43" i="11"/>
  <c r="V44" i="11"/>
  <c r="AB57" i="11"/>
  <c r="AI70" i="11"/>
  <c r="AK12" i="11"/>
  <c r="F19" i="11"/>
  <c r="AK36" i="11"/>
  <c r="AK44" i="11"/>
  <c r="R45" i="11"/>
  <c r="H58" i="11"/>
  <c r="N71" i="11"/>
  <c r="M71" i="11"/>
  <c r="E42" i="10" l="1"/>
  <c r="D41" i="10"/>
  <c r="F35" i="10"/>
  <c r="G35" i="10" s="1"/>
  <c r="E30" i="10"/>
  <c r="F30" i="10" s="1"/>
  <c r="G30" i="10" s="1"/>
  <c r="E34" i="10"/>
  <c r="D33" i="10"/>
  <c r="I38" i="10"/>
  <c r="I37" i="10" s="1"/>
  <c r="H37" i="10"/>
  <c r="I30" i="10"/>
  <c r="J30" i="10" s="1"/>
  <c r="K30" i="10" s="1"/>
  <c r="R36" i="10"/>
  <c r="S36" i="10" s="1"/>
  <c r="Q31" i="10"/>
  <c r="R31" i="10" s="1"/>
  <c r="S31" i="10" s="1"/>
  <c r="M34" i="10"/>
  <c r="L33" i="10"/>
  <c r="I34" i="10"/>
  <c r="H33" i="10"/>
  <c r="M38" i="10"/>
  <c r="L37" i="10"/>
  <c r="I42" i="10"/>
  <c r="I41" i="10" s="1"/>
  <c r="H41" i="10"/>
  <c r="E38" i="10"/>
  <c r="D37" i="10"/>
  <c r="M42" i="10"/>
  <c r="L41" i="10"/>
  <c r="V36" i="10"/>
  <c r="W36" i="10" s="1"/>
  <c r="U31" i="10"/>
  <c r="V31" i="10" s="1"/>
  <c r="W31" i="10" s="1"/>
  <c r="F36" i="10"/>
  <c r="G36" i="10" s="1"/>
  <c r="E31" i="10"/>
  <c r="F31" i="10" s="1"/>
  <c r="G31" i="10" s="1"/>
  <c r="Q34" i="10"/>
  <c r="P33" i="10"/>
  <c r="M30" i="10"/>
  <c r="N30" i="10" s="1"/>
  <c r="O30" i="10" s="1"/>
  <c r="N35" i="10"/>
  <c r="O35" i="10" s="1"/>
  <c r="Q38" i="10"/>
  <c r="P37" i="10"/>
  <c r="V35" i="10"/>
  <c r="W35" i="10" s="1"/>
  <c r="U30" i="10"/>
  <c r="V30" i="10" s="1"/>
  <c r="W30" i="10" s="1"/>
  <c r="Q42" i="10"/>
  <c r="P41" i="10"/>
  <c r="U42" i="10"/>
  <c r="T41" i="10"/>
  <c r="R35" i="10"/>
  <c r="S35" i="10" s="1"/>
  <c r="Q30" i="10"/>
  <c r="R30" i="10" s="1"/>
  <c r="S30" i="10" s="1"/>
  <c r="U34" i="10"/>
  <c r="T33" i="10"/>
  <c r="N36" i="10"/>
  <c r="O36" i="10" s="1"/>
  <c r="M31" i="10"/>
  <c r="N31" i="10" s="1"/>
  <c r="O31" i="10" s="1"/>
  <c r="U38" i="10"/>
  <c r="T37" i="10"/>
  <c r="AC11" i="11"/>
  <c r="AC10" i="11"/>
  <c r="AD31" i="11"/>
  <c r="AB8" i="11"/>
  <c r="U31" i="11"/>
  <c r="AG31" i="11"/>
  <c r="AF31" i="11"/>
  <c r="U13" i="11"/>
  <c r="AJ31" i="11"/>
  <c r="U11" i="11"/>
  <c r="W7" i="11"/>
  <c r="U14" i="11"/>
  <c r="T13" i="11"/>
  <c r="AI19" i="11"/>
  <c r="W19" i="11"/>
  <c r="X15" i="11"/>
  <c r="AE7" i="11"/>
  <c r="V16" i="11"/>
  <c r="AJ19" i="11"/>
  <c r="AK19" i="11"/>
  <c r="Z17" i="11"/>
  <c r="AA19" i="11"/>
  <c r="I5" i="11"/>
  <c r="I6" i="11" s="1"/>
  <c r="Y6" i="11" s="1"/>
  <c r="P5" i="11"/>
  <c r="AE5" i="11" s="1"/>
  <c r="W45" i="11"/>
  <c r="Y10" i="11"/>
  <c r="U15" i="11"/>
  <c r="AG19" i="11"/>
  <c r="T15" i="11"/>
  <c r="L5" i="11"/>
  <c r="L6" i="11" s="1"/>
  <c r="E5" i="11"/>
  <c r="E6" i="11" s="1"/>
  <c r="AI16" i="11"/>
  <c r="AC19" i="11"/>
  <c r="S17" i="11"/>
  <c r="AJ16" i="11"/>
  <c r="AA7" i="11"/>
  <c r="AI7" i="11"/>
  <c r="T11" i="11"/>
  <c r="AE31" i="11"/>
  <c r="AK16" i="11"/>
  <c r="V19" i="11"/>
  <c r="V9" i="11"/>
  <c r="AB7" i="11"/>
  <c r="O32" i="11"/>
  <c r="AD32" i="11" s="1"/>
  <c r="V45" i="11"/>
  <c r="V7" i="11"/>
  <c r="AB14" i="11"/>
  <c r="M32" i="11"/>
  <c r="AC32" i="11" s="1"/>
  <c r="Y31" i="11"/>
  <c r="G5" i="11"/>
  <c r="AC12" i="11"/>
  <c r="AB16" i="11"/>
  <c r="M5" i="11"/>
  <c r="AC5" i="11" s="1"/>
  <c r="AB31" i="11"/>
  <c r="AG5" i="11"/>
  <c r="AB15" i="11"/>
  <c r="AC9" i="11"/>
  <c r="AK7" i="11"/>
  <c r="C5" i="11"/>
  <c r="S5" i="11" s="1"/>
  <c r="F5" i="11"/>
  <c r="AA16" i="11"/>
  <c r="AB9" i="11"/>
  <c r="AJ8" i="11"/>
  <c r="V58" i="11"/>
  <c r="N6" i="11"/>
  <c r="AK8" i="11"/>
  <c r="AI8" i="11"/>
  <c r="AK31" i="11"/>
  <c r="C32" i="11"/>
  <c r="S32" i="11" s="1"/>
  <c r="V10" i="11"/>
  <c r="AC31" i="11"/>
  <c r="W8" i="11"/>
  <c r="S45" i="11"/>
  <c r="AD71" i="11"/>
  <c r="AD19" i="11"/>
  <c r="Q6" i="11"/>
  <c r="AG6" i="11" s="1"/>
  <c r="V71" i="11"/>
  <c r="S71" i="11"/>
  <c r="S58" i="11"/>
  <c r="AI31" i="11"/>
  <c r="H6" i="11"/>
  <c r="D6" i="11"/>
  <c r="S31" i="11"/>
  <c r="Y19" i="11"/>
  <c r="S19" i="11"/>
  <c r="T19" i="11"/>
  <c r="W71" i="11"/>
  <c r="U19" i="11"/>
  <c r="AA58" i="11"/>
  <c r="AD58" i="11"/>
  <c r="AD45" i="11"/>
  <c r="AB58" i="11"/>
  <c r="Z19" i="11"/>
  <c r="L32" i="11"/>
  <c r="AA31" i="11"/>
  <c r="AB71" i="11"/>
  <c r="T71" i="11"/>
  <c r="K32" i="11"/>
  <c r="Z31" i="11"/>
  <c r="O6" i="11"/>
  <c r="AD5" i="11"/>
  <c r="AG71" i="11"/>
  <c r="AI71" i="11"/>
  <c r="AJ71" i="11"/>
  <c r="AK71" i="11"/>
  <c r="T58" i="11"/>
  <c r="AB45" i="11"/>
  <c r="W58" i="11"/>
  <c r="K6" i="11"/>
  <c r="Z5" i="11"/>
  <c r="U58" i="11"/>
  <c r="AC71" i="11"/>
  <c r="X71" i="11"/>
  <c r="Z71" i="11"/>
  <c r="AG45" i="11"/>
  <c r="AI45" i="11"/>
  <c r="AJ45" i="11"/>
  <c r="AK45" i="11"/>
  <c r="X19" i="11"/>
  <c r="AE19" i="11"/>
  <c r="V31" i="11"/>
  <c r="G32" i="11"/>
  <c r="AI32" i="11" s="1"/>
  <c r="AA45" i="11"/>
  <c r="W31" i="11"/>
  <c r="H32" i="11"/>
  <c r="T45" i="11"/>
  <c r="AA71" i="11"/>
  <c r="X58" i="11"/>
  <c r="Z58" i="11"/>
  <c r="AB19" i="11"/>
  <c r="Y71" i="11"/>
  <c r="T31" i="11"/>
  <c r="E32" i="11"/>
  <c r="AG58" i="11"/>
  <c r="AI58" i="11"/>
  <c r="AJ58" i="11"/>
  <c r="AK58" i="11"/>
  <c r="AC45" i="11"/>
  <c r="AF71" i="11"/>
  <c r="AE45" i="11"/>
  <c r="AF45" i="11"/>
  <c r="AF19" i="11"/>
  <c r="U45" i="11"/>
  <c r="X45" i="11"/>
  <c r="X31" i="11"/>
  <c r="I32" i="11"/>
  <c r="Y32" i="11" s="1"/>
  <c r="AF32" i="11"/>
  <c r="AG32" i="11"/>
  <c r="E41" i="10" l="1"/>
  <c r="F41" i="10" s="1"/>
  <c r="G41" i="10" s="1"/>
  <c r="F42" i="10"/>
  <c r="G42" i="10" s="1"/>
  <c r="I33" i="10"/>
  <c r="J34" i="10"/>
  <c r="K34" i="10" s="1"/>
  <c r="R38" i="10"/>
  <c r="S38" i="10" s="1"/>
  <c r="Q37" i="10"/>
  <c r="R37" i="10" s="1"/>
  <c r="S37" i="10" s="1"/>
  <c r="U37" i="10"/>
  <c r="V37" i="10" s="1"/>
  <c r="W37" i="10" s="1"/>
  <c r="V38" i="10"/>
  <c r="W38" i="10" s="1"/>
  <c r="N38" i="10"/>
  <c r="O38" i="10" s="1"/>
  <c r="M37" i="10"/>
  <c r="N37" i="10" s="1"/>
  <c r="O37" i="10" s="1"/>
  <c r="R42" i="10"/>
  <c r="S42" i="10" s="1"/>
  <c r="Q41" i="10"/>
  <c r="R41" i="10" s="1"/>
  <c r="S41" i="10" s="1"/>
  <c r="E37" i="10"/>
  <c r="F37" i="10" s="1"/>
  <c r="G37" i="10" s="1"/>
  <c r="F38" i="10"/>
  <c r="G38" i="10" s="1"/>
  <c r="F34" i="10"/>
  <c r="G34" i="10" s="1"/>
  <c r="E33" i="10"/>
  <c r="E29" i="10"/>
  <c r="F29" i="10" s="1"/>
  <c r="G29" i="10" s="1"/>
  <c r="V42" i="10"/>
  <c r="W42" i="10" s="1"/>
  <c r="U41" i="10"/>
  <c r="V41" i="10" s="1"/>
  <c r="W41" i="10" s="1"/>
  <c r="N42" i="10"/>
  <c r="O42" i="10" s="1"/>
  <c r="M41" i="10"/>
  <c r="N41" i="10" s="1"/>
  <c r="O41" i="10" s="1"/>
  <c r="V34" i="10"/>
  <c r="W34" i="10" s="1"/>
  <c r="U33" i="10"/>
  <c r="U29" i="10"/>
  <c r="V29" i="10" s="1"/>
  <c r="W29" i="10" s="1"/>
  <c r="Q33" i="10"/>
  <c r="R34" i="10"/>
  <c r="S34" i="10" s="1"/>
  <c r="Q29" i="10"/>
  <c r="R29" i="10" s="1"/>
  <c r="S29" i="10" s="1"/>
  <c r="M33" i="10"/>
  <c r="N34" i="10"/>
  <c r="O34" i="10" s="1"/>
  <c r="M29" i="10"/>
  <c r="N29" i="10" s="1"/>
  <c r="O29" i="10" s="1"/>
  <c r="J42" i="10"/>
  <c r="K42" i="10" s="1"/>
  <c r="J41" i="10"/>
  <c r="K41" i="10" s="1"/>
  <c r="J38" i="10"/>
  <c r="K38" i="10" s="1"/>
  <c r="J37" i="10"/>
  <c r="K37" i="10" s="1"/>
  <c r="I29" i="10"/>
  <c r="J29" i="10" s="1"/>
  <c r="K29" i="10" s="1"/>
  <c r="J36" i="10"/>
  <c r="K36" i="10" s="1"/>
  <c r="I31" i="10"/>
  <c r="J31" i="10" s="1"/>
  <c r="K31" i="10" s="1"/>
  <c r="P6" i="11"/>
  <c r="AE6" i="11" s="1"/>
  <c r="AF5" i="11"/>
  <c r="AA5" i="11"/>
  <c r="T6" i="11"/>
  <c r="X5" i="11"/>
  <c r="M6" i="11"/>
  <c r="AC6" i="11" s="1"/>
  <c r="AJ32" i="11"/>
  <c r="AK32" i="11"/>
  <c r="T5" i="11"/>
  <c r="Y5" i="11"/>
  <c r="AE32" i="11"/>
  <c r="AB5" i="11"/>
  <c r="C6" i="11"/>
  <c r="AB32" i="11"/>
  <c r="F6" i="11"/>
  <c r="U5" i="11"/>
  <c r="W5" i="11"/>
  <c r="AK5" i="11"/>
  <c r="G6" i="11"/>
  <c r="W6" i="11" s="1"/>
  <c r="AI5" i="11"/>
  <c r="V5" i="11"/>
  <c r="AJ5" i="11"/>
  <c r="AD6" i="11"/>
  <c r="T32" i="11"/>
  <c r="W32" i="11"/>
  <c r="X6" i="11"/>
  <c r="AA32" i="11"/>
  <c r="U32" i="11"/>
  <c r="X32" i="11"/>
  <c r="AA6" i="11"/>
  <c r="Z6" i="11"/>
  <c r="Z32" i="11"/>
  <c r="V32" i="11"/>
  <c r="F33" i="10" l="1"/>
  <c r="G33" i="10" s="1"/>
  <c r="E28" i="10"/>
  <c r="R33" i="10"/>
  <c r="S33" i="10" s="1"/>
  <c r="Q28" i="10"/>
  <c r="V33" i="10"/>
  <c r="W33" i="10" s="1"/>
  <c r="U28" i="10"/>
  <c r="N33" i="10"/>
  <c r="O33" i="10" s="1"/>
  <c r="M28" i="10"/>
  <c r="J33" i="10"/>
  <c r="K33" i="10" s="1"/>
  <c r="I28" i="10"/>
  <c r="AF6" i="11"/>
  <c r="AB6" i="11"/>
  <c r="S6" i="11"/>
  <c r="U6" i="11"/>
  <c r="AI6" i="11"/>
  <c r="V6" i="11"/>
  <c r="AK6" i="11"/>
  <c r="AJ6" i="11"/>
  <c r="N28" i="10" l="1"/>
  <c r="O28" i="10" s="1"/>
  <c r="M26" i="10"/>
  <c r="N26" i="10" s="1"/>
  <c r="O26" i="10" s="1"/>
  <c r="E26" i="10"/>
  <c r="F26" i="10" s="1"/>
  <c r="G26" i="10" s="1"/>
  <c r="F28" i="10"/>
  <c r="G28" i="10" s="1"/>
  <c r="R28" i="10"/>
  <c r="S28" i="10" s="1"/>
  <c r="Q26" i="10"/>
  <c r="R26" i="10" s="1"/>
  <c r="S26" i="10" s="1"/>
  <c r="V28" i="10"/>
  <c r="W28" i="10" s="1"/>
  <c r="U26" i="10"/>
  <c r="V26" i="10" s="1"/>
  <c r="W26" i="10" s="1"/>
  <c r="J28" i="10"/>
  <c r="K28" i="10" s="1"/>
  <c r="I26" i="10"/>
  <c r="J26" i="10" s="1"/>
  <c r="K26" i="10" s="1"/>
  <c r="AU27" i="9"/>
  <c r="AF27" i="9"/>
  <c r="AE27" i="9"/>
  <c r="AF26" i="9"/>
  <c r="AE26" i="9"/>
  <c r="AF25" i="9"/>
  <c r="AE25" i="9"/>
  <c r="AF24" i="9"/>
  <c r="AE24" i="9"/>
  <c r="AU23" i="9"/>
  <c r="AF23" i="9"/>
  <c r="AE23" i="9"/>
  <c r="AU22" i="9"/>
  <c r="AF22" i="9"/>
  <c r="AE22" i="9"/>
  <c r="AU21" i="9"/>
  <c r="AF21" i="9"/>
  <c r="AE21" i="9"/>
  <c r="AU20" i="9"/>
  <c r="AF20" i="9"/>
  <c r="AE20" i="9"/>
  <c r="AU19" i="9"/>
  <c r="AF19" i="9"/>
  <c r="AE19" i="9"/>
  <c r="AU18" i="9"/>
  <c r="AF18" i="9"/>
  <c r="AE18" i="9"/>
  <c r="AU17" i="9"/>
  <c r="AF17" i="9"/>
  <c r="AE17" i="9"/>
  <c r="EU16" i="9"/>
  <c r="ET16" i="9"/>
  <c r="ES16" i="9"/>
  <c r="ER16" i="9"/>
  <c r="EQ16" i="9"/>
  <c r="EP16" i="9"/>
  <c r="EO16" i="9"/>
  <c r="EN16" i="9"/>
  <c r="EM16" i="9"/>
  <c r="EL16" i="9"/>
  <c r="EK16" i="9"/>
  <c r="EJ16" i="9"/>
  <c r="EI16" i="9"/>
  <c r="EH16" i="9"/>
  <c r="EG16" i="9"/>
  <c r="EF16" i="9"/>
  <c r="EE16" i="9"/>
  <c r="ED16" i="9"/>
  <c r="EC16" i="9"/>
  <c r="EB16" i="9"/>
  <c r="EA16" i="9"/>
  <c r="DZ16" i="9"/>
  <c r="DY16" i="9"/>
  <c r="DX16" i="9"/>
  <c r="DW16" i="9"/>
  <c r="DV16" i="9"/>
  <c r="DU16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AF16" i="9"/>
  <c r="AE16" i="9"/>
  <c r="EU15" i="9"/>
  <c r="ET15" i="9"/>
  <c r="ES15" i="9"/>
  <c r="ER15" i="9"/>
  <c r="EQ15" i="9"/>
  <c r="EP15" i="9"/>
  <c r="EO15" i="9"/>
  <c r="EN15" i="9"/>
  <c r="EM15" i="9"/>
  <c r="EL15" i="9"/>
  <c r="EK15" i="9"/>
  <c r="EJ15" i="9"/>
  <c r="EI15" i="9"/>
  <c r="EH15" i="9"/>
  <c r="EG15" i="9"/>
  <c r="EF15" i="9"/>
  <c r="EE15" i="9"/>
  <c r="ED15" i="9"/>
  <c r="EC15" i="9"/>
  <c r="EB15" i="9"/>
  <c r="EA15" i="9"/>
  <c r="DZ15" i="9"/>
  <c r="DY15" i="9"/>
  <c r="DX15" i="9"/>
  <c r="DW15" i="9"/>
  <c r="DV15" i="9"/>
  <c r="DU15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AF15" i="9"/>
  <c r="AE15" i="9"/>
  <c r="EU14" i="9"/>
  <c r="ET14" i="9"/>
  <c r="ES14" i="9"/>
  <c r="ER14" i="9"/>
  <c r="EQ14" i="9"/>
  <c r="EP14" i="9"/>
  <c r="EO14" i="9"/>
  <c r="EN14" i="9"/>
  <c r="EM14" i="9"/>
  <c r="EL14" i="9"/>
  <c r="EK14" i="9"/>
  <c r="EJ14" i="9"/>
  <c r="EI14" i="9"/>
  <c r="EH14" i="9"/>
  <c r="EG14" i="9"/>
  <c r="EF14" i="9"/>
  <c r="EE14" i="9"/>
  <c r="ED14" i="9"/>
  <c r="EC14" i="9"/>
  <c r="EB14" i="9"/>
  <c r="EA14" i="9"/>
  <c r="DZ14" i="9"/>
  <c r="DY14" i="9"/>
  <c r="DX14" i="9"/>
  <c r="DW14" i="9"/>
  <c r="DV14" i="9"/>
  <c r="DU14" i="9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AF14" i="9"/>
  <c r="AE14" i="9"/>
  <c r="AU13" i="9"/>
  <c r="AF13" i="9"/>
  <c r="AE13" i="9"/>
  <c r="AF12" i="9"/>
  <c r="AE12" i="9"/>
  <c r="AF11" i="9"/>
  <c r="AE11" i="9"/>
  <c r="AF10" i="9"/>
  <c r="AE10" i="9"/>
  <c r="EU9" i="9"/>
  <c r="ET9" i="9"/>
  <c r="ES9" i="9"/>
  <c r="ER9" i="9"/>
  <c r="EQ9" i="9"/>
  <c r="EP9" i="9"/>
  <c r="EO9" i="9"/>
  <c r="EN9" i="9"/>
  <c r="EM9" i="9"/>
  <c r="EL9" i="9"/>
  <c r="EK9" i="9"/>
  <c r="EJ9" i="9"/>
  <c r="EI9" i="9"/>
  <c r="EH9" i="9"/>
  <c r="EG9" i="9"/>
  <c r="EF9" i="9"/>
  <c r="EE9" i="9"/>
  <c r="ED9" i="9"/>
  <c r="EC9" i="9"/>
  <c r="EB9" i="9"/>
  <c r="EA9" i="9"/>
  <c r="DZ9" i="9"/>
  <c r="DY9" i="9"/>
  <c r="DX9" i="9"/>
  <c r="DW9" i="9"/>
  <c r="DV9" i="9"/>
  <c r="DU9" i="9"/>
  <c r="DT9" i="9"/>
  <c r="DS9" i="9"/>
  <c r="DR9" i="9"/>
  <c r="DQ9" i="9"/>
  <c r="DP9" i="9"/>
  <c r="DO9" i="9"/>
  <c r="DN9" i="9"/>
  <c r="DM9" i="9"/>
  <c r="DL9" i="9"/>
  <c r="DK9" i="9"/>
  <c r="DJ9" i="9"/>
  <c r="DI9" i="9"/>
  <c r="DH9" i="9"/>
  <c r="DG9" i="9"/>
  <c r="DF9" i="9"/>
  <c r="DE9" i="9"/>
  <c r="DD9" i="9"/>
  <c r="DC9" i="9"/>
  <c r="DB9" i="9"/>
  <c r="DA9" i="9"/>
  <c r="CZ9" i="9"/>
  <c r="CY9" i="9"/>
  <c r="CX9" i="9"/>
  <c r="AF9" i="9"/>
  <c r="AE9" i="9"/>
  <c r="EU8" i="9"/>
  <c r="ET8" i="9"/>
  <c r="ES8" i="9"/>
  <c r="ER8" i="9"/>
  <c r="EQ8" i="9"/>
  <c r="EP8" i="9"/>
  <c r="EO8" i="9"/>
  <c r="EN8" i="9"/>
  <c r="EM8" i="9"/>
  <c r="EL8" i="9"/>
  <c r="EK8" i="9"/>
  <c r="EJ8" i="9"/>
  <c r="EI8" i="9"/>
  <c r="EH8" i="9"/>
  <c r="EG8" i="9"/>
  <c r="EF8" i="9"/>
  <c r="EE8" i="9"/>
  <c r="ED8" i="9"/>
  <c r="EC8" i="9"/>
  <c r="EB8" i="9"/>
  <c r="EA8" i="9"/>
  <c r="DZ8" i="9"/>
  <c r="DY8" i="9"/>
  <c r="DX8" i="9"/>
  <c r="DW8" i="9"/>
  <c r="DV8" i="9"/>
  <c r="DU8" i="9"/>
  <c r="DT8" i="9"/>
  <c r="DS8" i="9"/>
  <c r="DR8" i="9"/>
  <c r="DQ8" i="9"/>
  <c r="DP8" i="9"/>
  <c r="DO8" i="9"/>
  <c r="DN8" i="9"/>
  <c r="DM8" i="9"/>
  <c r="DL8" i="9"/>
  <c r="DK8" i="9"/>
  <c r="DJ8" i="9"/>
  <c r="DI8" i="9"/>
  <c r="DH8" i="9"/>
  <c r="DG8" i="9"/>
  <c r="DF8" i="9"/>
  <c r="DE8" i="9"/>
  <c r="DD8" i="9"/>
  <c r="DC8" i="9"/>
  <c r="DB8" i="9"/>
  <c r="DA8" i="9"/>
  <c r="CZ8" i="9"/>
  <c r="CY8" i="9"/>
  <c r="CX8" i="9"/>
  <c r="AF8" i="9"/>
  <c r="AE8" i="9"/>
  <c r="EU7" i="9"/>
  <c r="ET7" i="9"/>
  <c r="ES7" i="9"/>
  <c r="ER7" i="9"/>
  <c r="EQ7" i="9"/>
  <c r="EP7" i="9"/>
  <c r="EO7" i="9"/>
  <c r="EN7" i="9"/>
  <c r="EM7" i="9"/>
  <c r="EL7" i="9"/>
  <c r="EK7" i="9"/>
  <c r="EJ7" i="9"/>
  <c r="EI7" i="9"/>
  <c r="EH7" i="9"/>
  <c r="EG7" i="9"/>
  <c r="EF7" i="9"/>
  <c r="EE7" i="9"/>
  <c r="ED7" i="9"/>
  <c r="EC7" i="9"/>
  <c r="EB7" i="9"/>
  <c r="EA7" i="9"/>
  <c r="DZ7" i="9"/>
  <c r="DY7" i="9"/>
  <c r="DX7" i="9"/>
  <c r="DW7" i="9"/>
  <c r="DV7" i="9"/>
  <c r="DU7" i="9"/>
  <c r="DT7" i="9"/>
  <c r="DS7" i="9"/>
  <c r="DR7" i="9"/>
  <c r="DQ7" i="9"/>
  <c r="DP7" i="9"/>
  <c r="DO7" i="9"/>
  <c r="DN7" i="9"/>
  <c r="DM7" i="9"/>
  <c r="DL7" i="9"/>
  <c r="DK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AF7" i="9"/>
  <c r="AE7" i="9"/>
  <c r="EU6" i="9"/>
  <c r="ET6" i="9"/>
  <c r="ES6" i="9"/>
  <c r="ER6" i="9"/>
  <c r="EQ6" i="9"/>
  <c r="EP6" i="9"/>
  <c r="EO6" i="9"/>
  <c r="EN6" i="9"/>
  <c r="EM6" i="9"/>
  <c r="EL6" i="9"/>
  <c r="EK6" i="9"/>
  <c r="EJ6" i="9"/>
  <c r="EI6" i="9"/>
  <c r="EH6" i="9"/>
  <c r="EG6" i="9"/>
  <c r="EF6" i="9"/>
  <c r="EE6" i="9"/>
  <c r="ED6" i="9"/>
  <c r="EC6" i="9"/>
  <c r="EB6" i="9"/>
  <c r="EA6" i="9"/>
  <c r="DZ6" i="9"/>
  <c r="DY6" i="9"/>
  <c r="DX6" i="9"/>
  <c r="DW6" i="9"/>
  <c r="DV6" i="9"/>
  <c r="DU6" i="9"/>
  <c r="DT6" i="9"/>
  <c r="DS6" i="9"/>
  <c r="DR6" i="9"/>
  <c r="DQ6" i="9"/>
  <c r="DP6" i="9"/>
  <c r="DO6" i="9"/>
  <c r="DN6" i="9"/>
  <c r="DM6" i="9"/>
  <c r="DL6" i="9"/>
  <c r="DK6" i="9"/>
  <c r="DJ6" i="9"/>
  <c r="DI6" i="9"/>
  <c r="DH6" i="9"/>
  <c r="DG6" i="9"/>
  <c r="DF6" i="9"/>
  <c r="DE6" i="9"/>
  <c r="DD6" i="9"/>
  <c r="DC6" i="9"/>
  <c r="DB6" i="9"/>
  <c r="DA6" i="9"/>
  <c r="CZ6" i="9"/>
  <c r="CY6" i="9"/>
  <c r="CX6" i="9"/>
  <c r="AF6" i="9"/>
  <c r="AE6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AF5" i="9"/>
  <c r="AE5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X4" i="9"/>
  <c r="AF4" i="9"/>
  <c r="AE4" i="9"/>
  <c r="AF27" i="1"/>
  <c r="AF26" i="1"/>
  <c r="AF25" i="1"/>
  <c r="AF24" i="1"/>
  <c r="AF23" i="1"/>
  <c r="AF22" i="1"/>
  <c r="AF20" i="1"/>
  <c r="AF19" i="1"/>
  <c r="AF17" i="1"/>
  <c r="AF12" i="1"/>
  <c r="AF11" i="1"/>
  <c r="AF10" i="1"/>
  <c r="AF9" i="1"/>
  <c r="AF8" i="1"/>
  <c r="AF7" i="1"/>
  <c r="AF5" i="1"/>
  <c r="AF21" i="1"/>
  <c r="AF18" i="1"/>
  <c r="AF16" i="1"/>
  <c r="AF15" i="1"/>
  <c r="AF14" i="1"/>
  <c r="AF13" i="1"/>
  <c r="AF6" i="1"/>
  <c r="AF4" i="1"/>
  <c r="AJ8" i="1"/>
  <c r="AJ6" i="1"/>
  <c r="AJ7" i="1"/>
  <c r="AJ4" i="1"/>
  <c r="AJ23" i="1"/>
  <c r="AJ20" i="1"/>
  <c r="AJ19" i="1"/>
  <c r="AJ17" i="1"/>
  <c r="AJ16" i="1"/>
  <c r="AJ14" i="1"/>
  <c r="AJ13" i="1"/>
  <c r="AJ11" i="1"/>
  <c r="AJ10" i="1"/>
  <c r="AJ9" i="1"/>
  <c r="AJ5" i="1"/>
  <c r="AJ27" i="1"/>
  <c r="AJ26" i="1"/>
  <c r="AJ25" i="1"/>
  <c r="AJ24" i="1"/>
  <c r="AJ22" i="1"/>
  <c r="AJ21" i="1"/>
  <c r="AJ15" i="1"/>
  <c r="AJ12" i="1"/>
  <c r="AJ18" i="1"/>
  <c r="B2" i="5"/>
  <c r="C1" i="6" s="1"/>
  <c r="D21" i="6" s="1"/>
  <c r="AG5" i="9" l="1"/>
  <c r="AN5" i="9" s="1"/>
  <c r="AG8" i="9"/>
  <c r="AY8" i="9" s="1"/>
  <c r="AK15" i="1"/>
  <c r="AK20" i="1"/>
  <c r="AY20" i="9"/>
  <c r="AY5" i="9"/>
  <c r="AY7" i="9"/>
  <c r="AK10" i="1"/>
  <c r="AK24" i="1"/>
  <c r="AK7" i="1"/>
  <c r="AK13" i="1"/>
  <c r="AK11" i="1"/>
  <c r="AK12" i="1"/>
  <c r="AK19" i="1"/>
  <c r="AK27" i="1"/>
  <c r="AK26" i="1"/>
  <c r="AK8" i="1"/>
  <c r="AK25" i="1"/>
  <c r="AK6" i="1"/>
  <c r="AK22" i="1"/>
  <c r="AK4" i="1"/>
  <c r="AK21" i="1"/>
  <c r="AK23" i="1"/>
  <c r="AK18" i="1"/>
  <c r="AK17" i="1"/>
  <c r="AG22" i="9"/>
  <c r="AN22" i="9" s="1"/>
  <c r="AK16" i="1"/>
  <c r="AK14" i="1"/>
  <c r="AG25" i="9"/>
  <c r="AN25" i="9" s="1"/>
  <c r="AG18" i="9"/>
  <c r="AL18" i="9" s="1"/>
  <c r="AK9" i="1"/>
  <c r="AG15" i="9"/>
  <c r="AL15" i="9" s="1"/>
  <c r="AK5" i="1"/>
  <c r="AG11" i="9"/>
  <c r="AL11" i="9" s="1"/>
  <c r="AN7" i="9"/>
  <c r="AL20" i="9"/>
  <c r="AL5" i="9"/>
  <c r="AL7" i="9"/>
  <c r="AN20" i="9"/>
  <c r="D12" i="6"/>
  <c r="AJ15" i="9" s="1"/>
  <c r="D13" i="6"/>
  <c r="AJ16" i="9" s="1"/>
  <c r="D5" i="6"/>
  <c r="D6" i="6"/>
  <c r="D7" i="6"/>
  <c r="D11" i="6"/>
  <c r="AJ14" i="9" s="1"/>
  <c r="AX14" i="9" s="1"/>
  <c r="D16" i="6"/>
  <c r="AJ17" i="9" s="1"/>
  <c r="D17" i="6"/>
  <c r="D20" i="6"/>
  <c r="D22" i="6"/>
  <c r="AN8" i="9" l="1"/>
  <c r="AL8" i="9"/>
  <c r="AX17" i="9"/>
  <c r="AY11" i="9"/>
  <c r="AQ16" i="9"/>
  <c r="AQ14" i="9"/>
  <c r="AY25" i="9"/>
  <c r="AX16" i="9"/>
  <c r="AY18" i="9"/>
  <c r="AK15" i="9"/>
  <c r="AV15" i="9"/>
  <c r="AQ17" i="9"/>
  <c r="AY22" i="9"/>
  <c r="AY15" i="9"/>
  <c r="AX15" i="9"/>
  <c r="AW15" i="9"/>
  <c r="AP15" i="9"/>
  <c r="AN11" i="9"/>
  <c r="AG12" i="9"/>
  <c r="AG19" i="9"/>
  <c r="AG16" i="9"/>
  <c r="AV16" i="9" s="1"/>
  <c r="AG9" i="9"/>
  <c r="AG6" i="9"/>
  <c r="AG26" i="9"/>
  <c r="AG23" i="9"/>
  <c r="AQ15" i="9"/>
  <c r="AG24" i="9"/>
  <c r="AG21" i="9"/>
  <c r="AG13" i="9"/>
  <c r="AG4" i="9"/>
  <c r="AG27" i="9"/>
  <c r="AG14" i="9"/>
  <c r="AV14" i="9" s="1"/>
  <c r="AG17" i="9"/>
  <c r="AV17" i="9" s="1"/>
  <c r="AG10" i="9"/>
  <c r="EW15" i="9"/>
  <c r="EX15" i="9" s="1"/>
  <c r="EY15" i="9" s="1"/>
  <c r="EZ15" i="9" s="1"/>
  <c r="FA15" i="9" s="1"/>
  <c r="FB15" i="9" s="1"/>
  <c r="FC15" i="9" s="1"/>
  <c r="FD15" i="9" s="1"/>
  <c r="FE15" i="9" s="1"/>
  <c r="FF15" i="9" s="1"/>
  <c r="AK16" i="9"/>
  <c r="AL25" i="9"/>
  <c r="AL22" i="9"/>
  <c r="AR22" i="9" s="1"/>
  <c r="AN18" i="9"/>
  <c r="AN15" i="9"/>
  <c r="AO15" i="9" s="1"/>
  <c r="AJ11" i="9"/>
  <c r="AJ5" i="9"/>
  <c r="AJ18" i="9"/>
  <c r="AJ8" i="9"/>
  <c r="AJ25" i="9"/>
  <c r="AJ22" i="9"/>
  <c r="AJ12" i="9"/>
  <c r="AJ9" i="9"/>
  <c r="AJ19" i="9"/>
  <c r="AJ6" i="9"/>
  <c r="AJ26" i="9"/>
  <c r="AJ23" i="9"/>
  <c r="AK17" i="9"/>
  <c r="AK14" i="9"/>
  <c r="AJ4" i="9"/>
  <c r="AV4" i="9" s="1"/>
  <c r="AJ24" i="9"/>
  <c r="AJ21" i="9"/>
  <c r="AJ13" i="9"/>
  <c r="AJ7" i="9"/>
  <c r="AJ10" i="9"/>
  <c r="AJ27" i="9"/>
  <c r="AJ20" i="9"/>
  <c r="AR7" i="9"/>
  <c r="AR8" i="9"/>
  <c r="AR20" i="9"/>
  <c r="AM15" i="9"/>
  <c r="AR15" i="9"/>
  <c r="AR5" i="9"/>
  <c r="AR11" i="9"/>
  <c r="AR18" i="9"/>
  <c r="CV12" i="9" l="1"/>
  <c r="CU12" i="9"/>
  <c r="CT12" i="9"/>
  <c r="CN12" i="9"/>
  <c r="CQ22" i="9"/>
  <c r="CT22" i="9"/>
  <c r="CS22" i="9"/>
  <c r="CR22" i="9"/>
  <c r="CO22" i="9"/>
  <c r="CQ27" i="9"/>
  <c r="CV27" i="9"/>
  <c r="CR25" i="9"/>
  <c r="CQ25" i="9"/>
  <c r="CP25" i="9"/>
  <c r="CV10" i="9"/>
  <c r="CU10" i="9"/>
  <c r="CT10" i="9"/>
  <c r="CS10" i="9"/>
  <c r="CR10" i="9"/>
  <c r="CN10" i="9"/>
  <c r="CV23" i="9"/>
  <c r="CO23" i="9"/>
  <c r="CU23" i="9"/>
  <c r="CT23" i="9"/>
  <c r="CP23" i="9"/>
  <c r="CM10" i="9"/>
  <c r="CP17" i="9"/>
  <c r="CP13" i="9"/>
  <c r="CU13" i="9"/>
  <c r="CT13" i="9"/>
  <c r="CS13" i="9"/>
  <c r="CR13" i="9"/>
  <c r="CQ13" i="9"/>
  <c r="CV24" i="9"/>
  <c r="CU24" i="9"/>
  <c r="CT24" i="9"/>
  <c r="CS24" i="9"/>
  <c r="CR24" i="9"/>
  <c r="CN24" i="9"/>
  <c r="CU26" i="9"/>
  <c r="CT26" i="9"/>
  <c r="CS26" i="9"/>
  <c r="CU21" i="9"/>
  <c r="CP21" i="9"/>
  <c r="CS19" i="9"/>
  <c r="CR11" i="9"/>
  <c r="CQ11" i="9"/>
  <c r="CP11" i="9"/>
  <c r="CS17" i="9"/>
  <c r="CL11" i="9"/>
  <c r="CL27" i="9"/>
  <c r="CL10" i="9"/>
  <c r="CL22" i="9"/>
  <c r="CL19" i="9"/>
  <c r="CL17" i="9"/>
  <c r="AW25" i="9"/>
  <c r="AV5" i="9"/>
  <c r="AW5" i="9"/>
  <c r="AX5" i="9"/>
  <c r="AV10" i="9"/>
  <c r="AX10" i="9"/>
  <c r="AV25" i="9"/>
  <c r="AX25" i="9"/>
  <c r="AV22" i="9"/>
  <c r="AX22" i="9"/>
  <c r="AV12" i="9"/>
  <c r="AX12" i="9"/>
  <c r="AW27" i="9"/>
  <c r="AY27" i="9"/>
  <c r="AW26" i="9"/>
  <c r="AY26" i="9"/>
  <c r="AP18" i="9"/>
  <c r="AV18" i="9"/>
  <c r="AX18" i="9"/>
  <c r="AY24" i="9"/>
  <c r="AW24" i="9"/>
  <c r="AV27" i="9"/>
  <c r="AX27" i="9"/>
  <c r="AM20" i="9"/>
  <c r="AV20" i="9"/>
  <c r="AW20" i="9"/>
  <c r="AX20" i="9"/>
  <c r="AY4" i="9"/>
  <c r="AW4" i="9"/>
  <c r="AV9" i="9"/>
  <c r="AX9" i="9"/>
  <c r="EW14" i="9"/>
  <c r="EX14" i="9" s="1"/>
  <c r="EY14" i="9" s="1"/>
  <c r="EZ14" i="9" s="1"/>
  <c r="FA14" i="9" s="1"/>
  <c r="FB14" i="9" s="1"/>
  <c r="FC14" i="9" s="1"/>
  <c r="FD14" i="9" s="1"/>
  <c r="FE14" i="9" s="1"/>
  <c r="FF14" i="9" s="1"/>
  <c r="FG14" i="9" s="1"/>
  <c r="FH14" i="9" s="1"/>
  <c r="FI14" i="9" s="1"/>
  <c r="FJ14" i="9" s="1"/>
  <c r="FK14" i="9" s="1"/>
  <c r="FL14" i="9" s="1"/>
  <c r="FM14" i="9" s="1"/>
  <c r="FN14" i="9" s="1"/>
  <c r="FO14" i="9" s="1"/>
  <c r="FP14" i="9" s="1"/>
  <c r="FQ14" i="9" s="1"/>
  <c r="FR14" i="9" s="1"/>
  <c r="FS14" i="9" s="1"/>
  <c r="FT14" i="9" s="1"/>
  <c r="FU14" i="9" s="1"/>
  <c r="FV14" i="9" s="1"/>
  <c r="FW14" i="9" s="1"/>
  <c r="FX14" i="9" s="1"/>
  <c r="FY14" i="9" s="1"/>
  <c r="FZ14" i="9" s="1"/>
  <c r="GA14" i="9" s="1"/>
  <c r="GB14" i="9" s="1"/>
  <c r="GC14" i="9" s="1"/>
  <c r="GD14" i="9" s="1"/>
  <c r="GE14" i="9" s="1"/>
  <c r="GF14" i="9" s="1"/>
  <c r="GG14" i="9" s="1"/>
  <c r="GH14" i="9" s="1"/>
  <c r="GI14" i="9" s="1"/>
  <c r="GJ14" i="9" s="1"/>
  <c r="GK14" i="9" s="1"/>
  <c r="GL14" i="9" s="1"/>
  <c r="GM14" i="9" s="1"/>
  <c r="GN14" i="9" s="1"/>
  <c r="GO14" i="9" s="1"/>
  <c r="GP14" i="9" s="1"/>
  <c r="GQ14" i="9" s="1"/>
  <c r="GR14" i="9" s="1"/>
  <c r="GS14" i="9" s="1"/>
  <c r="GT14" i="9" s="1"/>
  <c r="GU14" i="9" s="1"/>
  <c r="GV14" i="9" s="1"/>
  <c r="GW14" i="9" s="1"/>
  <c r="GX14" i="9" s="1"/>
  <c r="GY14" i="9" s="1"/>
  <c r="GZ14" i="9" s="1"/>
  <c r="HA14" i="9" s="1"/>
  <c r="HB14" i="9" s="1"/>
  <c r="HC14" i="9" s="1"/>
  <c r="HD14" i="9" s="1"/>
  <c r="HE14" i="9" s="1"/>
  <c r="HF14" i="9" s="1"/>
  <c r="HG14" i="9" s="1"/>
  <c r="HH14" i="9" s="1"/>
  <c r="HI14" i="9" s="1"/>
  <c r="HJ14" i="9" s="1"/>
  <c r="HK14" i="9" s="1"/>
  <c r="HL14" i="9" s="1"/>
  <c r="HM14" i="9" s="1"/>
  <c r="HN14" i="9" s="1"/>
  <c r="HO14" i="9" s="1"/>
  <c r="HP14" i="9" s="1"/>
  <c r="HQ14" i="9" s="1"/>
  <c r="HR14" i="9" s="1"/>
  <c r="HS14" i="9" s="1"/>
  <c r="HT14" i="9" s="1"/>
  <c r="HU14" i="9" s="1"/>
  <c r="HV14" i="9" s="1"/>
  <c r="HW14" i="9" s="1"/>
  <c r="HX14" i="9" s="1"/>
  <c r="HY14" i="9" s="1"/>
  <c r="HZ14" i="9" s="1"/>
  <c r="IA14" i="9" s="1"/>
  <c r="IB14" i="9" s="1"/>
  <c r="IC14" i="9" s="1"/>
  <c r="ID14" i="9" s="1"/>
  <c r="IE14" i="9" s="1"/>
  <c r="IF14" i="9" s="1"/>
  <c r="IG14" i="9" s="1"/>
  <c r="IH14" i="9" s="1"/>
  <c r="II14" i="9" s="1"/>
  <c r="IJ14" i="9" s="1"/>
  <c r="IK14" i="9" s="1"/>
  <c r="IL14" i="9" s="1"/>
  <c r="IM14" i="9" s="1"/>
  <c r="IN14" i="9" s="1"/>
  <c r="IO14" i="9" s="1"/>
  <c r="IP14" i="9" s="1"/>
  <c r="IQ14" i="9" s="1"/>
  <c r="IR14" i="9" s="1"/>
  <c r="AW14" i="9"/>
  <c r="AY14" i="9"/>
  <c r="AX4" i="9"/>
  <c r="AV23" i="9"/>
  <c r="AX23" i="9"/>
  <c r="AV19" i="9"/>
  <c r="AX19" i="9"/>
  <c r="AY17" i="9"/>
  <c r="AW17" i="9"/>
  <c r="AV6" i="9"/>
  <c r="AX6" i="9"/>
  <c r="AW10" i="9"/>
  <c r="AY10" i="9"/>
  <c r="AY12" i="9"/>
  <c r="AW12" i="9"/>
  <c r="AW19" i="9"/>
  <c r="AY19" i="9"/>
  <c r="EW16" i="9"/>
  <c r="EX16" i="9" s="1"/>
  <c r="EY16" i="9" s="1"/>
  <c r="EZ16" i="9" s="1"/>
  <c r="FA16" i="9" s="1"/>
  <c r="FB16" i="9" s="1"/>
  <c r="FC16" i="9" s="1"/>
  <c r="FD16" i="9" s="1"/>
  <c r="FE16" i="9" s="1"/>
  <c r="FF16" i="9" s="1"/>
  <c r="AW16" i="9"/>
  <c r="AY16" i="9"/>
  <c r="AW9" i="9"/>
  <c r="AY9" i="9"/>
  <c r="AW6" i="9"/>
  <c r="AY6" i="9"/>
  <c r="AW18" i="9"/>
  <c r="AV24" i="9"/>
  <c r="AX24" i="9"/>
  <c r="AV13" i="9"/>
  <c r="AX13" i="9"/>
  <c r="AW23" i="9"/>
  <c r="AY23" i="9"/>
  <c r="AV11" i="9"/>
  <c r="AX11" i="9"/>
  <c r="AW11" i="9"/>
  <c r="AV21" i="9"/>
  <c r="AX21" i="9"/>
  <c r="AV26" i="9"/>
  <c r="AX26" i="9"/>
  <c r="AP7" i="9"/>
  <c r="AV7" i="9"/>
  <c r="AW7" i="9"/>
  <c r="AX7" i="9"/>
  <c r="AO8" i="9"/>
  <c r="AV8" i="9"/>
  <c r="AW8" i="9"/>
  <c r="AX8" i="9"/>
  <c r="AW21" i="9"/>
  <c r="AY21" i="9"/>
  <c r="AY13" i="9"/>
  <c r="AW13" i="9"/>
  <c r="AW22" i="9"/>
  <c r="FG15" i="9"/>
  <c r="FH15" i="9" s="1"/>
  <c r="FI15" i="9" s="1"/>
  <c r="FJ15" i="9" s="1"/>
  <c r="FK15" i="9" s="1"/>
  <c r="FL15" i="9" s="1"/>
  <c r="FM15" i="9" s="1"/>
  <c r="FN15" i="9" s="1"/>
  <c r="FO15" i="9" s="1"/>
  <c r="FP15" i="9" s="1"/>
  <c r="FQ15" i="9" s="1"/>
  <c r="FR15" i="9" s="1"/>
  <c r="FS15" i="9" s="1"/>
  <c r="FT15" i="9" s="1"/>
  <c r="FU15" i="9" s="1"/>
  <c r="FV15" i="9" s="1"/>
  <c r="FW15" i="9" s="1"/>
  <c r="FX15" i="9" s="1"/>
  <c r="FY15" i="9" s="1"/>
  <c r="FZ15" i="9" s="1"/>
  <c r="GA15" i="9" s="1"/>
  <c r="GB15" i="9" s="1"/>
  <c r="GC15" i="9" s="1"/>
  <c r="GD15" i="9" s="1"/>
  <c r="GE15" i="9" s="1"/>
  <c r="GF15" i="9" s="1"/>
  <c r="GG15" i="9" s="1"/>
  <c r="GH15" i="9" s="1"/>
  <c r="GI15" i="9" s="1"/>
  <c r="GJ15" i="9" s="1"/>
  <c r="GK15" i="9" s="1"/>
  <c r="GL15" i="9" s="1"/>
  <c r="GM15" i="9" s="1"/>
  <c r="GN15" i="9" s="1"/>
  <c r="GO15" i="9" s="1"/>
  <c r="GP15" i="9" s="1"/>
  <c r="GQ15" i="9" s="1"/>
  <c r="GR15" i="9" s="1"/>
  <c r="GS15" i="9" s="1"/>
  <c r="GT15" i="9" s="1"/>
  <c r="GU15" i="9" s="1"/>
  <c r="GV15" i="9" s="1"/>
  <c r="GW15" i="9" s="1"/>
  <c r="GX15" i="9" s="1"/>
  <c r="GY15" i="9" s="1"/>
  <c r="GZ15" i="9" s="1"/>
  <c r="HA15" i="9" s="1"/>
  <c r="HB15" i="9" s="1"/>
  <c r="HC15" i="9" s="1"/>
  <c r="HD15" i="9" s="1"/>
  <c r="HE15" i="9" s="1"/>
  <c r="HF15" i="9" s="1"/>
  <c r="HG15" i="9" s="1"/>
  <c r="HH15" i="9" s="1"/>
  <c r="HI15" i="9" s="1"/>
  <c r="HJ15" i="9" s="1"/>
  <c r="HK15" i="9" s="1"/>
  <c r="HL15" i="9" s="1"/>
  <c r="HM15" i="9" s="1"/>
  <c r="HN15" i="9" s="1"/>
  <c r="HO15" i="9" s="1"/>
  <c r="HP15" i="9" s="1"/>
  <c r="HQ15" i="9" s="1"/>
  <c r="HR15" i="9" s="1"/>
  <c r="HS15" i="9" s="1"/>
  <c r="HT15" i="9" s="1"/>
  <c r="HU15" i="9" s="1"/>
  <c r="HV15" i="9" s="1"/>
  <c r="HW15" i="9" s="1"/>
  <c r="HX15" i="9" s="1"/>
  <c r="HY15" i="9" s="1"/>
  <c r="HZ15" i="9" s="1"/>
  <c r="IA15" i="9" s="1"/>
  <c r="IB15" i="9" s="1"/>
  <c r="IC15" i="9" s="1"/>
  <c r="ID15" i="9" s="1"/>
  <c r="IE15" i="9" s="1"/>
  <c r="IF15" i="9" s="1"/>
  <c r="IG15" i="9" s="1"/>
  <c r="IH15" i="9" s="1"/>
  <c r="II15" i="9" s="1"/>
  <c r="IJ15" i="9" s="1"/>
  <c r="IK15" i="9" s="1"/>
  <c r="IL15" i="9" s="1"/>
  <c r="IM15" i="9" s="1"/>
  <c r="IN15" i="9" s="1"/>
  <c r="IO15" i="9" s="1"/>
  <c r="IP15" i="9" s="1"/>
  <c r="IQ15" i="9" s="1"/>
  <c r="IR15" i="9" s="1"/>
  <c r="AM8" i="9"/>
  <c r="AQ5" i="9"/>
  <c r="EW5" i="9"/>
  <c r="EX5" i="9" s="1"/>
  <c r="EY5" i="9" s="1"/>
  <c r="EZ5" i="9" s="1"/>
  <c r="FA5" i="9" s="1"/>
  <c r="FB5" i="9" s="1"/>
  <c r="FC5" i="9" s="1"/>
  <c r="FD5" i="9" s="1"/>
  <c r="FE5" i="9" s="1"/>
  <c r="FF5" i="9" s="1"/>
  <c r="AK5" i="9"/>
  <c r="AL27" i="9"/>
  <c r="AR27" i="9" s="1"/>
  <c r="AN27" i="9"/>
  <c r="AO27" i="9" s="1"/>
  <c r="CW27" i="9" s="1"/>
  <c r="EW18" i="9"/>
  <c r="EX18" i="9" s="1"/>
  <c r="EY18" i="9" s="1"/>
  <c r="EZ18" i="9" s="1"/>
  <c r="FA18" i="9" s="1"/>
  <c r="FB18" i="9" s="1"/>
  <c r="FC18" i="9" s="1"/>
  <c r="FD18" i="9" s="1"/>
  <c r="FE18" i="9" s="1"/>
  <c r="FF18" i="9" s="1"/>
  <c r="AO18" i="9"/>
  <c r="DH18" i="9" s="1"/>
  <c r="AQ18" i="9"/>
  <c r="AK18" i="9"/>
  <c r="AN14" i="9"/>
  <c r="AO14" i="9" s="1"/>
  <c r="AL14" i="9"/>
  <c r="AM18" i="9"/>
  <c r="EW8" i="9"/>
  <c r="EX8" i="9" s="1"/>
  <c r="EY8" i="9" s="1"/>
  <c r="EZ8" i="9" s="1"/>
  <c r="FA8" i="9" s="1"/>
  <c r="FB8" i="9" s="1"/>
  <c r="FC8" i="9" s="1"/>
  <c r="FD8" i="9" s="1"/>
  <c r="FE8" i="9" s="1"/>
  <c r="FF8" i="9" s="1"/>
  <c r="AK8" i="9"/>
  <c r="AQ8" i="9"/>
  <c r="AN17" i="9"/>
  <c r="AO17" i="9" s="1"/>
  <c r="CV17" i="9" s="1"/>
  <c r="AL17" i="9"/>
  <c r="AP11" i="9"/>
  <c r="AQ25" i="9"/>
  <c r="AO25" i="9"/>
  <c r="AM25" i="9"/>
  <c r="AK25" i="9"/>
  <c r="EW25" i="9"/>
  <c r="EX25" i="9" s="1"/>
  <c r="EY25" i="9" s="1"/>
  <c r="EZ25" i="9" s="1"/>
  <c r="FA25" i="9" s="1"/>
  <c r="FB25" i="9" s="1"/>
  <c r="FC25" i="9" s="1"/>
  <c r="FD25" i="9" s="1"/>
  <c r="FE25" i="9" s="1"/>
  <c r="FF25" i="9" s="1"/>
  <c r="AN10" i="9"/>
  <c r="AO10" i="9" s="1"/>
  <c r="CW10" i="9" s="1"/>
  <c r="AL10" i="9"/>
  <c r="AP10" i="9" s="1"/>
  <c r="AM22" i="9"/>
  <c r="AO22" i="9"/>
  <c r="ER22" i="9" s="1"/>
  <c r="AN12" i="9"/>
  <c r="AO12" i="9" s="1"/>
  <c r="CQ12" i="9" s="1"/>
  <c r="AL12" i="9"/>
  <c r="AN19" i="9"/>
  <c r="AO19" i="9" s="1"/>
  <c r="DT19" i="9" s="1"/>
  <c r="AL19" i="9"/>
  <c r="EW12" i="9"/>
  <c r="EX12" i="9" s="1"/>
  <c r="EY12" i="9" s="1"/>
  <c r="EZ12" i="9" s="1"/>
  <c r="FA12" i="9" s="1"/>
  <c r="FB12" i="9" s="1"/>
  <c r="FC12" i="9" s="1"/>
  <c r="FD12" i="9" s="1"/>
  <c r="FE12" i="9" s="1"/>
  <c r="FF12" i="9" s="1"/>
  <c r="AQ12" i="9"/>
  <c r="AK12" i="9"/>
  <c r="AN16" i="9"/>
  <c r="AO16" i="9" s="1"/>
  <c r="AL16" i="9"/>
  <c r="AP25" i="9"/>
  <c r="AK9" i="9"/>
  <c r="EW9" i="9"/>
  <c r="EX9" i="9" s="1"/>
  <c r="EY9" i="9" s="1"/>
  <c r="EZ9" i="9" s="1"/>
  <c r="FA9" i="9" s="1"/>
  <c r="FB9" i="9" s="1"/>
  <c r="FC9" i="9" s="1"/>
  <c r="FD9" i="9" s="1"/>
  <c r="FE9" i="9" s="1"/>
  <c r="FF9" i="9" s="1"/>
  <c r="AQ9" i="9"/>
  <c r="AN9" i="9"/>
  <c r="AO9" i="9" s="1"/>
  <c r="AL9" i="9"/>
  <c r="AP22" i="9"/>
  <c r="AK19" i="9"/>
  <c r="AQ19" i="9"/>
  <c r="EW19" i="9"/>
  <c r="EX19" i="9" s="1"/>
  <c r="EY19" i="9" s="1"/>
  <c r="EZ19" i="9" s="1"/>
  <c r="FA19" i="9" s="1"/>
  <c r="FB19" i="9" s="1"/>
  <c r="FC19" i="9" s="1"/>
  <c r="FD19" i="9" s="1"/>
  <c r="FE19" i="9" s="1"/>
  <c r="FF19" i="9" s="1"/>
  <c r="AL6" i="9"/>
  <c r="AN6" i="9"/>
  <c r="AO6" i="9" s="1"/>
  <c r="AK6" i="9"/>
  <c r="AQ6" i="9"/>
  <c r="EW6" i="9"/>
  <c r="EX6" i="9" s="1"/>
  <c r="EY6" i="9" s="1"/>
  <c r="EZ6" i="9" s="1"/>
  <c r="FA6" i="9" s="1"/>
  <c r="FB6" i="9" s="1"/>
  <c r="FC6" i="9" s="1"/>
  <c r="FD6" i="9" s="1"/>
  <c r="FE6" i="9" s="1"/>
  <c r="FF6" i="9" s="1"/>
  <c r="AN26" i="9"/>
  <c r="AO26" i="9" s="1"/>
  <c r="DL26" i="9" s="1"/>
  <c r="AL26" i="9"/>
  <c r="EW17" i="9"/>
  <c r="EX17" i="9" s="1"/>
  <c r="EY17" i="9" s="1"/>
  <c r="EZ17" i="9" s="1"/>
  <c r="FA17" i="9" s="1"/>
  <c r="FB17" i="9" s="1"/>
  <c r="FC17" i="9" s="1"/>
  <c r="FD17" i="9" s="1"/>
  <c r="FE17" i="9" s="1"/>
  <c r="FF17" i="9" s="1"/>
  <c r="AK26" i="9"/>
  <c r="EW26" i="9"/>
  <c r="EX26" i="9" s="1"/>
  <c r="EY26" i="9" s="1"/>
  <c r="EZ26" i="9" s="1"/>
  <c r="FA26" i="9" s="1"/>
  <c r="FB26" i="9" s="1"/>
  <c r="FC26" i="9" s="1"/>
  <c r="FD26" i="9" s="1"/>
  <c r="FE26" i="9" s="1"/>
  <c r="FF26" i="9" s="1"/>
  <c r="AQ26" i="9"/>
  <c r="AL23" i="9"/>
  <c r="AM23" i="9" s="1"/>
  <c r="AN23" i="9"/>
  <c r="AO23" i="9" s="1"/>
  <c r="CR23" i="9" s="1"/>
  <c r="EW22" i="9"/>
  <c r="EX22" i="9" s="1"/>
  <c r="EY22" i="9" s="1"/>
  <c r="EZ22" i="9" s="1"/>
  <c r="FA22" i="9" s="1"/>
  <c r="FB22" i="9" s="1"/>
  <c r="FC22" i="9" s="1"/>
  <c r="FD22" i="9" s="1"/>
  <c r="FE22" i="9" s="1"/>
  <c r="FF22" i="9" s="1"/>
  <c r="AK22" i="9"/>
  <c r="AQ22" i="9"/>
  <c r="AQ23" i="9"/>
  <c r="EW23" i="9"/>
  <c r="EX23" i="9" s="1"/>
  <c r="EY23" i="9" s="1"/>
  <c r="EZ23" i="9" s="1"/>
  <c r="FA23" i="9" s="1"/>
  <c r="FB23" i="9" s="1"/>
  <c r="FC23" i="9" s="1"/>
  <c r="FD23" i="9" s="1"/>
  <c r="FE23" i="9" s="1"/>
  <c r="FF23" i="9" s="1"/>
  <c r="AK23" i="9"/>
  <c r="AN24" i="9"/>
  <c r="AO24" i="9" s="1"/>
  <c r="CW24" i="9" s="1"/>
  <c r="AL24" i="9"/>
  <c r="AO11" i="9"/>
  <c r="EP11" i="9" s="1"/>
  <c r="AL21" i="9"/>
  <c r="AM21" i="9" s="1"/>
  <c r="AN21" i="9"/>
  <c r="AO21" i="9" s="1"/>
  <c r="CW21" i="9" s="1"/>
  <c r="AP5" i="9"/>
  <c r="AO5" i="9"/>
  <c r="AN13" i="9"/>
  <c r="AO13" i="9" s="1"/>
  <c r="CN13" i="9" s="1"/>
  <c r="AL13" i="9"/>
  <c r="AR13" i="9" s="1"/>
  <c r="AM11" i="9"/>
  <c r="AR25" i="9"/>
  <c r="AP8" i="9"/>
  <c r="AM5" i="9"/>
  <c r="AQ11" i="9"/>
  <c r="AK11" i="9"/>
  <c r="EW11" i="9"/>
  <c r="EX11" i="9" s="1"/>
  <c r="EY11" i="9" s="1"/>
  <c r="EZ11" i="9" s="1"/>
  <c r="FA11" i="9" s="1"/>
  <c r="FB11" i="9" s="1"/>
  <c r="FC11" i="9" s="1"/>
  <c r="FD11" i="9" s="1"/>
  <c r="FE11" i="9" s="1"/>
  <c r="FF11" i="9" s="1"/>
  <c r="AL4" i="9"/>
  <c r="AN4" i="9"/>
  <c r="AO4" i="9" s="1"/>
  <c r="AM7" i="9"/>
  <c r="AP20" i="9"/>
  <c r="AO7" i="9"/>
  <c r="AO20" i="9"/>
  <c r="DW20" i="9" s="1"/>
  <c r="AQ4" i="9"/>
  <c r="EW4" i="9"/>
  <c r="EX4" i="9" s="1"/>
  <c r="EY4" i="9" s="1"/>
  <c r="EZ4" i="9" s="1"/>
  <c r="FA4" i="9" s="1"/>
  <c r="FB4" i="9" s="1"/>
  <c r="FC4" i="9" s="1"/>
  <c r="FD4" i="9" s="1"/>
  <c r="FE4" i="9" s="1"/>
  <c r="FF4" i="9" s="1"/>
  <c r="AK4" i="9"/>
  <c r="EW24" i="9"/>
  <c r="EX24" i="9" s="1"/>
  <c r="EY24" i="9" s="1"/>
  <c r="EZ24" i="9" s="1"/>
  <c r="FA24" i="9" s="1"/>
  <c r="FB24" i="9" s="1"/>
  <c r="FC24" i="9" s="1"/>
  <c r="FD24" i="9" s="1"/>
  <c r="FE24" i="9" s="1"/>
  <c r="FF24" i="9" s="1"/>
  <c r="AQ24" i="9"/>
  <c r="AK24" i="9"/>
  <c r="AQ21" i="9"/>
  <c r="AK21" i="9"/>
  <c r="EW21" i="9"/>
  <c r="EX21" i="9" s="1"/>
  <c r="EY21" i="9" s="1"/>
  <c r="EZ21" i="9" s="1"/>
  <c r="FA21" i="9" s="1"/>
  <c r="FB21" i="9" s="1"/>
  <c r="FC21" i="9" s="1"/>
  <c r="FD21" i="9" s="1"/>
  <c r="FE21" i="9" s="1"/>
  <c r="FF21" i="9" s="1"/>
  <c r="EW13" i="9"/>
  <c r="EX13" i="9" s="1"/>
  <c r="EY13" i="9" s="1"/>
  <c r="EZ13" i="9" s="1"/>
  <c r="FA13" i="9" s="1"/>
  <c r="FB13" i="9" s="1"/>
  <c r="FC13" i="9" s="1"/>
  <c r="FD13" i="9" s="1"/>
  <c r="FE13" i="9" s="1"/>
  <c r="FF13" i="9" s="1"/>
  <c r="AQ13" i="9"/>
  <c r="AK13" i="9"/>
  <c r="EW7" i="9"/>
  <c r="EX7" i="9" s="1"/>
  <c r="EY7" i="9" s="1"/>
  <c r="EZ7" i="9" s="1"/>
  <c r="AQ7" i="9"/>
  <c r="AK7" i="9"/>
  <c r="AQ10" i="9"/>
  <c r="AK10" i="9"/>
  <c r="EW10" i="9"/>
  <c r="EX10" i="9" s="1"/>
  <c r="EY10" i="9" s="1"/>
  <c r="EZ10" i="9" s="1"/>
  <c r="FA10" i="9" s="1"/>
  <c r="FB10" i="9" s="1"/>
  <c r="FC10" i="9" s="1"/>
  <c r="FD10" i="9" s="1"/>
  <c r="FE10" i="9" s="1"/>
  <c r="FF10" i="9" s="1"/>
  <c r="EW27" i="9"/>
  <c r="EX27" i="9" s="1"/>
  <c r="EY27" i="9" s="1"/>
  <c r="EZ27" i="9" s="1"/>
  <c r="FA27" i="9" s="1"/>
  <c r="FB27" i="9" s="1"/>
  <c r="FC27" i="9" s="1"/>
  <c r="FD27" i="9" s="1"/>
  <c r="FE27" i="9" s="1"/>
  <c r="FF27" i="9" s="1"/>
  <c r="AQ27" i="9"/>
  <c r="AK27" i="9"/>
  <c r="AK20" i="9"/>
  <c r="EW20" i="9"/>
  <c r="EX20" i="9" s="1"/>
  <c r="EY20" i="9" s="1"/>
  <c r="EZ20" i="9" s="1"/>
  <c r="FA20" i="9" s="1"/>
  <c r="FB20" i="9" s="1"/>
  <c r="FC20" i="9" s="1"/>
  <c r="FD20" i="9" s="1"/>
  <c r="FE20" i="9" s="1"/>
  <c r="FF20" i="9" s="1"/>
  <c r="AQ20" i="9"/>
  <c r="AQ23" i="1"/>
  <c r="AQ20" i="1"/>
  <c r="AQ19" i="1"/>
  <c r="AQ17" i="1"/>
  <c r="AQ16" i="1"/>
  <c r="AQ14" i="1"/>
  <c r="AQ13" i="1"/>
  <c r="AQ11" i="1"/>
  <c r="AQ10" i="1"/>
  <c r="AQ9" i="1"/>
  <c r="AQ8" i="1"/>
  <c r="AQ7" i="1"/>
  <c r="AQ6" i="1"/>
  <c r="AQ5" i="1"/>
  <c r="AQ4" i="1"/>
  <c r="AQ27" i="1"/>
  <c r="AQ26" i="1"/>
  <c r="AQ25" i="1"/>
  <c r="AQ24" i="1"/>
  <c r="AQ22" i="1"/>
  <c r="AQ21" i="1"/>
  <c r="AQ15" i="1"/>
  <c r="AQ12" i="1"/>
  <c r="CQ21" i="9" l="1"/>
  <c r="CO20" i="9"/>
  <c r="CL21" i="9"/>
  <c r="CU19" i="9"/>
  <c r="CQ18" i="9"/>
  <c r="CN27" i="9"/>
  <c r="CN20" i="9"/>
  <c r="CN18" i="9"/>
  <c r="CV20" i="9"/>
  <c r="CL20" i="9"/>
  <c r="CM20" i="9"/>
  <c r="DL25" i="9"/>
  <c r="CM25" i="9"/>
  <c r="CN26" i="9"/>
  <c r="CR27" i="9"/>
  <c r="CO12" i="9"/>
  <c r="CM22" i="9"/>
  <c r="CT11" i="9"/>
  <c r="CO19" i="9"/>
  <c r="CS18" i="9"/>
  <c r="CO26" i="9"/>
  <c r="CQ23" i="9"/>
  <c r="CT25" i="9"/>
  <c r="CS27" i="9"/>
  <c r="CN22" i="9"/>
  <c r="CR20" i="9"/>
  <c r="CP12" i="9"/>
  <c r="CM26" i="9"/>
  <c r="CL13" i="9"/>
  <c r="CL24" i="9"/>
  <c r="CM11" i="9"/>
  <c r="CU11" i="9"/>
  <c r="CP19" i="9"/>
  <c r="CT21" i="9"/>
  <c r="CT18" i="9"/>
  <c r="CP26" i="9"/>
  <c r="CO24" i="9"/>
  <c r="CR17" i="9"/>
  <c r="CO10" i="9"/>
  <c r="CO17" i="9"/>
  <c r="CU25" i="9"/>
  <c r="CT27" i="9"/>
  <c r="CU22" i="9"/>
  <c r="CS20" i="9"/>
  <c r="CM24" i="9"/>
  <c r="CT19" i="9"/>
  <c r="CP18" i="9"/>
  <c r="CP20" i="9"/>
  <c r="CN21" i="9"/>
  <c r="CO18" i="9"/>
  <c r="DI12" i="9"/>
  <c r="CM12" i="9"/>
  <c r="CS11" i="9"/>
  <c r="CR18" i="9"/>
  <c r="ED23" i="9"/>
  <c r="CM23" i="9"/>
  <c r="CL12" i="9"/>
  <c r="EN13" i="9"/>
  <c r="CM13" i="9"/>
  <c r="CL25" i="9"/>
  <c r="CN11" i="9"/>
  <c r="CV11" i="9"/>
  <c r="CQ19" i="9"/>
  <c r="CO21" i="9"/>
  <c r="CU18" i="9"/>
  <c r="CQ26" i="9"/>
  <c r="CP24" i="9"/>
  <c r="CV13" i="9"/>
  <c r="CN23" i="9"/>
  <c r="CP10" i="9"/>
  <c r="CN25" i="9"/>
  <c r="CV25" i="9"/>
  <c r="CU27" i="9"/>
  <c r="CV22" i="9"/>
  <c r="CT20" i="9"/>
  <c r="CR12" i="9"/>
  <c r="CM19" i="9"/>
  <c r="CV19" i="9"/>
  <c r="CR21" i="9"/>
  <c r="CV26" i="9"/>
  <c r="CS25" i="9"/>
  <c r="CQ20" i="9"/>
  <c r="CM18" i="9"/>
  <c r="CL23" i="9"/>
  <c r="CS21" i="9"/>
  <c r="AP27" i="9"/>
  <c r="EL17" i="9"/>
  <c r="CQ17" i="9"/>
  <c r="CN17" i="9"/>
  <c r="CM17" i="9"/>
  <c r="CT17" i="9"/>
  <c r="CU17" i="9"/>
  <c r="CL18" i="9"/>
  <c r="CL26" i="9"/>
  <c r="CO11" i="9"/>
  <c r="CN19" i="9"/>
  <c r="CR19" i="9"/>
  <c r="CV21" i="9"/>
  <c r="CV18" i="9"/>
  <c r="CR26" i="9"/>
  <c r="CQ24" i="9"/>
  <c r="CM27" i="9"/>
  <c r="CO13" i="9"/>
  <c r="CS23" i="9"/>
  <c r="CQ10" i="9"/>
  <c r="CO25" i="9"/>
  <c r="CP27" i="9"/>
  <c r="CO27" i="9"/>
  <c r="CP22" i="9"/>
  <c r="CU20" i="9"/>
  <c r="CS12" i="9"/>
  <c r="CM21" i="9"/>
  <c r="CK12" i="9"/>
  <c r="CK11" i="9"/>
  <c r="CK27" i="9"/>
  <c r="CK10" i="9"/>
  <c r="CK26" i="9"/>
  <c r="CK25" i="9"/>
  <c r="CK24" i="9"/>
  <c r="CK23" i="9"/>
  <c r="CK22" i="9"/>
  <c r="CK21" i="9"/>
  <c r="CK20" i="9"/>
  <c r="CK19" i="9"/>
  <c r="CK18" i="9"/>
  <c r="CK17" i="9"/>
  <c r="CK13" i="9"/>
  <c r="CW12" i="9"/>
  <c r="CW22" i="9"/>
  <c r="CW25" i="9"/>
  <c r="CW26" i="9"/>
  <c r="CW17" i="9"/>
  <c r="CW23" i="9"/>
  <c r="CW11" i="9"/>
  <c r="CW20" i="9"/>
  <c r="CW13" i="9"/>
  <c r="CW18" i="9"/>
  <c r="CW19" i="9"/>
  <c r="FG16" i="9"/>
  <c r="FH16" i="9" s="1"/>
  <c r="FI16" i="9" s="1"/>
  <c r="FJ16" i="9" s="1"/>
  <c r="FK16" i="9" s="1"/>
  <c r="FL16" i="9" s="1"/>
  <c r="FM16" i="9" s="1"/>
  <c r="FN16" i="9" s="1"/>
  <c r="FO16" i="9" s="1"/>
  <c r="FP16" i="9" s="1"/>
  <c r="FQ16" i="9" s="1"/>
  <c r="FR16" i="9" s="1"/>
  <c r="FS16" i="9" s="1"/>
  <c r="FT16" i="9" s="1"/>
  <c r="FU16" i="9" s="1"/>
  <c r="FV16" i="9" s="1"/>
  <c r="FW16" i="9" s="1"/>
  <c r="FX16" i="9" s="1"/>
  <c r="FY16" i="9" s="1"/>
  <c r="FZ16" i="9" s="1"/>
  <c r="GA16" i="9" s="1"/>
  <c r="GB16" i="9" s="1"/>
  <c r="GC16" i="9" s="1"/>
  <c r="GD16" i="9" s="1"/>
  <c r="GE16" i="9" s="1"/>
  <c r="GF16" i="9" s="1"/>
  <c r="GG16" i="9" s="1"/>
  <c r="GH16" i="9" s="1"/>
  <c r="GI16" i="9" s="1"/>
  <c r="GJ16" i="9" s="1"/>
  <c r="GK16" i="9" s="1"/>
  <c r="GL16" i="9" s="1"/>
  <c r="GM16" i="9" s="1"/>
  <c r="GN16" i="9" s="1"/>
  <c r="GO16" i="9" s="1"/>
  <c r="GP16" i="9" s="1"/>
  <c r="GQ16" i="9" s="1"/>
  <c r="GR16" i="9" s="1"/>
  <c r="GS16" i="9" s="1"/>
  <c r="GT16" i="9" s="1"/>
  <c r="GU16" i="9" s="1"/>
  <c r="GV16" i="9" s="1"/>
  <c r="GW16" i="9" s="1"/>
  <c r="GX16" i="9" s="1"/>
  <c r="GY16" i="9" s="1"/>
  <c r="GZ16" i="9" s="1"/>
  <c r="HA16" i="9" s="1"/>
  <c r="HB16" i="9" s="1"/>
  <c r="HC16" i="9" s="1"/>
  <c r="HD16" i="9" s="1"/>
  <c r="HE16" i="9" s="1"/>
  <c r="HF16" i="9" s="1"/>
  <c r="HG16" i="9" s="1"/>
  <c r="HH16" i="9" s="1"/>
  <c r="HI16" i="9" s="1"/>
  <c r="HJ16" i="9" s="1"/>
  <c r="HK16" i="9" s="1"/>
  <c r="HL16" i="9" s="1"/>
  <c r="HM16" i="9" s="1"/>
  <c r="HN16" i="9" s="1"/>
  <c r="HO16" i="9" s="1"/>
  <c r="HP16" i="9" s="1"/>
  <c r="HQ16" i="9" s="1"/>
  <c r="HR16" i="9" s="1"/>
  <c r="HS16" i="9" s="1"/>
  <c r="HT16" i="9" s="1"/>
  <c r="HU16" i="9" s="1"/>
  <c r="HV16" i="9" s="1"/>
  <c r="HW16" i="9" s="1"/>
  <c r="HX16" i="9" s="1"/>
  <c r="HY16" i="9" s="1"/>
  <c r="HZ16" i="9" s="1"/>
  <c r="IA16" i="9" s="1"/>
  <c r="IB16" i="9" s="1"/>
  <c r="IC16" i="9" s="1"/>
  <c r="ID16" i="9" s="1"/>
  <c r="IE16" i="9" s="1"/>
  <c r="IF16" i="9" s="1"/>
  <c r="IG16" i="9" s="1"/>
  <c r="IH16" i="9" s="1"/>
  <c r="II16" i="9" s="1"/>
  <c r="IJ16" i="9" s="1"/>
  <c r="IK16" i="9" s="1"/>
  <c r="IL16" i="9" s="1"/>
  <c r="IM16" i="9" s="1"/>
  <c r="IN16" i="9" s="1"/>
  <c r="IO16" i="9" s="1"/>
  <c r="IP16" i="9" s="1"/>
  <c r="IQ16" i="9" s="1"/>
  <c r="IR16" i="9" s="1"/>
  <c r="AM4" i="9"/>
  <c r="AP4" i="9"/>
  <c r="DL19" i="9"/>
  <c r="FG13" i="9"/>
  <c r="FH13" i="9" s="1"/>
  <c r="FI13" i="9" s="1"/>
  <c r="FJ13" i="9" s="1"/>
  <c r="FK13" i="9" s="1"/>
  <c r="FL13" i="9" s="1"/>
  <c r="FM13" i="9" s="1"/>
  <c r="FN13" i="9" s="1"/>
  <c r="FO13" i="9" s="1"/>
  <c r="FP13" i="9" s="1"/>
  <c r="FQ13" i="9" s="1"/>
  <c r="FR13" i="9" s="1"/>
  <c r="FS13" i="9" s="1"/>
  <c r="FT13" i="9" s="1"/>
  <c r="FU13" i="9" s="1"/>
  <c r="FV13" i="9" s="1"/>
  <c r="FW13" i="9" s="1"/>
  <c r="FX13" i="9" s="1"/>
  <c r="FY13" i="9" s="1"/>
  <c r="FZ13" i="9" s="1"/>
  <c r="GA13" i="9" s="1"/>
  <c r="GB13" i="9" s="1"/>
  <c r="GC13" i="9" s="1"/>
  <c r="GD13" i="9" s="1"/>
  <c r="GE13" i="9" s="1"/>
  <c r="GF13" i="9" s="1"/>
  <c r="GG13" i="9" s="1"/>
  <c r="GH13" i="9" s="1"/>
  <c r="GI13" i="9" s="1"/>
  <c r="GJ13" i="9" s="1"/>
  <c r="GK13" i="9" s="1"/>
  <c r="GL13" i="9" s="1"/>
  <c r="GM13" i="9" s="1"/>
  <c r="GN13" i="9" s="1"/>
  <c r="GO13" i="9" s="1"/>
  <c r="GP13" i="9" s="1"/>
  <c r="GQ13" i="9" s="1"/>
  <c r="GR13" i="9" s="1"/>
  <c r="GS13" i="9" s="1"/>
  <c r="GT13" i="9" s="1"/>
  <c r="GU13" i="9" s="1"/>
  <c r="GV13" i="9" s="1"/>
  <c r="GW13" i="9" s="1"/>
  <c r="GX13" i="9" s="1"/>
  <c r="GY13" i="9" s="1"/>
  <c r="GZ13" i="9" s="1"/>
  <c r="HA13" i="9" s="1"/>
  <c r="HB13" i="9" s="1"/>
  <c r="HC13" i="9" s="1"/>
  <c r="HD13" i="9" s="1"/>
  <c r="HE13" i="9" s="1"/>
  <c r="HF13" i="9" s="1"/>
  <c r="HG13" i="9" s="1"/>
  <c r="HH13" i="9" s="1"/>
  <c r="HI13" i="9" s="1"/>
  <c r="HJ13" i="9" s="1"/>
  <c r="HK13" i="9" s="1"/>
  <c r="HL13" i="9" s="1"/>
  <c r="HM13" i="9" s="1"/>
  <c r="HN13" i="9" s="1"/>
  <c r="HO13" i="9" s="1"/>
  <c r="HP13" i="9" s="1"/>
  <c r="HQ13" i="9" s="1"/>
  <c r="HR13" i="9" s="1"/>
  <c r="HS13" i="9" s="1"/>
  <c r="HT13" i="9" s="1"/>
  <c r="HU13" i="9" s="1"/>
  <c r="HV13" i="9" s="1"/>
  <c r="HW13" i="9" s="1"/>
  <c r="HX13" i="9" s="1"/>
  <c r="HY13" i="9" s="1"/>
  <c r="HZ13" i="9" s="1"/>
  <c r="IA13" i="9" s="1"/>
  <c r="IB13" i="9" s="1"/>
  <c r="IC13" i="9" s="1"/>
  <c r="ID13" i="9" s="1"/>
  <c r="IE13" i="9" s="1"/>
  <c r="IF13" i="9" s="1"/>
  <c r="IG13" i="9" s="1"/>
  <c r="IH13" i="9" s="1"/>
  <c r="II13" i="9" s="1"/>
  <c r="IJ13" i="9" s="1"/>
  <c r="IK13" i="9" s="1"/>
  <c r="IL13" i="9" s="1"/>
  <c r="IM13" i="9" s="1"/>
  <c r="IN13" i="9" s="1"/>
  <c r="IO13" i="9" s="1"/>
  <c r="IP13" i="9" s="1"/>
  <c r="IQ13" i="9" s="1"/>
  <c r="IR13" i="9" s="1"/>
  <c r="CY22" i="9"/>
  <c r="FG18" i="9"/>
  <c r="FH18" i="9" s="1"/>
  <c r="FI18" i="9" s="1"/>
  <c r="FJ18" i="9" s="1"/>
  <c r="FK18" i="9" s="1"/>
  <c r="FL18" i="9" s="1"/>
  <c r="FM18" i="9" s="1"/>
  <c r="FN18" i="9" s="1"/>
  <c r="FO18" i="9" s="1"/>
  <c r="FP18" i="9" s="1"/>
  <c r="FQ18" i="9" s="1"/>
  <c r="FR18" i="9" s="1"/>
  <c r="FS18" i="9" s="1"/>
  <c r="FT18" i="9" s="1"/>
  <c r="FU18" i="9" s="1"/>
  <c r="FV18" i="9" s="1"/>
  <c r="FW18" i="9" s="1"/>
  <c r="FX18" i="9" s="1"/>
  <c r="FY18" i="9" s="1"/>
  <c r="FZ18" i="9" s="1"/>
  <c r="GA18" i="9" s="1"/>
  <c r="GB18" i="9" s="1"/>
  <c r="GC18" i="9" s="1"/>
  <c r="GD18" i="9" s="1"/>
  <c r="GE18" i="9" s="1"/>
  <c r="GF18" i="9" s="1"/>
  <c r="GG18" i="9" s="1"/>
  <c r="GH18" i="9" s="1"/>
  <c r="GI18" i="9" s="1"/>
  <c r="GJ18" i="9" s="1"/>
  <c r="GK18" i="9" s="1"/>
  <c r="GL18" i="9" s="1"/>
  <c r="GM18" i="9" s="1"/>
  <c r="GN18" i="9" s="1"/>
  <c r="GO18" i="9" s="1"/>
  <c r="GP18" i="9" s="1"/>
  <c r="GQ18" i="9" s="1"/>
  <c r="GR18" i="9" s="1"/>
  <c r="GS18" i="9" s="1"/>
  <c r="GT18" i="9" s="1"/>
  <c r="GU18" i="9" s="1"/>
  <c r="GV18" i="9" s="1"/>
  <c r="GW18" i="9" s="1"/>
  <c r="GX18" i="9" s="1"/>
  <c r="GY18" i="9" s="1"/>
  <c r="GZ18" i="9" s="1"/>
  <c r="HA18" i="9" s="1"/>
  <c r="HB18" i="9" s="1"/>
  <c r="HC18" i="9" s="1"/>
  <c r="HD18" i="9" s="1"/>
  <c r="HE18" i="9" s="1"/>
  <c r="HF18" i="9" s="1"/>
  <c r="HG18" i="9" s="1"/>
  <c r="HH18" i="9" s="1"/>
  <c r="HI18" i="9" s="1"/>
  <c r="HJ18" i="9" s="1"/>
  <c r="HK18" i="9" s="1"/>
  <c r="HL18" i="9" s="1"/>
  <c r="HM18" i="9" s="1"/>
  <c r="HN18" i="9" s="1"/>
  <c r="HO18" i="9" s="1"/>
  <c r="HP18" i="9" s="1"/>
  <c r="HQ18" i="9" s="1"/>
  <c r="HR18" i="9" s="1"/>
  <c r="HS18" i="9" s="1"/>
  <c r="HT18" i="9" s="1"/>
  <c r="HU18" i="9" s="1"/>
  <c r="HV18" i="9" s="1"/>
  <c r="HW18" i="9" s="1"/>
  <c r="HX18" i="9" s="1"/>
  <c r="HY18" i="9" s="1"/>
  <c r="HZ18" i="9" s="1"/>
  <c r="IA18" i="9" s="1"/>
  <c r="IB18" i="9" s="1"/>
  <c r="IC18" i="9" s="1"/>
  <c r="ID18" i="9" s="1"/>
  <c r="IE18" i="9" s="1"/>
  <c r="IF18" i="9" s="1"/>
  <c r="IG18" i="9" s="1"/>
  <c r="IH18" i="9" s="1"/>
  <c r="II18" i="9" s="1"/>
  <c r="IJ18" i="9" s="1"/>
  <c r="IK18" i="9" s="1"/>
  <c r="IL18" i="9" s="1"/>
  <c r="IM18" i="9" s="1"/>
  <c r="IN18" i="9" s="1"/>
  <c r="IO18" i="9" s="1"/>
  <c r="IP18" i="9" s="1"/>
  <c r="IQ18" i="9" s="1"/>
  <c r="IR18" i="9" s="1"/>
  <c r="FG25" i="9"/>
  <c r="FH25" i="9" s="1"/>
  <c r="FI25" i="9" s="1"/>
  <c r="FJ25" i="9" s="1"/>
  <c r="FK25" i="9" s="1"/>
  <c r="FL25" i="9" s="1"/>
  <c r="FM25" i="9" s="1"/>
  <c r="FN25" i="9" s="1"/>
  <c r="FO25" i="9" s="1"/>
  <c r="FP25" i="9" s="1"/>
  <c r="FQ25" i="9" s="1"/>
  <c r="FR25" i="9" s="1"/>
  <c r="FS25" i="9" s="1"/>
  <c r="FT25" i="9" s="1"/>
  <c r="FU25" i="9" s="1"/>
  <c r="FV25" i="9" s="1"/>
  <c r="FW25" i="9" s="1"/>
  <c r="FX25" i="9" s="1"/>
  <c r="FY25" i="9" s="1"/>
  <c r="FZ25" i="9" s="1"/>
  <c r="GA25" i="9" s="1"/>
  <c r="GB25" i="9" s="1"/>
  <c r="GC25" i="9" s="1"/>
  <c r="GD25" i="9" s="1"/>
  <c r="GE25" i="9" s="1"/>
  <c r="GF25" i="9" s="1"/>
  <c r="GG25" i="9" s="1"/>
  <c r="GH25" i="9" s="1"/>
  <c r="GI25" i="9" s="1"/>
  <c r="GJ25" i="9" s="1"/>
  <c r="GK25" i="9" s="1"/>
  <c r="GL25" i="9" s="1"/>
  <c r="GM25" i="9" s="1"/>
  <c r="GN25" i="9" s="1"/>
  <c r="GO25" i="9" s="1"/>
  <c r="GP25" i="9" s="1"/>
  <c r="GQ25" i="9" s="1"/>
  <c r="GR25" i="9" s="1"/>
  <c r="GS25" i="9" s="1"/>
  <c r="GT25" i="9" s="1"/>
  <c r="GU25" i="9" s="1"/>
  <c r="GV25" i="9" s="1"/>
  <c r="GW25" i="9" s="1"/>
  <c r="GX25" i="9" s="1"/>
  <c r="GY25" i="9" s="1"/>
  <c r="GZ25" i="9" s="1"/>
  <c r="HA25" i="9" s="1"/>
  <c r="HB25" i="9" s="1"/>
  <c r="HC25" i="9" s="1"/>
  <c r="HD25" i="9" s="1"/>
  <c r="HE25" i="9" s="1"/>
  <c r="HF25" i="9" s="1"/>
  <c r="HG25" i="9" s="1"/>
  <c r="HH25" i="9" s="1"/>
  <c r="HI25" i="9" s="1"/>
  <c r="HJ25" i="9" s="1"/>
  <c r="HK25" i="9" s="1"/>
  <c r="HL25" i="9" s="1"/>
  <c r="HM25" i="9" s="1"/>
  <c r="HN25" i="9" s="1"/>
  <c r="HO25" i="9" s="1"/>
  <c r="HP25" i="9" s="1"/>
  <c r="HQ25" i="9" s="1"/>
  <c r="HR25" i="9" s="1"/>
  <c r="HS25" i="9" s="1"/>
  <c r="HT25" i="9" s="1"/>
  <c r="HU25" i="9" s="1"/>
  <c r="HV25" i="9" s="1"/>
  <c r="HW25" i="9" s="1"/>
  <c r="HX25" i="9" s="1"/>
  <c r="HY25" i="9" s="1"/>
  <c r="HZ25" i="9" s="1"/>
  <c r="IA25" i="9" s="1"/>
  <c r="IB25" i="9" s="1"/>
  <c r="IC25" i="9" s="1"/>
  <c r="ID25" i="9" s="1"/>
  <c r="IE25" i="9" s="1"/>
  <c r="IF25" i="9" s="1"/>
  <c r="IG25" i="9" s="1"/>
  <c r="IH25" i="9" s="1"/>
  <c r="II25" i="9" s="1"/>
  <c r="IJ25" i="9" s="1"/>
  <c r="IK25" i="9" s="1"/>
  <c r="IL25" i="9" s="1"/>
  <c r="IM25" i="9" s="1"/>
  <c r="IN25" i="9" s="1"/>
  <c r="IO25" i="9" s="1"/>
  <c r="IP25" i="9" s="1"/>
  <c r="IQ25" i="9" s="1"/>
  <c r="IR25" i="9" s="1"/>
  <c r="FG17" i="9"/>
  <c r="FH17" i="9" s="1"/>
  <c r="FI17" i="9" s="1"/>
  <c r="FJ17" i="9" s="1"/>
  <c r="FK17" i="9" s="1"/>
  <c r="FL17" i="9" s="1"/>
  <c r="FM17" i="9" s="1"/>
  <c r="FN17" i="9" s="1"/>
  <c r="FO17" i="9" s="1"/>
  <c r="FP17" i="9" s="1"/>
  <c r="FQ17" i="9" s="1"/>
  <c r="FR17" i="9" s="1"/>
  <c r="FS17" i="9" s="1"/>
  <c r="FT17" i="9" s="1"/>
  <c r="FU17" i="9" s="1"/>
  <c r="FV17" i="9" s="1"/>
  <c r="FW17" i="9" s="1"/>
  <c r="FX17" i="9" s="1"/>
  <c r="FY17" i="9" s="1"/>
  <c r="FZ17" i="9" s="1"/>
  <c r="GA17" i="9" s="1"/>
  <c r="GB17" i="9" s="1"/>
  <c r="GC17" i="9" s="1"/>
  <c r="GD17" i="9" s="1"/>
  <c r="GE17" i="9" s="1"/>
  <c r="GF17" i="9" s="1"/>
  <c r="GG17" i="9" s="1"/>
  <c r="GH17" i="9" s="1"/>
  <c r="GI17" i="9" s="1"/>
  <c r="GJ17" i="9" s="1"/>
  <c r="GK17" i="9" s="1"/>
  <c r="GL17" i="9" s="1"/>
  <c r="GM17" i="9" s="1"/>
  <c r="GN17" i="9" s="1"/>
  <c r="GO17" i="9" s="1"/>
  <c r="GP17" i="9" s="1"/>
  <c r="GQ17" i="9" s="1"/>
  <c r="GR17" i="9" s="1"/>
  <c r="GS17" i="9" s="1"/>
  <c r="GT17" i="9" s="1"/>
  <c r="GU17" i="9" s="1"/>
  <c r="GV17" i="9" s="1"/>
  <c r="GW17" i="9" s="1"/>
  <c r="GX17" i="9" s="1"/>
  <c r="GY17" i="9" s="1"/>
  <c r="GZ17" i="9" s="1"/>
  <c r="HA17" i="9" s="1"/>
  <c r="HB17" i="9" s="1"/>
  <c r="HC17" i="9" s="1"/>
  <c r="HD17" i="9" s="1"/>
  <c r="HE17" i="9" s="1"/>
  <c r="HF17" i="9" s="1"/>
  <c r="HG17" i="9" s="1"/>
  <c r="HH17" i="9" s="1"/>
  <c r="HI17" i="9" s="1"/>
  <c r="HJ17" i="9" s="1"/>
  <c r="HK17" i="9" s="1"/>
  <c r="HL17" i="9" s="1"/>
  <c r="HM17" i="9" s="1"/>
  <c r="HN17" i="9" s="1"/>
  <c r="HO17" i="9" s="1"/>
  <c r="HP17" i="9" s="1"/>
  <c r="HQ17" i="9" s="1"/>
  <c r="HR17" i="9" s="1"/>
  <c r="HS17" i="9" s="1"/>
  <c r="HT17" i="9" s="1"/>
  <c r="HU17" i="9" s="1"/>
  <c r="HV17" i="9" s="1"/>
  <c r="HW17" i="9" s="1"/>
  <c r="HX17" i="9" s="1"/>
  <c r="HY17" i="9" s="1"/>
  <c r="HZ17" i="9" s="1"/>
  <c r="IA17" i="9" s="1"/>
  <c r="IB17" i="9" s="1"/>
  <c r="IC17" i="9" s="1"/>
  <c r="ID17" i="9" s="1"/>
  <c r="IE17" i="9" s="1"/>
  <c r="IF17" i="9" s="1"/>
  <c r="IG17" i="9" s="1"/>
  <c r="IH17" i="9" s="1"/>
  <c r="II17" i="9" s="1"/>
  <c r="IJ17" i="9" s="1"/>
  <c r="IK17" i="9" s="1"/>
  <c r="IL17" i="9" s="1"/>
  <c r="IM17" i="9" s="1"/>
  <c r="IN17" i="9" s="1"/>
  <c r="IO17" i="9" s="1"/>
  <c r="IP17" i="9" s="1"/>
  <c r="IQ17" i="9" s="1"/>
  <c r="IR17" i="9" s="1"/>
  <c r="FG26" i="9"/>
  <c r="FH26" i="9" s="1"/>
  <c r="FI26" i="9" s="1"/>
  <c r="FJ26" i="9" s="1"/>
  <c r="FK26" i="9" s="1"/>
  <c r="FL26" i="9" s="1"/>
  <c r="FM26" i="9" s="1"/>
  <c r="FN26" i="9" s="1"/>
  <c r="FO26" i="9" s="1"/>
  <c r="FP26" i="9" s="1"/>
  <c r="FQ26" i="9" s="1"/>
  <c r="FR26" i="9" s="1"/>
  <c r="FS26" i="9" s="1"/>
  <c r="FT26" i="9" s="1"/>
  <c r="FU26" i="9" s="1"/>
  <c r="FV26" i="9" s="1"/>
  <c r="FW26" i="9" s="1"/>
  <c r="FX26" i="9" s="1"/>
  <c r="FY26" i="9" s="1"/>
  <c r="FZ26" i="9" s="1"/>
  <c r="GA26" i="9" s="1"/>
  <c r="GB26" i="9" s="1"/>
  <c r="GC26" i="9" s="1"/>
  <c r="GD26" i="9" s="1"/>
  <c r="GE26" i="9" s="1"/>
  <c r="GF26" i="9" s="1"/>
  <c r="GG26" i="9" s="1"/>
  <c r="GH26" i="9" s="1"/>
  <c r="GI26" i="9" s="1"/>
  <c r="GJ26" i="9" s="1"/>
  <c r="GK26" i="9" s="1"/>
  <c r="GL26" i="9" s="1"/>
  <c r="GM26" i="9" s="1"/>
  <c r="GN26" i="9" s="1"/>
  <c r="GO26" i="9" s="1"/>
  <c r="GP26" i="9" s="1"/>
  <c r="GQ26" i="9" s="1"/>
  <c r="GR26" i="9" s="1"/>
  <c r="GS26" i="9" s="1"/>
  <c r="GT26" i="9" s="1"/>
  <c r="GU26" i="9" s="1"/>
  <c r="GV26" i="9" s="1"/>
  <c r="GW26" i="9" s="1"/>
  <c r="GX26" i="9" s="1"/>
  <c r="GY26" i="9" s="1"/>
  <c r="GZ26" i="9" s="1"/>
  <c r="HA26" i="9" s="1"/>
  <c r="HB26" i="9" s="1"/>
  <c r="HC26" i="9" s="1"/>
  <c r="HD26" i="9" s="1"/>
  <c r="HE26" i="9" s="1"/>
  <c r="HF26" i="9" s="1"/>
  <c r="HG26" i="9" s="1"/>
  <c r="HH26" i="9" s="1"/>
  <c r="HI26" i="9" s="1"/>
  <c r="HJ26" i="9" s="1"/>
  <c r="HK26" i="9" s="1"/>
  <c r="HL26" i="9" s="1"/>
  <c r="HM26" i="9" s="1"/>
  <c r="HN26" i="9" s="1"/>
  <c r="HO26" i="9" s="1"/>
  <c r="HP26" i="9" s="1"/>
  <c r="HQ26" i="9" s="1"/>
  <c r="HR26" i="9" s="1"/>
  <c r="HS26" i="9" s="1"/>
  <c r="HT26" i="9" s="1"/>
  <c r="HU26" i="9" s="1"/>
  <c r="HV26" i="9" s="1"/>
  <c r="HW26" i="9" s="1"/>
  <c r="HX26" i="9" s="1"/>
  <c r="HY26" i="9" s="1"/>
  <c r="HZ26" i="9" s="1"/>
  <c r="IA26" i="9" s="1"/>
  <c r="IB26" i="9" s="1"/>
  <c r="IC26" i="9" s="1"/>
  <c r="ID26" i="9" s="1"/>
  <c r="IE26" i="9" s="1"/>
  <c r="IF26" i="9" s="1"/>
  <c r="IG26" i="9" s="1"/>
  <c r="IH26" i="9" s="1"/>
  <c r="II26" i="9" s="1"/>
  <c r="IJ26" i="9" s="1"/>
  <c r="IK26" i="9" s="1"/>
  <c r="IL26" i="9" s="1"/>
  <c r="IM26" i="9" s="1"/>
  <c r="IN26" i="9" s="1"/>
  <c r="IO26" i="9" s="1"/>
  <c r="IP26" i="9" s="1"/>
  <c r="IQ26" i="9" s="1"/>
  <c r="IR26" i="9" s="1"/>
  <c r="FG9" i="9"/>
  <c r="FH9" i="9" s="1"/>
  <c r="FI9" i="9" s="1"/>
  <c r="FJ9" i="9" s="1"/>
  <c r="FK9" i="9" s="1"/>
  <c r="FL9" i="9" s="1"/>
  <c r="FM9" i="9" s="1"/>
  <c r="FN9" i="9" s="1"/>
  <c r="FO9" i="9" s="1"/>
  <c r="FP9" i="9" s="1"/>
  <c r="FQ9" i="9" s="1"/>
  <c r="FR9" i="9" s="1"/>
  <c r="FS9" i="9" s="1"/>
  <c r="FT9" i="9" s="1"/>
  <c r="FU9" i="9" s="1"/>
  <c r="FV9" i="9" s="1"/>
  <c r="FW9" i="9" s="1"/>
  <c r="FX9" i="9" s="1"/>
  <c r="FY9" i="9" s="1"/>
  <c r="FZ9" i="9" s="1"/>
  <c r="GA9" i="9" s="1"/>
  <c r="GB9" i="9" s="1"/>
  <c r="GC9" i="9" s="1"/>
  <c r="GD9" i="9" s="1"/>
  <c r="GE9" i="9" s="1"/>
  <c r="GF9" i="9" s="1"/>
  <c r="GG9" i="9" s="1"/>
  <c r="GH9" i="9" s="1"/>
  <c r="GI9" i="9" s="1"/>
  <c r="GJ9" i="9" s="1"/>
  <c r="GK9" i="9" s="1"/>
  <c r="GL9" i="9" s="1"/>
  <c r="GM9" i="9" s="1"/>
  <c r="GN9" i="9" s="1"/>
  <c r="GO9" i="9" s="1"/>
  <c r="GP9" i="9" s="1"/>
  <c r="GQ9" i="9" s="1"/>
  <c r="GR9" i="9" s="1"/>
  <c r="GS9" i="9" s="1"/>
  <c r="GT9" i="9" s="1"/>
  <c r="GU9" i="9" s="1"/>
  <c r="GV9" i="9" s="1"/>
  <c r="GW9" i="9" s="1"/>
  <c r="GX9" i="9" s="1"/>
  <c r="GY9" i="9" s="1"/>
  <c r="GZ9" i="9" s="1"/>
  <c r="HA9" i="9" s="1"/>
  <c r="HB9" i="9" s="1"/>
  <c r="HC9" i="9" s="1"/>
  <c r="HD9" i="9" s="1"/>
  <c r="HE9" i="9" s="1"/>
  <c r="HF9" i="9" s="1"/>
  <c r="HG9" i="9" s="1"/>
  <c r="HH9" i="9" s="1"/>
  <c r="HI9" i="9" s="1"/>
  <c r="HJ9" i="9" s="1"/>
  <c r="HK9" i="9" s="1"/>
  <c r="HL9" i="9" s="1"/>
  <c r="HM9" i="9" s="1"/>
  <c r="HN9" i="9" s="1"/>
  <c r="HO9" i="9" s="1"/>
  <c r="HP9" i="9" s="1"/>
  <c r="HQ9" i="9" s="1"/>
  <c r="HR9" i="9" s="1"/>
  <c r="HS9" i="9" s="1"/>
  <c r="HT9" i="9" s="1"/>
  <c r="HU9" i="9" s="1"/>
  <c r="HV9" i="9" s="1"/>
  <c r="HW9" i="9" s="1"/>
  <c r="HX9" i="9" s="1"/>
  <c r="HY9" i="9" s="1"/>
  <c r="HZ9" i="9" s="1"/>
  <c r="IA9" i="9" s="1"/>
  <c r="IB9" i="9" s="1"/>
  <c r="IC9" i="9" s="1"/>
  <c r="ID9" i="9" s="1"/>
  <c r="IE9" i="9" s="1"/>
  <c r="IF9" i="9" s="1"/>
  <c r="IG9" i="9" s="1"/>
  <c r="IH9" i="9" s="1"/>
  <c r="II9" i="9" s="1"/>
  <c r="IJ9" i="9" s="1"/>
  <c r="IK9" i="9" s="1"/>
  <c r="IL9" i="9" s="1"/>
  <c r="IM9" i="9" s="1"/>
  <c r="IN9" i="9" s="1"/>
  <c r="IO9" i="9" s="1"/>
  <c r="IP9" i="9" s="1"/>
  <c r="IQ9" i="9" s="1"/>
  <c r="IR9" i="9" s="1"/>
  <c r="FG4" i="9"/>
  <c r="FH4" i="9" s="1"/>
  <c r="FI4" i="9" s="1"/>
  <c r="FJ4" i="9" s="1"/>
  <c r="FK4" i="9" s="1"/>
  <c r="FL4" i="9" s="1"/>
  <c r="FM4" i="9" s="1"/>
  <c r="FN4" i="9" s="1"/>
  <c r="FO4" i="9" s="1"/>
  <c r="FP4" i="9" s="1"/>
  <c r="FQ4" i="9" s="1"/>
  <c r="FR4" i="9" s="1"/>
  <c r="FS4" i="9" s="1"/>
  <c r="FT4" i="9" s="1"/>
  <c r="FU4" i="9" s="1"/>
  <c r="FV4" i="9" s="1"/>
  <c r="FW4" i="9" s="1"/>
  <c r="FX4" i="9" s="1"/>
  <c r="FY4" i="9" s="1"/>
  <c r="FZ4" i="9" s="1"/>
  <c r="GA4" i="9" s="1"/>
  <c r="GB4" i="9" s="1"/>
  <c r="GC4" i="9" s="1"/>
  <c r="GD4" i="9" s="1"/>
  <c r="GE4" i="9" s="1"/>
  <c r="GF4" i="9" s="1"/>
  <c r="GG4" i="9" s="1"/>
  <c r="GH4" i="9" s="1"/>
  <c r="GI4" i="9" s="1"/>
  <c r="GJ4" i="9" s="1"/>
  <c r="GK4" i="9" s="1"/>
  <c r="GL4" i="9" s="1"/>
  <c r="GM4" i="9" s="1"/>
  <c r="GN4" i="9" s="1"/>
  <c r="GO4" i="9" s="1"/>
  <c r="GP4" i="9" s="1"/>
  <c r="GQ4" i="9" s="1"/>
  <c r="GR4" i="9" s="1"/>
  <c r="GS4" i="9" s="1"/>
  <c r="GT4" i="9" s="1"/>
  <c r="GU4" i="9" s="1"/>
  <c r="GV4" i="9" s="1"/>
  <c r="GW4" i="9" s="1"/>
  <c r="GX4" i="9" s="1"/>
  <c r="GY4" i="9" s="1"/>
  <c r="GZ4" i="9" s="1"/>
  <c r="HA4" i="9" s="1"/>
  <c r="HB4" i="9" s="1"/>
  <c r="HC4" i="9" s="1"/>
  <c r="HD4" i="9" s="1"/>
  <c r="HE4" i="9" s="1"/>
  <c r="HF4" i="9" s="1"/>
  <c r="HG4" i="9" s="1"/>
  <c r="HH4" i="9" s="1"/>
  <c r="HI4" i="9" s="1"/>
  <c r="HJ4" i="9" s="1"/>
  <c r="HK4" i="9" s="1"/>
  <c r="HL4" i="9" s="1"/>
  <c r="HM4" i="9" s="1"/>
  <c r="HN4" i="9" s="1"/>
  <c r="HO4" i="9" s="1"/>
  <c r="HP4" i="9" s="1"/>
  <c r="HQ4" i="9" s="1"/>
  <c r="HR4" i="9" s="1"/>
  <c r="HS4" i="9" s="1"/>
  <c r="HT4" i="9" s="1"/>
  <c r="HU4" i="9" s="1"/>
  <c r="HV4" i="9" s="1"/>
  <c r="HW4" i="9" s="1"/>
  <c r="HX4" i="9" s="1"/>
  <c r="HY4" i="9" s="1"/>
  <c r="HZ4" i="9" s="1"/>
  <c r="IA4" i="9" s="1"/>
  <c r="IB4" i="9" s="1"/>
  <c r="IC4" i="9" s="1"/>
  <c r="ID4" i="9" s="1"/>
  <c r="IE4" i="9" s="1"/>
  <c r="IF4" i="9" s="1"/>
  <c r="IG4" i="9" s="1"/>
  <c r="IH4" i="9" s="1"/>
  <c r="II4" i="9" s="1"/>
  <c r="IJ4" i="9" s="1"/>
  <c r="IK4" i="9" s="1"/>
  <c r="IL4" i="9" s="1"/>
  <c r="IM4" i="9" s="1"/>
  <c r="IN4" i="9" s="1"/>
  <c r="IO4" i="9" s="1"/>
  <c r="IP4" i="9" s="1"/>
  <c r="IQ4" i="9" s="1"/>
  <c r="IR4" i="9" s="1"/>
  <c r="FG27" i="9"/>
  <c r="FH27" i="9" s="1"/>
  <c r="FI27" i="9" s="1"/>
  <c r="FJ27" i="9" s="1"/>
  <c r="FK27" i="9" s="1"/>
  <c r="FL27" i="9" s="1"/>
  <c r="FM27" i="9" s="1"/>
  <c r="FN27" i="9" s="1"/>
  <c r="FO27" i="9" s="1"/>
  <c r="FP27" i="9" s="1"/>
  <c r="FQ27" i="9" s="1"/>
  <c r="FR27" i="9" s="1"/>
  <c r="FS27" i="9" s="1"/>
  <c r="FT27" i="9" s="1"/>
  <c r="FU27" i="9" s="1"/>
  <c r="FV27" i="9" s="1"/>
  <c r="FW27" i="9" s="1"/>
  <c r="FX27" i="9" s="1"/>
  <c r="FY27" i="9" s="1"/>
  <c r="FZ27" i="9" s="1"/>
  <c r="GA27" i="9" s="1"/>
  <c r="GB27" i="9" s="1"/>
  <c r="GC27" i="9" s="1"/>
  <c r="GD27" i="9" s="1"/>
  <c r="GE27" i="9" s="1"/>
  <c r="GF27" i="9" s="1"/>
  <c r="GG27" i="9" s="1"/>
  <c r="GH27" i="9" s="1"/>
  <c r="GI27" i="9" s="1"/>
  <c r="GJ27" i="9" s="1"/>
  <c r="GK27" i="9" s="1"/>
  <c r="GL27" i="9" s="1"/>
  <c r="GM27" i="9" s="1"/>
  <c r="GN27" i="9" s="1"/>
  <c r="GO27" i="9" s="1"/>
  <c r="GP27" i="9" s="1"/>
  <c r="GQ27" i="9" s="1"/>
  <c r="GR27" i="9" s="1"/>
  <c r="GS27" i="9" s="1"/>
  <c r="GT27" i="9" s="1"/>
  <c r="GU27" i="9" s="1"/>
  <c r="GV27" i="9" s="1"/>
  <c r="GW27" i="9" s="1"/>
  <c r="GX27" i="9" s="1"/>
  <c r="GY27" i="9" s="1"/>
  <c r="GZ27" i="9" s="1"/>
  <c r="HA27" i="9" s="1"/>
  <c r="HB27" i="9" s="1"/>
  <c r="HC27" i="9" s="1"/>
  <c r="HD27" i="9" s="1"/>
  <c r="HE27" i="9" s="1"/>
  <c r="HF27" i="9" s="1"/>
  <c r="HG27" i="9" s="1"/>
  <c r="HH27" i="9" s="1"/>
  <c r="HI27" i="9" s="1"/>
  <c r="HJ27" i="9" s="1"/>
  <c r="HK27" i="9" s="1"/>
  <c r="HL27" i="9" s="1"/>
  <c r="HM27" i="9" s="1"/>
  <c r="HN27" i="9" s="1"/>
  <c r="HO27" i="9" s="1"/>
  <c r="HP27" i="9" s="1"/>
  <c r="HQ27" i="9" s="1"/>
  <c r="HR27" i="9" s="1"/>
  <c r="HS27" i="9" s="1"/>
  <c r="HT27" i="9" s="1"/>
  <c r="HU27" i="9" s="1"/>
  <c r="HV27" i="9" s="1"/>
  <c r="HW27" i="9" s="1"/>
  <c r="HX27" i="9" s="1"/>
  <c r="HY27" i="9" s="1"/>
  <c r="HZ27" i="9" s="1"/>
  <c r="IA27" i="9" s="1"/>
  <c r="IB27" i="9" s="1"/>
  <c r="IC27" i="9" s="1"/>
  <c r="ID27" i="9" s="1"/>
  <c r="IE27" i="9" s="1"/>
  <c r="IF27" i="9" s="1"/>
  <c r="IG27" i="9" s="1"/>
  <c r="IH27" i="9" s="1"/>
  <c r="II27" i="9" s="1"/>
  <c r="IJ27" i="9" s="1"/>
  <c r="IK27" i="9" s="1"/>
  <c r="IL27" i="9" s="1"/>
  <c r="IM27" i="9" s="1"/>
  <c r="IN27" i="9" s="1"/>
  <c r="IO27" i="9" s="1"/>
  <c r="IP27" i="9" s="1"/>
  <c r="IQ27" i="9" s="1"/>
  <c r="IR27" i="9" s="1"/>
  <c r="FG10" i="9"/>
  <c r="FH10" i="9" s="1"/>
  <c r="FI10" i="9" s="1"/>
  <c r="FJ10" i="9" s="1"/>
  <c r="FK10" i="9" s="1"/>
  <c r="FL10" i="9" s="1"/>
  <c r="FM10" i="9" s="1"/>
  <c r="FN10" i="9" s="1"/>
  <c r="FO10" i="9" s="1"/>
  <c r="FP10" i="9" s="1"/>
  <c r="FQ10" i="9" s="1"/>
  <c r="FR10" i="9" s="1"/>
  <c r="FS10" i="9" s="1"/>
  <c r="FT10" i="9" s="1"/>
  <c r="FU10" i="9" s="1"/>
  <c r="FV10" i="9" s="1"/>
  <c r="FW10" i="9" s="1"/>
  <c r="FX10" i="9" s="1"/>
  <c r="FY10" i="9" s="1"/>
  <c r="FZ10" i="9" s="1"/>
  <c r="GA10" i="9" s="1"/>
  <c r="GB10" i="9" s="1"/>
  <c r="GC10" i="9" s="1"/>
  <c r="GD10" i="9" s="1"/>
  <c r="GE10" i="9" s="1"/>
  <c r="GF10" i="9" s="1"/>
  <c r="GG10" i="9" s="1"/>
  <c r="GH10" i="9" s="1"/>
  <c r="GI10" i="9" s="1"/>
  <c r="GJ10" i="9" s="1"/>
  <c r="GK10" i="9" s="1"/>
  <c r="GL10" i="9" s="1"/>
  <c r="GM10" i="9" s="1"/>
  <c r="GN10" i="9" s="1"/>
  <c r="GO10" i="9" s="1"/>
  <c r="GP10" i="9" s="1"/>
  <c r="GQ10" i="9" s="1"/>
  <c r="GR10" i="9" s="1"/>
  <c r="GS10" i="9" s="1"/>
  <c r="GT10" i="9" s="1"/>
  <c r="GU10" i="9" s="1"/>
  <c r="GV10" i="9" s="1"/>
  <c r="GW10" i="9" s="1"/>
  <c r="GX10" i="9" s="1"/>
  <c r="GY10" i="9" s="1"/>
  <c r="GZ10" i="9" s="1"/>
  <c r="HA10" i="9" s="1"/>
  <c r="HB10" i="9" s="1"/>
  <c r="HC10" i="9" s="1"/>
  <c r="HD10" i="9" s="1"/>
  <c r="HE10" i="9" s="1"/>
  <c r="HF10" i="9" s="1"/>
  <c r="HG10" i="9" s="1"/>
  <c r="HH10" i="9" s="1"/>
  <c r="HI10" i="9" s="1"/>
  <c r="HJ10" i="9" s="1"/>
  <c r="HK10" i="9" s="1"/>
  <c r="HL10" i="9" s="1"/>
  <c r="HM10" i="9" s="1"/>
  <c r="HN10" i="9" s="1"/>
  <c r="HO10" i="9" s="1"/>
  <c r="HP10" i="9" s="1"/>
  <c r="HQ10" i="9" s="1"/>
  <c r="HR10" i="9" s="1"/>
  <c r="HS10" i="9" s="1"/>
  <c r="HT10" i="9" s="1"/>
  <c r="HU10" i="9" s="1"/>
  <c r="HV10" i="9" s="1"/>
  <c r="HW10" i="9" s="1"/>
  <c r="HX10" i="9" s="1"/>
  <c r="HY10" i="9" s="1"/>
  <c r="HZ10" i="9" s="1"/>
  <c r="IA10" i="9" s="1"/>
  <c r="IB10" i="9" s="1"/>
  <c r="IC10" i="9" s="1"/>
  <c r="ID10" i="9" s="1"/>
  <c r="IE10" i="9" s="1"/>
  <c r="IF10" i="9" s="1"/>
  <c r="IG10" i="9" s="1"/>
  <c r="IH10" i="9" s="1"/>
  <c r="II10" i="9" s="1"/>
  <c r="IJ10" i="9" s="1"/>
  <c r="IK10" i="9" s="1"/>
  <c r="IL10" i="9" s="1"/>
  <c r="IM10" i="9" s="1"/>
  <c r="IN10" i="9" s="1"/>
  <c r="IO10" i="9" s="1"/>
  <c r="FG22" i="9"/>
  <c r="FH22" i="9" s="1"/>
  <c r="FI22" i="9" s="1"/>
  <c r="FJ22" i="9" s="1"/>
  <c r="FK22" i="9" s="1"/>
  <c r="FL22" i="9" s="1"/>
  <c r="FM22" i="9" s="1"/>
  <c r="FN22" i="9" s="1"/>
  <c r="FO22" i="9" s="1"/>
  <c r="FP22" i="9" s="1"/>
  <c r="FQ22" i="9" s="1"/>
  <c r="FR22" i="9" s="1"/>
  <c r="FS22" i="9" s="1"/>
  <c r="FT22" i="9" s="1"/>
  <c r="FU22" i="9" s="1"/>
  <c r="FV22" i="9" s="1"/>
  <c r="FW22" i="9" s="1"/>
  <c r="FX22" i="9" s="1"/>
  <c r="FY22" i="9" s="1"/>
  <c r="FZ22" i="9" s="1"/>
  <c r="GA22" i="9" s="1"/>
  <c r="GB22" i="9" s="1"/>
  <c r="GC22" i="9" s="1"/>
  <c r="GD22" i="9" s="1"/>
  <c r="GE22" i="9" s="1"/>
  <c r="GF22" i="9" s="1"/>
  <c r="GG22" i="9" s="1"/>
  <c r="GH22" i="9" s="1"/>
  <c r="GI22" i="9" s="1"/>
  <c r="GJ22" i="9" s="1"/>
  <c r="GK22" i="9" s="1"/>
  <c r="GL22" i="9" s="1"/>
  <c r="GM22" i="9" s="1"/>
  <c r="GN22" i="9" s="1"/>
  <c r="GO22" i="9" s="1"/>
  <c r="GP22" i="9" s="1"/>
  <c r="GQ22" i="9" s="1"/>
  <c r="GR22" i="9" s="1"/>
  <c r="GS22" i="9" s="1"/>
  <c r="GT22" i="9" s="1"/>
  <c r="GU22" i="9" s="1"/>
  <c r="GV22" i="9" s="1"/>
  <c r="GW22" i="9" s="1"/>
  <c r="GX22" i="9" s="1"/>
  <c r="GY22" i="9" s="1"/>
  <c r="GZ22" i="9" s="1"/>
  <c r="HA22" i="9" s="1"/>
  <c r="HB22" i="9" s="1"/>
  <c r="HC22" i="9" s="1"/>
  <c r="HD22" i="9" s="1"/>
  <c r="HE22" i="9" s="1"/>
  <c r="HF22" i="9" s="1"/>
  <c r="HG22" i="9" s="1"/>
  <c r="HH22" i="9" s="1"/>
  <c r="HI22" i="9" s="1"/>
  <c r="HJ22" i="9" s="1"/>
  <c r="HK22" i="9" s="1"/>
  <c r="HL22" i="9" s="1"/>
  <c r="HM22" i="9" s="1"/>
  <c r="HN22" i="9" s="1"/>
  <c r="HO22" i="9" s="1"/>
  <c r="HP22" i="9" s="1"/>
  <c r="HQ22" i="9" s="1"/>
  <c r="HR22" i="9" s="1"/>
  <c r="HS22" i="9" s="1"/>
  <c r="HT22" i="9" s="1"/>
  <c r="HU22" i="9" s="1"/>
  <c r="HV22" i="9" s="1"/>
  <c r="HW22" i="9" s="1"/>
  <c r="HX22" i="9" s="1"/>
  <c r="HY22" i="9" s="1"/>
  <c r="HZ22" i="9" s="1"/>
  <c r="IA22" i="9" s="1"/>
  <c r="IB22" i="9" s="1"/>
  <c r="IC22" i="9" s="1"/>
  <c r="ID22" i="9" s="1"/>
  <c r="IE22" i="9" s="1"/>
  <c r="IF22" i="9" s="1"/>
  <c r="IG22" i="9" s="1"/>
  <c r="IH22" i="9" s="1"/>
  <c r="II22" i="9" s="1"/>
  <c r="IJ22" i="9" s="1"/>
  <c r="IK22" i="9" s="1"/>
  <c r="IL22" i="9" s="1"/>
  <c r="IM22" i="9" s="1"/>
  <c r="IN22" i="9" s="1"/>
  <c r="IO22" i="9" s="1"/>
  <c r="IP22" i="9" s="1"/>
  <c r="IQ22" i="9" s="1"/>
  <c r="IR22" i="9" s="1"/>
  <c r="FG8" i="9"/>
  <c r="FH8" i="9" s="1"/>
  <c r="FI8" i="9" s="1"/>
  <c r="FJ8" i="9" s="1"/>
  <c r="FK8" i="9" s="1"/>
  <c r="FL8" i="9" s="1"/>
  <c r="FM8" i="9" s="1"/>
  <c r="FN8" i="9" s="1"/>
  <c r="FO8" i="9" s="1"/>
  <c r="FP8" i="9" s="1"/>
  <c r="FQ8" i="9" s="1"/>
  <c r="FR8" i="9" s="1"/>
  <c r="FS8" i="9" s="1"/>
  <c r="FT8" i="9" s="1"/>
  <c r="FU8" i="9" s="1"/>
  <c r="FV8" i="9" s="1"/>
  <c r="FW8" i="9" s="1"/>
  <c r="FX8" i="9" s="1"/>
  <c r="FY8" i="9" s="1"/>
  <c r="FZ8" i="9" s="1"/>
  <c r="GA8" i="9" s="1"/>
  <c r="GB8" i="9" s="1"/>
  <c r="GC8" i="9" s="1"/>
  <c r="GD8" i="9" s="1"/>
  <c r="GE8" i="9" s="1"/>
  <c r="GF8" i="9" s="1"/>
  <c r="GG8" i="9" s="1"/>
  <c r="GH8" i="9" s="1"/>
  <c r="GI8" i="9" s="1"/>
  <c r="GJ8" i="9" s="1"/>
  <c r="GK8" i="9" s="1"/>
  <c r="GL8" i="9" s="1"/>
  <c r="GM8" i="9" s="1"/>
  <c r="GN8" i="9" s="1"/>
  <c r="GO8" i="9" s="1"/>
  <c r="GP8" i="9" s="1"/>
  <c r="GQ8" i="9" s="1"/>
  <c r="GR8" i="9" s="1"/>
  <c r="GS8" i="9" s="1"/>
  <c r="GT8" i="9" s="1"/>
  <c r="GU8" i="9" s="1"/>
  <c r="GV8" i="9" s="1"/>
  <c r="GW8" i="9" s="1"/>
  <c r="GX8" i="9" s="1"/>
  <c r="GY8" i="9" s="1"/>
  <c r="GZ8" i="9" s="1"/>
  <c r="HA8" i="9" s="1"/>
  <c r="HB8" i="9" s="1"/>
  <c r="HC8" i="9" s="1"/>
  <c r="HD8" i="9" s="1"/>
  <c r="HE8" i="9" s="1"/>
  <c r="HF8" i="9" s="1"/>
  <c r="HG8" i="9" s="1"/>
  <c r="HH8" i="9" s="1"/>
  <c r="HI8" i="9" s="1"/>
  <c r="HJ8" i="9" s="1"/>
  <c r="HK8" i="9" s="1"/>
  <c r="HL8" i="9" s="1"/>
  <c r="HM8" i="9" s="1"/>
  <c r="HN8" i="9" s="1"/>
  <c r="HO8" i="9" s="1"/>
  <c r="HP8" i="9" s="1"/>
  <c r="HQ8" i="9" s="1"/>
  <c r="HR8" i="9" s="1"/>
  <c r="HS8" i="9" s="1"/>
  <c r="HT8" i="9" s="1"/>
  <c r="HU8" i="9" s="1"/>
  <c r="HV8" i="9" s="1"/>
  <c r="HW8" i="9" s="1"/>
  <c r="HX8" i="9" s="1"/>
  <c r="HY8" i="9" s="1"/>
  <c r="HZ8" i="9" s="1"/>
  <c r="IA8" i="9" s="1"/>
  <c r="IB8" i="9" s="1"/>
  <c r="IC8" i="9" s="1"/>
  <c r="ID8" i="9" s="1"/>
  <c r="IE8" i="9" s="1"/>
  <c r="IF8" i="9" s="1"/>
  <c r="IG8" i="9" s="1"/>
  <c r="IH8" i="9" s="1"/>
  <c r="II8" i="9" s="1"/>
  <c r="IJ8" i="9" s="1"/>
  <c r="IK8" i="9" s="1"/>
  <c r="IL8" i="9" s="1"/>
  <c r="IM8" i="9" s="1"/>
  <c r="IN8" i="9" s="1"/>
  <c r="IO8" i="9" s="1"/>
  <c r="IP8" i="9" s="1"/>
  <c r="IQ8" i="9" s="1"/>
  <c r="IR8" i="9" s="1"/>
  <c r="FG24" i="9"/>
  <c r="FH24" i="9" s="1"/>
  <c r="FI24" i="9" s="1"/>
  <c r="FJ24" i="9" s="1"/>
  <c r="FK24" i="9" s="1"/>
  <c r="FL24" i="9" s="1"/>
  <c r="FM24" i="9" s="1"/>
  <c r="FN24" i="9" s="1"/>
  <c r="FO24" i="9" s="1"/>
  <c r="FP24" i="9" s="1"/>
  <c r="FQ24" i="9" s="1"/>
  <c r="FR24" i="9" s="1"/>
  <c r="FS24" i="9" s="1"/>
  <c r="FT24" i="9" s="1"/>
  <c r="FU24" i="9" s="1"/>
  <c r="FV24" i="9" s="1"/>
  <c r="FW24" i="9" s="1"/>
  <c r="FX24" i="9" s="1"/>
  <c r="FY24" i="9" s="1"/>
  <c r="FZ24" i="9" s="1"/>
  <c r="GA24" i="9" s="1"/>
  <c r="GB24" i="9" s="1"/>
  <c r="GC24" i="9" s="1"/>
  <c r="GD24" i="9" s="1"/>
  <c r="GE24" i="9" s="1"/>
  <c r="GF24" i="9" s="1"/>
  <c r="GG24" i="9" s="1"/>
  <c r="GH24" i="9" s="1"/>
  <c r="GI24" i="9" s="1"/>
  <c r="GJ24" i="9" s="1"/>
  <c r="GK24" i="9" s="1"/>
  <c r="GL24" i="9" s="1"/>
  <c r="GM24" i="9" s="1"/>
  <c r="GN24" i="9" s="1"/>
  <c r="GO24" i="9" s="1"/>
  <c r="GP24" i="9" s="1"/>
  <c r="GQ24" i="9" s="1"/>
  <c r="GR24" i="9" s="1"/>
  <c r="GS24" i="9" s="1"/>
  <c r="GT24" i="9" s="1"/>
  <c r="GU24" i="9" s="1"/>
  <c r="GV24" i="9" s="1"/>
  <c r="GW24" i="9" s="1"/>
  <c r="GX24" i="9" s="1"/>
  <c r="GY24" i="9" s="1"/>
  <c r="GZ24" i="9" s="1"/>
  <c r="HA24" i="9" s="1"/>
  <c r="HB24" i="9" s="1"/>
  <c r="HC24" i="9" s="1"/>
  <c r="HD24" i="9" s="1"/>
  <c r="HE24" i="9" s="1"/>
  <c r="HF24" i="9" s="1"/>
  <c r="HG24" i="9" s="1"/>
  <c r="HH24" i="9" s="1"/>
  <c r="HI24" i="9" s="1"/>
  <c r="HJ24" i="9" s="1"/>
  <c r="HK24" i="9" s="1"/>
  <c r="HL24" i="9" s="1"/>
  <c r="HM24" i="9" s="1"/>
  <c r="HN24" i="9" s="1"/>
  <c r="HO24" i="9" s="1"/>
  <c r="HP24" i="9" s="1"/>
  <c r="HQ24" i="9" s="1"/>
  <c r="HR24" i="9" s="1"/>
  <c r="HS24" i="9" s="1"/>
  <c r="HT24" i="9" s="1"/>
  <c r="HU24" i="9" s="1"/>
  <c r="HV24" i="9" s="1"/>
  <c r="HW24" i="9" s="1"/>
  <c r="HX24" i="9" s="1"/>
  <c r="HY24" i="9" s="1"/>
  <c r="HZ24" i="9" s="1"/>
  <c r="IA24" i="9" s="1"/>
  <c r="IB24" i="9" s="1"/>
  <c r="IC24" i="9" s="1"/>
  <c r="ID24" i="9" s="1"/>
  <c r="IE24" i="9" s="1"/>
  <c r="IF24" i="9" s="1"/>
  <c r="IG24" i="9" s="1"/>
  <c r="IH24" i="9" s="1"/>
  <c r="II24" i="9" s="1"/>
  <c r="IJ24" i="9" s="1"/>
  <c r="IK24" i="9" s="1"/>
  <c r="IL24" i="9" s="1"/>
  <c r="IM24" i="9" s="1"/>
  <c r="IN24" i="9" s="1"/>
  <c r="IO24" i="9" s="1"/>
  <c r="IP24" i="9" s="1"/>
  <c r="IQ24" i="9" s="1"/>
  <c r="IR24" i="9" s="1"/>
  <c r="FG19" i="9"/>
  <c r="FH19" i="9" s="1"/>
  <c r="FI19" i="9" s="1"/>
  <c r="FJ19" i="9" s="1"/>
  <c r="FK19" i="9" s="1"/>
  <c r="FL19" i="9" s="1"/>
  <c r="FM19" i="9" s="1"/>
  <c r="FN19" i="9" s="1"/>
  <c r="FO19" i="9" s="1"/>
  <c r="FP19" i="9" s="1"/>
  <c r="FQ19" i="9" s="1"/>
  <c r="FR19" i="9" s="1"/>
  <c r="FS19" i="9" s="1"/>
  <c r="FT19" i="9" s="1"/>
  <c r="FU19" i="9" s="1"/>
  <c r="FV19" i="9" s="1"/>
  <c r="FW19" i="9" s="1"/>
  <c r="FX19" i="9" s="1"/>
  <c r="FY19" i="9" s="1"/>
  <c r="FZ19" i="9" s="1"/>
  <c r="GA19" i="9" s="1"/>
  <c r="GB19" i="9" s="1"/>
  <c r="GC19" i="9" s="1"/>
  <c r="GD19" i="9" s="1"/>
  <c r="GE19" i="9" s="1"/>
  <c r="GF19" i="9" s="1"/>
  <c r="GG19" i="9" s="1"/>
  <c r="GH19" i="9" s="1"/>
  <c r="GI19" i="9" s="1"/>
  <c r="GJ19" i="9" s="1"/>
  <c r="GK19" i="9" s="1"/>
  <c r="GL19" i="9" s="1"/>
  <c r="GM19" i="9" s="1"/>
  <c r="GN19" i="9" s="1"/>
  <c r="GO19" i="9" s="1"/>
  <c r="GP19" i="9" s="1"/>
  <c r="GQ19" i="9" s="1"/>
  <c r="GR19" i="9" s="1"/>
  <c r="GS19" i="9" s="1"/>
  <c r="GT19" i="9" s="1"/>
  <c r="GU19" i="9" s="1"/>
  <c r="GV19" i="9" s="1"/>
  <c r="GW19" i="9" s="1"/>
  <c r="GX19" i="9" s="1"/>
  <c r="GY19" i="9" s="1"/>
  <c r="GZ19" i="9" s="1"/>
  <c r="HA19" i="9" s="1"/>
  <c r="HB19" i="9" s="1"/>
  <c r="HC19" i="9" s="1"/>
  <c r="HD19" i="9" s="1"/>
  <c r="HE19" i="9" s="1"/>
  <c r="HF19" i="9" s="1"/>
  <c r="HG19" i="9" s="1"/>
  <c r="HH19" i="9" s="1"/>
  <c r="HI19" i="9" s="1"/>
  <c r="HJ19" i="9" s="1"/>
  <c r="HK19" i="9" s="1"/>
  <c r="HL19" i="9" s="1"/>
  <c r="HM19" i="9" s="1"/>
  <c r="HN19" i="9" s="1"/>
  <c r="HO19" i="9" s="1"/>
  <c r="HP19" i="9" s="1"/>
  <c r="HQ19" i="9" s="1"/>
  <c r="HR19" i="9" s="1"/>
  <c r="HS19" i="9" s="1"/>
  <c r="HT19" i="9" s="1"/>
  <c r="HU19" i="9" s="1"/>
  <c r="HV19" i="9" s="1"/>
  <c r="HW19" i="9" s="1"/>
  <c r="HX19" i="9" s="1"/>
  <c r="HY19" i="9" s="1"/>
  <c r="HZ19" i="9" s="1"/>
  <c r="IA19" i="9" s="1"/>
  <c r="IB19" i="9" s="1"/>
  <c r="IC19" i="9" s="1"/>
  <c r="ID19" i="9" s="1"/>
  <c r="IE19" i="9" s="1"/>
  <c r="IF19" i="9" s="1"/>
  <c r="IG19" i="9" s="1"/>
  <c r="IH19" i="9" s="1"/>
  <c r="II19" i="9" s="1"/>
  <c r="IJ19" i="9" s="1"/>
  <c r="IK19" i="9" s="1"/>
  <c r="IL19" i="9" s="1"/>
  <c r="IM19" i="9" s="1"/>
  <c r="IN19" i="9" s="1"/>
  <c r="IO19" i="9" s="1"/>
  <c r="IP19" i="9" s="1"/>
  <c r="IQ19" i="9" s="1"/>
  <c r="IR19" i="9" s="1"/>
  <c r="FG12" i="9"/>
  <c r="FH12" i="9" s="1"/>
  <c r="FI12" i="9" s="1"/>
  <c r="FJ12" i="9" s="1"/>
  <c r="FK12" i="9" s="1"/>
  <c r="FL12" i="9" s="1"/>
  <c r="FM12" i="9" s="1"/>
  <c r="FN12" i="9" s="1"/>
  <c r="FO12" i="9" s="1"/>
  <c r="FP12" i="9" s="1"/>
  <c r="FQ12" i="9" s="1"/>
  <c r="FR12" i="9" s="1"/>
  <c r="FS12" i="9" s="1"/>
  <c r="FT12" i="9" s="1"/>
  <c r="FU12" i="9" s="1"/>
  <c r="FV12" i="9" s="1"/>
  <c r="FW12" i="9" s="1"/>
  <c r="FX12" i="9" s="1"/>
  <c r="FY12" i="9" s="1"/>
  <c r="FZ12" i="9" s="1"/>
  <c r="GA12" i="9" s="1"/>
  <c r="GB12" i="9" s="1"/>
  <c r="GC12" i="9" s="1"/>
  <c r="GD12" i="9" s="1"/>
  <c r="GE12" i="9" s="1"/>
  <c r="GF12" i="9" s="1"/>
  <c r="GG12" i="9" s="1"/>
  <c r="GH12" i="9" s="1"/>
  <c r="GI12" i="9" s="1"/>
  <c r="GJ12" i="9" s="1"/>
  <c r="GK12" i="9" s="1"/>
  <c r="GL12" i="9" s="1"/>
  <c r="GM12" i="9" s="1"/>
  <c r="GN12" i="9" s="1"/>
  <c r="GO12" i="9" s="1"/>
  <c r="GP12" i="9" s="1"/>
  <c r="GQ12" i="9" s="1"/>
  <c r="GR12" i="9" s="1"/>
  <c r="GS12" i="9" s="1"/>
  <c r="GT12" i="9" s="1"/>
  <c r="GU12" i="9" s="1"/>
  <c r="GV12" i="9" s="1"/>
  <c r="GW12" i="9" s="1"/>
  <c r="GX12" i="9" s="1"/>
  <c r="GY12" i="9" s="1"/>
  <c r="GZ12" i="9" s="1"/>
  <c r="HA12" i="9" s="1"/>
  <c r="HB12" i="9" s="1"/>
  <c r="HC12" i="9" s="1"/>
  <c r="HD12" i="9" s="1"/>
  <c r="HE12" i="9" s="1"/>
  <c r="HF12" i="9" s="1"/>
  <c r="HG12" i="9" s="1"/>
  <c r="HH12" i="9" s="1"/>
  <c r="HI12" i="9" s="1"/>
  <c r="HJ12" i="9" s="1"/>
  <c r="HK12" i="9" s="1"/>
  <c r="HL12" i="9" s="1"/>
  <c r="HM12" i="9" s="1"/>
  <c r="HN12" i="9" s="1"/>
  <c r="HO12" i="9" s="1"/>
  <c r="HP12" i="9" s="1"/>
  <c r="HQ12" i="9" s="1"/>
  <c r="HR12" i="9" s="1"/>
  <c r="HS12" i="9" s="1"/>
  <c r="HT12" i="9" s="1"/>
  <c r="HU12" i="9" s="1"/>
  <c r="HV12" i="9" s="1"/>
  <c r="HW12" i="9" s="1"/>
  <c r="HX12" i="9" s="1"/>
  <c r="HY12" i="9" s="1"/>
  <c r="HZ12" i="9" s="1"/>
  <c r="IA12" i="9" s="1"/>
  <c r="IB12" i="9" s="1"/>
  <c r="IC12" i="9" s="1"/>
  <c r="ID12" i="9" s="1"/>
  <c r="IE12" i="9" s="1"/>
  <c r="IF12" i="9" s="1"/>
  <c r="IG12" i="9" s="1"/>
  <c r="IH12" i="9" s="1"/>
  <c r="II12" i="9" s="1"/>
  <c r="IJ12" i="9" s="1"/>
  <c r="IK12" i="9" s="1"/>
  <c r="IL12" i="9" s="1"/>
  <c r="IM12" i="9" s="1"/>
  <c r="IN12" i="9" s="1"/>
  <c r="IO12" i="9" s="1"/>
  <c r="IP12" i="9" s="1"/>
  <c r="IQ12" i="9" s="1"/>
  <c r="IR12" i="9" s="1"/>
  <c r="FG20" i="9"/>
  <c r="FH20" i="9" s="1"/>
  <c r="FI20" i="9" s="1"/>
  <c r="FJ20" i="9" s="1"/>
  <c r="FK20" i="9" s="1"/>
  <c r="FL20" i="9" s="1"/>
  <c r="FM20" i="9" s="1"/>
  <c r="FN20" i="9" s="1"/>
  <c r="FO20" i="9" s="1"/>
  <c r="FP20" i="9" s="1"/>
  <c r="FQ20" i="9" s="1"/>
  <c r="FR20" i="9" s="1"/>
  <c r="FS20" i="9" s="1"/>
  <c r="FT20" i="9" s="1"/>
  <c r="FU20" i="9" s="1"/>
  <c r="FV20" i="9" s="1"/>
  <c r="FW20" i="9" s="1"/>
  <c r="FX20" i="9" s="1"/>
  <c r="FY20" i="9" s="1"/>
  <c r="FZ20" i="9" s="1"/>
  <c r="GA20" i="9" s="1"/>
  <c r="GB20" i="9" s="1"/>
  <c r="GC20" i="9" s="1"/>
  <c r="GD20" i="9" s="1"/>
  <c r="GE20" i="9" s="1"/>
  <c r="GF20" i="9" s="1"/>
  <c r="GG20" i="9" s="1"/>
  <c r="GH20" i="9" s="1"/>
  <c r="GI20" i="9" s="1"/>
  <c r="GJ20" i="9" s="1"/>
  <c r="GK20" i="9" s="1"/>
  <c r="GL20" i="9" s="1"/>
  <c r="GM20" i="9" s="1"/>
  <c r="GN20" i="9" s="1"/>
  <c r="GO20" i="9" s="1"/>
  <c r="GP20" i="9" s="1"/>
  <c r="GQ20" i="9" s="1"/>
  <c r="GR20" i="9" s="1"/>
  <c r="GS20" i="9" s="1"/>
  <c r="GT20" i="9" s="1"/>
  <c r="GU20" i="9" s="1"/>
  <c r="GV20" i="9" s="1"/>
  <c r="GW20" i="9" s="1"/>
  <c r="GX20" i="9" s="1"/>
  <c r="GY20" i="9" s="1"/>
  <c r="GZ20" i="9" s="1"/>
  <c r="HA20" i="9" s="1"/>
  <c r="HB20" i="9" s="1"/>
  <c r="HC20" i="9" s="1"/>
  <c r="HD20" i="9" s="1"/>
  <c r="HE20" i="9" s="1"/>
  <c r="HF20" i="9" s="1"/>
  <c r="HG20" i="9" s="1"/>
  <c r="HH20" i="9" s="1"/>
  <c r="HI20" i="9" s="1"/>
  <c r="HJ20" i="9" s="1"/>
  <c r="HK20" i="9" s="1"/>
  <c r="HL20" i="9" s="1"/>
  <c r="HM20" i="9" s="1"/>
  <c r="HN20" i="9" s="1"/>
  <c r="HO20" i="9" s="1"/>
  <c r="HP20" i="9" s="1"/>
  <c r="HQ20" i="9" s="1"/>
  <c r="HR20" i="9" s="1"/>
  <c r="HS20" i="9" s="1"/>
  <c r="HT20" i="9" s="1"/>
  <c r="HU20" i="9" s="1"/>
  <c r="HV20" i="9" s="1"/>
  <c r="HW20" i="9" s="1"/>
  <c r="HX20" i="9" s="1"/>
  <c r="HY20" i="9" s="1"/>
  <c r="HZ20" i="9" s="1"/>
  <c r="IA20" i="9" s="1"/>
  <c r="IB20" i="9" s="1"/>
  <c r="IC20" i="9" s="1"/>
  <c r="ID20" i="9" s="1"/>
  <c r="IE20" i="9" s="1"/>
  <c r="IF20" i="9" s="1"/>
  <c r="IG20" i="9" s="1"/>
  <c r="IH20" i="9" s="1"/>
  <c r="II20" i="9" s="1"/>
  <c r="IJ20" i="9" s="1"/>
  <c r="IK20" i="9" s="1"/>
  <c r="IL20" i="9" s="1"/>
  <c r="IM20" i="9" s="1"/>
  <c r="IN20" i="9" s="1"/>
  <c r="IO20" i="9" s="1"/>
  <c r="IP20" i="9" s="1"/>
  <c r="IQ20" i="9" s="1"/>
  <c r="IR20" i="9" s="1"/>
  <c r="FG23" i="9"/>
  <c r="FH23" i="9" s="1"/>
  <c r="FI23" i="9" s="1"/>
  <c r="FJ23" i="9" s="1"/>
  <c r="FK23" i="9" s="1"/>
  <c r="FL23" i="9" s="1"/>
  <c r="FM23" i="9" s="1"/>
  <c r="FN23" i="9" s="1"/>
  <c r="FO23" i="9" s="1"/>
  <c r="FP23" i="9" s="1"/>
  <c r="FQ23" i="9" s="1"/>
  <c r="FR23" i="9" s="1"/>
  <c r="FS23" i="9" s="1"/>
  <c r="FT23" i="9" s="1"/>
  <c r="FU23" i="9" s="1"/>
  <c r="FV23" i="9" s="1"/>
  <c r="FW23" i="9" s="1"/>
  <c r="FX23" i="9" s="1"/>
  <c r="FY23" i="9" s="1"/>
  <c r="FZ23" i="9" s="1"/>
  <c r="GA23" i="9" s="1"/>
  <c r="GB23" i="9" s="1"/>
  <c r="GC23" i="9" s="1"/>
  <c r="GD23" i="9" s="1"/>
  <c r="GE23" i="9" s="1"/>
  <c r="GF23" i="9" s="1"/>
  <c r="GG23" i="9" s="1"/>
  <c r="GH23" i="9" s="1"/>
  <c r="GI23" i="9" s="1"/>
  <c r="GJ23" i="9" s="1"/>
  <c r="GK23" i="9" s="1"/>
  <c r="GL23" i="9" s="1"/>
  <c r="GM23" i="9" s="1"/>
  <c r="GN23" i="9" s="1"/>
  <c r="GO23" i="9" s="1"/>
  <c r="GP23" i="9" s="1"/>
  <c r="GQ23" i="9" s="1"/>
  <c r="GR23" i="9" s="1"/>
  <c r="GS23" i="9" s="1"/>
  <c r="GT23" i="9" s="1"/>
  <c r="GU23" i="9" s="1"/>
  <c r="GV23" i="9" s="1"/>
  <c r="GW23" i="9" s="1"/>
  <c r="GX23" i="9" s="1"/>
  <c r="GY23" i="9" s="1"/>
  <c r="GZ23" i="9" s="1"/>
  <c r="HA23" i="9" s="1"/>
  <c r="HB23" i="9" s="1"/>
  <c r="HC23" i="9" s="1"/>
  <c r="HD23" i="9" s="1"/>
  <c r="HE23" i="9" s="1"/>
  <c r="HF23" i="9" s="1"/>
  <c r="HG23" i="9" s="1"/>
  <c r="HH23" i="9" s="1"/>
  <c r="HI23" i="9" s="1"/>
  <c r="HJ23" i="9" s="1"/>
  <c r="HK23" i="9" s="1"/>
  <c r="HL23" i="9" s="1"/>
  <c r="HM23" i="9" s="1"/>
  <c r="HN23" i="9" s="1"/>
  <c r="HO23" i="9" s="1"/>
  <c r="HP23" i="9" s="1"/>
  <c r="HQ23" i="9" s="1"/>
  <c r="HR23" i="9" s="1"/>
  <c r="HS23" i="9" s="1"/>
  <c r="HT23" i="9" s="1"/>
  <c r="HU23" i="9" s="1"/>
  <c r="HV23" i="9" s="1"/>
  <c r="HW23" i="9" s="1"/>
  <c r="HX23" i="9" s="1"/>
  <c r="HY23" i="9" s="1"/>
  <c r="HZ23" i="9" s="1"/>
  <c r="IA23" i="9" s="1"/>
  <c r="IB23" i="9" s="1"/>
  <c r="IC23" i="9" s="1"/>
  <c r="ID23" i="9" s="1"/>
  <c r="IE23" i="9" s="1"/>
  <c r="IF23" i="9" s="1"/>
  <c r="IG23" i="9" s="1"/>
  <c r="IH23" i="9" s="1"/>
  <c r="II23" i="9" s="1"/>
  <c r="IJ23" i="9" s="1"/>
  <c r="IK23" i="9" s="1"/>
  <c r="IL23" i="9" s="1"/>
  <c r="IM23" i="9" s="1"/>
  <c r="IN23" i="9" s="1"/>
  <c r="IO23" i="9" s="1"/>
  <c r="IP23" i="9" s="1"/>
  <c r="IQ23" i="9" s="1"/>
  <c r="IR23" i="9" s="1"/>
  <c r="FG21" i="9"/>
  <c r="FH21" i="9" s="1"/>
  <c r="FI21" i="9" s="1"/>
  <c r="FJ21" i="9" s="1"/>
  <c r="FK21" i="9" s="1"/>
  <c r="FL21" i="9" s="1"/>
  <c r="FM21" i="9" s="1"/>
  <c r="FN21" i="9" s="1"/>
  <c r="FO21" i="9" s="1"/>
  <c r="FP21" i="9" s="1"/>
  <c r="FQ21" i="9" s="1"/>
  <c r="FR21" i="9" s="1"/>
  <c r="FS21" i="9" s="1"/>
  <c r="FT21" i="9" s="1"/>
  <c r="FU21" i="9" s="1"/>
  <c r="FV21" i="9" s="1"/>
  <c r="FW21" i="9" s="1"/>
  <c r="FX21" i="9" s="1"/>
  <c r="FY21" i="9" s="1"/>
  <c r="FZ21" i="9" s="1"/>
  <c r="GA21" i="9" s="1"/>
  <c r="GB21" i="9" s="1"/>
  <c r="GC21" i="9" s="1"/>
  <c r="GD21" i="9" s="1"/>
  <c r="GE21" i="9" s="1"/>
  <c r="GF21" i="9" s="1"/>
  <c r="GG21" i="9" s="1"/>
  <c r="GH21" i="9" s="1"/>
  <c r="GI21" i="9" s="1"/>
  <c r="GJ21" i="9" s="1"/>
  <c r="GK21" i="9" s="1"/>
  <c r="GL21" i="9" s="1"/>
  <c r="GM21" i="9" s="1"/>
  <c r="GN21" i="9" s="1"/>
  <c r="GO21" i="9" s="1"/>
  <c r="GP21" i="9" s="1"/>
  <c r="GQ21" i="9" s="1"/>
  <c r="GR21" i="9" s="1"/>
  <c r="GS21" i="9" s="1"/>
  <c r="GT21" i="9" s="1"/>
  <c r="GU21" i="9" s="1"/>
  <c r="GV21" i="9" s="1"/>
  <c r="GW21" i="9" s="1"/>
  <c r="GX21" i="9" s="1"/>
  <c r="GY21" i="9" s="1"/>
  <c r="GZ21" i="9" s="1"/>
  <c r="HA21" i="9" s="1"/>
  <c r="HB21" i="9" s="1"/>
  <c r="HC21" i="9" s="1"/>
  <c r="HD21" i="9" s="1"/>
  <c r="HE21" i="9" s="1"/>
  <c r="HF21" i="9" s="1"/>
  <c r="HG21" i="9" s="1"/>
  <c r="HH21" i="9" s="1"/>
  <c r="HI21" i="9" s="1"/>
  <c r="HJ21" i="9" s="1"/>
  <c r="HK21" i="9" s="1"/>
  <c r="HL21" i="9" s="1"/>
  <c r="HM21" i="9" s="1"/>
  <c r="HN21" i="9" s="1"/>
  <c r="HO21" i="9" s="1"/>
  <c r="HP21" i="9" s="1"/>
  <c r="HQ21" i="9" s="1"/>
  <c r="HR21" i="9" s="1"/>
  <c r="HS21" i="9" s="1"/>
  <c r="HT21" i="9" s="1"/>
  <c r="HU21" i="9" s="1"/>
  <c r="HV21" i="9" s="1"/>
  <c r="HW21" i="9" s="1"/>
  <c r="HX21" i="9" s="1"/>
  <c r="HY21" i="9" s="1"/>
  <c r="HZ21" i="9" s="1"/>
  <c r="IA21" i="9" s="1"/>
  <c r="IB21" i="9" s="1"/>
  <c r="IC21" i="9" s="1"/>
  <c r="ID21" i="9" s="1"/>
  <c r="IE21" i="9" s="1"/>
  <c r="IF21" i="9" s="1"/>
  <c r="IG21" i="9" s="1"/>
  <c r="IH21" i="9" s="1"/>
  <c r="II21" i="9" s="1"/>
  <c r="IJ21" i="9" s="1"/>
  <c r="IK21" i="9" s="1"/>
  <c r="IL21" i="9" s="1"/>
  <c r="IM21" i="9" s="1"/>
  <c r="IN21" i="9" s="1"/>
  <c r="IO21" i="9" s="1"/>
  <c r="IP21" i="9" s="1"/>
  <c r="IQ21" i="9" s="1"/>
  <c r="IR21" i="9" s="1"/>
  <c r="FG5" i="9"/>
  <c r="FH5" i="9" s="1"/>
  <c r="FI5" i="9" s="1"/>
  <c r="FJ5" i="9" s="1"/>
  <c r="FK5" i="9" s="1"/>
  <c r="FL5" i="9" s="1"/>
  <c r="FM5" i="9" s="1"/>
  <c r="FN5" i="9" s="1"/>
  <c r="FO5" i="9" s="1"/>
  <c r="FP5" i="9" s="1"/>
  <c r="FQ5" i="9" s="1"/>
  <c r="FR5" i="9" s="1"/>
  <c r="FS5" i="9" s="1"/>
  <c r="FT5" i="9" s="1"/>
  <c r="FU5" i="9" s="1"/>
  <c r="FV5" i="9" s="1"/>
  <c r="FW5" i="9" s="1"/>
  <c r="FX5" i="9" s="1"/>
  <c r="FY5" i="9" s="1"/>
  <c r="FZ5" i="9" s="1"/>
  <c r="GA5" i="9" s="1"/>
  <c r="GB5" i="9" s="1"/>
  <c r="GC5" i="9" s="1"/>
  <c r="GD5" i="9" s="1"/>
  <c r="GE5" i="9" s="1"/>
  <c r="GF5" i="9" s="1"/>
  <c r="GG5" i="9" s="1"/>
  <c r="GH5" i="9" s="1"/>
  <c r="GI5" i="9" s="1"/>
  <c r="GJ5" i="9" s="1"/>
  <c r="GK5" i="9" s="1"/>
  <c r="GL5" i="9" s="1"/>
  <c r="GM5" i="9" s="1"/>
  <c r="GN5" i="9" s="1"/>
  <c r="GO5" i="9" s="1"/>
  <c r="GP5" i="9" s="1"/>
  <c r="GQ5" i="9" s="1"/>
  <c r="GR5" i="9" s="1"/>
  <c r="GS5" i="9" s="1"/>
  <c r="GT5" i="9" s="1"/>
  <c r="GU5" i="9" s="1"/>
  <c r="GV5" i="9" s="1"/>
  <c r="GW5" i="9" s="1"/>
  <c r="GX5" i="9" s="1"/>
  <c r="GY5" i="9" s="1"/>
  <c r="GZ5" i="9" s="1"/>
  <c r="HA5" i="9" s="1"/>
  <c r="HB5" i="9" s="1"/>
  <c r="HC5" i="9" s="1"/>
  <c r="HD5" i="9" s="1"/>
  <c r="HE5" i="9" s="1"/>
  <c r="HF5" i="9" s="1"/>
  <c r="HG5" i="9" s="1"/>
  <c r="HH5" i="9" s="1"/>
  <c r="HI5" i="9" s="1"/>
  <c r="HJ5" i="9" s="1"/>
  <c r="HK5" i="9" s="1"/>
  <c r="HL5" i="9" s="1"/>
  <c r="HM5" i="9" s="1"/>
  <c r="HN5" i="9" s="1"/>
  <c r="HO5" i="9" s="1"/>
  <c r="HP5" i="9" s="1"/>
  <c r="HQ5" i="9" s="1"/>
  <c r="HR5" i="9" s="1"/>
  <c r="HS5" i="9" s="1"/>
  <c r="HT5" i="9" s="1"/>
  <c r="HU5" i="9" s="1"/>
  <c r="HV5" i="9" s="1"/>
  <c r="HW5" i="9" s="1"/>
  <c r="HX5" i="9" s="1"/>
  <c r="HY5" i="9" s="1"/>
  <c r="HZ5" i="9" s="1"/>
  <c r="IA5" i="9" s="1"/>
  <c r="IB5" i="9" s="1"/>
  <c r="IC5" i="9" s="1"/>
  <c r="ID5" i="9" s="1"/>
  <c r="IE5" i="9" s="1"/>
  <c r="IF5" i="9" s="1"/>
  <c r="IG5" i="9" s="1"/>
  <c r="IH5" i="9" s="1"/>
  <c r="II5" i="9" s="1"/>
  <c r="IJ5" i="9" s="1"/>
  <c r="IK5" i="9" s="1"/>
  <c r="IL5" i="9" s="1"/>
  <c r="IM5" i="9" s="1"/>
  <c r="IN5" i="9" s="1"/>
  <c r="IO5" i="9" s="1"/>
  <c r="IP5" i="9" s="1"/>
  <c r="IQ5" i="9" s="1"/>
  <c r="IR5" i="9" s="1"/>
  <c r="FG11" i="9"/>
  <c r="FH11" i="9" s="1"/>
  <c r="FI11" i="9" s="1"/>
  <c r="FJ11" i="9" s="1"/>
  <c r="FK11" i="9" s="1"/>
  <c r="FL11" i="9" s="1"/>
  <c r="FM11" i="9" s="1"/>
  <c r="FN11" i="9" s="1"/>
  <c r="FO11" i="9" s="1"/>
  <c r="FP11" i="9" s="1"/>
  <c r="FQ11" i="9" s="1"/>
  <c r="FR11" i="9" s="1"/>
  <c r="FS11" i="9" s="1"/>
  <c r="FT11" i="9" s="1"/>
  <c r="FU11" i="9" s="1"/>
  <c r="FV11" i="9" s="1"/>
  <c r="FW11" i="9" s="1"/>
  <c r="FX11" i="9" s="1"/>
  <c r="FY11" i="9" s="1"/>
  <c r="FZ11" i="9" s="1"/>
  <c r="GA11" i="9" s="1"/>
  <c r="GB11" i="9" s="1"/>
  <c r="GC11" i="9" s="1"/>
  <c r="GD11" i="9" s="1"/>
  <c r="GE11" i="9" s="1"/>
  <c r="GF11" i="9" s="1"/>
  <c r="GG11" i="9" s="1"/>
  <c r="GH11" i="9" s="1"/>
  <c r="GI11" i="9" s="1"/>
  <c r="GJ11" i="9" s="1"/>
  <c r="GK11" i="9" s="1"/>
  <c r="GL11" i="9" s="1"/>
  <c r="GM11" i="9" s="1"/>
  <c r="GN11" i="9" s="1"/>
  <c r="GO11" i="9" s="1"/>
  <c r="GP11" i="9" s="1"/>
  <c r="GQ11" i="9" s="1"/>
  <c r="GR11" i="9" s="1"/>
  <c r="GS11" i="9" s="1"/>
  <c r="GT11" i="9" s="1"/>
  <c r="GU11" i="9" s="1"/>
  <c r="GV11" i="9" s="1"/>
  <c r="GW11" i="9" s="1"/>
  <c r="GX11" i="9" s="1"/>
  <c r="GY11" i="9" s="1"/>
  <c r="GZ11" i="9" s="1"/>
  <c r="HA11" i="9" s="1"/>
  <c r="HB11" i="9" s="1"/>
  <c r="HC11" i="9" s="1"/>
  <c r="HD11" i="9" s="1"/>
  <c r="HE11" i="9" s="1"/>
  <c r="HF11" i="9" s="1"/>
  <c r="HG11" i="9" s="1"/>
  <c r="HH11" i="9" s="1"/>
  <c r="HI11" i="9" s="1"/>
  <c r="HJ11" i="9" s="1"/>
  <c r="HK11" i="9" s="1"/>
  <c r="HL11" i="9" s="1"/>
  <c r="HM11" i="9" s="1"/>
  <c r="HN11" i="9" s="1"/>
  <c r="HO11" i="9" s="1"/>
  <c r="HP11" i="9" s="1"/>
  <c r="HQ11" i="9" s="1"/>
  <c r="HR11" i="9" s="1"/>
  <c r="HS11" i="9" s="1"/>
  <c r="HT11" i="9" s="1"/>
  <c r="HU11" i="9" s="1"/>
  <c r="HV11" i="9" s="1"/>
  <c r="HW11" i="9" s="1"/>
  <c r="HX11" i="9" s="1"/>
  <c r="HY11" i="9" s="1"/>
  <c r="HZ11" i="9" s="1"/>
  <c r="IA11" i="9" s="1"/>
  <c r="IB11" i="9" s="1"/>
  <c r="IC11" i="9" s="1"/>
  <c r="ID11" i="9" s="1"/>
  <c r="IE11" i="9" s="1"/>
  <c r="IF11" i="9" s="1"/>
  <c r="IG11" i="9" s="1"/>
  <c r="IH11" i="9" s="1"/>
  <c r="II11" i="9" s="1"/>
  <c r="IJ11" i="9" s="1"/>
  <c r="IK11" i="9" s="1"/>
  <c r="IL11" i="9" s="1"/>
  <c r="IM11" i="9" s="1"/>
  <c r="IN11" i="9" s="1"/>
  <c r="IO11" i="9" s="1"/>
  <c r="IP11" i="9" s="1"/>
  <c r="IQ11" i="9" s="1"/>
  <c r="IR11" i="9" s="1"/>
  <c r="FG6" i="9"/>
  <c r="FH6" i="9" s="1"/>
  <c r="FI6" i="9" s="1"/>
  <c r="FJ6" i="9" s="1"/>
  <c r="FK6" i="9" s="1"/>
  <c r="FL6" i="9" s="1"/>
  <c r="FM6" i="9" s="1"/>
  <c r="FN6" i="9" s="1"/>
  <c r="FO6" i="9" s="1"/>
  <c r="FP6" i="9" s="1"/>
  <c r="FQ6" i="9" s="1"/>
  <c r="FR6" i="9" s="1"/>
  <c r="FS6" i="9" s="1"/>
  <c r="FT6" i="9" s="1"/>
  <c r="FU6" i="9" s="1"/>
  <c r="FV6" i="9" s="1"/>
  <c r="FW6" i="9" s="1"/>
  <c r="FX6" i="9" s="1"/>
  <c r="FY6" i="9" s="1"/>
  <c r="FZ6" i="9" s="1"/>
  <c r="GA6" i="9" s="1"/>
  <c r="GB6" i="9" s="1"/>
  <c r="GC6" i="9" s="1"/>
  <c r="GD6" i="9" s="1"/>
  <c r="GE6" i="9" s="1"/>
  <c r="GF6" i="9" s="1"/>
  <c r="GG6" i="9" s="1"/>
  <c r="GH6" i="9" s="1"/>
  <c r="GI6" i="9" s="1"/>
  <c r="GJ6" i="9" s="1"/>
  <c r="GK6" i="9" s="1"/>
  <c r="GL6" i="9" s="1"/>
  <c r="GM6" i="9" s="1"/>
  <c r="GN6" i="9" s="1"/>
  <c r="GO6" i="9" s="1"/>
  <c r="GP6" i="9" s="1"/>
  <c r="GQ6" i="9" s="1"/>
  <c r="GR6" i="9" s="1"/>
  <c r="GS6" i="9" s="1"/>
  <c r="GT6" i="9" s="1"/>
  <c r="GU6" i="9" s="1"/>
  <c r="GV6" i="9" s="1"/>
  <c r="GW6" i="9" s="1"/>
  <c r="GX6" i="9" s="1"/>
  <c r="GY6" i="9" s="1"/>
  <c r="GZ6" i="9" s="1"/>
  <c r="HA6" i="9" s="1"/>
  <c r="HB6" i="9" s="1"/>
  <c r="HC6" i="9" s="1"/>
  <c r="HD6" i="9" s="1"/>
  <c r="HE6" i="9" s="1"/>
  <c r="HF6" i="9" s="1"/>
  <c r="HG6" i="9" s="1"/>
  <c r="HH6" i="9" s="1"/>
  <c r="HI6" i="9" s="1"/>
  <c r="HJ6" i="9" s="1"/>
  <c r="HK6" i="9" s="1"/>
  <c r="HL6" i="9" s="1"/>
  <c r="HM6" i="9" s="1"/>
  <c r="HN6" i="9" s="1"/>
  <c r="HO6" i="9" s="1"/>
  <c r="HP6" i="9" s="1"/>
  <c r="HQ6" i="9" s="1"/>
  <c r="HR6" i="9" s="1"/>
  <c r="HS6" i="9" s="1"/>
  <c r="HT6" i="9" s="1"/>
  <c r="HU6" i="9" s="1"/>
  <c r="HV6" i="9" s="1"/>
  <c r="HW6" i="9" s="1"/>
  <c r="HX6" i="9" s="1"/>
  <c r="HY6" i="9" s="1"/>
  <c r="HZ6" i="9" s="1"/>
  <c r="IA6" i="9" s="1"/>
  <c r="IB6" i="9" s="1"/>
  <c r="IC6" i="9" s="1"/>
  <c r="ID6" i="9" s="1"/>
  <c r="IE6" i="9" s="1"/>
  <c r="IF6" i="9" s="1"/>
  <c r="IG6" i="9" s="1"/>
  <c r="IH6" i="9" s="1"/>
  <c r="II6" i="9" s="1"/>
  <c r="IJ6" i="9" s="1"/>
  <c r="IK6" i="9" s="1"/>
  <c r="IL6" i="9" s="1"/>
  <c r="IM6" i="9" s="1"/>
  <c r="IN6" i="9" s="1"/>
  <c r="IO6" i="9" s="1"/>
  <c r="IP6" i="9" s="1"/>
  <c r="IQ6" i="9" s="1"/>
  <c r="IR6" i="9" s="1"/>
  <c r="EO22" i="9"/>
  <c r="DQ22" i="9"/>
  <c r="DY22" i="9"/>
  <c r="EJ22" i="9"/>
  <c r="DN23" i="9"/>
  <c r="DA22" i="9"/>
  <c r="CX22" i="9"/>
  <c r="EL22" i="9"/>
  <c r="DW19" i="9"/>
  <c r="DG26" i="9"/>
  <c r="DJ25" i="9"/>
  <c r="EI23" i="9"/>
  <c r="DV27" i="9"/>
  <c r="CZ27" i="9"/>
  <c r="DU27" i="9"/>
  <c r="EN27" i="9"/>
  <c r="DT27" i="9"/>
  <c r="DB27" i="9"/>
  <c r="EO27" i="9"/>
  <c r="DJ27" i="9"/>
  <c r="DN27" i="9"/>
  <c r="EH27" i="9"/>
  <c r="DG27" i="9"/>
  <c r="EE22" i="9"/>
  <c r="DG22" i="9"/>
  <c r="EK25" i="9"/>
  <c r="DT22" i="9"/>
  <c r="DW22" i="9"/>
  <c r="EP22" i="9"/>
  <c r="EG22" i="9"/>
  <c r="DC22" i="9"/>
  <c r="EI22" i="9"/>
  <c r="DS22" i="9"/>
  <c r="EU23" i="9"/>
  <c r="DY12" i="9"/>
  <c r="CZ22" i="9"/>
  <c r="DI22" i="9"/>
  <c r="DB19" i="9"/>
  <c r="DA24" i="9"/>
  <c r="DZ24" i="9"/>
  <c r="CY24" i="9"/>
  <c r="ET24" i="9"/>
  <c r="EG24" i="9"/>
  <c r="DT24" i="9"/>
  <c r="DR24" i="9"/>
  <c r="EU24" i="9"/>
  <c r="DP24" i="9"/>
  <c r="CX24" i="9"/>
  <c r="EM24" i="9"/>
  <c r="DU24" i="9"/>
  <c r="ER24" i="9"/>
  <c r="DI24" i="9"/>
  <c r="DS24" i="9"/>
  <c r="EP24" i="9"/>
  <c r="DE24" i="9"/>
  <c r="EA24" i="9"/>
  <c r="DK24" i="9"/>
  <c r="DQ24" i="9"/>
  <c r="CZ24" i="9"/>
  <c r="EF24" i="9"/>
  <c r="EE24" i="9"/>
  <c r="EI24" i="9"/>
  <c r="CX27" i="9"/>
  <c r="DC19" i="9"/>
  <c r="EQ22" i="9"/>
  <c r="DE22" i="9"/>
  <c r="EJ27" i="9"/>
  <c r="CX19" i="9"/>
  <c r="EI27" i="9"/>
  <c r="DX27" i="9"/>
  <c r="ER27" i="9"/>
  <c r="DQ23" i="9"/>
  <c r="DK22" i="9"/>
  <c r="DL22" i="9"/>
  <c r="DX22" i="9"/>
  <c r="DS19" i="9"/>
  <c r="DA19" i="9"/>
  <c r="DS27" i="9"/>
  <c r="DD22" i="9"/>
  <c r="EQ19" i="9"/>
  <c r="DH19" i="9"/>
  <c r="EB27" i="9"/>
  <c r="CY19" i="9"/>
  <c r="DG19" i="9"/>
  <c r="ET19" i="9"/>
  <c r="ES27" i="9"/>
  <c r="EM19" i="9"/>
  <c r="EO19" i="9"/>
  <c r="DD19" i="9"/>
  <c r="DB22" i="9"/>
  <c r="EC22" i="9"/>
  <c r="DX19" i="9"/>
  <c r="EL27" i="9"/>
  <c r="EF27" i="9"/>
  <c r="EQ27" i="9"/>
  <c r="ED27" i="9"/>
  <c r="EC24" i="9"/>
  <c r="DX24" i="9"/>
  <c r="ES22" i="9"/>
  <c r="EU22" i="9"/>
  <c r="DJ22" i="9"/>
  <c r="DY27" i="9"/>
  <c r="DK27" i="9"/>
  <c r="EP27" i="9"/>
  <c r="DL27" i="9"/>
  <c r="DE27" i="9"/>
  <c r="DC27" i="9"/>
  <c r="DG24" i="9"/>
  <c r="DQ27" i="9"/>
  <c r="EN24" i="9"/>
  <c r="DI27" i="9"/>
  <c r="DD27" i="9"/>
  <c r="EC27" i="9"/>
  <c r="DW27" i="9"/>
  <c r="DH24" i="9"/>
  <c r="DF24" i="9"/>
  <c r="EH22" i="9"/>
  <c r="DV22" i="9"/>
  <c r="DH12" i="9"/>
  <c r="EE27" i="9"/>
  <c r="ET27" i="9"/>
  <c r="DD24" i="9"/>
  <c r="EA27" i="9"/>
  <c r="EG27" i="9"/>
  <c r="DO27" i="9"/>
  <c r="EH24" i="9"/>
  <c r="EK24" i="9"/>
  <c r="DZ22" i="9"/>
  <c r="DA26" i="9"/>
  <c r="EM22" i="9"/>
  <c r="ET22" i="9"/>
  <c r="DP22" i="9"/>
  <c r="ES12" i="9"/>
  <c r="DU19" i="9"/>
  <c r="DP27" i="9"/>
  <c r="DA27" i="9"/>
  <c r="DO24" i="9"/>
  <c r="EJ24" i="9"/>
  <c r="DG11" i="9"/>
  <c r="ED22" i="9"/>
  <c r="EN19" i="9"/>
  <c r="EK22" i="9"/>
  <c r="IP10" i="9"/>
  <c r="IQ10" i="9" s="1"/>
  <c r="IR10" i="9" s="1"/>
  <c r="DL24" i="9"/>
  <c r="DC24" i="9"/>
  <c r="DW24" i="9"/>
  <c r="EH25" i="9"/>
  <c r="EI26" i="9"/>
  <c r="AM27" i="9"/>
  <c r="EF22" i="9"/>
  <c r="DZ25" i="9"/>
  <c r="CZ19" i="9"/>
  <c r="DF22" i="9"/>
  <c r="EH19" i="9"/>
  <c r="DY25" i="9"/>
  <c r="DU22" i="9"/>
  <c r="DC11" i="9"/>
  <c r="ES24" i="9"/>
  <c r="EO24" i="9"/>
  <c r="DN24" i="9"/>
  <c r="DQ11" i="9"/>
  <c r="ED24" i="9"/>
  <c r="EQ24" i="9"/>
  <c r="DM24" i="9"/>
  <c r="CY25" i="9"/>
  <c r="AP13" i="9"/>
  <c r="EL24" i="9"/>
  <c r="EB24" i="9"/>
  <c r="DY24" i="9"/>
  <c r="DD12" i="9"/>
  <c r="DV12" i="9"/>
  <c r="DJ11" i="9"/>
  <c r="DU11" i="9"/>
  <c r="EN11" i="9"/>
  <c r="DB11" i="9"/>
  <c r="EA25" i="9"/>
  <c r="DJ24" i="9"/>
  <c r="DV24" i="9"/>
  <c r="DB24" i="9"/>
  <c r="DO22" i="9"/>
  <c r="DH22" i="9"/>
  <c r="DM22" i="9"/>
  <c r="DN22" i="9"/>
  <c r="DR19" i="9"/>
  <c r="EL10" i="9"/>
  <c r="DY10" i="9"/>
  <c r="EO10" i="9"/>
  <c r="DC10" i="9"/>
  <c r="EH10" i="9"/>
  <c r="EC10" i="9"/>
  <c r="DM10" i="9"/>
  <c r="DZ10" i="9"/>
  <c r="DG10" i="9"/>
  <c r="DL10" i="9"/>
  <c r="ET10" i="9"/>
  <c r="DF10" i="9"/>
  <c r="EI10" i="9"/>
  <c r="DA10" i="9"/>
  <c r="DU10" i="9"/>
  <c r="EQ10" i="9"/>
  <c r="EF10" i="9"/>
  <c r="EU10" i="9"/>
  <c r="CY10" i="9"/>
  <c r="DB10" i="9"/>
  <c r="ER10" i="9"/>
  <c r="ED10" i="9"/>
  <c r="EG10" i="9"/>
  <c r="EJ10" i="9"/>
  <c r="CZ10" i="9"/>
  <c r="DR10" i="9"/>
  <c r="EA10" i="9"/>
  <c r="EN10" i="9"/>
  <c r="DD10" i="9"/>
  <c r="DP10" i="9"/>
  <c r="DX10" i="9"/>
  <c r="DN10" i="9"/>
  <c r="EP10" i="9"/>
  <c r="ES10" i="9"/>
  <c r="EB10" i="9"/>
  <c r="DK10" i="9"/>
  <c r="DS10" i="9"/>
  <c r="DT10" i="9"/>
  <c r="EK10" i="9"/>
  <c r="DO10" i="9"/>
  <c r="CX10" i="9"/>
  <c r="DI10" i="9"/>
  <c r="DW10" i="9"/>
  <c r="DH10" i="9"/>
  <c r="DJ10" i="9"/>
  <c r="DE10" i="9"/>
  <c r="DV10" i="9"/>
  <c r="EM10" i="9"/>
  <c r="DQ10" i="9"/>
  <c r="EE10" i="9"/>
  <c r="AR4" i="9"/>
  <c r="EB19" i="9"/>
  <c r="EJ19" i="9"/>
  <c r="EL19" i="9"/>
  <c r="DZ19" i="9"/>
  <c r="DO19" i="9"/>
  <c r="ES19" i="9"/>
  <c r="ED19" i="9"/>
  <c r="ER19" i="9"/>
  <c r="DM19" i="9"/>
  <c r="EP19" i="9"/>
  <c r="EC19" i="9"/>
  <c r="DP19" i="9"/>
  <c r="EI19" i="9"/>
  <c r="DE19" i="9"/>
  <c r="DF19" i="9"/>
  <c r="EU19" i="9"/>
  <c r="DV19" i="9"/>
  <c r="EE19" i="9"/>
  <c r="EF19" i="9"/>
  <c r="EK19" i="9"/>
  <c r="DJ19" i="9"/>
  <c r="DQ19" i="9"/>
  <c r="EA19" i="9"/>
  <c r="DN19" i="9"/>
  <c r="DI19" i="9"/>
  <c r="DK19" i="9"/>
  <c r="EG19" i="9"/>
  <c r="EE26" i="9"/>
  <c r="DY19" i="9"/>
  <c r="AM9" i="9"/>
  <c r="AR9" i="9"/>
  <c r="AP9" i="9"/>
  <c r="AP19" i="9"/>
  <c r="AR19" i="9"/>
  <c r="AM19" i="9"/>
  <c r="AR14" i="9"/>
  <c r="AP14" i="9"/>
  <c r="AM14" i="9"/>
  <c r="ER26" i="9"/>
  <c r="DG25" i="9"/>
  <c r="DX25" i="9"/>
  <c r="EN25" i="9"/>
  <c r="DK25" i="9"/>
  <c r="CZ25" i="9"/>
  <c r="DE25" i="9"/>
  <c r="DB25" i="9"/>
  <c r="DN25" i="9"/>
  <c r="DF25" i="9"/>
  <c r="DP25" i="9"/>
  <c r="EB25" i="9"/>
  <c r="EC25" i="9"/>
  <c r="DU25" i="9"/>
  <c r="DO25" i="9"/>
  <c r="EI25" i="9"/>
  <c r="DV25" i="9"/>
  <c r="ET25" i="9"/>
  <c r="EP25" i="9"/>
  <c r="DM25" i="9"/>
  <c r="DT25" i="9"/>
  <c r="DA25" i="9"/>
  <c r="DD25" i="9"/>
  <c r="DH25" i="9"/>
  <c r="DS25" i="9"/>
  <c r="EL25" i="9"/>
  <c r="EQ25" i="9"/>
  <c r="CX25" i="9"/>
  <c r="EE25" i="9"/>
  <c r="EU25" i="9"/>
  <c r="DR25" i="9"/>
  <c r="DQ25" i="9"/>
  <c r="EF25" i="9"/>
  <c r="ES25" i="9"/>
  <c r="EJ25" i="9"/>
  <c r="EG25" i="9"/>
  <c r="DI25" i="9"/>
  <c r="DW25" i="9"/>
  <c r="DC25" i="9"/>
  <c r="EO25" i="9"/>
  <c r="ER25" i="9"/>
  <c r="EM25" i="9"/>
  <c r="ED25" i="9"/>
  <c r="EA22" i="9"/>
  <c r="DN11" i="9"/>
  <c r="AP6" i="9"/>
  <c r="AR6" i="9"/>
  <c r="AM6" i="9"/>
  <c r="AM13" i="9"/>
  <c r="DK17" i="9"/>
  <c r="DR17" i="9"/>
  <c r="EG17" i="9"/>
  <c r="CX17" i="9"/>
  <c r="DX17" i="9"/>
  <c r="EC17" i="9"/>
  <c r="EK17" i="9"/>
  <c r="EN17" i="9"/>
  <c r="EM17" i="9"/>
  <c r="ET17" i="9"/>
  <c r="DQ17" i="9"/>
  <c r="EE17" i="9"/>
  <c r="EP17" i="9"/>
  <c r="DL17" i="9"/>
  <c r="ES17" i="9"/>
  <c r="EQ17" i="9"/>
  <c r="EI17" i="9"/>
  <c r="EH17" i="9"/>
  <c r="DV17" i="9"/>
  <c r="ER17" i="9"/>
  <c r="DC17" i="9"/>
  <c r="DF17" i="9"/>
  <c r="CY17" i="9"/>
  <c r="EA17" i="9"/>
  <c r="DY17" i="9"/>
  <c r="DW17" i="9"/>
  <c r="DD17" i="9"/>
  <c r="DI17" i="9"/>
  <c r="EU17" i="9"/>
  <c r="DP17" i="9"/>
  <c r="DE17" i="9"/>
  <c r="DU17" i="9"/>
  <c r="EJ17" i="9"/>
  <c r="DT17" i="9"/>
  <c r="DM17" i="9"/>
  <c r="DO17" i="9"/>
  <c r="DJ17" i="9"/>
  <c r="DG17" i="9"/>
  <c r="EO17" i="9"/>
  <c r="DS17" i="9"/>
  <c r="DB17" i="9"/>
  <c r="EF17" i="9"/>
  <c r="CZ17" i="9"/>
  <c r="ED17" i="9"/>
  <c r="EB17" i="9"/>
  <c r="DZ17" i="9"/>
  <c r="DH17" i="9"/>
  <c r="DA17" i="9"/>
  <c r="DN17" i="9"/>
  <c r="DH27" i="9"/>
  <c r="EU27" i="9"/>
  <c r="EK27" i="9"/>
  <c r="EU11" i="9"/>
  <c r="DY11" i="9"/>
  <c r="AM17" i="9"/>
  <c r="AR17" i="9"/>
  <c r="AP17" i="9"/>
  <c r="AR16" i="9"/>
  <c r="AP16" i="9"/>
  <c r="AM16" i="9"/>
  <c r="AR24" i="9"/>
  <c r="AM24" i="9"/>
  <c r="AP24" i="9"/>
  <c r="AM10" i="9"/>
  <c r="AR10" i="9"/>
  <c r="EK26" i="9"/>
  <c r="CY26" i="9"/>
  <c r="DM27" i="9"/>
  <c r="DZ27" i="9"/>
  <c r="DR27" i="9"/>
  <c r="ES26" i="9"/>
  <c r="DR22" i="9"/>
  <c r="ER11" i="9"/>
  <c r="EB11" i="9"/>
  <c r="DX11" i="9"/>
  <c r="DH11" i="9"/>
  <c r="EK11" i="9"/>
  <c r="EE11" i="9"/>
  <c r="CY11" i="9"/>
  <c r="EL11" i="9"/>
  <c r="DF11" i="9"/>
  <c r="DV11" i="9"/>
  <c r="DK11" i="9"/>
  <c r="EA11" i="9"/>
  <c r="DE11" i="9"/>
  <c r="DS11" i="9"/>
  <c r="DO11" i="9"/>
  <c r="DI11" i="9"/>
  <c r="EG11" i="9"/>
  <c r="CX11" i="9"/>
  <c r="EQ11" i="9"/>
  <c r="DW11" i="9"/>
  <c r="DM11" i="9"/>
  <c r="EC11" i="9"/>
  <c r="CZ11" i="9"/>
  <c r="DT11" i="9"/>
  <c r="EJ11" i="9"/>
  <c r="DZ11" i="9"/>
  <c r="EI11" i="9"/>
  <c r="EH11" i="9"/>
  <c r="DR11" i="9"/>
  <c r="DA11" i="9"/>
  <c r="DP11" i="9"/>
  <c r="ES11" i="9"/>
  <c r="DD11" i="9"/>
  <c r="EO11" i="9"/>
  <c r="DL11" i="9"/>
  <c r="EF11" i="9"/>
  <c r="ET11" i="9"/>
  <c r="ED11" i="9"/>
  <c r="EM11" i="9"/>
  <c r="AR23" i="9"/>
  <c r="AP23" i="9"/>
  <c r="CY27" i="9"/>
  <c r="DF27" i="9"/>
  <c r="EM27" i="9"/>
  <c r="EB22" i="9"/>
  <c r="EN22" i="9"/>
  <c r="EF23" i="9"/>
  <c r="DA23" i="9"/>
  <c r="EM23" i="9"/>
  <c r="DK23" i="9"/>
  <c r="DV23" i="9"/>
  <c r="DY23" i="9"/>
  <c r="DP23" i="9"/>
  <c r="CX23" i="9"/>
  <c r="ET23" i="9"/>
  <c r="EL23" i="9"/>
  <c r="DM23" i="9"/>
  <c r="ES23" i="9"/>
  <c r="EJ23" i="9"/>
  <c r="DJ23" i="9"/>
  <c r="EC23" i="9"/>
  <c r="ER23" i="9"/>
  <c r="DL23" i="9"/>
  <c r="CZ23" i="9"/>
  <c r="DS23" i="9"/>
  <c r="EH23" i="9"/>
  <c r="DG23" i="9"/>
  <c r="EB23" i="9"/>
  <c r="DH23" i="9"/>
  <c r="EA23" i="9"/>
  <c r="DI23" i="9"/>
  <c r="DD23" i="9"/>
  <c r="DC23" i="9"/>
  <c r="DU23" i="9"/>
  <c r="EP23" i="9"/>
  <c r="DB23" i="9"/>
  <c r="DR23" i="9"/>
  <c r="DW23" i="9"/>
  <c r="EQ23" i="9"/>
  <c r="DE23" i="9"/>
  <c r="DX23" i="9"/>
  <c r="DT23" i="9"/>
  <c r="EN23" i="9"/>
  <c r="EK23" i="9"/>
  <c r="EG23" i="9"/>
  <c r="EE23" i="9"/>
  <c r="CY23" i="9"/>
  <c r="DX12" i="9"/>
  <c r="DE12" i="9"/>
  <c r="EF12" i="9"/>
  <c r="DN12" i="9"/>
  <c r="DR12" i="9"/>
  <c r="DP12" i="9"/>
  <c r="CZ12" i="9"/>
  <c r="DA12" i="9"/>
  <c r="DF12" i="9"/>
  <c r="DW12" i="9"/>
  <c r="EM12" i="9"/>
  <c r="DC12" i="9"/>
  <c r="EN12" i="9"/>
  <c r="DO12" i="9"/>
  <c r="EC12" i="9"/>
  <c r="DG12" i="9"/>
  <c r="EL12" i="9"/>
  <c r="EH12" i="9"/>
  <c r="ER12" i="9"/>
  <c r="EB12" i="9"/>
  <c r="EU12" i="9"/>
  <c r="ED12" i="9"/>
  <c r="DS12" i="9"/>
  <c r="DJ12" i="9"/>
  <c r="EG12" i="9"/>
  <c r="CY12" i="9"/>
  <c r="DK12" i="9"/>
  <c r="EE12" i="9"/>
  <c r="DB12" i="9"/>
  <c r="EP12" i="9"/>
  <c r="DL12" i="9"/>
  <c r="EI12" i="9"/>
  <c r="DQ12" i="9"/>
  <c r="ET12" i="9"/>
  <c r="EA12" i="9"/>
  <c r="DU12" i="9"/>
  <c r="EQ12" i="9"/>
  <c r="DT12" i="9"/>
  <c r="EK12" i="9"/>
  <c r="DZ12" i="9"/>
  <c r="EO12" i="9"/>
  <c r="CX12" i="9"/>
  <c r="EJ12" i="9"/>
  <c r="DM12" i="9"/>
  <c r="DZ23" i="9"/>
  <c r="EO23" i="9"/>
  <c r="AP21" i="9"/>
  <c r="AR21" i="9"/>
  <c r="DI26" i="9"/>
  <c r="DB26" i="9"/>
  <c r="DW26" i="9"/>
  <c r="DS26" i="9"/>
  <c r="DE26" i="9"/>
  <c r="EB26" i="9"/>
  <c r="DO26" i="9"/>
  <c r="DT26" i="9"/>
  <c r="DK26" i="9"/>
  <c r="EN26" i="9"/>
  <c r="EL26" i="9"/>
  <c r="DP26" i="9"/>
  <c r="DQ26" i="9"/>
  <c r="DH26" i="9"/>
  <c r="DU26" i="9"/>
  <c r="EG26" i="9"/>
  <c r="DD26" i="9"/>
  <c r="EU26" i="9"/>
  <c r="ET26" i="9"/>
  <c r="DC26" i="9"/>
  <c r="EJ26" i="9"/>
  <c r="EP26" i="9"/>
  <c r="DJ26" i="9"/>
  <c r="DZ26" i="9"/>
  <c r="ED26" i="9"/>
  <c r="DV26" i="9"/>
  <c r="DM26" i="9"/>
  <c r="EF26" i="9"/>
  <c r="DX26" i="9"/>
  <c r="CZ26" i="9"/>
  <c r="CX26" i="9"/>
  <c r="EC26" i="9"/>
  <c r="DY26" i="9"/>
  <c r="EM26" i="9"/>
  <c r="DR26" i="9"/>
  <c r="EO26" i="9"/>
  <c r="EA26" i="9"/>
  <c r="EH26" i="9"/>
  <c r="DF26" i="9"/>
  <c r="DN26" i="9"/>
  <c r="EQ26" i="9"/>
  <c r="AP12" i="9"/>
  <c r="AR12" i="9"/>
  <c r="AM12" i="9"/>
  <c r="DF23" i="9"/>
  <c r="AP26" i="9"/>
  <c r="AM26" i="9"/>
  <c r="AR26" i="9"/>
  <c r="EL18" i="9"/>
  <c r="DX18" i="9"/>
  <c r="EM18" i="9"/>
  <c r="DV18" i="9"/>
  <c r="EK18" i="9"/>
  <c r="CZ18" i="9"/>
  <c r="DY18" i="9"/>
  <c r="DQ18" i="9"/>
  <c r="DM18" i="9"/>
  <c r="EC18" i="9"/>
  <c r="DA18" i="9"/>
  <c r="DP18" i="9"/>
  <c r="DJ18" i="9"/>
  <c r="CY18" i="9"/>
  <c r="DI18" i="9"/>
  <c r="EH18" i="9"/>
  <c r="EF18" i="9"/>
  <c r="DL18" i="9"/>
  <c r="DW18" i="9"/>
  <c r="DF18" i="9"/>
  <c r="EI18" i="9"/>
  <c r="DD18" i="9"/>
  <c r="EB18" i="9"/>
  <c r="ED18" i="9"/>
  <c r="DO18" i="9"/>
  <c r="DR18" i="9"/>
  <c r="EU18" i="9"/>
  <c r="DE18" i="9"/>
  <c r="ER18" i="9"/>
  <c r="DK18" i="9"/>
  <c r="DZ18" i="9"/>
  <c r="DU18" i="9"/>
  <c r="CX18" i="9"/>
  <c r="ET18" i="9"/>
  <c r="DS18" i="9"/>
  <c r="DC18" i="9"/>
  <c r="DT18" i="9"/>
  <c r="DB18" i="9"/>
  <c r="EQ18" i="9"/>
  <c r="ES18" i="9"/>
  <c r="DG18" i="9"/>
  <c r="EE18" i="9"/>
  <c r="EJ18" i="9"/>
  <c r="EA18" i="9"/>
  <c r="DN18" i="9"/>
  <c r="EN18" i="9"/>
  <c r="EP18" i="9"/>
  <c r="EG18" i="9"/>
  <c r="EO18" i="9"/>
  <c r="DO23" i="9"/>
  <c r="DE13" i="9"/>
  <c r="DZ13" i="9"/>
  <c r="DV13" i="9"/>
  <c r="EU13" i="9"/>
  <c r="EP13" i="9"/>
  <c r="DF13" i="9"/>
  <c r="DQ13" i="9"/>
  <c r="EO13" i="9"/>
  <c r="DP13" i="9"/>
  <c r="ET13" i="9"/>
  <c r="DX13" i="9"/>
  <c r="EE13" i="9"/>
  <c r="ED13" i="9"/>
  <c r="DS13" i="9"/>
  <c r="DO13" i="9"/>
  <c r="DC13" i="9"/>
  <c r="EA13" i="9"/>
  <c r="CX13" i="9"/>
  <c r="EG13" i="9"/>
  <c r="DL13" i="9"/>
  <c r="DU13" i="9"/>
  <c r="EM13" i="9"/>
  <c r="EB13" i="9"/>
  <c r="DR13" i="9"/>
  <c r="EK13" i="9"/>
  <c r="DN13" i="9"/>
  <c r="DB13" i="9"/>
  <c r="DT13" i="9"/>
  <c r="ER13" i="9"/>
  <c r="DA13" i="9"/>
  <c r="ES13" i="9"/>
  <c r="EJ13" i="9"/>
  <c r="EQ13" i="9"/>
  <c r="DW13" i="9"/>
  <c r="DG13" i="9"/>
  <c r="DK13" i="9"/>
  <c r="DJ13" i="9"/>
  <c r="EF13" i="9"/>
  <c r="EL13" i="9"/>
  <c r="DM13" i="9"/>
  <c r="CZ13" i="9"/>
  <c r="DI13" i="9"/>
  <c r="EO21" i="9"/>
  <c r="DL21" i="9"/>
  <c r="ES21" i="9"/>
  <c r="DS21" i="9"/>
  <c r="EB21" i="9"/>
  <c r="EH21" i="9"/>
  <c r="ER21" i="9"/>
  <c r="DJ21" i="9"/>
  <c r="CX21" i="9"/>
  <c r="EQ21" i="9"/>
  <c r="DC21" i="9"/>
  <c r="EE21" i="9"/>
  <c r="EL21" i="9"/>
  <c r="EC21" i="9"/>
  <c r="DR21" i="9"/>
  <c r="EJ21" i="9"/>
  <c r="DV21" i="9"/>
  <c r="DM21" i="9"/>
  <c r="DO21" i="9"/>
  <c r="DQ21" i="9"/>
  <c r="DK21" i="9"/>
  <c r="EN21" i="9"/>
  <c r="EP21" i="9"/>
  <c r="EM21" i="9"/>
  <c r="DB21" i="9"/>
  <c r="DX21" i="9"/>
  <c r="DW21" i="9"/>
  <c r="ET21" i="9"/>
  <c r="DU21" i="9"/>
  <c r="DT21" i="9"/>
  <c r="EF21" i="9"/>
  <c r="DZ21" i="9"/>
  <c r="DI21" i="9"/>
  <c r="EG21" i="9"/>
  <c r="ED21" i="9"/>
  <c r="EA21" i="9"/>
  <c r="DY21" i="9"/>
  <c r="CY21" i="9"/>
  <c r="EI21" i="9"/>
  <c r="DF21" i="9"/>
  <c r="DA21" i="9"/>
  <c r="DP21" i="9"/>
  <c r="DN21" i="9"/>
  <c r="DD21" i="9"/>
  <c r="DH21" i="9"/>
  <c r="DG21" i="9"/>
  <c r="CZ21" i="9"/>
  <c r="EK21" i="9"/>
  <c r="EU21" i="9"/>
  <c r="DE21" i="9"/>
  <c r="EK20" i="9"/>
  <c r="EN20" i="9"/>
  <c r="DC20" i="9"/>
  <c r="EJ20" i="9"/>
  <c r="CY20" i="9"/>
  <c r="DM20" i="9"/>
  <c r="DX20" i="9"/>
  <c r="DO20" i="9"/>
  <c r="CX20" i="9"/>
  <c r="ES20" i="9"/>
  <c r="EI20" i="9"/>
  <c r="EE20" i="9"/>
  <c r="EC20" i="9"/>
  <c r="ER20" i="9"/>
  <c r="DR20" i="9"/>
  <c r="EU20" i="9"/>
  <c r="DA20" i="9"/>
  <c r="DK20" i="9"/>
  <c r="EG20" i="9"/>
  <c r="DT20" i="9"/>
  <c r="EA20" i="9"/>
  <c r="EF20" i="9"/>
  <c r="DS20" i="9"/>
  <c r="EQ20" i="9"/>
  <c r="EB20" i="9"/>
  <c r="EP20" i="9"/>
  <c r="EL20" i="9"/>
  <c r="DV20" i="9"/>
  <c r="EH20" i="9"/>
  <c r="DU20" i="9"/>
  <c r="DB20" i="9"/>
  <c r="DF20" i="9"/>
  <c r="DZ20" i="9"/>
  <c r="ED20" i="9"/>
  <c r="DL20" i="9"/>
  <c r="DQ20" i="9"/>
  <c r="EO20" i="9"/>
  <c r="DE20" i="9"/>
  <c r="DP20" i="9"/>
  <c r="DG20" i="9"/>
  <c r="DY20" i="9"/>
  <c r="EM20" i="9"/>
  <c r="ET20" i="9"/>
  <c r="CZ20" i="9"/>
  <c r="DD20" i="9"/>
  <c r="DN20" i="9"/>
  <c r="DH13" i="9"/>
  <c r="CY13" i="9"/>
  <c r="EI13" i="9"/>
  <c r="EC13" i="9"/>
  <c r="EH13" i="9"/>
  <c r="DD13" i="9"/>
  <c r="DY13" i="9"/>
  <c r="B185" i="7"/>
  <c r="DH20" i="9" s="1"/>
  <c r="B185" i="8"/>
  <c r="DJ20" i="9" l="1"/>
  <c r="FA7" i="9"/>
  <c r="FB7" i="9" s="1"/>
  <c r="FC7" i="9" s="1"/>
  <c r="FD7" i="9" s="1"/>
  <c r="FE7" i="9" s="1"/>
  <c r="FF7" i="9" s="1"/>
  <c r="FG7" i="9" s="1"/>
  <c r="FH7" i="9" s="1"/>
  <c r="FI7" i="9" s="1"/>
  <c r="FJ7" i="9" s="1"/>
  <c r="FK7" i="9" s="1"/>
  <c r="FL7" i="9" s="1"/>
  <c r="FM7" i="9" s="1"/>
  <c r="FN7" i="9" s="1"/>
  <c r="FO7" i="9" s="1"/>
  <c r="FP7" i="9" s="1"/>
  <c r="FQ7" i="9" s="1"/>
  <c r="FR7" i="9" s="1"/>
  <c r="FS7" i="9" s="1"/>
  <c r="FT7" i="9" s="1"/>
  <c r="FU7" i="9" s="1"/>
  <c r="FV7" i="9" s="1"/>
  <c r="FW7" i="9" s="1"/>
  <c r="FX7" i="9" s="1"/>
  <c r="FY7" i="9" s="1"/>
  <c r="FZ7" i="9" s="1"/>
  <c r="GA7" i="9" s="1"/>
  <c r="GB7" i="9" s="1"/>
  <c r="GC7" i="9" s="1"/>
  <c r="GD7" i="9" s="1"/>
  <c r="GE7" i="9" s="1"/>
  <c r="GF7" i="9" s="1"/>
  <c r="GG7" i="9" s="1"/>
  <c r="GH7" i="9" s="1"/>
  <c r="GI7" i="9" s="1"/>
  <c r="GJ7" i="9" s="1"/>
  <c r="GK7" i="9" s="1"/>
  <c r="GL7" i="9" s="1"/>
  <c r="GM7" i="9" s="1"/>
  <c r="GN7" i="9" s="1"/>
  <c r="GO7" i="9" s="1"/>
  <c r="GP7" i="9" s="1"/>
  <c r="GQ7" i="9" s="1"/>
  <c r="GR7" i="9" s="1"/>
  <c r="GS7" i="9" s="1"/>
  <c r="GT7" i="9" s="1"/>
  <c r="GU7" i="9" s="1"/>
  <c r="GV7" i="9" s="1"/>
  <c r="GW7" i="9" s="1"/>
  <c r="GX7" i="9" s="1"/>
  <c r="GY7" i="9" s="1"/>
  <c r="GZ7" i="9" s="1"/>
  <c r="HA7" i="9" s="1"/>
  <c r="HB7" i="9" s="1"/>
  <c r="HC7" i="9" s="1"/>
  <c r="HD7" i="9" s="1"/>
  <c r="HE7" i="9" s="1"/>
  <c r="HF7" i="9" s="1"/>
  <c r="HG7" i="9" s="1"/>
  <c r="HH7" i="9" s="1"/>
  <c r="HI7" i="9" s="1"/>
  <c r="HJ7" i="9" s="1"/>
  <c r="HK7" i="9" s="1"/>
  <c r="HL7" i="9" s="1"/>
  <c r="HM7" i="9" s="1"/>
  <c r="HN7" i="9" s="1"/>
  <c r="HO7" i="9" s="1"/>
  <c r="HP7" i="9" s="1"/>
  <c r="HQ7" i="9" s="1"/>
  <c r="HR7" i="9" s="1"/>
  <c r="HS7" i="9" s="1"/>
  <c r="HT7" i="9" s="1"/>
  <c r="HU7" i="9" s="1"/>
  <c r="HV7" i="9" s="1"/>
  <c r="HW7" i="9" s="1"/>
  <c r="HX7" i="9" s="1"/>
  <c r="HY7" i="9" s="1"/>
  <c r="HZ7" i="9" s="1"/>
  <c r="IA7" i="9" s="1"/>
  <c r="IB7" i="9" s="1"/>
  <c r="IC7" i="9" s="1"/>
  <c r="ID7" i="9" s="1"/>
  <c r="IE7" i="9" s="1"/>
  <c r="IF7" i="9" s="1"/>
  <c r="IG7" i="9" s="1"/>
  <c r="IH7" i="9" s="1"/>
  <c r="II7" i="9" s="1"/>
  <c r="IJ7" i="9" s="1"/>
  <c r="IK7" i="9" s="1"/>
  <c r="IL7" i="9" s="1"/>
  <c r="IM7" i="9" s="1"/>
  <c r="IN7" i="9" s="1"/>
  <c r="IO7" i="9" s="1"/>
  <c r="IP7" i="9" s="1"/>
  <c r="IQ7" i="9" s="1"/>
  <c r="IR7" i="9" s="1"/>
  <c r="DI20" i="9"/>
  <c r="CJ13" i="9"/>
  <c r="CJ12" i="9"/>
  <c r="CJ11" i="9"/>
  <c r="CJ27" i="9"/>
  <c r="CJ10" i="9"/>
  <c r="CJ26" i="9"/>
  <c r="CJ25" i="9"/>
  <c r="CJ24" i="9"/>
  <c r="CJ23" i="9"/>
  <c r="CJ22" i="9"/>
  <c r="CJ21" i="9"/>
  <c r="CJ20" i="9"/>
  <c r="CJ19" i="9"/>
  <c r="CJ18" i="9"/>
  <c r="CJ17" i="9"/>
  <c r="AT25" i="1"/>
  <c r="AT26" i="1"/>
  <c r="AT27" i="1"/>
  <c r="CI13" i="9" l="1"/>
  <c r="CI12" i="9"/>
  <c r="CI11" i="9"/>
  <c r="CI27" i="9"/>
  <c r="CI10" i="9"/>
  <c r="CI26" i="9"/>
  <c r="CI25" i="9"/>
  <c r="CI24" i="9"/>
  <c r="CI23" i="9"/>
  <c r="CI22" i="9"/>
  <c r="CI21" i="9"/>
  <c r="CI20" i="9"/>
  <c r="CI19" i="9"/>
  <c r="CI18" i="9"/>
  <c r="CI17" i="9"/>
  <c r="AQ18" i="1"/>
  <c r="CH13" i="9" l="1"/>
  <c r="CH12" i="9"/>
  <c r="CH11" i="9"/>
  <c r="CH27" i="9"/>
  <c r="CH10" i="9"/>
  <c r="CH26" i="9"/>
  <c r="CH25" i="9"/>
  <c r="CH24" i="9"/>
  <c r="CH23" i="9"/>
  <c r="CH22" i="9"/>
  <c r="CH21" i="9"/>
  <c r="CH20" i="9"/>
  <c r="CH19" i="9"/>
  <c r="CH18" i="9"/>
  <c r="CH17" i="9"/>
  <c r="AL21" i="1"/>
  <c r="AL18" i="1"/>
  <c r="AL16" i="1"/>
  <c r="AL15" i="1"/>
  <c r="AL14" i="1"/>
  <c r="AL13" i="1"/>
  <c r="AL6" i="1"/>
  <c r="AL4" i="1"/>
  <c r="AL26" i="1"/>
  <c r="AL25" i="1"/>
  <c r="AL24" i="1"/>
  <c r="AL23" i="1"/>
  <c r="AL22" i="1"/>
  <c r="AL20" i="1"/>
  <c r="AL19" i="1"/>
  <c r="AL17" i="1"/>
  <c r="AL12" i="1"/>
  <c r="AL11" i="1"/>
  <c r="AL10" i="1"/>
  <c r="AL9" i="1"/>
  <c r="AL8" i="1"/>
  <c r="AL7" i="1"/>
  <c r="AL5" i="1"/>
  <c r="CG13" i="9" l="1"/>
  <c r="CG12" i="9"/>
  <c r="CG11" i="9"/>
  <c r="CG27" i="9"/>
  <c r="CG10" i="9"/>
  <c r="CG26" i="9"/>
  <c r="CG25" i="9"/>
  <c r="CG24" i="9"/>
  <c r="CG23" i="9"/>
  <c r="CG22" i="9"/>
  <c r="CG21" i="9"/>
  <c r="CG20" i="9"/>
  <c r="CG19" i="9"/>
  <c r="CG18" i="9"/>
  <c r="CG17" i="9"/>
  <c r="AM12" i="1"/>
  <c r="AP12" i="1"/>
  <c r="AR12" i="1"/>
  <c r="AM18" i="1"/>
  <c r="AR18" i="1"/>
  <c r="AP18" i="1"/>
  <c r="AM25" i="1"/>
  <c r="AP25" i="1"/>
  <c r="AR25" i="1"/>
  <c r="AM10" i="1"/>
  <c r="AR10" i="1"/>
  <c r="AP10" i="1"/>
  <c r="AM16" i="1"/>
  <c r="AP16" i="1"/>
  <c r="AR16" i="1"/>
  <c r="AM24" i="1"/>
  <c r="AP24" i="1"/>
  <c r="AR24" i="1"/>
  <c r="AM15" i="1"/>
  <c r="AP15" i="1"/>
  <c r="AR15" i="1"/>
  <c r="AM9" i="1"/>
  <c r="AP9" i="1"/>
  <c r="AR9" i="1"/>
  <c r="AM23" i="1"/>
  <c r="AR23" i="1"/>
  <c r="AP23" i="1"/>
  <c r="AM14" i="1"/>
  <c r="AP14" i="1"/>
  <c r="AR14" i="1"/>
  <c r="AM26" i="1"/>
  <c r="AR26" i="1"/>
  <c r="AP26" i="1"/>
  <c r="AM11" i="1"/>
  <c r="AR11" i="1"/>
  <c r="AP11" i="1"/>
  <c r="AM8" i="1"/>
  <c r="AR8" i="1"/>
  <c r="AP8" i="1"/>
  <c r="AM7" i="1"/>
  <c r="AP7" i="1"/>
  <c r="AR7" i="1"/>
  <c r="AM22" i="1"/>
  <c r="AP22" i="1"/>
  <c r="AR22" i="1"/>
  <c r="AM13" i="1"/>
  <c r="AP13" i="1"/>
  <c r="AR13" i="1"/>
  <c r="AM20" i="1"/>
  <c r="AP20" i="1"/>
  <c r="AR20" i="1"/>
  <c r="AM19" i="1"/>
  <c r="AR19" i="1"/>
  <c r="AP19" i="1"/>
  <c r="AM5" i="1"/>
  <c r="AP5" i="1"/>
  <c r="AR5" i="1"/>
  <c r="AM6" i="1"/>
  <c r="AP6" i="1"/>
  <c r="AR6" i="1"/>
  <c r="AM4" i="1"/>
  <c r="AP4" i="1"/>
  <c r="AR4" i="1"/>
  <c r="AM17" i="1"/>
  <c r="AP17" i="1"/>
  <c r="AR17" i="1"/>
  <c r="AM21" i="1"/>
  <c r="AP21" i="1"/>
  <c r="AR21" i="1"/>
  <c r="AU27" i="1"/>
  <c r="AL27" i="1"/>
  <c r="BJ27" i="1"/>
  <c r="BZ27" i="1"/>
  <c r="CP27" i="1"/>
  <c r="BK27" i="1"/>
  <c r="CA27" i="1"/>
  <c r="CQ27" i="1"/>
  <c r="AW27" i="1"/>
  <c r="CD27" i="1"/>
  <c r="CJ27" i="1"/>
  <c r="BE27" i="1"/>
  <c r="BV27" i="1"/>
  <c r="CM27" i="1"/>
  <c r="BH27" i="1"/>
  <c r="AY27" i="1"/>
  <c r="BO27" i="1"/>
  <c r="CE27" i="1"/>
  <c r="BW27" i="1"/>
  <c r="CN27" i="1"/>
  <c r="AV27" i="1"/>
  <c r="BL27" i="1"/>
  <c r="CB27" i="1"/>
  <c r="CR27" i="1"/>
  <c r="BM27" i="1"/>
  <c r="CC27" i="1"/>
  <c r="AX27" i="1"/>
  <c r="BN27" i="1"/>
  <c r="BD27" i="1"/>
  <c r="CK27" i="1"/>
  <c r="BF27" i="1"/>
  <c r="BG27" i="1"/>
  <c r="CO27" i="1"/>
  <c r="AZ27" i="1"/>
  <c r="BP27" i="1"/>
  <c r="CF27" i="1"/>
  <c r="BA27" i="1"/>
  <c r="BQ27" i="1"/>
  <c r="CG27" i="1"/>
  <c r="BB27" i="1"/>
  <c r="BR27" i="1"/>
  <c r="CH27" i="1"/>
  <c r="BC27" i="1"/>
  <c r="BS27" i="1"/>
  <c r="CI27" i="1"/>
  <c r="BT27" i="1"/>
  <c r="BU27" i="1"/>
  <c r="CL27" i="1"/>
  <c r="BX27" i="1"/>
  <c r="BI27" i="1"/>
  <c r="BY27" i="1"/>
  <c r="AN12" i="1"/>
  <c r="AO12" i="1" s="1"/>
  <c r="AN26" i="1"/>
  <c r="AO26" i="1" s="1"/>
  <c r="AN18" i="1"/>
  <c r="AO18" i="1" s="1"/>
  <c r="AN27" i="1"/>
  <c r="AO27" i="1" s="1"/>
  <c r="AN17" i="1"/>
  <c r="AO17" i="1" s="1"/>
  <c r="AN21" i="1"/>
  <c r="AO21" i="1" s="1"/>
  <c r="AN11" i="1"/>
  <c r="AO11" i="1" s="1"/>
  <c r="AN25" i="1"/>
  <c r="AO25" i="1" s="1"/>
  <c r="AN4" i="1"/>
  <c r="AO4" i="1" s="1"/>
  <c r="AN22" i="1"/>
  <c r="AO22" i="1" s="1"/>
  <c r="AN20" i="1"/>
  <c r="AO20" i="1" s="1"/>
  <c r="AN5" i="1"/>
  <c r="AO5" i="1" s="1"/>
  <c r="AN6" i="1"/>
  <c r="AO6" i="1" s="1"/>
  <c r="AN19" i="1"/>
  <c r="AO19" i="1" s="1"/>
  <c r="AN8" i="1"/>
  <c r="AO8" i="1" s="1"/>
  <c r="AN9" i="1"/>
  <c r="AO9" i="1" s="1"/>
  <c r="AN23" i="1"/>
  <c r="AO23" i="1" s="1"/>
  <c r="AN14" i="1"/>
  <c r="AO14" i="1" s="1"/>
  <c r="AN13" i="1"/>
  <c r="AO13" i="1" s="1"/>
  <c r="AN7" i="1"/>
  <c r="AO7" i="1" s="1"/>
  <c r="AN24" i="1"/>
  <c r="AO24" i="1" s="1"/>
  <c r="AN15" i="1"/>
  <c r="AO15" i="1" s="1"/>
  <c r="AN10" i="1"/>
  <c r="AO10" i="1" s="1"/>
  <c r="AN16" i="1"/>
  <c r="AO16" i="1" s="1"/>
  <c r="CF17" i="9" l="1"/>
  <c r="CF13" i="9"/>
  <c r="CF12" i="9"/>
  <c r="CF11" i="9"/>
  <c r="CF27" i="9"/>
  <c r="CF10" i="9"/>
  <c r="CF26" i="9"/>
  <c r="CF25" i="9"/>
  <c r="CF24" i="9"/>
  <c r="CF23" i="9"/>
  <c r="CF22" i="9"/>
  <c r="CF21" i="9"/>
  <c r="CF20" i="9"/>
  <c r="CF19" i="9"/>
  <c r="CF18" i="9"/>
  <c r="GP17" i="1"/>
  <c r="GP24" i="1"/>
  <c r="GP9" i="1"/>
  <c r="GP23" i="1"/>
  <c r="GP8" i="1"/>
  <c r="GP7" i="1"/>
  <c r="GP16" i="1"/>
  <c r="GP15" i="1"/>
  <c r="GP14" i="1"/>
  <c r="GP22" i="1"/>
  <c r="GP13" i="1"/>
  <c r="GP21" i="1"/>
  <c r="GP6" i="1"/>
  <c r="GP20" i="1"/>
  <c r="GP5" i="1"/>
  <c r="GP4" i="1"/>
  <c r="GP12" i="1"/>
  <c r="GP19" i="1"/>
  <c r="GP11" i="1"/>
  <c r="GP27" i="1"/>
  <c r="GP10" i="1"/>
  <c r="GP18" i="1"/>
  <c r="GP26" i="1"/>
  <c r="GP25" i="1"/>
  <c r="AM27" i="1"/>
  <c r="AR27" i="1"/>
  <c r="AP27" i="1"/>
  <c r="CE18" i="9" l="1"/>
  <c r="CE17" i="9"/>
  <c r="CE13" i="9"/>
  <c r="CE12" i="9"/>
  <c r="CE11" i="9"/>
  <c r="CE27" i="9"/>
  <c r="CE10" i="9"/>
  <c r="CE26" i="9"/>
  <c r="CE25" i="9"/>
  <c r="CE24" i="9"/>
  <c r="CE23" i="9"/>
  <c r="CE22" i="9"/>
  <c r="CE21" i="9"/>
  <c r="CE20" i="9"/>
  <c r="CE19" i="9"/>
  <c r="CD19" i="9" l="1"/>
  <c r="CD18" i="9"/>
  <c r="CD17" i="9"/>
  <c r="CD13" i="9"/>
  <c r="CD12" i="9"/>
  <c r="CD11" i="9"/>
  <c r="CD27" i="9"/>
  <c r="CD10" i="9"/>
  <c r="CD26" i="9"/>
  <c r="CD25" i="9"/>
  <c r="CD24" i="9"/>
  <c r="CD23" i="9"/>
  <c r="CD22" i="9"/>
  <c r="CD21" i="9"/>
  <c r="CD20" i="9"/>
  <c r="CC20" i="9" l="1"/>
  <c r="CC19" i="9"/>
  <c r="CC18" i="9"/>
  <c r="CC17" i="9"/>
  <c r="CC13" i="9"/>
  <c r="CC12" i="9"/>
  <c r="CC11" i="9"/>
  <c r="CC27" i="9"/>
  <c r="CC10" i="9"/>
  <c r="CC26" i="9"/>
  <c r="CC25" i="9"/>
  <c r="CC24" i="9"/>
  <c r="CC23" i="9"/>
  <c r="CC22" i="9"/>
  <c r="CC21" i="9"/>
  <c r="CB21" i="9" l="1"/>
  <c r="CB20" i="9"/>
  <c r="CB19" i="9"/>
  <c r="CB18" i="9"/>
  <c r="CB17" i="9"/>
  <c r="CB13" i="9"/>
  <c r="CB12" i="9"/>
  <c r="CB11" i="9"/>
  <c r="CB27" i="9"/>
  <c r="CB10" i="9"/>
  <c r="CB26" i="9"/>
  <c r="CB25" i="9"/>
  <c r="CB24" i="9"/>
  <c r="CB23" i="9"/>
  <c r="CB22" i="9"/>
  <c r="CA22" i="9" l="1"/>
  <c r="CA21" i="9"/>
  <c r="CA20" i="9"/>
  <c r="CA19" i="9"/>
  <c r="CA18" i="9"/>
  <c r="CA17" i="9"/>
  <c r="CA13" i="9"/>
  <c r="CA12" i="9"/>
  <c r="CA11" i="9"/>
  <c r="CA27" i="9"/>
  <c r="CA10" i="9"/>
  <c r="CA26" i="9"/>
  <c r="CA25" i="9"/>
  <c r="CA24" i="9"/>
  <c r="CA23" i="9"/>
  <c r="BZ23" i="9" l="1"/>
  <c r="BZ22" i="9"/>
  <c r="BZ21" i="9"/>
  <c r="BZ20" i="9"/>
  <c r="BZ19" i="9"/>
  <c r="BZ18" i="9"/>
  <c r="BZ17" i="9"/>
  <c r="BZ13" i="9"/>
  <c r="BZ12" i="9"/>
  <c r="BZ11" i="9"/>
  <c r="BZ27" i="9"/>
  <c r="BZ10" i="9"/>
  <c r="BZ26" i="9"/>
  <c r="BZ25" i="9"/>
  <c r="BZ24" i="9"/>
  <c r="BY24" i="9" l="1"/>
  <c r="BY23" i="9"/>
  <c r="BY22" i="9"/>
  <c r="BY21" i="9"/>
  <c r="BY20" i="9"/>
  <c r="BY19" i="9"/>
  <c r="BY18" i="9"/>
  <c r="BY17" i="9"/>
  <c r="BY13" i="9"/>
  <c r="BY12" i="9"/>
  <c r="BY11" i="9"/>
  <c r="BY27" i="9"/>
  <c r="BY10" i="9"/>
  <c r="BY26" i="9"/>
  <c r="BY25" i="9"/>
  <c r="BX25" i="9" l="1"/>
  <c r="BX24" i="9"/>
  <c r="BX23" i="9"/>
  <c r="BX22" i="9"/>
  <c r="BX21" i="9"/>
  <c r="BX20" i="9"/>
  <c r="BX19" i="9"/>
  <c r="BX18" i="9"/>
  <c r="BX17" i="9"/>
  <c r="BX13" i="9"/>
  <c r="BX12" i="9"/>
  <c r="BX11" i="9"/>
  <c r="BX27" i="9"/>
  <c r="BX10" i="9"/>
  <c r="BX26" i="9"/>
  <c r="BW10" i="9" l="1"/>
  <c r="BW26" i="9"/>
  <c r="BW25" i="9"/>
  <c r="BW24" i="9"/>
  <c r="BW23" i="9"/>
  <c r="BW22" i="9"/>
  <c r="BW21" i="9"/>
  <c r="BW20" i="9"/>
  <c r="BW19" i="9"/>
  <c r="BW18" i="9"/>
  <c r="BW17" i="9"/>
  <c r="BW13" i="9"/>
  <c r="BW12" i="9"/>
  <c r="BW11" i="9"/>
  <c r="BW27" i="9"/>
  <c r="BV11" i="9" l="1"/>
  <c r="BV27" i="9"/>
  <c r="BV10" i="9"/>
  <c r="BV26" i="9"/>
  <c r="BV25" i="9"/>
  <c r="BV24" i="9"/>
  <c r="BV23" i="9"/>
  <c r="BV22" i="9"/>
  <c r="BV21" i="9"/>
  <c r="BV20" i="9"/>
  <c r="BV19" i="9"/>
  <c r="BV18" i="9"/>
  <c r="BV17" i="9"/>
  <c r="BV13" i="9"/>
  <c r="BV12" i="9"/>
  <c r="BU12" i="9" l="1"/>
  <c r="BU11" i="9"/>
  <c r="BU27" i="9"/>
  <c r="BU10" i="9"/>
  <c r="BU26" i="9"/>
  <c r="BU25" i="9"/>
  <c r="BU24" i="9"/>
  <c r="BU23" i="9"/>
  <c r="BU22" i="9"/>
  <c r="BU21" i="9"/>
  <c r="BU20" i="9"/>
  <c r="BU19" i="9"/>
  <c r="BU18" i="9"/>
  <c r="BU17" i="9"/>
  <c r="BU13" i="9"/>
  <c r="BT13" i="9" l="1"/>
  <c r="BT12" i="9"/>
  <c r="BT11" i="9"/>
  <c r="BT27" i="9"/>
  <c r="BT10" i="9"/>
  <c r="BT26" i="9"/>
  <c r="BT25" i="9"/>
  <c r="BT24" i="9"/>
  <c r="BT23" i="9"/>
  <c r="BT22" i="9"/>
  <c r="BT21" i="9"/>
  <c r="BT20" i="9"/>
  <c r="BT19" i="9"/>
  <c r="BT18" i="9"/>
  <c r="BT17" i="9"/>
  <c r="BS13" i="9" l="1"/>
  <c r="BS12" i="9"/>
  <c r="BS11" i="9"/>
  <c r="BS27" i="9"/>
  <c r="BS10" i="9"/>
  <c r="BS26" i="9"/>
  <c r="BS25" i="9"/>
  <c r="BS24" i="9"/>
  <c r="BS23" i="9"/>
  <c r="BS22" i="9"/>
  <c r="BS21" i="9"/>
  <c r="BS20" i="9"/>
  <c r="BS19" i="9"/>
  <c r="BS18" i="9"/>
  <c r="BS17" i="9"/>
  <c r="BR13" i="9" l="1"/>
  <c r="BR12" i="9"/>
  <c r="BR11" i="9"/>
  <c r="BR27" i="9"/>
  <c r="BR10" i="9"/>
  <c r="BR26" i="9"/>
  <c r="BR25" i="9"/>
  <c r="BR24" i="9"/>
  <c r="BR23" i="9"/>
  <c r="BR22" i="9"/>
  <c r="BR21" i="9"/>
  <c r="BR20" i="9"/>
  <c r="BR19" i="9"/>
  <c r="BR18" i="9"/>
  <c r="BR17" i="9"/>
  <c r="BQ13" i="9" l="1"/>
  <c r="BQ12" i="9"/>
  <c r="BQ11" i="9"/>
  <c r="BQ27" i="9"/>
  <c r="BQ10" i="9"/>
  <c r="BQ26" i="9"/>
  <c r="BQ25" i="9"/>
  <c r="BQ24" i="9"/>
  <c r="BQ23" i="9"/>
  <c r="BQ22" i="9"/>
  <c r="BQ21" i="9"/>
  <c r="BQ20" i="9"/>
  <c r="BQ19" i="9"/>
  <c r="BQ18" i="9"/>
  <c r="BQ17" i="9"/>
  <c r="BP17" i="9" l="1"/>
  <c r="BP13" i="9"/>
  <c r="BP12" i="9"/>
  <c r="BP11" i="9"/>
  <c r="BP27" i="9"/>
  <c r="BP10" i="9"/>
  <c r="BP26" i="9"/>
  <c r="BP25" i="9"/>
  <c r="BP24" i="9"/>
  <c r="BP23" i="9"/>
  <c r="BP22" i="9"/>
  <c r="BP21" i="9"/>
  <c r="BP20" i="9"/>
  <c r="BP19" i="9"/>
  <c r="BP18" i="9"/>
  <c r="BO18" i="9" l="1"/>
  <c r="BO17" i="9"/>
  <c r="BO13" i="9"/>
  <c r="BO12" i="9"/>
  <c r="BO11" i="9"/>
  <c r="BO27" i="9"/>
  <c r="BO10" i="9"/>
  <c r="BO26" i="9"/>
  <c r="BO25" i="9"/>
  <c r="BO24" i="9"/>
  <c r="BO23" i="9"/>
  <c r="BO22" i="9"/>
  <c r="BO21" i="9"/>
  <c r="BO20" i="9"/>
  <c r="BO19" i="9"/>
  <c r="BN19" i="9" l="1"/>
  <c r="BN18" i="9"/>
  <c r="BN17" i="9"/>
  <c r="BN13" i="9"/>
  <c r="BN12" i="9"/>
  <c r="BN11" i="9"/>
  <c r="BN27" i="9"/>
  <c r="BN10" i="9"/>
  <c r="BN26" i="9"/>
  <c r="BN25" i="9"/>
  <c r="BN24" i="9"/>
  <c r="BN23" i="9"/>
  <c r="BN22" i="9"/>
  <c r="BN21" i="9"/>
  <c r="BN20" i="9"/>
  <c r="BM20" i="9" l="1"/>
  <c r="BM19" i="9"/>
  <c r="BM18" i="9"/>
  <c r="BM17" i="9"/>
  <c r="BM13" i="9"/>
  <c r="BM12" i="9"/>
  <c r="BM11" i="9"/>
  <c r="BM27" i="9"/>
  <c r="BM10" i="9"/>
  <c r="BM26" i="9"/>
  <c r="BM25" i="9"/>
  <c r="BM24" i="9"/>
  <c r="BM23" i="9"/>
  <c r="BM22" i="9"/>
  <c r="BM21" i="9"/>
  <c r="BL21" i="9" l="1"/>
  <c r="BL20" i="9"/>
  <c r="BL19" i="9"/>
  <c r="BL18" i="9"/>
  <c r="BL17" i="9"/>
  <c r="BL13" i="9"/>
  <c r="BL12" i="9"/>
  <c r="BL11" i="9"/>
  <c r="BL27" i="9"/>
  <c r="BL10" i="9"/>
  <c r="BL26" i="9"/>
  <c r="BL25" i="9"/>
  <c r="BL24" i="9"/>
  <c r="BL23" i="9"/>
  <c r="BL22" i="9"/>
  <c r="BK22" i="9" l="1"/>
  <c r="BK21" i="9"/>
  <c r="BK20" i="9"/>
  <c r="BK19" i="9"/>
  <c r="BK18" i="9"/>
  <c r="BK17" i="9"/>
  <c r="BK13" i="9"/>
  <c r="BK12" i="9"/>
  <c r="BK11" i="9"/>
  <c r="BK27" i="9"/>
  <c r="BK10" i="9"/>
  <c r="BK26" i="9"/>
  <c r="BK25" i="9"/>
  <c r="BK24" i="9"/>
  <c r="BK23" i="9"/>
  <c r="BJ23" i="9" l="1"/>
  <c r="BJ22" i="9"/>
  <c r="BJ21" i="9"/>
  <c r="BJ20" i="9"/>
  <c r="BJ19" i="9"/>
  <c r="BJ18" i="9"/>
  <c r="BJ17" i="9"/>
  <c r="BJ13" i="9"/>
  <c r="BJ12" i="9"/>
  <c r="BJ11" i="9"/>
  <c r="BJ27" i="9"/>
  <c r="BJ10" i="9"/>
  <c r="BJ26" i="9"/>
  <c r="BJ25" i="9"/>
  <c r="BJ24" i="9"/>
  <c r="BI24" i="9" l="1"/>
  <c r="BI23" i="9"/>
  <c r="BI22" i="9"/>
  <c r="BI21" i="9"/>
  <c r="BI20" i="9"/>
  <c r="BI19" i="9"/>
  <c r="BI18" i="9"/>
  <c r="BI17" i="9"/>
  <c r="BI13" i="9"/>
  <c r="BI12" i="9"/>
  <c r="BI11" i="9"/>
  <c r="BI27" i="9"/>
  <c r="BI10" i="9"/>
  <c r="BI26" i="9"/>
  <c r="BI25" i="9"/>
  <c r="BH25" i="9" l="1"/>
  <c r="BH24" i="9"/>
  <c r="BH23" i="9"/>
  <c r="BH22" i="9"/>
  <c r="BH21" i="9"/>
  <c r="BH20" i="9"/>
  <c r="BH19" i="9"/>
  <c r="BH18" i="9"/>
  <c r="BH17" i="9"/>
  <c r="BH13" i="9"/>
  <c r="BH12" i="9"/>
  <c r="BH11" i="9"/>
  <c r="BH27" i="9"/>
  <c r="BH10" i="9"/>
  <c r="BH26" i="9"/>
  <c r="BG10" i="9" l="1"/>
  <c r="BG26" i="9"/>
  <c r="BG25" i="9"/>
  <c r="BG24" i="9"/>
  <c r="BG23" i="9"/>
  <c r="BG22" i="9"/>
  <c r="BG21" i="9"/>
  <c r="BG20" i="9"/>
  <c r="BG19" i="9"/>
  <c r="BG18" i="9"/>
  <c r="BG17" i="9"/>
  <c r="BG13" i="9"/>
  <c r="BG12" i="9"/>
  <c r="BG11" i="9"/>
  <c r="BG27" i="9"/>
  <c r="BF11" i="9" l="1"/>
  <c r="BF27" i="9"/>
  <c r="BF10" i="9"/>
  <c r="BF26" i="9"/>
  <c r="BF25" i="9"/>
  <c r="BF24" i="9"/>
  <c r="BF23" i="9"/>
  <c r="BF22" i="9"/>
  <c r="BF21" i="9"/>
  <c r="BF20" i="9"/>
  <c r="BF19" i="9"/>
  <c r="BF18" i="9"/>
  <c r="BF17" i="9"/>
  <c r="BF13" i="9"/>
  <c r="BF12" i="9"/>
  <c r="BE12" i="9" l="1"/>
  <c r="BE11" i="9"/>
  <c r="BE27" i="9"/>
  <c r="BE10" i="9"/>
  <c r="BE26" i="9"/>
  <c r="BE25" i="9"/>
  <c r="BE24" i="9"/>
  <c r="BE23" i="9"/>
  <c r="BE22" i="9"/>
  <c r="BE21" i="9"/>
  <c r="BE20" i="9"/>
  <c r="BE19" i="9"/>
  <c r="BE18" i="9"/>
  <c r="BE17" i="9"/>
  <c r="BE13" i="9"/>
  <c r="BD13" i="9" l="1"/>
  <c r="BD12" i="9"/>
  <c r="BD11" i="9"/>
  <c r="BD27" i="9"/>
  <c r="BD10" i="9"/>
  <c r="BD26" i="9"/>
  <c r="BD25" i="9"/>
  <c r="BD24" i="9"/>
  <c r="BD23" i="9"/>
  <c r="BD22" i="9"/>
  <c r="BD21" i="9"/>
  <c r="BD20" i="9"/>
  <c r="BD19" i="9"/>
  <c r="BD18" i="9"/>
  <c r="BD17" i="9"/>
  <c r="BC13" i="9" l="1"/>
  <c r="BC12" i="9"/>
  <c r="BC11" i="9"/>
  <c r="BC27" i="9"/>
  <c r="BC10" i="9"/>
  <c r="BC26" i="9"/>
  <c r="BC25" i="9"/>
  <c r="BC24" i="9"/>
  <c r="BC23" i="9"/>
  <c r="BC22" i="9"/>
  <c r="BC21" i="9"/>
  <c r="BC20" i="9"/>
  <c r="BC19" i="9"/>
  <c r="BC18" i="9"/>
  <c r="BC17" i="9"/>
  <c r="BB13" i="9" l="1"/>
  <c r="BB12" i="9"/>
  <c r="BB11" i="9"/>
  <c r="BB27" i="9"/>
  <c r="BB10" i="9"/>
  <c r="BB26" i="9"/>
  <c r="BB25" i="9"/>
  <c r="BB24" i="9"/>
  <c r="BB23" i="9"/>
  <c r="BB22" i="9"/>
  <c r="BB21" i="9"/>
  <c r="BB20" i="9"/>
  <c r="BB19" i="9"/>
  <c r="BB18" i="9"/>
  <c r="BB17" i="9"/>
  <c r="BA13" i="9" l="1"/>
  <c r="BA12" i="9"/>
  <c r="BA11" i="9"/>
  <c r="BA27" i="9"/>
  <c r="BA10" i="9"/>
  <c r="BA26" i="9"/>
  <c r="BA25" i="9"/>
  <c r="BA24" i="9"/>
  <c r="BA23" i="9"/>
  <c r="BA22" i="9"/>
  <c r="BA21" i="9"/>
  <c r="BA20" i="9"/>
  <c r="BA19" i="9"/>
  <c r="BA18" i="9"/>
  <c r="BA17" i="9"/>
  <c r="AZ17" i="9" l="1"/>
  <c r="AZ13" i="9"/>
  <c r="AZ12" i="9"/>
  <c r="AZ11" i="9"/>
  <c r="AZ27" i="9"/>
  <c r="AZ10" i="9"/>
  <c r="AZ26" i="9"/>
  <c r="AZ25" i="9"/>
  <c r="AZ24" i="9"/>
  <c r="AZ23" i="9"/>
  <c r="AZ22" i="9"/>
  <c r="AZ21" i="9"/>
  <c r="AZ20" i="9"/>
  <c r="AZ19" i="9"/>
  <c r="AZ18" i="9"/>
  <c r="IS27" i="9"/>
  <c r="IT27" i="9" s="1"/>
  <c r="AS27" i="9" s="1"/>
  <c r="AT27" i="9" s="1"/>
  <c r="IS4" i="9"/>
  <c r="IT4" i="9" s="1"/>
  <c r="AS4" i="9" s="1"/>
  <c r="AT4" i="9" s="1"/>
  <c r="IS12" i="9"/>
  <c r="IT12" i="9" s="1"/>
  <c r="AS12" i="9" s="1"/>
  <c r="AT12" i="9" s="1"/>
  <c r="IS18" i="9"/>
  <c r="IT18" i="9" s="1"/>
  <c r="AS18" i="9" s="1"/>
  <c r="AT18" i="9" s="1"/>
  <c r="IS7" i="9"/>
  <c r="IT7" i="9" s="1"/>
  <c r="AS7" i="9" s="1"/>
  <c r="AT7" i="9" s="1"/>
  <c r="IS20" i="9"/>
  <c r="IT20" i="9" s="1"/>
  <c r="AS20" i="9" s="1"/>
  <c r="AT20" i="9" s="1"/>
  <c r="IS24" i="9"/>
  <c r="IT24" i="9" s="1"/>
  <c r="AS24" i="9" s="1"/>
  <c r="AT24" i="9" s="1"/>
  <c r="IS26" i="9"/>
  <c r="IT26" i="9" s="1"/>
  <c r="AS26" i="9" s="1"/>
  <c r="AT26" i="9" s="1"/>
  <c r="IS11" i="9"/>
  <c r="IT11" i="9" s="1"/>
  <c r="AS11" i="9" s="1"/>
  <c r="AT11" i="9" s="1"/>
  <c r="IS19" i="9"/>
  <c r="IT19" i="9" s="1"/>
  <c r="AS19" i="9" s="1"/>
  <c r="AT19" i="9" s="1"/>
  <c r="IS14" i="9"/>
  <c r="IT14" i="9" s="1"/>
  <c r="AS14" i="9" s="1"/>
  <c r="AT14" i="9" s="1"/>
  <c r="IS5" i="9"/>
  <c r="IT5" i="9" s="1"/>
  <c r="AS5" i="9" s="1"/>
  <c r="AT5" i="9" s="1"/>
  <c r="IS15" i="9"/>
  <c r="IT15" i="9" s="1"/>
  <c r="AS15" i="9" s="1"/>
  <c r="AT15" i="9" s="1"/>
  <c r="IS22" i="9"/>
  <c r="IT22" i="9" s="1"/>
  <c r="AS22" i="9" s="1"/>
  <c r="AT22" i="9" s="1"/>
  <c r="IS8" i="9"/>
  <c r="IT8" i="9" s="1"/>
  <c r="AS8" i="9" s="1"/>
  <c r="AT8" i="9" s="1"/>
  <c r="IS25" i="9"/>
  <c r="IT25" i="9" s="1"/>
  <c r="AS25" i="9" s="1"/>
  <c r="AT25" i="9" s="1"/>
  <c r="IS9" i="9"/>
  <c r="IT9" i="9" s="1"/>
  <c r="AS9" i="9" s="1"/>
  <c r="AT9" i="9" s="1"/>
  <c r="IS10" i="9"/>
  <c r="IT10" i="9" s="1"/>
  <c r="AS10" i="9" s="1"/>
  <c r="AT10" i="9" s="1"/>
  <c r="IS13" i="9"/>
  <c r="IT13" i="9" s="1"/>
  <c r="AS13" i="9" s="1"/>
  <c r="AT13" i="9" s="1"/>
  <c r="IS21" i="9"/>
  <c r="IT21" i="9" s="1"/>
  <c r="AS21" i="9" s="1"/>
  <c r="AT21" i="9" s="1"/>
  <c r="IS16" i="9"/>
  <c r="IT16" i="9" s="1"/>
  <c r="AS16" i="9" s="1"/>
  <c r="AT16" i="9" s="1"/>
  <c r="IS6" i="9"/>
  <c r="IT6" i="9" s="1"/>
  <c r="AS6" i="9" s="1"/>
  <c r="AT6" i="9" s="1"/>
  <c r="IS17" i="9"/>
  <c r="IT17" i="9" s="1"/>
  <c r="AS17" i="9" s="1"/>
  <c r="AT17" i="9" s="1"/>
  <c r="IS23" i="9"/>
  <c r="IT23" i="9" s="1"/>
  <c r="AS23" i="9" s="1"/>
  <c r="AT2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AI20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Экспертно (уголь Д)</t>
        </r>
      </text>
    </comment>
  </commentList>
</comments>
</file>

<file path=xl/sharedStrings.xml><?xml version="1.0" encoding="utf-8"?>
<sst xmlns="http://schemas.openxmlformats.org/spreadsheetml/2006/main" count="1187" uniqueCount="334">
  <si>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</si>
  <si>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</si>
  <si>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</si>
  <si>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</si>
  <si>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</si>
  <si>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</si>
  <si>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</si>
  <si>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</si>
  <si>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</si>
  <si>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</si>
  <si>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</si>
  <si>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</si>
  <si>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</si>
  <si>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</si>
  <si>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</si>
  <si>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</si>
  <si>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Уголь каменный</t>
  </si>
  <si>
    <t>УГОЛЬ Г</t>
  </si>
  <si>
    <t>уголь энергетический (кроме антрацита)</t>
  </si>
  <si>
    <t>ДВС</t>
  </si>
  <si>
    <t>ЧЕГДОМЫН</t>
  </si>
  <si>
    <t>ВАНИНО-ЭКСП</t>
  </si>
  <si>
    <t>полувагон</t>
  </si>
  <si>
    <t>Экспорт</t>
  </si>
  <si>
    <t>неконтейнерная</t>
  </si>
  <si>
    <t>Восточное</t>
  </si>
  <si>
    <t>ООО "КАРБОНПРО"</t>
  </si>
  <si>
    <t>АО "СУЭК"</t>
  </si>
  <si>
    <t>УГОЛЬ Д</t>
  </si>
  <si>
    <t>КРС</t>
  </si>
  <si>
    <t>ОКТ</t>
  </si>
  <si>
    <t>ЧЕРНОГ.КОПИ</t>
  </si>
  <si>
    <t>МУРМАНСК-ЭКС</t>
  </si>
  <si>
    <t>Северо-Западное</t>
  </si>
  <si>
    <t>СКВ</t>
  </si>
  <si>
    <t>АЗОВ-ЭКСПОРТ</t>
  </si>
  <si>
    <t>Южное</t>
  </si>
  <si>
    <t>УГ БУР НЕПОДМОС</t>
  </si>
  <si>
    <t>ЗАОЗЕРНАЯ</t>
  </si>
  <si>
    <t>БАЗАИХА</t>
  </si>
  <si>
    <t>Внутр. перевозки</t>
  </si>
  <si>
    <t>АО "СУЭК-КРАСНОЯРСК"</t>
  </si>
  <si>
    <t>СЕВ</t>
  </si>
  <si>
    <t>СОЛЬВЫЧЕГОДС</t>
  </si>
  <si>
    <t>ООО "СУЭК-ХАКАСИЯ"</t>
  </si>
  <si>
    <t>ЗСБ</t>
  </si>
  <si>
    <t>ЖЕРЕБЦОВО</t>
  </si>
  <si>
    <t>ИФР</t>
  </si>
  <si>
    <t>КАМЫШТА</t>
  </si>
  <si>
    <t>МИХ-СЕМ-Э</t>
  </si>
  <si>
    <t>ООО "УГОЛЬ ПЛЮС"</t>
  </si>
  <si>
    <t>АО "Русский уголь"</t>
  </si>
  <si>
    <t>КРАВЧЕНКО</t>
  </si>
  <si>
    <t>ЛУЖСКАЯ-ЭКСП</t>
  </si>
  <si>
    <t>АО "РУССКИЙ УГОЛЬ"</t>
  </si>
  <si>
    <t>ВЫШСТБЛ-ЭКС</t>
  </si>
  <si>
    <t>ЗАБ</t>
  </si>
  <si>
    <t>ЕКАТЕРИНОСЛ.</t>
  </si>
  <si>
    <t>БЛАГОВЕЩЕНСК</t>
  </si>
  <si>
    <t>АО "АМУРУГОЛЬ"</t>
  </si>
  <si>
    <t>МСК</t>
  </si>
  <si>
    <t>КИЛЬЧУГ</t>
  </si>
  <si>
    <t>ВОСЛЕБОВО</t>
  </si>
  <si>
    <t>БАРДИНО</t>
  </si>
  <si>
    <t>ООО "РАЗРЕЗ КИРБИНСКИЙ"</t>
  </si>
  <si>
    <t>УГОЛЬ Т</t>
  </si>
  <si>
    <t>САРБАЛА</t>
  </si>
  <si>
    <t>НАХОДКА-В-ЭК</t>
  </si>
  <si>
    <t>АО "АТРИУМ"</t>
  </si>
  <si>
    <t>ООО "УГМК-Холдинг"</t>
  </si>
  <si>
    <t>УГОЛЬ СС</t>
  </si>
  <si>
    <t>БОЧАТЫ</t>
  </si>
  <si>
    <t>ЕРУНАКОВО</t>
  </si>
  <si>
    <t>ТУАПСЕ-СОР-Э</t>
  </si>
  <si>
    <t>ВАНИНО-ПЕРЕВ</t>
  </si>
  <si>
    <t>АО "УК "КУЗБАССРАЗРЕЗУГОЛЬ"</t>
  </si>
  <si>
    <t>ЗБРОДОВО</t>
  </si>
  <si>
    <t>УГОЛЬ К</t>
  </si>
  <si>
    <t>уголь для коксования</t>
  </si>
  <si>
    <t>ЮВС</t>
  </si>
  <si>
    <t>НОВОЛИПЕЦК</t>
  </si>
  <si>
    <t>УЛАК</t>
  </si>
  <si>
    <t>СТРЕЛКОВАЯ-Э</t>
  </si>
  <si>
    <t>АО "НОВЫЙ МИР"</t>
  </si>
  <si>
    <t>ООО "УК "Эльга"</t>
  </si>
  <si>
    <t>ФЕВРАЛЬСК</t>
  </si>
  <si>
    <t>МЫС МАРИЯ</t>
  </si>
  <si>
    <t>ООО "ОГОДЖИНСКАЯ УГОЛЬНАЯ КОМПАНИЯ"</t>
  </si>
  <si>
    <t>КОНЦЕНТР УГОЛЬН</t>
  </si>
  <si>
    <t>МЕЖДУРЕЧЕНСК</t>
  </si>
  <si>
    <t>НАХОДКА-ЭКС</t>
  </si>
  <si>
    <t>ООО "КУБЕЙРА ТРЕЙДИНГ"</t>
  </si>
  <si>
    <t>ООО "ЕвразХолдинг"</t>
  </si>
  <si>
    <t>ОБНОРСКАЯ</t>
  </si>
  <si>
    <t>ПРОМПРОДУКТ УГ</t>
  </si>
  <si>
    <t>ХАБАРОВСК 1</t>
  </si>
  <si>
    <t>ЧЕРЕПОВЕЦ 2</t>
  </si>
  <si>
    <t>ООО "РУК"</t>
  </si>
  <si>
    <t>АНТРАЦИТ</t>
  </si>
  <si>
    <t>антрацит (энергетический уголь)</t>
  </si>
  <si>
    <t>ЕВСИНО</t>
  </si>
  <si>
    <t>СМОЛЯНИНОВ-Э</t>
  </si>
  <si>
    <t>ООО "СИБСЛК"</t>
  </si>
  <si>
    <t>ООО "Башкирский промышленный холдинг"</t>
  </si>
  <si>
    <t>МЫСКИ</t>
  </si>
  <si>
    <t>ВЕСЕЛОЕ-ЭКСП</t>
  </si>
  <si>
    <t>БИРЮЛИНСКАЯ</t>
  </si>
  <si>
    <t>ВСБ</t>
  </si>
  <si>
    <t>КАСЬЯНОВКА</t>
  </si>
  <si>
    <t>ООО "ЭН+ УГОЛЬ"</t>
  </si>
  <si>
    <t>ООО "Компания "Востсибуголь"</t>
  </si>
  <si>
    <t>ЧЕРЕМХОВО</t>
  </si>
  <si>
    <t>ООО "РАЗРЕЗ ЧЕРЕМХОВУГОЛЬ"</t>
  </si>
  <si>
    <t>СПИЧЕНКОВО</t>
  </si>
  <si>
    <t>ДЮАНКА-Э</t>
  </si>
  <si>
    <t>АО "ЦЕНТРАЛЬНОЕ"</t>
  </si>
  <si>
    <t>АО "Стройсервис"</t>
  </si>
  <si>
    <t>КАВКАЗ-ЭКСП</t>
  </si>
  <si>
    <t>БЕЛОВО</t>
  </si>
  <si>
    <t>БАГУЛЬНАЯ</t>
  </si>
  <si>
    <t>АО "СТРОЙСЕРВИС"</t>
  </si>
  <si>
    <t>ЧЕРКАС.КАМ.</t>
  </si>
  <si>
    <t>ЗАРИНСКАЯ</t>
  </si>
  <si>
    <t>ООО "ПРОМУГОЛЬСЕРВИС"</t>
  </si>
  <si>
    <t>ООО "Промугольсервис"</t>
  </si>
  <si>
    <t>ООО "РЕСУРС"</t>
  </si>
  <si>
    <t>МОНЧЕГОРСК</t>
  </si>
  <si>
    <t>ООО "ИНВЕСТ-УГЛЕСБЫТ"</t>
  </si>
  <si>
    <t>УГОЛЬ ОС-ОТОЩ</t>
  </si>
  <si>
    <t>КАЙГУР</t>
  </si>
  <si>
    <t>НОВОКУЗ.-СЕВ</t>
  </si>
  <si>
    <t>ООО "УК АНЖЕРСКАЯ-ЮЖНАЯ"</t>
  </si>
  <si>
    <t>ШИХТА УГОЛЬН</t>
  </si>
  <si>
    <t>НЕРЮНГРИ-ГР</t>
  </si>
  <si>
    <t>ПОСЬЕТ-ЭКСП</t>
  </si>
  <si>
    <t>АО ХК "ЯКУТУГОЛЬ"</t>
  </si>
  <si>
    <t>ПАО "Мечел"</t>
  </si>
  <si>
    <t>ЮУР</t>
  </si>
  <si>
    <t>МАГНИТОГ-ГР</t>
  </si>
  <si>
    <t>ТОМУСИНСКАЯ</t>
  </si>
  <si>
    <t>БИРЮЛЕВО-ТОВ</t>
  </si>
  <si>
    <t>ПАО "ЮЖНЫЙ КУЗБАСС"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</si>
  <si>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</si>
  <si>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</si>
  <si>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</si>
  <si>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</si>
  <si>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</si>
  <si>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</si>
  <si>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</si>
  <si>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</si>
  <si>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</si>
  <si>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</si>
  <si>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</si>
  <si>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</si>
  <si>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</si>
  <si>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</si>
  <si>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</si>
  <si>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</si>
  <si>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</si>
  <si>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параметры перевозок</t>
  </si>
  <si>
    <t>Загрузка вагона</t>
  </si>
  <si>
    <t>группа вагонов</t>
  </si>
  <si>
    <t>Категория отправки</t>
  </si>
  <si>
    <t>маршрутная</t>
  </si>
  <si>
    <t>Груженый рейс, дней</t>
  </si>
  <si>
    <t>Порожний рейс, дней</t>
  </si>
  <si>
    <t>Ти подвижного состава</t>
  </si>
  <si>
    <t>Ставка за вагон, руб./сутки</t>
  </si>
  <si>
    <t>Полувагон 25 тс</t>
  </si>
  <si>
    <t>Полувагон 23,5 тс</t>
  </si>
  <si>
    <t>Порты ДВ</t>
  </si>
  <si>
    <t>Тамань</t>
  </si>
  <si>
    <t>Усть-Луга</t>
  </si>
  <si>
    <t>Валюта</t>
  </si>
  <si>
    <t>Доллар США</t>
  </si>
  <si>
    <t>Перевозки для нужд ОАО "РЖД"</t>
  </si>
  <si>
    <t>Магаданская ТЭЦ</t>
  </si>
  <si>
    <t>Черепетская ГРЭС</t>
  </si>
  <si>
    <t>Дальневосточная генерирующая компания</t>
  </si>
  <si>
    <t>Северсталь</t>
  </si>
  <si>
    <t>Кольская ГМК</t>
  </si>
  <si>
    <t>ММК в рамка холдинга Мечел</t>
  </si>
  <si>
    <t>Уголь_Экспорт</t>
  </si>
  <si>
    <t>Уголь_Внутренние</t>
  </si>
  <si>
    <t>Значение</t>
  </si>
  <si>
    <t>Коэффициент</t>
  </si>
  <si>
    <t>Изменение тарифа ОАО "РЖД"</t>
  </si>
  <si>
    <t>ООО БЗФ</t>
  </si>
  <si>
    <t>Средний курс с начала 2026</t>
  </si>
  <si>
    <t>Рязанская ГРЭС</t>
  </si>
  <si>
    <t>Красноярская ТЭЦ</t>
  </si>
  <si>
    <t>Сибирская генерирующая компания</t>
  </si>
  <si>
    <t>Аграрный холдинг</t>
  </si>
  <si>
    <t>НЛМК</t>
  </si>
  <si>
    <t xml:space="preserve">Обогатительная фабрика Березовская </t>
  </si>
  <si>
    <t>Касьяновская обогатительная фабрика (в рамках холдинга Эн+)</t>
  </si>
  <si>
    <t>Алтай Кокс</t>
  </si>
  <si>
    <t>ЕВРАЗ</t>
  </si>
  <si>
    <t>Москокс в рамка холдинга Мечел</t>
  </si>
  <si>
    <t>Обогатительная фабрика в рамках холдинга Мечел</t>
  </si>
  <si>
    <t>Обогатительная фабрика в рамках холдинга ЕВРАЗ</t>
  </si>
  <si>
    <t>Коэффициент загрузки предприятия</t>
  </si>
  <si>
    <t xml:space="preserve">Дайджест ЦФТО </t>
  </si>
  <si>
    <t>Курс руб/$</t>
  </si>
  <si>
    <t>Примечание</t>
  </si>
  <si>
    <t>параметры расчета тарифа</t>
  </si>
  <si>
    <t>Погрузка-разгрузка, дней</t>
  </si>
  <si>
    <t>экономика перевозок</t>
  </si>
  <si>
    <t>Оценка ИПЕМ</t>
  </si>
  <si>
    <t>Объем перевозок (тн)</t>
  </si>
  <si>
    <t>Грузооборот, ткм</t>
  </si>
  <si>
    <t>Кол-во вагонов</t>
  </si>
  <si>
    <t>Кол-во контейнеров</t>
  </si>
  <si>
    <t>Провозная плата, руб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</si>
  <si>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</si>
  <si>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</si>
  <si>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</si>
  <si>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</si>
  <si>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</si>
  <si>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</si>
  <si>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</si>
  <si>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</si>
  <si>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</si>
  <si>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</si>
  <si>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</si>
  <si>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</si>
  <si>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https://ru.myfin.by/currency/cb-rf-archive/2026</t>
  </si>
  <si>
    <t>УГОЛЬ</t>
  </si>
  <si>
    <t>$/т.</t>
  </si>
  <si>
    <t>руб/т.</t>
  </si>
  <si>
    <t>Ставка перевалки угля</t>
  </si>
  <si>
    <t>FOB Восточный</t>
  </si>
  <si>
    <t>FOB порты Балтии</t>
  </si>
  <si>
    <t>FOB порт Тамань</t>
  </si>
  <si>
    <t>FOB Дальний Восток</t>
  </si>
  <si>
    <t>внутренние перевозки</t>
  </si>
  <si>
    <t>сцеп цены</t>
  </si>
  <si>
    <t>FOB Северо-Запад</t>
  </si>
  <si>
    <t>FOB Юг</t>
  </si>
  <si>
    <t>уголь энергетический (кроме антрацита)ЭкспортВосточное</t>
  </si>
  <si>
    <t>уголь энергетический (кроме антрацита)ЭкспортСеверо-Западное</t>
  </si>
  <si>
    <t>уголь энергетический (кроме антрацита)ЭкспортЮжное</t>
  </si>
  <si>
    <t>уголь для коксованияЭкспортВосточное</t>
  </si>
  <si>
    <t>уголь для коксованияЭкспортСеверо-Западное</t>
  </si>
  <si>
    <t>уголь для коксованияЭкспортЮжное</t>
  </si>
  <si>
    <t>антрацит (энергетический уголь)ЭкспортВосточное</t>
  </si>
  <si>
    <t>антрацит (энергетический уголь)ЭкспортСеверо-Западное</t>
  </si>
  <si>
    <t>сцеп для базы</t>
  </si>
  <si>
    <t>внутренние перевозки уголь бурый</t>
  </si>
  <si>
    <t>Ставки аренды полувагонов</t>
  </si>
  <si>
    <t>для усреднения</t>
  </si>
  <si>
    <t>индексация жд тарифа</t>
  </si>
  <si>
    <t>Названия строк</t>
  </si>
  <si>
    <t>Общий итог</t>
  </si>
  <si>
    <t>Значения</t>
  </si>
  <si>
    <t>Сумма по полю Средний коэфф сохранения базы</t>
  </si>
  <si>
    <t>Всего</t>
  </si>
  <si>
    <t>антрацит (энергетический уголь) Итог</t>
  </si>
  <si>
    <t>уголь для коксования Итог</t>
  </si>
  <si>
    <t>уголь энергетический (кроме антрацита) Итог</t>
  </si>
  <si>
    <t>УГОЛЬ экспорт</t>
  </si>
  <si>
    <t>Всего погрузка:</t>
  </si>
  <si>
    <t>Внутренние</t>
  </si>
  <si>
    <t>План</t>
  </si>
  <si>
    <t>с учетом чувствительности</t>
  </si>
  <si>
    <t>+/-</t>
  </si>
  <si>
    <t>+/- %</t>
  </si>
  <si>
    <t>Погрузка, млн т</t>
  </si>
  <si>
    <t>Показатели</t>
  </si>
  <si>
    <t>факт</t>
  </si>
  <si>
    <t>прогноз</t>
  </si>
  <si>
    <t>темпы, %</t>
  </si>
  <si>
    <t>2036 - 2025, +/- абс</t>
  </si>
  <si>
    <t>2036/ 2025, %</t>
  </si>
  <si>
    <t>cagr 2025-2036, %</t>
  </si>
  <si>
    <t>2021 г</t>
  </si>
  <si>
    <t>2022 г</t>
  </si>
  <si>
    <t>2023 г</t>
  </si>
  <si>
    <t>2024 г</t>
  </si>
  <si>
    <t>2025 г</t>
  </si>
  <si>
    <t>2026 г</t>
  </si>
  <si>
    <t>2027 г</t>
  </si>
  <si>
    <t>2028 г</t>
  </si>
  <si>
    <t>2029 г</t>
  </si>
  <si>
    <t>2030 г</t>
  </si>
  <si>
    <t>2031 г</t>
  </si>
  <si>
    <t>2032 г</t>
  </si>
  <si>
    <t>2033 г</t>
  </si>
  <si>
    <t>2034 г</t>
  </si>
  <si>
    <t>2035 г</t>
  </si>
  <si>
    <t>2036 г</t>
  </si>
  <si>
    <t>ВСЕГО</t>
  </si>
  <si>
    <t>в т.ч. без угля</t>
  </si>
  <si>
    <t>Уголь</t>
  </si>
  <si>
    <t>Кокс</t>
  </si>
  <si>
    <t>Нефтяные грузы</t>
  </si>
  <si>
    <t>Руды металлические</t>
  </si>
  <si>
    <t>Черные металлы</t>
  </si>
  <si>
    <t>Лесные грузы</t>
  </si>
  <si>
    <t>Минстройматериалы</t>
  </si>
  <si>
    <t>Удобрения</t>
  </si>
  <si>
    <t>Хлебные грузы</t>
  </si>
  <si>
    <t>Прочие грузы</t>
  </si>
  <si>
    <t>в т.ч. Грузы в контейнерах</t>
  </si>
  <si>
    <t>Внутр. Перевозки</t>
  </si>
  <si>
    <t>Экспорт на Северо-Запад</t>
  </si>
  <si>
    <t>Экспорт на Юг-Центр</t>
  </si>
  <si>
    <t>Экспорт на Восток</t>
  </si>
  <si>
    <t>Факт (по плану погрузки)</t>
  </si>
  <si>
    <t>Факт ИХ перевезено</t>
  </si>
  <si>
    <t>млн.тонн</t>
  </si>
  <si>
    <t>в т.ч. Экспорт:</t>
  </si>
  <si>
    <t>Коэффициент сохранения базы ИПЕМ</t>
  </si>
  <si>
    <t>Коэффициент сохранения базы с корректировкой</t>
  </si>
  <si>
    <t>Коэффициент сохранения базы В РАСЧЕТ</t>
  </si>
  <si>
    <t>корректировка</t>
  </si>
  <si>
    <t>Сумма по полю Объем перевозок (тн)</t>
  </si>
  <si>
    <t>объем*
коэфф</t>
  </si>
  <si>
    <t>Сумма по полю объем*
коэфф</t>
  </si>
  <si>
    <t>при корректировке коэфф НЕ может принимать значения &gt;1, если у ИПЕМ он &lt;=1, т.е. груз нечувствителен</t>
  </si>
  <si>
    <t>при корректировке коэфф МОЖЕТ принимать значения &gt;1, если у ИПЕМ он &lt;=1, т.е. груз нечувствителен</t>
  </si>
  <si>
    <t>Справочно коэфф по направлениям:</t>
  </si>
  <si>
    <t>трнаспортная с индексацией</t>
  </si>
  <si>
    <t>экономика перевозок в текущих условиях</t>
  </si>
  <si>
    <t>Маржинальность с индексацией</t>
  </si>
  <si>
    <t>Маржинальность в текущих условиях</t>
  </si>
  <si>
    <t>ИНДЕКСАЦИЯ</t>
  </si>
  <si>
    <t>СКИДКА</t>
  </si>
  <si>
    <t>ПАРАМЕТРЫ ИЗМЕНЕНИЯ ТАРИФА</t>
  </si>
  <si>
    <t>Сценарий 270ВП от 28.05.2026 / погрузка 2026 г. 1108,5 млн т (ЦФТО 28.05.2026)</t>
  </si>
  <si>
    <t>до 50%</t>
  </si>
  <si>
    <t>до -50%</t>
  </si>
  <si>
    <t>Расходы по оплате услуг ОАО 'РЖД', руб. за тонну общая стоимость (тарифные условия 2026 года)</t>
  </si>
  <si>
    <t>индексация заданная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</si>
</sst>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0.0000"/>
    <numFmt numFmtId="168" formatCode="0.000"/>
    <numFmt numFmtId="169" formatCode="0.0"/>
    <numFmt numFmtId="170" formatCode="0.0%"/>
    <numFmt numFmtId="171" formatCode="#,##0.0000"/>
    <numFmt numFmtId="172" formatCode="#,##0.0"/>
    <numFmt numFmtId="173" formatCode="#,##0.000"/>
    <numFmt numFmtId="174" formatCode="0.00000"/>
    <numFmt numFmtId="175" formatCode="_([$€-2]* #,##0.00_);_([$€-2]* \(#,##0.00\);_([$€-2]* &quot;-&quot;??_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* #,##0_);_(* \(#,##0\);_(* &quot;-&quot;??_);_(@_)"/>
    <numFmt numFmtId="179" formatCode="#,##0;[Red]#,##0"/>
    <numFmt numFmtId="180" formatCode="&quot;\&quot;#,##0;[Red]\-&quot;\&quot;#,##0"/>
    <numFmt numFmtId="181" formatCode="\£#,##0_);\(\£#,##0\)"/>
    <numFmt numFmtId="182" formatCode="#,##0;\-#,##0;&quot;-&quot;"/>
    <numFmt numFmtId="183" formatCode="#,##0.00;\-#,##0.00;&quot;-&quot;"/>
    <numFmt numFmtId="184" formatCode="#,##0%;\-#,##0%;&quot;- &quot;"/>
    <numFmt numFmtId="185" formatCode="#,##0.0%;\-#,##0.0%;&quot;- &quot;"/>
    <numFmt numFmtId="186" formatCode="#,##0.00%;\-#,##0.00%;&quot;- &quot;"/>
    <numFmt numFmtId="187" formatCode="#,##0.0;\-#,##0.0;&quot;-&quot;"/>
    <numFmt numFmtId="188" formatCode="&quot;error&quot;;&quot;error&quot;;&quot;OK&quot;;&quot;  &quot;@"/>
    <numFmt numFmtId="189" formatCode="0000"/>
    <numFmt numFmtId="190" formatCode="_(* #,##0.00_);[Red]_(* \(#,##0.00\);_(* &quot;-&quot;??_);_(@_)"/>
    <numFmt numFmtId="191" formatCode="&quot;$&quot;#,##0\ ;\(&quot;$&quot;#,##0\)"/>
    <numFmt numFmtId="192" formatCode="dd\ mmm\ yyyy_);;;&quot;  &quot;@"/>
    <numFmt numFmtId="193" formatCode="#,##0_);\(#,##0\);&quot;- &quot;;&quot;  &quot;@"/>
    <numFmt numFmtId="194" formatCode="0.0\x"/>
    <numFmt numFmtId="195" formatCode="_-* #,##0\ _F_B_-;\-* #,##0\ _F_B_-;_-* &quot;-&quot;\ _F_B_-;_-@_-"/>
    <numFmt numFmtId="196" formatCode="_-* #,##0.00\ _F_B_-;\-* #,##0.00\ _F_B_-;_-* &quot;-&quot;??\ _F_B_-;_-@_-"/>
    <numFmt numFmtId="197" formatCode="#,##0;\-#,##0;\ &quot;-&quot;;@"/>
    <numFmt numFmtId="198" formatCode="0.000_ ;\-0.000\ "/>
    <numFmt numFmtId="199" formatCode="#,##0.00;\-#,##0.00;\ &quot;-&quot;;@"/>
    <numFmt numFmtId="200" formatCode="#,##0.000_ ;[Red]\-#,##0.000\ "/>
    <numFmt numFmtId="201" formatCode="#,##0.000;\-#,##0.000;\ &quot;-&quot;;@"/>
    <numFmt numFmtId="202" formatCode="#,##0.0;\-#,##0.0;\ &quot;-&quot;;@"/>
    <numFmt numFmtId="203" formatCode="#,##0.0_ ;[Red]\-#,##0.0\ "/>
    <numFmt numFmtId="204" formatCode="#,##0.0000_);\(#,##0.0000\);&quot;- &quot;;&quot;  &quot;@"/>
    <numFmt numFmtId="205" formatCode="#,##0.0_);[Red]\(#,##0.0\)"/>
    <numFmt numFmtId="206" formatCode="_-* #,##0_-;_-* #,##0\-;_-* &quot;-&quot;_-;_-@_-"/>
    <numFmt numFmtId="207" formatCode="_-* #,##0.00_-;_-* #,##0.00\-;_-* &quot;-&quot;??_-;_-@_-"/>
    <numFmt numFmtId="208" formatCode="_-* #,##0\ _$_-;\-* #,##0\ _$_-;_-* &quot;-&quot;\ _$_-;_-@_-"/>
    <numFmt numFmtId="209" formatCode="_-* #,##0.00\ _$_-;\-* #,##0.00\ _$_-;_-* &quot;-&quot;??\ _$_-;_-@_-"/>
    <numFmt numFmtId="210" formatCode="#,##0__\ \ \ \ "/>
    <numFmt numFmtId="211" formatCode="_-* #,##0\ &quot;$&quot;_-;\-* #,##0\ &quot;$&quot;_-;_-* &quot;-&quot;\ &quot;$&quot;_-;_-@_-"/>
    <numFmt numFmtId="212" formatCode="_-* #,##0.00\ &quot;$&quot;_-;\-* #,##0.00\ &quot;$&quot;_-;_-* &quot;-&quot;??\ &quot;$&quot;_-;_-@_-"/>
    <numFmt numFmtId="213" formatCode="_(* #,##0.000_);[Red]_(* \(#,##0.000\);_(* &quot;-&quot;??_);_(@_)"/>
    <numFmt numFmtId="214" formatCode="&quot;$&quot;#,##0.0_);\(&quot;$&quot;#,##0.0\)"/>
    <numFmt numFmtId="215" formatCode="0.00\x"/>
    <numFmt numFmtId="216" formatCode="_-* #,##0\ &quot;FB&quot;_-;\-* #,##0\ &quot;FB&quot;_-;_-* &quot;-&quot;\ &quot;FB&quot;_-;_-@_-"/>
    <numFmt numFmtId="217" formatCode="_-* #,##0.00\ &quot;FB&quot;_-;\-* #,##0.00\ &quot;FB&quot;_-;_-* &quot;-&quot;??\ &quot;FB&quot;_-;_-@_-"/>
    <numFmt numFmtId="218" formatCode="#,##0______;;&quot;------------      &quot;"/>
    <numFmt numFmtId="219" formatCode="_-&quot;F&quot;\ * #,##0_-;_-&quot;F&quot;\ * #,##0\-;_-&quot;F&quot;\ * &quot;-&quot;_-;_-@_-"/>
    <numFmt numFmtId="220" formatCode="_-&quot;F&quot;\ * #,##0.00_-;_-&quot;F&quot;\ * #,##0.00\-;_-&quot;F&quot;\ * &quot;-&quot;??_-;_-@_-"/>
    <numFmt numFmtId="221" formatCode="\¥#,##0_);\(\¥#,##0\)"/>
    <numFmt numFmtId="222" formatCode=";;&quot;zero&quot;;&quot;  &quot;@"/>
    <numFmt numFmtId="223" formatCode="_-* #,##0.00&quot;р.&quot;_-;\-* #,##0.00&quot;р.&quot;_-;_-* &quot;-&quot;??&quot;р.&quot;_-;_-@_-"/>
    <numFmt numFmtId="224" formatCode="_-* #,##0.00\ &quot;р.&quot;_-;\-* #,##0.00\ &quot;р.&quot;_-;_-* &quot;-&quot;??\ &quot;р.&quot;\\-;_-@_-"/>
    <numFmt numFmtId="225" formatCode="#,##0.00&quot;р.&quot;;\-#,##0.00&quot;р.&quot;"/>
    <numFmt numFmtId="226" formatCode="[Red]&quot;Ошибка&quot;;[Red]&quot;Ошибка&quot;;&quot;Ok&quot;"/>
    <numFmt numFmtId="227" formatCode="#,##0\т"/>
    <numFmt numFmtId="228" formatCode="_-* #,##0\ _р_._-;\-* #,##0\ _р_._-;_-* &quot;-&quot;\ _р_._-;_-@_-"/>
    <numFmt numFmtId="229" formatCode="_-* #,##0.00\ _р_._-;\-* #,##0.00\ _р_._-;_-* &quot;-&quot;??\ _р_._-;_-@_-"/>
    <numFmt numFmtId="230" formatCode="_(* #,##0_);_(* \(#,##0\);_(* &quot;-&quot;_);_(@_)"/>
    <numFmt numFmtId="231" formatCode="_-* #,##0.0_р_._-;\-* #,##0.0_р_._-;_-* &quot;-&quot;??_р_._-;_-@_-"/>
    <numFmt numFmtId="232" formatCode="&quot;\&quot;#,##0"/>
  </numFmts>
  <fonts count="23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mbria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4.3"/>
      <color theme="10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</font>
    <font>
      <i/>
      <sz val="10"/>
      <name val="Calibri"/>
      <family val="2"/>
      <charset val="204"/>
      <scheme val="minor"/>
    </font>
    <font>
      <i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i/>
      <sz val="10"/>
      <color theme="1"/>
      <name val="Calibri"/>
      <family val="2"/>
      <charset val="204"/>
    </font>
    <font>
      <sz val="10"/>
      <name val="Book Antiqua"/>
      <family val="1"/>
      <charset val="204"/>
    </font>
    <font>
      <sz val="10"/>
      <name val="Helv"/>
      <family val="2"/>
    </font>
    <font>
      <sz val="10"/>
      <name val="Arial Cyr"/>
      <family val="2"/>
      <charset val="204"/>
    </font>
    <font>
      <sz val="10"/>
      <name val="Helv"/>
    </font>
    <font>
      <sz val="10"/>
      <name val="Courier"/>
      <family val="3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1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i/>
      <sz val="22"/>
      <name val="Arial"/>
      <family val="2"/>
    </font>
    <font>
      <sz val="11"/>
      <color indexed="9"/>
      <name val="Calibri"/>
      <family val="2"/>
      <charset val="204"/>
    </font>
    <font>
      <sz val="8"/>
      <name val="Helv"/>
      <family val="2"/>
    </font>
    <font>
      <sz val="8"/>
      <name val="Helv"/>
      <charset val="204"/>
    </font>
    <font>
      <sz val="12"/>
      <name val="Times New Roman"/>
      <family val="1"/>
      <charset val="204"/>
    </font>
    <font>
      <sz val="12"/>
      <name val="Arial"/>
      <family val="2"/>
    </font>
    <font>
      <i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indexed="0"/>
      <name val="Arial"/>
      <family val="2"/>
      <charset val="204"/>
    </font>
    <font>
      <i/>
      <sz val="7"/>
      <color indexed="0"/>
      <name val="Arial"/>
      <family val="2"/>
      <charset val="204"/>
    </font>
    <font>
      <sz val="8"/>
      <color indexed="8"/>
      <name val="Arial"/>
      <family val="2"/>
      <charset val="204"/>
    </font>
    <font>
      <b/>
      <sz val="7"/>
      <color indexed="0"/>
      <name val="Arial"/>
      <family val="2"/>
      <charset val="204"/>
    </font>
    <font>
      <sz val="11"/>
      <color indexed="20"/>
      <name val="Calibri"/>
      <family val="2"/>
      <charset val="204"/>
    </font>
    <font>
      <b/>
      <sz val="10"/>
      <color indexed="8"/>
      <name val="Arial"/>
      <family val="2"/>
    </font>
    <font>
      <sz val="10"/>
      <color indexed="8"/>
      <name val="Tms Rmn"/>
      <family val="1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  <family val="1"/>
    </font>
    <font>
      <sz val="12"/>
      <name val="Tms Rmn"/>
    </font>
    <font>
      <u val="singleAccounting"/>
      <sz val="10"/>
      <name val="Arial"/>
      <family val="2"/>
    </font>
    <font>
      <sz val="12"/>
      <name val="±???A?"/>
      <charset val="129"/>
    </font>
    <font>
      <b/>
      <sz val="11"/>
      <color indexed="52"/>
      <name val="Calibri"/>
      <family val="2"/>
      <charset val="204"/>
    </font>
    <font>
      <b/>
      <sz val="12"/>
      <name val="Times New Roman"/>
      <family val="1"/>
    </font>
    <font>
      <b/>
      <sz val="11"/>
      <color indexed="9"/>
      <name val="Calibri"/>
      <family val="2"/>
      <charset val="204"/>
    </font>
    <font>
      <sz val="8"/>
      <color indexed="12"/>
      <name val="Times New Roman"/>
      <family val="1"/>
    </font>
    <font>
      <sz val="8"/>
      <name val="Palatino"/>
      <family val="1"/>
    </font>
    <font>
      <sz val="11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12"/>
      <color indexed="24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010000"/>
      <name val="Arial"/>
      <family val="2"/>
      <charset val="204"/>
    </font>
    <font>
      <b/>
      <sz val="10"/>
      <name val="Arial"/>
      <family val="2"/>
    </font>
    <font>
      <u val="doubleAccounting"/>
      <sz val="10"/>
      <name val="Arial"/>
      <family val="2"/>
    </font>
    <font>
      <sz val="12"/>
      <name val="Tms Rmn"/>
      <charset val="204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204"/>
    </font>
    <font>
      <sz val="8"/>
      <color rgb="FFED7D31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1"/>
      <color indexed="8"/>
      <name val="Courier"/>
      <family val="3"/>
    </font>
    <font>
      <u/>
      <sz val="10"/>
      <color indexed="36"/>
      <name val="Arial"/>
      <family val="2"/>
      <charset val="204"/>
    </font>
    <font>
      <sz val="7"/>
      <name val="Palatino"/>
      <family val="1"/>
    </font>
    <font>
      <sz val="11"/>
      <color indexed="17"/>
      <name val="Calibri"/>
      <family val="2"/>
      <charset val="204"/>
    </font>
    <font>
      <sz val="10"/>
      <color indexed="17"/>
      <name val="Times New Roman"/>
      <family val="1"/>
    </font>
    <font>
      <sz val="6"/>
      <color indexed="16"/>
      <name val="Palatino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</font>
    <font>
      <u/>
      <sz val="10"/>
      <color indexed="12"/>
      <name val="Arial"/>
      <family val="2"/>
      <charset val="204"/>
    </font>
    <font>
      <sz val="10"/>
      <name val="Times New Roman Cyr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sz val="10"/>
      <color indexed="14"/>
      <name val="Arial"/>
      <family val="2"/>
    </font>
    <font>
      <sz val="11"/>
      <color indexed="52"/>
      <name val="Calibri"/>
      <family val="2"/>
      <charset val="204"/>
    </font>
    <font>
      <i/>
      <sz val="10"/>
      <name val="PragmaticaC"/>
      <charset val="204"/>
    </font>
    <font>
      <sz val="12"/>
      <name val="Times New Roman"/>
      <family val="1"/>
    </font>
    <font>
      <sz val="11"/>
      <color indexed="60"/>
      <name val="Calibri"/>
      <family val="2"/>
      <charset val="204"/>
    </font>
    <font>
      <sz val="7"/>
      <name val="Small Fonts"/>
      <family val="2"/>
      <charset val="204"/>
    </font>
    <font>
      <sz val="8"/>
      <name val="Tahoma"/>
      <family val="2"/>
    </font>
    <font>
      <sz val="10"/>
      <color theme="1"/>
      <name val="Arial"/>
      <family val="2"/>
    </font>
    <font>
      <sz val="10"/>
      <color theme="1"/>
      <name val="Arial Narrow"/>
      <family val="2"/>
      <charset val="204"/>
    </font>
    <font>
      <sz val="14"/>
      <name val="NewtonC"/>
      <charset val="204"/>
    </font>
    <font>
      <sz val="10"/>
      <name val="Times New Roman CE"/>
      <charset val="238"/>
    </font>
    <font>
      <sz val="8"/>
      <name val="Times New Roman"/>
      <family val="1"/>
      <charset val="204"/>
    </font>
    <font>
      <sz val="12"/>
      <name val="Times New Roman CE"/>
      <charset val="238"/>
    </font>
    <font>
      <sz val="10"/>
      <name val="Palatino"/>
      <family val="1"/>
    </font>
    <font>
      <b/>
      <sz val="11"/>
      <color indexed="63"/>
      <name val="Calibri"/>
      <family val="2"/>
      <charset val="204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b/>
      <sz val="20"/>
      <name val="Times New Roman"/>
      <family val="1"/>
      <charset val="204"/>
    </font>
    <font>
      <sz val="10"/>
      <color indexed="16"/>
      <name val="Helvetica-Black"/>
    </font>
    <font>
      <sz val="10"/>
      <color indexed="10"/>
      <name val="Arial"/>
      <family val="2"/>
    </font>
    <font>
      <i/>
      <sz val="12"/>
      <name val="Tms Rmn"/>
      <family val="1"/>
    </font>
    <font>
      <i/>
      <sz val="12"/>
      <name val="Tms Rmn"/>
      <charset val="204"/>
    </font>
    <font>
      <sz val="10"/>
      <color indexed="10"/>
      <name val="Times New Roman"/>
      <family val="1"/>
    </font>
    <font>
      <sz val="9.5"/>
      <color indexed="23"/>
      <name val="Helvetica-Black"/>
    </font>
    <font>
      <sz val="10"/>
      <color indexed="39"/>
      <name val="Arial"/>
      <family val="2"/>
    </font>
    <font>
      <b/>
      <sz val="11"/>
      <color indexed="8"/>
      <name val="Times New Roman"/>
      <family val="1"/>
      <charset val="204"/>
    </font>
    <font>
      <sz val="10"/>
      <name val="0"/>
      <charset val="204"/>
    </font>
    <font>
      <sz val="10"/>
      <name val="Tms Rmn"/>
      <family val="1"/>
    </font>
    <font>
      <sz val="10"/>
      <name val="Tms Rmn"/>
    </font>
    <font>
      <sz val="10"/>
      <name val="ZapfCalligr BT"/>
    </font>
    <font>
      <b/>
      <sz val="18"/>
      <name val="Times New Roman"/>
      <family val="1"/>
      <charset val="204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sz val="10"/>
      <name val="Times New Roman"/>
      <family val="1"/>
    </font>
    <font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b/>
      <sz val="12"/>
      <color indexed="0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18"/>
      <color indexed="56"/>
      <name val="Cambria"/>
      <family val="2"/>
      <charset val="204"/>
    </font>
    <font>
      <b/>
      <sz val="10"/>
      <name val="Arial"/>
      <family val="2"/>
      <charset val="204"/>
    </font>
    <font>
      <b/>
      <sz val="11"/>
      <color indexed="8"/>
      <name val="Calibri"/>
      <family val="2"/>
      <charset val="204"/>
    </font>
    <font>
      <u/>
      <sz val="8"/>
      <color indexed="8"/>
      <name val="Arial"/>
      <family val="2"/>
    </font>
    <font>
      <b/>
      <sz val="14"/>
      <name val="Times New Roman"/>
      <family val="1"/>
      <charset val="204"/>
    </font>
    <font>
      <sz val="11"/>
      <color indexed="10"/>
      <name val="Calibri"/>
      <family val="2"/>
      <charset val="204"/>
    </font>
    <font>
      <sz val="10"/>
      <name val="Arial Cyr"/>
    </font>
    <font>
      <b/>
      <i/>
      <sz val="8"/>
      <name val="Helv"/>
      <family val="2"/>
    </font>
    <font>
      <b/>
      <i/>
      <sz val="8"/>
      <name val="Helv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color theme="1"/>
      <name val="Arial"/>
      <family val="2"/>
      <charset val="204"/>
    </font>
    <font>
      <b/>
      <sz val="8"/>
      <name val="Arial Cyr"/>
      <family val="2"/>
      <charset val="204"/>
    </font>
    <font>
      <u/>
      <sz val="7.7"/>
      <color theme="1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 Cyr"/>
    </font>
    <font>
      <b/>
      <sz val="10"/>
      <color theme="0"/>
      <name val="Arial"/>
      <family val="2"/>
      <charset val="204"/>
    </font>
    <font>
      <sz val="10"/>
      <color indexed="9"/>
      <name val="Arial Cyr"/>
      <family val="2"/>
      <charset val="204"/>
    </font>
    <font>
      <b/>
      <sz val="12"/>
      <name val="Arial Cyr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name val="Courier New"/>
      <family val="3"/>
      <charset val="204"/>
    </font>
    <font>
      <sz val="12"/>
      <name val="Times New Roman Cyr"/>
    </font>
    <font>
      <sz val="12"/>
      <name val="Times New Roman Cyr"/>
      <family val="1"/>
      <charset val="204"/>
    </font>
    <font>
      <sz val="8"/>
      <color theme="5"/>
      <name val="Arial"/>
      <family val="2"/>
      <charset val="204"/>
    </font>
    <font>
      <b/>
      <sz val="14"/>
      <color theme="0" tint="-0.249977111117893"/>
      <name val="Times New Roman"/>
      <family val="1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  <font>
      <sz val="10"/>
      <name val="Arial Narrow"/>
      <family val="2"/>
      <charset val="204"/>
    </font>
    <font>
      <i/>
      <sz val="8"/>
      <color theme="1"/>
      <name val="Calibri"/>
      <family val="2"/>
      <charset val="204"/>
      <scheme val="minor"/>
    </font>
    <font>
      <sz val="8"/>
      <name val="Arial Cyr"/>
      <family val="2"/>
      <charset val="204"/>
    </font>
    <font>
      <sz val="11"/>
      <color theme="4" tint="0.79998168889431442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theme="4" tint="0.79998168889431442"/>
      <name val="Calibri"/>
      <family val="2"/>
      <charset val="204"/>
      <scheme val="minor"/>
    </font>
    <font>
      <sz val="11"/>
      <color theme="7" tint="0.79998168889431442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8"/>
      <color rgb="FF000000"/>
      <name val="Tahoma"/>
      <family val="2"/>
      <charset val="204"/>
    </font>
    <font>
      <sz val="11"/>
      <color rgb="FF000000"/>
      <name val="Calibri"/>
      <family val="2"/>
      <charset val="204"/>
    </font>
  </fonts>
  <fills count="123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light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rgb="FF44546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33"/>
        <bgColor indexed="33"/>
      </patternFill>
    </fill>
    <fill>
      <patternFill patternType="solid">
        <fgColor indexed="14"/>
      </patternFill>
    </fill>
    <fill>
      <patternFill patternType="solid">
        <fgColor rgb="FFEBF1DE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 tint="-0.14999847407452621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</borders>
  <cellStyleXfs count="20902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5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49" fontId="6" fillId="17" borderId="1">
      <alignment horizontal="left" vertical="top" wrapText="1"/>
      <protection locked="0"/>
    </xf>
    <xf numFmtId="49" fontId="7" fillId="17" borderId="1">
      <alignment horizontal="center" vertical="top" wrapText="1"/>
      <protection locked="0"/>
    </xf>
    <xf numFmtId="49" fontId="8" fillId="17" borderId="0">
      <alignment horizontal="right" vertical="top" wrapText="1"/>
      <protection locked="0"/>
    </xf>
    <xf numFmtId="49" fontId="8" fillId="17" borderId="0">
      <alignment horizontal="center" vertical="top" wrapText="1"/>
      <protection locked="0"/>
    </xf>
    <xf numFmtId="49" fontId="9" fillId="17" borderId="0">
      <alignment horizontal="left" vertical="top" wrapText="1"/>
      <protection locked="0"/>
    </xf>
    <xf numFmtId="0" fontId="10" fillId="0" borderId="2">
      <alignment horizontal="left" vertical="top"/>
      <protection locked="0"/>
    </xf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0" borderId="2">
      <alignment horizontal="center" vertical="top"/>
      <protection locked="0"/>
    </xf>
    <xf numFmtId="49" fontId="13" fillId="17" borderId="1">
      <alignment horizontal="center" vertical="top" wrapText="1"/>
      <protection locked="0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4" fillId="21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5" fillId="22" borderId="3" applyNumberFormat="0" applyProtection="0">
      <alignment vertical="center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4" fontId="14" fillId="21" borderId="3" applyNumberFormat="0" applyProtection="0">
      <alignment horizontal="left" vertical="center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0" fontId="16" fillId="23" borderId="4" applyNumberFormat="0" applyProtection="0">
      <alignment horizontal="left" vertical="top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5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6" borderId="3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7" borderId="5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8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29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0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1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2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3" borderId="3" applyNumberFormat="0" applyProtection="0">
      <alignment horizontal="right" vertical="center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7" fillId="34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8" fillId="35" borderId="5" applyNumberFormat="0" applyProtection="0">
      <alignment horizontal="left" vertical="center" indent="1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6" borderId="3" applyNumberFormat="0" applyProtection="0">
      <alignment horizontal="right" vertical="center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7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4" fontId="17" fillId="36" borderId="5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7" fillId="39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4" fillId="38" borderId="3" applyNumberFormat="0" applyProtection="0">
      <alignment horizontal="left" vertical="center" indent="1"/>
    </xf>
    <xf numFmtId="0" fontId="17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9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4" fillId="40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7" fillId="41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4" fillId="40" borderId="3" applyNumberFormat="0" applyProtection="0">
      <alignment horizontal="left" vertical="center" indent="1"/>
    </xf>
    <xf numFmtId="0" fontId="17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9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4" fillId="42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7" fillId="43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4" fillId="42" borderId="3" applyNumberFormat="0" applyProtection="0">
      <alignment horizontal="left" vertical="center" indent="1"/>
    </xf>
    <xf numFmtId="0" fontId="17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9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0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37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0" borderId="3" applyNumberFormat="0" applyProtection="0">
      <alignment horizontal="left" vertical="center" indent="1"/>
    </xf>
    <xf numFmtId="0" fontId="17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9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44" borderId="6" applyNumberFormat="0">
      <protection locked="0"/>
    </xf>
    <xf numFmtId="0" fontId="19" fillId="44" borderId="6" applyNumberFormat="0">
      <protection locked="0"/>
    </xf>
    <xf numFmtId="0" fontId="19" fillId="44" borderId="6" applyNumberFormat="0">
      <protection locked="0"/>
    </xf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20" fillId="45" borderId="4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15" fillId="46" borderId="1" applyNumberFormat="0" applyProtection="0">
      <alignment vertical="center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4" fontId="20" fillId="39" borderId="4" applyNumberFormat="0" applyProtection="0">
      <alignment horizontal="left" vertical="center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0" fontId="20" fillId="45" borderId="4" applyNumberFormat="0" applyProtection="0">
      <alignment horizontal="left" vertical="top" indent="1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5" fillId="47" borderId="3" applyNumberFormat="0" applyProtection="0">
      <alignment horizontal="right" vertical="center"/>
    </xf>
    <xf numFmtId="4" fontId="17" fillId="48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9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4" fontId="17" fillId="48" borderId="3" applyNumberFormat="0" applyProtection="0">
      <alignment horizontal="left" vertical="center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0" fontId="20" fillId="36" borderId="4" applyNumberFormat="0" applyProtection="0">
      <alignment horizontal="left" vertical="top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4" fontId="21" fillId="50" borderId="5" applyNumberFormat="0" applyProtection="0">
      <alignment horizontal="left" vertical="center" indent="1"/>
    </xf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0" fontId="17" fillId="51" borderId="1"/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4" fontId="22" fillId="44" borderId="3" applyNumberFormat="0" applyProtection="0">
      <alignment horizontal="right" vertical="center"/>
    </xf>
    <xf numFmtId="0" fontId="23" fillId="0" borderId="0" applyNumberFormat="0" applyFill="0" applyBorder="0" applyAlignment="0" applyProtection="0"/>
    <xf numFmtId="0" fontId="24" fillId="0" borderId="8">
      <alignment horizontal="right" vertical="top"/>
      <protection locked="0"/>
    </xf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4" borderId="0" applyNumberFormat="0" applyBorder="0" applyAlignment="0" applyProtection="0"/>
    <xf numFmtId="0" fontId="5" fillId="56" borderId="0" applyNumberFormat="0" applyBorder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5" fillId="15" borderId="3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6" fillId="57" borderId="9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7" fillId="57" borderId="3" applyNumberFormat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32" fillId="55" borderId="14" applyNumberFormat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5" fillId="0" borderId="0"/>
    <xf numFmtId="0" fontId="36" fillId="0" borderId="0"/>
    <xf numFmtId="0" fontId="10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8" borderId="0"/>
    <xf numFmtId="0" fontId="19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38" fillId="0" borderId="0">
      <alignment vertical="top"/>
      <protection locked="0"/>
    </xf>
    <xf numFmtId="0" fontId="39" fillId="0" borderId="0"/>
    <xf numFmtId="0" fontId="39" fillId="0" borderId="0"/>
    <xf numFmtId="0" fontId="19" fillId="58" borderId="0"/>
    <xf numFmtId="0" fontId="35" fillId="0" borderId="0"/>
    <xf numFmtId="0" fontId="19" fillId="59" borderId="0"/>
    <xf numFmtId="0" fontId="19" fillId="59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9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41" fillId="0" borderId="0"/>
    <xf numFmtId="0" fontId="1" fillId="0" borderId="0"/>
    <xf numFmtId="0" fontId="1" fillId="0" borderId="0"/>
    <xf numFmtId="0" fontId="35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" fillId="0" borderId="0"/>
    <xf numFmtId="0" fontId="42" fillId="0" borderId="0"/>
    <xf numFmtId="0" fontId="1" fillId="0" borderId="0"/>
    <xf numFmtId="0" fontId="19" fillId="59" borderId="0"/>
    <xf numFmtId="0" fontId="1" fillId="0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 applyNumberFormat="0" applyFont="0" applyFill="0" applyBorder="0" applyAlignment="0" applyProtection="0">
      <alignment vertical="top"/>
    </xf>
    <xf numFmtId="0" fontId="43" fillId="0" borderId="0"/>
    <xf numFmtId="0" fontId="38" fillId="0" borderId="0" applyNumberFormat="0" applyFont="0" applyFill="0" applyBorder="0" applyAlignment="0" applyProtection="0">
      <alignment vertical="top"/>
    </xf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19" fillId="59" borderId="0"/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>
      <alignment vertical="top"/>
      <protection locked="0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8" fillId="0" borderId="0" applyNumberFormat="0" applyFont="0" applyFill="0" applyBorder="0" applyAlignment="0" applyProtection="0">
      <alignment vertical="top"/>
    </xf>
    <xf numFmtId="0" fontId="39" fillId="0" borderId="0"/>
    <xf numFmtId="0" fontId="39" fillId="0" borderId="0"/>
    <xf numFmtId="0" fontId="43" fillId="0" borderId="0"/>
    <xf numFmtId="0" fontId="38" fillId="0" borderId="0">
      <alignment vertical="top"/>
      <protection locked="0"/>
    </xf>
    <xf numFmtId="0" fontId="44" fillId="14" borderId="0" applyNumberFormat="0" applyBorder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9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15" applyNumberFormat="0" applyFill="0" applyAlignment="0" applyProtection="0"/>
    <xf numFmtId="0" fontId="45" fillId="0" borderId="0"/>
    <xf numFmtId="0" fontId="46" fillId="0" borderId="0" applyNumberForma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9" fontId="1" fillId="0" borderId="0" applyFont="0" applyFill="0" applyBorder="0" applyAlignment="0" applyProtection="0"/>
    <xf numFmtId="0" fontId="52" fillId="0" borderId="0"/>
    <xf numFmtId="0" fontId="53" fillId="0" borderId="0"/>
    <xf numFmtId="164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2" fillId="0" borderId="0"/>
    <xf numFmtId="43" fontId="1" fillId="0" borderId="0" applyFont="0" applyFill="0" applyBorder="0" applyAlignment="0" applyProtection="0"/>
    <xf numFmtId="0" fontId="4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39" fillId="0" borderId="0"/>
    <xf numFmtId="0" fontId="39" fillId="0" borderId="0"/>
    <xf numFmtId="0" fontId="42" fillId="0" borderId="0">
      <alignment vertical="top"/>
    </xf>
    <xf numFmtId="0" fontId="45" fillId="0" borderId="0"/>
    <xf numFmtId="175" fontId="76" fillId="0" borderId="0" applyFont="0" applyFill="0" applyBorder="0" applyAlignment="0"/>
    <xf numFmtId="175" fontId="76" fillId="0" borderId="0" applyFont="0" applyFill="0" applyBorder="0" applyAlignment="0"/>
    <xf numFmtId="175" fontId="76" fillId="0" borderId="0" applyFont="0" applyFill="0" applyBorder="0" applyAlignment="0"/>
    <xf numFmtId="175" fontId="76" fillId="0" borderId="0" applyFont="0" applyFill="0" applyBorder="0" applyAlignment="0"/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0" fontId="78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38" fillId="0" borderId="0" applyNumberFormat="0" applyFill="0" applyBorder="0" applyAlignment="0" applyProtection="0"/>
    <xf numFmtId="175" fontId="38" fillId="0" borderId="0" applyNumberFormat="0" applyFill="0" applyBorder="0" applyAlignment="0" applyProtection="0"/>
    <xf numFmtId="175" fontId="38" fillId="0" borderId="0" applyNumberFormat="0" applyFill="0" applyBorder="0" applyAlignment="0" applyProtection="0"/>
    <xf numFmtId="175" fontId="38" fillId="0" borderId="0" applyNumberFormat="0" applyFill="0" applyBorder="0" applyAlignment="0" applyProtection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0" fontId="78" fillId="0" borderId="0"/>
    <xf numFmtId="0" fontId="77" fillId="0" borderId="0"/>
    <xf numFmtId="0" fontId="45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0" fontId="78" fillId="0" borderId="0"/>
    <xf numFmtId="0" fontId="77" fillId="0" borderId="0"/>
    <xf numFmtId="0" fontId="79" fillId="0" borderId="0"/>
    <xf numFmtId="0" fontId="77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0" fontId="38" fillId="0" borderId="0"/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80" fillId="0" borderId="0" applyFont="0" applyFill="0" applyBorder="0" applyAlignment="0" applyProtection="0">
      <alignment vertical="center"/>
    </xf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0" fontId="77" fillId="0" borderId="0"/>
    <xf numFmtId="0" fontId="45" fillId="0" borderId="0"/>
    <xf numFmtId="175" fontId="77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77" fillId="0" borderId="0"/>
    <xf numFmtId="175" fontId="45" fillId="0" borderId="0"/>
    <xf numFmtId="175" fontId="45" fillId="0" borderId="0"/>
    <xf numFmtId="175" fontId="78" fillId="0" borderId="0"/>
    <xf numFmtId="175" fontId="78" fillId="0" borderId="0"/>
    <xf numFmtId="175" fontId="78" fillId="0" borderId="0"/>
    <xf numFmtId="175" fontId="78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175" fontId="77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7" fillId="0" borderId="0"/>
    <xf numFmtId="175" fontId="79" fillId="0" borderId="0"/>
    <xf numFmtId="175" fontId="7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3" fillId="0" borderId="0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175" fontId="81" fillId="0" borderId="101">
      <protection locked="0"/>
    </xf>
    <xf numFmtId="0" fontId="37" fillId="76" borderId="0"/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4" fillId="77" borderId="16" applyNumberFormat="0" applyFill="0" applyBorder="0" applyAlignment="0">
      <alignment horizontal="left"/>
    </xf>
    <xf numFmtId="175" fontId="85" fillId="77" borderId="0" applyNumberFormat="0" applyFill="0" applyBorder="0" applyAlignment="0"/>
    <xf numFmtId="175" fontId="85" fillId="77" borderId="0" applyNumberFormat="0" applyFill="0" applyBorder="0" applyAlignment="0"/>
    <xf numFmtId="175" fontId="85" fillId="77" borderId="0" applyNumberFormat="0" applyFill="0" applyBorder="0" applyAlignment="0"/>
    <xf numFmtId="175" fontId="85" fillId="77" borderId="0" applyNumberFormat="0" applyFill="0" applyBorder="0" applyAlignment="0"/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6" fillId="78" borderId="16" applyNumberFormat="0" applyFill="0" applyBorder="0" applyAlignment="0">
      <alignment horizontal="left"/>
    </xf>
    <xf numFmtId="175" fontId="87" fillId="79" borderId="0" applyNumberFormat="0" applyFill="0" applyBorder="0" applyAlignment="0"/>
    <xf numFmtId="175" fontId="87" fillId="79" borderId="0" applyNumberFormat="0" applyFill="0" applyBorder="0" applyAlignment="0"/>
    <xf numFmtId="175" fontId="87" fillId="79" borderId="0" applyNumberFormat="0" applyFill="0" applyBorder="0" applyAlignment="0"/>
    <xf numFmtId="175" fontId="87" fillId="79" borderId="0" applyNumberFormat="0" applyFill="0" applyBorder="0" applyAlignment="0"/>
    <xf numFmtId="175" fontId="88" fillId="0" borderId="0" applyNumberFormat="0" applyFill="0" applyBorder="0" applyAlignment="0"/>
    <xf numFmtId="175" fontId="88" fillId="0" borderId="0" applyNumberFormat="0" applyFill="0" applyBorder="0" applyAlignment="0"/>
    <xf numFmtId="175" fontId="88" fillId="0" borderId="0" applyNumberFormat="0" applyFill="0" applyBorder="0" applyAlignment="0"/>
    <xf numFmtId="175" fontId="88" fillId="0" borderId="0" applyNumberFormat="0" applyFill="0" applyBorder="0" applyAlignment="0"/>
    <xf numFmtId="175" fontId="89" fillId="0" borderId="25" applyNumberFormat="0" applyFill="0" applyBorder="0" applyAlignment="0">
      <alignment horizontal="left"/>
    </xf>
    <xf numFmtId="175" fontId="89" fillId="0" borderId="25" applyNumberFormat="0" applyFill="0" applyBorder="0" applyAlignment="0">
      <alignment horizontal="left"/>
    </xf>
    <xf numFmtId="175" fontId="89" fillId="0" borderId="25" applyNumberFormat="0" applyFill="0" applyBorder="0" applyAlignment="0">
      <alignment horizontal="left"/>
    </xf>
    <xf numFmtId="175" fontId="89" fillId="0" borderId="25" applyNumberFormat="0" applyFill="0" applyBorder="0" applyAlignment="0">
      <alignment horizontal="left"/>
    </xf>
    <xf numFmtId="175" fontId="90" fillId="80" borderId="102" applyNumberFormat="0" applyFill="0" applyBorder="0" applyAlignment="0">
      <alignment horizontal="centerContinuous"/>
    </xf>
    <xf numFmtId="175" fontId="90" fillId="80" borderId="102" applyNumberFormat="0" applyFill="0" applyBorder="0" applyAlignment="0">
      <alignment horizontal="centerContinuous"/>
    </xf>
    <xf numFmtId="175" fontId="90" fillId="80" borderId="102" applyNumberFormat="0" applyFill="0" applyBorder="0" applyAlignment="0">
      <alignment horizontal="centerContinuous"/>
    </xf>
    <xf numFmtId="175" fontId="90" fillId="80" borderId="102" applyNumberFormat="0" applyFill="0" applyBorder="0" applyAlignment="0">
      <alignment horizontal="centerContinuous"/>
    </xf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175" fontId="91" fillId="81" borderId="103" applyNumberFormat="0" applyFill="0" applyBorder="0" applyAlignment="0"/>
    <xf numFmtId="175" fontId="91" fillId="81" borderId="103" applyNumberFormat="0" applyFill="0" applyBorder="0" applyAlignment="0"/>
    <xf numFmtId="175" fontId="91" fillId="81" borderId="103" applyNumberFormat="0" applyFill="0" applyBorder="0" applyAlignment="0"/>
    <xf numFmtId="175" fontId="91" fillId="81" borderId="103" applyNumberFormat="0" applyFill="0" applyBorder="0" applyAlignment="0"/>
    <xf numFmtId="175" fontId="92" fillId="0" borderId="25" applyNumberFormat="0" applyFill="0" applyBorder="0" applyAlignment="0"/>
    <xf numFmtId="175" fontId="92" fillId="0" borderId="25" applyNumberFormat="0" applyFill="0" applyBorder="0" applyAlignment="0"/>
    <xf numFmtId="175" fontId="92" fillId="0" borderId="25" applyNumberFormat="0" applyFill="0" applyBorder="0" applyAlignment="0"/>
    <xf numFmtId="175" fontId="92" fillId="0" borderId="25" applyNumberFormat="0" applyFill="0" applyBorder="0" applyAlignment="0"/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175" fontId="91" fillId="0" borderId="0" applyNumberFormat="0" applyFill="0" applyBorder="0" applyAlignment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1" fillId="75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86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84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43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40" fillId="28" borderId="0" applyNumberFormat="0" applyBorder="0" applyAlignment="0" applyProtection="0"/>
    <xf numFmtId="0" fontId="39" fillId="0" borderId="0" applyNumberFormat="0" applyFont="0" applyFill="0" applyBorder="0" applyAlignment="0" applyProtection="0"/>
    <xf numFmtId="0" fontId="93" fillId="88" borderId="0" applyNumberFormat="0" applyBorder="0" applyAlignment="0" applyProtection="0"/>
    <xf numFmtId="0" fontId="93" fillId="87" borderId="0" applyNumberFormat="0" applyBorder="0" applyAlignment="0" applyProtection="0"/>
    <xf numFmtId="0" fontId="93" fillId="33" borderId="0" applyNumberFormat="0" applyBorder="0" applyAlignment="0" applyProtection="0"/>
    <xf numFmtId="0" fontId="93" fillId="89" borderId="0" applyNumberFormat="0" applyBorder="0" applyAlignment="0" applyProtection="0"/>
    <xf numFmtId="0" fontId="93" fillId="24" borderId="0" applyNumberFormat="0" applyBorder="0" applyAlignment="0" applyProtection="0"/>
    <xf numFmtId="0" fontId="93" fillId="29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8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87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33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0" fontId="93" fillId="29" borderId="0" applyNumberFormat="0" applyBorder="0" applyAlignment="0" applyProtection="0"/>
    <xf numFmtId="175" fontId="94" fillId="0" borderId="0">
      <alignment horizontal="right"/>
    </xf>
    <xf numFmtId="175" fontId="94" fillId="0" borderId="0">
      <alignment horizontal="right"/>
    </xf>
    <xf numFmtId="175" fontId="95" fillId="0" borderId="0">
      <alignment horizontal="right"/>
    </xf>
    <xf numFmtId="175" fontId="94" fillId="0" borderId="0">
      <alignment horizontal="right"/>
    </xf>
    <xf numFmtId="175" fontId="95" fillId="0" borderId="0">
      <alignment horizontal="right"/>
    </xf>
    <xf numFmtId="175" fontId="94" fillId="0" borderId="0">
      <alignment horizontal="right"/>
    </xf>
    <xf numFmtId="175" fontId="95" fillId="0" borderId="0">
      <alignment horizontal="right"/>
    </xf>
    <xf numFmtId="175" fontId="95" fillId="0" borderId="0">
      <alignment horizontal="right"/>
    </xf>
    <xf numFmtId="176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93" fillId="90" borderId="0" applyNumberFormat="0" applyBorder="0" applyAlignment="0" applyProtection="0"/>
    <xf numFmtId="0" fontId="5" fillId="52" borderId="0" applyNumberFormat="0" applyBorder="0" applyAlignment="0" applyProtection="0"/>
    <xf numFmtId="0" fontId="93" fillId="27" borderId="0" applyNumberFormat="0" applyBorder="0" applyAlignment="0" applyProtection="0"/>
    <xf numFmtId="0" fontId="5" fillId="53" borderId="0" applyNumberFormat="0" applyBorder="0" applyAlignment="0" applyProtection="0"/>
    <xf numFmtId="0" fontId="93" fillId="31" borderId="0" applyNumberFormat="0" applyBorder="0" applyAlignment="0" applyProtection="0"/>
    <xf numFmtId="0" fontId="5" fillId="54" borderId="0" applyNumberFormat="0" applyBorder="0" applyAlignment="0" applyProtection="0"/>
    <xf numFmtId="0" fontId="93" fillId="89" borderId="0" applyNumberFormat="0" applyBorder="0" applyAlignment="0" applyProtection="0"/>
    <xf numFmtId="0" fontId="5" fillId="55" borderId="0" applyNumberFormat="0" applyBorder="0" applyAlignment="0" applyProtection="0"/>
    <xf numFmtId="0" fontId="93" fillId="24" borderId="0" applyNumberFormat="0" applyBorder="0" applyAlignment="0" applyProtection="0"/>
    <xf numFmtId="0" fontId="5" fillId="4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5" fillId="56" borderId="0" applyNumberFormat="0" applyBorder="0" applyAlignment="0" applyProtection="0"/>
    <xf numFmtId="178" fontId="38" fillId="0" borderId="0" applyFont="0" applyFill="0" applyBorder="0" applyProtection="0"/>
    <xf numFmtId="179" fontId="96" fillId="0" borderId="0" applyFont="0" applyFill="0" applyBorder="0" applyAlignment="0" applyProtection="0"/>
    <xf numFmtId="180" fontId="96" fillId="0" borderId="0" applyFont="0" applyFill="0" applyBorder="0" applyAlignment="0" applyProtection="0"/>
    <xf numFmtId="175" fontId="28" fillId="0" borderId="0" applyNumberFormat="0" applyFill="0" applyBorder="0" applyAlignment="0" applyProtection="0">
      <alignment vertical="top"/>
      <protection locked="0"/>
    </xf>
    <xf numFmtId="175" fontId="28" fillId="0" borderId="0" applyNumberFormat="0" applyFill="0" applyBorder="0" applyAlignment="0" applyProtection="0">
      <alignment vertical="top"/>
      <protection locked="0"/>
    </xf>
    <xf numFmtId="175" fontId="28" fillId="0" borderId="0" applyNumberFormat="0" applyFill="0" applyBorder="0" applyAlignment="0" applyProtection="0">
      <alignment vertical="top"/>
      <protection locked="0"/>
    </xf>
    <xf numFmtId="175" fontId="28" fillId="0" borderId="0" applyNumberFormat="0" applyFill="0" applyBorder="0" applyAlignment="0" applyProtection="0">
      <alignment vertical="top"/>
      <protection locked="0"/>
    </xf>
    <xf numFmtId="175" fontId="18" fillId="0" borderId="0"/>
    <xf numFmtId="175" fontId="18" fillId="0" borderId="0"/>
    <xf numFmtId="175" fontId="18" fillId="0" borderId="0"/>
    <xf numFmtId="175" fontId="18" fillId="0" borderId="0"/>
    <xf numFmtId="0" fontId="39" fillId="0" borderId="0"/>
    <xf numFmtId="175" fontId="18" fillId="0" borderId="0" applyNumberFormat="0" applyFill="0" applyBorder="0" applyAlignment="0" applyProtection="0"/>
    <xf numFmtId="175" fontId="18" fillId="0" borderId="0" applyNumberFormat="0" applyFill="0" applyBorder="0" applyAlignment="0" applyProtection="0"/>
    <xf numFmtId="175" fontId="18" fillId="0" borderId="0" applyNumberFormat="0" applyFill="0" applyBorder="0" applyAlignment="0" applyProtection="0"/>
    <xf numFmtId="175" fontId="18" fillId="0" borderId="0" applyNumberFormat="0" applyFill="0" applyBorder="0" applyAlignment="0" applyProtection="0"/>
    <xf numFmtId="175" fontId="97" fillId="0" borderId="0" applyNumberFormat="0" applyFill="0" applyBorder="0" applyAlignment="0" applyProtection="0"/>
    <xf numFmtId="175" fontId="97" fillId="0" borderId="0" applyNumberFormat="0" applyFill="0" applyBorder="0" applyAlignment="0" applyProtection="0"/>
    <xf numFmtId="175" fontId="97" fillId="0" borderId="0" applyNumberFormat="0" applyFill="0" applyBorder="0" applyAlignment="0" applyProtection="0"/>
    <xf numFmtId="175" fontId="97" fillId="0" borderId="0" applyNumberFormat="0" applyFill="0" applyBorder="0" applyAlignment="0" applyProtection="0"/>
    <xf numFmtId="49" fontId="6" fillId="83" borderId="1">
      <alignment horizontal="left" vertical="top"/>
      <protection locked="0"/>
    </xf>
    <xf numFmtId="49" fontId="6" fillId="83" borderId="1">
      <alignment horizontal="left" vertical="top"/>
      <protection locked="0"/>
    </xf>
    <xf numFmtId="49" fontId="6" fillId="83" borderId="1">
      <alignment horizontal="left" vertical="top"/>
      <protection locked="0"/>
    </xf>
    <xf numFmtId="49" fontId="6" fillId="83" borderId="1">
      <alignment horizontal="left" vertical="top"/>
      <protection locked="0"/>
    </xf>
    <xf numFmtId="49" fontId="6" fillId="83" borderId="1">
      <alignment horizontal="left" vertical="top"/>
      <protection locked="0"/>
    </xf>
    <xf numFmtId="49" fontId="6" fillId="0" borderId="1">
      <alignment horizontal="left" vertical="top"/>
      <protection locked="0"/>
    </xf>
    <xf numFmtId="49" fontId="6" fillId="0" borderId="1">
      <alignment horizontal="left" vertical="top"/>
      <protection locked="0"/>
    </xf>
    <xf numFmtId="49" fontId="6" fillId="0" borderId="1">
      <alignment horizontal="left" vertical="top"/>
      <protection locked="0"/>
    </xf>
    <xf numFmtId="49" fontId="6" fillId="0" borderId="1">
      <alignment horizontal="left" vertical="top"/>
      <protection locked="0"/>
    </xf>
    <xf numFmtId="49" fontId="6" fillId="0" borderId="1">
      <alignment horizontal="left" vertical="top"/>
      <protection locked="0"/>
    </xf>
    <xf numFmtId="49" fontId="6" fillId="91" borderId="1">
      <alignment horizontal="left" vertical="top"/>
      <protection locked="0"/>
    </xf>
    <xf numFmtId="49" fontId="6" fillId="91" borderId="1">
      <alignment horizontal="left" vertical="top"/>
      <protection locked="0"/>
    </xf>
    <xf numFmtId="49" fontId="6" fillId="91" borderId="1">
      <alignment horizontal="left" vertical="top"/>
      <protection locked="0"/>
    </xf>
    <xf numFmtId="49" fontId="6" fillId="91" borderId="1">
      <alignment horizontal="left" vertical="top"/>
      <protection locked="0"/>
    </xf>
    <xf numFmtId="49" fontId="6" fillId="91" borderId="1">
      <alignment horizontal="left" vertical="top"/>
      <protection locked="0"/>
    </xf>
    <xf numFmtId="0" fontId="98" fillId="0" borderId="0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0" fontId="99" fillId="0" borderId="5">
      <alignment horizontal="left" vertical="top" wrapText="1"/>
    </xf>
    <xf numFmtId="49" fontId="100" fillId="0" borderId="1">
      <alignment horizontal="left" vertical="top" wrapText="1"/>
      <protection locked="0"/>
    </xf>
    <xf numFmtId="49" fontId="101" fillId="0" borderId="0">
      <alignment horizontal="left" vertical="top" wrapText="1"/>
      <protection locked="0"/>
    </xf>
    <xf numFmtId="0" fontId="102" fillId="0" borderId="0">
      <alignment horizontal="left" vertical="top" wrapText="1"/>
    </xf>
    <xf numFmtId="49" fontId="101" fillId="0" borderId="1">
      <alignment horizontal="center" vertical="top" wrapText="1"/>
      <protection locked="0"/>
    </xf>
    <xf numFmtId="49" fontId="101" fillId="0" borderId="1">
      <alignment horizontal="center" vertical="top" wrapText="1"/>
      <protection locked="0"/>
    </xf>
    <xf numFmtId="49" fontId="101" fillId="0" borderId="1">
      <alignment horizontal="center" vertical="top" wrapText="1"/>
      <protection locked="0"/>
    </xf>
    <xf numFmtId="49" fontId="101" fillId="0" borderId="1">
      <alignment horizontal="center" vertical="top" wrapText="1"/>
      <protection locked="0"/>
    </xf>
    <xf numFmtId="49" fontId="101" fillId="0" borderId="1">
      <alignment horizontal="center" vertical="top" wrapText="1"/>
      <protection locked="0"/>
    </xf>
    <xf numFmtId="49" fontId="101" fillId="0" borderId="1">
      <alignment horizontal="center" vertical="top" wrapText="1"/>
      <protection locked="0"/>
    </xf>
    <xf numFmtId="49" fontId="6" fillId="0" borderId="0">
      <alignment horizontal="right" vertical="top"/>
      <protection locked="0"/>
    </xf>
    <xf numFmtId="49" fontId="6" fillId="83" borderId="104">
      <alignment horizontal="right" vertical="top"/>
      <protection locked="0"/>
    </xf>
    <xf numFmtId="49" fontId="6" fillId="83" borderId="104">
      <alignment horizontal="right" vertical="top"/>
      <protection locked="0"/>
    </xf>
    <xf numFmtId="49" fontId="6" fillId="83" borderId="104">
      <alignment horizontal="right" vertical="top"/>
      <protection locked="0"/>
    </xf>
    <xf numFmtId="49" fontId="6" fillId="83" borderId="104">
      <alignment horizontal="right" vertical="top"/>
      <protection locked="0"/>
    </xf>
    <xf numFmtId="49" fontId="6" fillId="83" borderId="104">
      <alignment horizontal="right" vertical="top"/>
      <protection locked="0"/>
    </xf>
    <xf numFmtId="49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0" fontId="6" fillId="83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49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0" fontId="6" fillId="0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49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0" fontId="6" fillId="91" borderId="104">
      <alignment horizontal="right" vertical="top"/>
      <protection locked="0"/>
    </xf>
    <xf numFmtId="49" fontId="103" fillId="0" borderId="0">
      <alignment horizontal="right" vertical="top" wrapText="1"/>
      <protection locked="0"/>
    </xf>
    <xf numFmtId="0" fontId="102" fillId="0" borderId="0">
      <alignment horizontal="right" vertical="top" wrapText="1"/>
    </xf>
    <xf numFmtId="0" fontId="99" fillId="0" borderId="0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0" fontId="99" fillId="0" borderId="5">
      <alignment horizontal="center" vertical="top" wrapText="1"/>
    </xf>
    <xf numFmtId="49" fontId="100" fillId="0" borderId="0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49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6" fillId="0" borderId="1">
      <alignment horizontal="center" vertical="top" wrapText="1"/>
      <protection locked="0"/>
    </xf>
    <xf numFmtId="0" fontId="104" fillId="25" borderId="0" applyNumberFormat="0" applyBorder="0" applyAlignment="0" applyProtection="0"/>
    <xf numFmtId="175" fontId="80" fillId="9" borderId="0"/>
    <xf numFmtId="175" fontId="80" fillId="9" borderId="0"/>
    <xf numFmtId="175" fontId="80" fillId="9" borderId="0"/>
    <xf numFmtId="175" fontId="80" fillId="9" borderId="0"/>
    <xf numFmtId="175" fontId="105" fillId="9" borderId="0"/>
    <xf numFmtId="175" fontId="105" fillId="9" borderId="0"/>
    <xf numFmtId="175" fontId="105" fillId="9" borderId="0"/>
    <xf numFmtId="175" fontId="105" fillId="9" borderId="0"/>
    <xf numFmtId="175" fontId="106" fillId="0" borderId="0" applyNumberFormat="0" applyFill="0" applyBorder="0" applyAlignment="0" applyProtection="0"/>
    <xf numFmtId="175" fontId="106" fillId="0" borderId="0" applyNumberFormat="0" applyFill="0" applyBorder="0" applyAlignment="0" applyProtection="0"/>
    <xf numFmtId="175" fontId="107" fillId="0" borderId="0" applyNumberFormat="0" applyFill="0" applyBorder="0" applyAlignment="0" applyProtection="0"/>
    <xf numFmtId="175" fontId="106" fillId="0" borderId="0" applyNumberFormat="0" applyFill="0" applyBorder="0" applyAlignment="0" applyProtection="0"/>
    <xf numFmtId="175" fontId="107" fillId="0" borderId="0" applyNumberFormat="0" applyFill="0" applyBorder="0" applyAlignment="0" applyProtection="0"/>
    <xf numFmtId="175" fontId="106" fillId="0" borderId="0" applyNumberFormat="0" applyFill="0" applyBorder="0" applyAlignment="0" applyProtection="0"/>
    <xf numFmtId="175" fontId="107" fillId="0" borderId="0" applyNumberFormat="0" applyFill="0" applyBorder="0" applyAlignment="0" applyProtection="0"/>
    <xf numFmtId="175" fontId="107" fillId="0" borderId="0" applyNumberFormat="0" applyFill="0" applyBorder="0" applyAlignment="0" applyProtection="0"/>
    <xf numFmtId="38" fontId="108" fillId="0" borderId="0" applyNumberFormat="0" applyFill="0" applyBorder="0" applyAlignment="0" applyProtection="0">
      <alignment horizontal="right"/>
      <protection locked="0"/>
    </xf>
    <xf numFmtId="175" fontId="109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10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10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10" fillId="0" borderId="0" applyNumberFormat="0" applyFill="0" applyBorder="0" applyAlignment="0" applyProtection="0"/>
    <xf numFmtId="175" fontId="110" fillId="0" borderId="0" applyNumberFormat="0" applyFill="0" applyBorder="0" applyAlignment="0" applyProtection="0"/>
    <xf numFmtId="181" fontId="111" fillId="0" borderId="0" applyFont="0" applyFill="0" applyBorder="0" applyAlignment="0" applyProtection="0"/>
    <xf numFmtId="175" fontId="112" fillId="0" borderId="0"/>
    <xf numFmtId="182" fontId="43" fillId="0" borderId="0" applyFill="0" applyBorder="0" applyAlignment="0"/>
    <xf numFmtId="182" fontId="43" fillId="0" borderId="0" applyFill="0" applyBorder="0" applyAlignment="0"/>
    <xf numFmtId="182" fontId="43" fillId="0" borderId="0" applyFill="0" applyBorder="0" applyAlignment="0"/>
    <xf numFmtId="182" fontId="43" fillId="0" borderId="0" applyFill="0" applyBorder="0" applyAlignment="0"/>
    <xf numFmtId="183" fontId="43" fillId="0" borderId="0" applyFill="0" applyBorder="0" applyAlignment="0"/>
    <xf numFmtId="184" fontId="43" fillId="0" borderId="0" applyFill="0" applyBorder="0" applyAlignment="0"/>
    <xf numFmtId="185" fontId="43" fillId="0" borderId="0" applyFill="0" applyBorder="0" applyAlignment="0"/>
    <xf numFmtId="186" fontId="43" fillId="0" borderId="0" applyFill="0" applyBorder="0" applyAlignment="0"/>
    <xf numFmtId="182" fontId="43" fillId="0" borderId="0" applyFill="0" applyBorder="0" applyAlignment="0"/>
    <xf numFmtId="187" fontId="43" fillId="0" borderId="0" applyFill="0" applyBorder="0" applyAlignment="0"/>
    <xf numFmtId="183" fontId="43" fillId="0" borderId="0" applyFill="0" applyBorder="0" applyAlignment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0" fontId="113" fillId="39" borderId="105" applyNumberFormat="0" applyAlignment="0" applyProtection="0"/>
    <xf numFmtId="175" fontId="38" fillId="92" borderId="0" applyNumberFormat="0" applyFont="0" applyBorder="0" applyAlignment="0"/>
    <xf numFmtId="175" fontId="38" fillId="92" borderId="0" applyNumberFormat="0" applyFont="0" applyBorder="0" applyAlignment="0"/>
    <xf numFmtId="175" fontId="38" fillId="92" borderId="0" applyNumberFormat="0" applyFont="0" applyBorder="0" applyAlignment="0"/>
    <xf numFmtId="175" fontId="38" fillId="92" borderId="0" applyNumberFormat="0" applyFont="0" applyBorder="0" applyAlignment="0"/>
    <xf numFmtId="175" fontId="114" fillId="0" borderId="103" applyNumberFormat="0" applyFont="0" applyFill="0" applyProtection="0">
      <alignment horizontal="centerContinuous" vertical="center"/>
    </xf>
    <xf numFmtId="175" fontId="114" fillId="0" borderId="103" applyNumberFormat="0" applyFont="0" applyFill="0" applyProtection="0">
      <alignment horizontal="centerContinuous" vertical="center"/>
    </xf>
    <xf numFmtId="175" fontId="114" fillId="0" borderId="103" applyNumberFormat="0" applyFont="0" applyFill="0" applyProtection="0">
      <alignment horizontal="centerContinuous" vertical="center"/>
    </xf>
    <xf numFmtId="175" fontId="114" fillId="0" borderId="103" applyNumberFormat="0" applyFont="0" applyFill="0" applyProtection="0">
      <alignment horizontal="centerContinuous" vertical="center"/>
    </xf>
    <xf numFmtId="188" fontId="18" fillId="0" borderId="0" applyFont="0" applyFill="0" applyBorder="0" applyAlignment="0" applyProtection="0"/>
    <xf numFmtId="0" fontId="115" fillId="93" borderId="14" applyNumberFormat="0" applyAlignment="0" applyProtection="0"/>
    <xf numFmtId="189" fontId="18" fillId="0" borderId="106" applyFont="0" applyFill="0" applyBorder="0" applyProtection="0">
      <alignment horizontal="center"/>
      <protection locked="0"/>
    </xf>
    <xf numFmtId="175" fontId="114" fillId="0" borderId="0" applyNumberFormat="0" applyFill="0" applyBorder="0" applyProtection="0">
      <alignment horizontal="center" vertical="center"/>
    </xf>
    <xf numFmtId="175" fontId="114" fillId="0" borderId="0" applyNumberFormat="0" applyFill="0" applyBorder="0" applyProtection="0">
      <alignment horizontal="center" vertical="center"/>
    </xf>
    <xf numFmtId="175" fontId="114" fillId="0" borderId="0" applyNumberFormat="0" applyFill="0" applyBorder="0" applyProtection="0">
      <alignment horizontal="center" vertical="center"/>
    </xf>
    <xf numFmtId="175" fontId="114" fillId="0" borderId="0" applyNumberFormat="0" applyFill="0" applyBorder="0" applyProtection="0">
      <alignment horizontal="center" vertical="center"/>
    </xf>
    <xf numFmtId="0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75" fontId="116" fillId="0" borderId="0" applyFont="0" applyFill="0" applyBorder="0" applyAlignment="0" applyProtection="0"/>
    <xf numFmtId="175" fontId="116" fillId="0" borderId="0" applyFont="0" applyFill="0" applyBorder="0" applyAlignment="0" applyProtection="0"/>
    <xf numFmtId="175" fontId="116" fillId="0" borderId="0" applyFont="0" applyFill="0" applyBorder="0" applyAlignment="0" applyProtection="0"/>
    <xf numFmtId="175" fontId="116" fillId="0" borderId="0" applyFont="0" applyFill="0" applyBorder="0" applyAlignment="0" applyProtection="0"/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65" fontId="118" fillId="0" borderId="0" applyFont="0" applyFill="0" applyBorder="0" applyAlignment="0" applyProtection="0"/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66" fontId="119" fillId="0" borderId="0" applyFont="0" applyFill="0" applyBorder="0" applyAlignment="0" applyProtection="0"/>
    <xf numFmtId="0" fontId="18" fillId="0" borderId="0" applyFont="0" applyFill="0" applyBorder="0" applyAlignment="0" applyProtection="0"/>
    <xf numFmtId="3" fontId="120" fillId="0" borderId="0" applyFont="0" applyFill="0" applyBorder="0" applyAlignment="0" applyProtection="0"/>
    <xf numFmtId="0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90" fontId="76" fillId="0" borderId="0" applyFont="0" applyFill="0" applyBorder="0" applyAlignment="0" applyProtection="0"/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87" fontId="18" fillId="0" borderId="0" applyFont="0" applyFill="0" applyBorder="0" applyAlignment="0" applyProtection="0"/>
    <xf numFmtId="191" fontId="120" fillId="0" borderId="0" applyFont="0" applyFill="0" applyBorder="0" applyAlignment="0" applyProtection="0"/>
    <xf numFmtId="0" fontId="121" fillId="49" borderId="0">
      <alignment wrapText="1"/>
    </xf>
    <xf numFmtId="0" fontId="122" fillId="49" borderId="0">
      <alignment horizontal="left" wrapText="1" indent="1"/>
    </xf>
    <xf numFmtId="0" fontId="123" fillId="49" borderId="0">
      <alignment horizontal="left" wrapText="1" indent="1"/>
    </xf>
    <xf numFmtId="0" fontId="123" fillId="49" borderId="0">
      <alignment horizontal="left" wrapText="1" indent="2"/>
    </xf>
    <xf numFmtId="0" fontId="122" fillId="49" borderId="0">
      <alignment horizontal="left" wrapText="1" indent="2"/>
    </xf>
    <xf numFmtId="0" fontId="122" fillId="49" borderId="0">
      <alignment horizontal="left" wrapText="1" indent="3"/>
    </xf>
    <xf numFmtId="0" fontId="123" fillId="49" borderId="0">
      <alignment horizontal="left" wrapText="1" indent="3"/>
    </xf>
    <xf numFmtId="0" fontId="122" fillId="49" borderId="0">
      <alignment horizontal="left" wrapText="1" indent="4"/>
    </xf>
    <xf numFmtId="0" fontId="123" fillId="49" borderId="0">
      <alignment horizontal="left" wrapText="1" indent="4"/>
    </xf>
    <xf numFmtId="0" fontId="124" fillId="49" borderId="0">
      <alignment horizontal="left" wrapText="1" indent="5"/>
    </xf>
    <xf numFmtId="0" fontId="125" fillId="49" borderId="0">
      <alignment horizontal="left" wrapText="1" indent="5"/>
    </xf>
    <xf numFmtId="0" fontId="124" fillId="49" borderId="0">
      <alignment horizontal="left" wrapText="1" indent="6"/>
    </xf>
    <xf numFmtId="0" fontId="126" fillId="94" borderId="0">
      <alignment wrapText="1"/>
    </xf>
    <xf numFmtId="0" fontId="126" fillId="95" borderId="0">
      <alignment wrapText="1"/>
    </xf>
    <xf numFmtId="0" fontId="125" fillId="49" borderId="0">
      <alignment horizontal="left" wrapText="1" indent="1"/>
    </xf>
    <xf numFmtId="0" fontId="127" fillId="96" borderId="0">
      <alignment wrapText="1"/>
    </xf>
    <xf numFmtId="0" fontId="124" fillId="49" borderId="0">
      <alignment horizontal="left" wrapText="1" indent="4"/>
    </xf>
    <xf numFmtId="0" fontId="124" fillId="49" borderId="0">
      <alignment horizontal="left" wrapText="1" indent="3"/>
    </xf>
    <xf numFmtId="0" fontId="128" fillId="49" borderId="0">
      <alignment horizontal="left" wrapText="1" indent="1"/>
    </xf>
    <xf numFmtId="0" fontId="123" fillId="49" borderId="0">
      <alignment wrapText="1"/>
    </xf>
    <xf numFmtId="175" fontId="80" fillId="14" borderId="0"/>
    <xf numFmtId="175" fontId="80" fillId="14" borderId="0"/>
    <xf numFmtId="175" fontId="80" fillId="14" borderId="0"/>
    <xf numFmtId="175" fontId="80" fillId="14" borderId="0"/>
    <xf numFmtId="0" fontId="39" fillId="0" borderId="0"/>
    <xf numFmtId="0" fontId="39" fillId="0" borderId="0"/>
    <xf numFmtId="175" fontId="105" fillId="97" borderId="0"/>
    <xf numFmtId="175" fontId="105" fillId="97" borderId="0"/>
    <xf numFmtId="175" fontId="105" fillId="97" borderId="0"/>
    <xf numFmtId="175" fontId="105" fillId="97" borderId="0"/>
    <xf numFmtId="192" fontId="18" fillId="0" borderId="0" applyFont="0" applyFill="0" applyBorder="0" applyAlignment="0" applyProtection="0"/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14" fontId="43" fillId="0" borderId="0" applyFill="0" applyBorder="0" applyAlignment="0"/>
    <xf numFmtId="192" fontId="18" fillId="0" borderId="0" applyFont="0" applyFill="0" applyBorder="0" applyAlignment="0" applyProtection="0"/>
    <xf numFmtId="38" fontId="34" fillId="0" borderId="0" applyFont="0" applyFill="0" applyBorder="0" applyAlignment="0" applyProtection="0"/>
    <xf numFmtId="193" fontId="129" fillId="98" borderId="0" applyNumberFormat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94" fontId="76" fillId="0" borderId="0" applyFont="0" applyFill="0" applyBorder="0" applyAlignment="0" applyProtection="0"/>
    <xf numFmtId="175" fontId="117" fillId="0" borderId="107" applyNumberFormat="0" applyFont="0" applyFill="0" applyAlignment="0" applyProtection="0"/>
    <xf numFmtId="175" fontId="117" fillId="0" borderId="107" applyNumberFormat="0" applyFont="0" applyFill="0" applyAlignment="0" applyProtection="0"/>
    <xf numFmtId="175" fontId="117" fillId="0" borderId="107" applyNumberFormat="0" applyFont="0" applyFill="0" applyAlignment="0" applyProtection="0"/>
    <xf numFmtId="175" fontId="117" fillId="0" borderId="107" applyNumberFormat="0" applyFont="0" applyFill="0" applyAlignment="0" applyProtection="0"/>
    <xf numFmtId="175" fontId="130" fillId="0" borderId="0" applyFill="0" applyBorder="0" applyAlignment="0" applyProtection="0"/>
    <xf numFmtId="175" fontId="130" fillId="0" borderId="0" applyFill="0" applyBorder="0" applyAlignment="0" applyProtection="0"/>
    <xf numFmtId="175" fontId="130" fillId="0" borderId="0" applyFill="0" applyBorder="0" applyAlignment="0" applyProtection="0"/>
    <xf numFmtId="175" fontId="130" fillId="0" borderId="0" applyFill="0" applyBorder="0" applyAlignment="0" applyProtection="0"/>
    <xf numFmtId="175" fontId="109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31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31" fillId="0" borderId="0" applyNumberFormat="0" applyFill="0" applyBorder="0" applyAlignment="0" applyProtection="0"/>
    <xf numFmtId="175" fontId="109" fillId="0" borderId="0" applyNumberFormat="0" applyFill="0" applyBorder="0" applyAlignment="0" applyProtection="0"/>
    <xf numFmtId="175" fontId="131" fillId="0" borderId="0" applyNumberFormat="0" applyFill="0" applyBorder="0" applyAlignment="0" applyProtection="0"/>
    <xf numFmtId="175" fontId="131" fillId="0" borderId="0" applyNumberFormat="0" applyFill="0" applyBorder="0" applyAlignment="0" applyProtection="0"/>
    <xf numFmtId="182" fontId="132" fillId="0" borderId="0" applyFill="0" applyBorder="0" applyAlignment="0"/>
    <xf numFmtId="183" fontId="132" fillId="0" borderId="0" applyFill="0" applyBorder="0" applyAlignment="0"/>
    <xf numFmtId="182" fontId="132" fillId="0" borderId="0" applyFill="0" applyBorder="0" applyAlignment="0"/>
    <xf numFmtId="187" fontId="132" fillId="0" borderId="0" applyFill="0" applyBorder="0" applyAlignment="0"/>
    <xf numFmtId="183" fontId="132" fillId="0" borderId="0" applyFill="0" applyBorder="0" applyAlignment="0"/>
    <xf numFmtId="175" fontId="38" fillId="0" borderId="0" applyFont="0" applyFill="0" applyBorder="0" applyAlignment="0" applyProtection="0"/>
    <xf numFmtId="0" fontId="133" fillId="0" borderId="0" applyNumberFormat="0" applyFill="0" applyBorder="0" applyAlignment="0" applyProtection="0"/>
    <xf numFmtId="195" fontId="38" fillId="0" borderId="0" applyFont="0" applyFill="0" applyBorder="0" applyAlignment="0" applyProtection="0"/>
    <xf numFmtId="196" fontId="38" fillId="0" borderId="0" applyFont="0" applyFill="0" applyBorder="0" applyAlignment="0" applyProtection="0"/>
    <xf numFmtId="0" fontId="122" fillId="49" borderId="0">
      <alignment horizontal="right"/>
      <protection locked="0"/>
    </xf>
    <xf numFmtId="197" fontId="122" fillId="99" borderId="0">
      <alignment horizontal="right"/>
      <protection locked="0"/>
    </xf>
    <xf numFmtId="10" fontId="122" fillId="99" borderId="0">
      <alignment horizontal="right"/>
      <protection locked="0"/>
    </xf>
    <xf numFmtId="197" fontId="122" fillId="96" borderId="0">
      <alignment horizontal="right"/>
      <protection locked="0"/>
    </xf>
    <xf numFmtId="198" fontId="122" fillId="96" borderId="0">
      <alignment horizontal="right"/>
      <protection locked="0"/>
    </xf>
    <xf numFmtId="198" fontId="122" fillId="99" borderId="0">
      <alignment horizontal="right"/>
      <protection locked="0"/>
    </xf>
    <xf numFmtId="199" fontId="122" fillId="99" borderId="0">
      <alignment horizontal="right"/>
      <protection locked="0"/>
    </xf>
    <xf numFmtId="199" fontId="122" fillId="96" borderId="0">
      <alignment horizontal="right"/>
      <protection locked="0"/>
    </xf>
    <xf numFmtId="197" fontId="122" fillId="100" borderId="0">
      <alignment horizontal="right"/>
      <protection locked="0"/>
    </xf>
    <xf numFmtId="0" fontId="122" fillId="99" borderId="0">
      <alignment horizontal="right"/>
      <protection locked="0"/>
    </xf>
    <xf numFmtId="197" fontId="134" fillId="49" borderId="0">
      <alignment horizontal="right"/>
      <protection locked="0"/>
    </xf>
    <xf numFmtId="10" fontId="122" fillId="100" borderId="0">
      <alignment horizontal="right"/>
      <protection locked="0"/>
    </xf>
    <xf numFmtId="10" fontId="122" fillId="96" borderId="0">
      <alignment horizontal="right"/>
      <protection locked="0"/>
    </xf>
    <xf numFmtId="199" fontId="122" fillId="100" borderId="0">
      <alignment horizontal="right"/>
      <protection locked="0"/>
    </xf>
    <xf numFmtId="199" fontId="134" fillId="49" borderId="0">
      <alignment horizontal="right"/>
      <protection locked="0"/>
    </xf>
    <xf numFmtId="198" fontId="122" fillId="100" borderId="0">
      <alignment horizontal="right"/>
      <protection locked="0"/>
    </xf>
    <xf numFmtId="198" fontId="134" fillId="49" borderId="0">
      <alignment horizontal="right"/>
      <protection locked="0"/>
    </xf>
    <xf numFmtId="10" fontId="134" fillId="49" borderId="0">
      <alignment horizontal="right"/>
      <protection locked="0"/>
    </xf>
    <xf numFmtId="0" fontId="122" fillId="96" borderId="0">
      <alignment horizontal="right"/>
      <protection locked="0"/>
    </xf>
    <xf numFmtId="197" fontId="122" fillId="49" borderId="0">
      <alignment horizontal="right"/>
      <protection locked="0"/>
    </xf>
    <xf numFmtId="0" fontId="135" fillId="94" borderId="0">
      <alignment horizontal="right"/>
      <protection locked="0"/>
    </xf>
    <xf numFmtId="10" fontId="122" fillId="49" borderId="0">
      <alignment horizontal="right"/>
      <protection locked="0"/>
    </xf>
    <xf numFmtId="0" fontId="135" fillId="95" borderId="0">
      <alignment horizontal="right"/>
      <protection locked="0"/>
    </xf>
    <xf numFmtId="197" fontId="123" fillId="49" borderId="0">
      <alignment horizontal="right"/>
      <protection locked="0"/>
    </xf>
    <xf numFmtId="10" fontId="123" fillId="49" borderId="0">
      <alignment horizontal="right"/>
      <protection locked="0"/>
    </xf>
    <xf numFmtId="0" fontId="123" fillId="96" borderId="0">
      <alignment horizontal="right"/>
      <protection locked="0"/>
    </xf>
    <xf numFmtId="199" fontId="122" fillId="49" borderId="0">
      <alignment horizontal="right"/>
      <protection locked="0"/>
    </xf>
    <xf numFmtId="199" fontId="123" fillId="49" borderId="0">
      <alignment horizontal="right"/>
      <protection locked="0"/>
    </xf>
    <xf numFmtId="198" fontId="123" fillId="49" borderId="0">
      <alignment horizontal="right"/>
      <protection locked="0"/>
    </xf>
    <xf numFmtId="198" fontId="122" fillId="49" borderId="0">
      <alignment horizontal="right"/>
      <protection locked="0"/>
    </xf>
    <xf numFmtId="197" fontId="135" fillId="94" borderId="0">
      <alignment horizontal="right"/>
      <protection locked="0"/>
    </xf>
    <xf numFmtId="0" fontId="123" fillId="49" borderId="0">
      <alignment horizontal="right"/>
      <protection locked="0"/>
    </xf>
    <xf numFmtId="199" fontId="135" fillId="95" borderId="0">
      <alignment horizontal="right"/>
      <protection locked="0"/>
    </xf>
    <xf numFmtId="197" fontId="135" fillId="95" borderId="0">
      <alignment horizontal="right"/>
      <protection locked="0"/>
    </xf>
    <xf numFmtId="168" fontId="123" fillId="49" borderId="0">
      <alignment horizontal="right"/>
      <protection locked="0"/>
    </xf>
    <xf numFmtId="200" fontId="122" fillId="49" borderId="0">
      <alignment horizontal="right"/>
      <protection locked="0"/>
    </xf>
    <xf numFmtId="201" fontId="122" fillId="49" borderId="0">
      <alignment horizontal="right"/>
      <protection locked="0"/>
    </xf>
    <xf numFmtId="170" fontId="123" fillId="49" borderId="0">
      <alignment horizontal="right"/>
      <protection locked="0"/>
    </xf>
    <xf numFmtId="201" fontId="123" fillId="49" borderId="0">
      <alignment horizontal="right"/>
      <protection locked="0"/>
    </xf>
    <xf numFmtId="169" fontId="123" fillId="49" borderId="0">
      <alignment horizontal="right"/>
      <protection locked="0"/>
    </xf>
    <xf numFmtId="1" fontId="122" fillId="49" borderId="0">
      <alignment horizontal="right"/>
      <protection locked="0"/>
    </xf>
    <xf numFmtId="202" fontId="123" fillId="49" borderId="0">
      <alignment horizontal="right"/>
      <protection locked="0"/>
    </xf>
    <xf numFmtId="203" fontId="123" fillId="49" borderId="0">
      <alignment horizontal="right"/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136" fillId="0" borderId="0">
      <protection locked="0"/>
    </xf>
    <xf numFmtId="175" fontId="136" fillId="0" borderId="0">
      <protection locked="0"/>
    </xf>
    <xf numFmtId="175" fontId="136" fillId="0" borderId="0">
      <protection locked="0"/>
    </xf>
    <xf numFmtId="175" fontId="136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175" fontId="82" fillId="0" borderId="0">
      <protection locked="0"/>
    </xf>
    <xf numFmtId="204" fontId="18" fillId="0" borderId="0" applyFont="0" applyFill="0" applyBorder="0" applyAlignment="0" applyProtection="0"/>
    <xf numFmtId="2" fontId="120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15" fontId="38" fillId="0" borderId="0">
      <alignment vertical="center"/>
    </xf>
    <xf numFmtId="175" fontId="138" fillId="0" borderId="0" applyFill="0" applyBorder="0" applyProtection="0">
      <alignment horizontal="left"/>
    </xf>
    <xf numFmtId="175" fontId="138" fillId="0" borderId="0" applyFill="0" applyBorder="0" applyProtection="0">
      <alignment horizontal="left"/>
    </xf>
    <xf numFmtId="175" fontId="138" fillId="0" borderId="0" applyFill="0" applyBorder="0" applyProtection="0">
      <alignment horizontal="left"/>
    </xf>
    <xf numFmtId="175" fontId="138" fillId="0" borderId="0" applyFill="0" applyBorder="0" applyProtection="0">
      <alignment horizontal="left"/>
    </xf>
    <xf numFmtId="193" fontId="132" fillId="0" borderId="0" applyNumberFormat="0" applyFill="0" applyBorder="0" applyAlignment="0" applyProtection="0"/>
    <xf numFmtId="0" fontId="139" fillId="83" borderId="0" applyNumberFormat="0" applyBorder="0" applyAlignment="0" applyProtection="0"/>
    <xf numFmtId="165" fontId="140" fillId="0" borderId="0" applyNumberFormat="0" applyFill="0" applyBorder="0" applyAlignment="0" applyProtection="0">
      <alignment horizontal="center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17" fillId="0" borderId="0" applyFont="0" applyFill="0" applyBorder="0" applyAlignment="0" applyProtection="0">
      <alignment horizontal="right"/>
    </xf>
    <xf numFmtId="175" fontId="141" fillId="0" borderId="0" applyProtection="0">
      <alignment horizontal="right"/>
    </xf>
    <xf numFmtId="175" fontId="141" fillId="0" borderId="0" applyProtection="0">
      <alignment horizontal="right"/>
    </xf>
    <xf numFmtId="175" fontId="141" fillId="0" borderId="0" applyProtection="0">
      <alignment horizontal="right"/>
    </xf>
    <xf numFmtId="175" fontId="141" fillId="0" borderId="0" applyProtection="0">
      <alignment horizontal="right"/>
    </xf>
    <xf numFmtId="0" fontId="142" fillId="0" borderId="28" applyNumberFormat="0" applyAlignment="0" applyProtection="0">
      <alignment horizontal="left" vertical="center"/>
    </xf>
    <xf numFmtId="0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0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0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2" fillId="0" borderId="16">
      <alignment horizontal="left" vertical="center"/>
    </xf>
    <xf numFmtId="175" fontId="143" fillId="0" borderId="0">
      <alignment horizontal="center"/>
    </xf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3" fillId="0" borderId="0">
      <alignment horizontal="center"/>
    </xf>
    <xf numFmtId="175" fontId="147" fillId="0" borderId="111" applyNumberFormat="0" applyFill="0" applyBorder="0" applyAlignment="0" applyProtection="0">
      <alignment horizontal="left"/>
    </xf>
    <xf numFmtId="175" fontId="147" fillId="0" borderId="111" applyNumberFormat="0" applyFill="0" applyBorder="0" applyAlignment="0" applyProtection="0">
      <alignment horizontal="left"/>
    </xf>
    <xf numFmtId="175" fontId="147" fillId="0" borderId="111" applyNumberFormat="0" applyFill="0" applyBorder="0" applyAlignment="0" applyProtection="0">
      <alignment horizontal="left"/>
    </xf>
    <xf numFmtId="175" fontId="147" fillId="0" borderId="111" applyNumberFormat="0" applyFill="0" applyBorder="0" applyAlignment="0" applyProtection="0">
      <alignment horizontal="left"/>
    </xf>
    <xf numFmtId="205" fontId="148" fillId="47" borderId="0" applyNumberFormat="0" applyBorder="0" applyAlignment="0" applyProtection="0"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175" fontId="150" fillId="0" borderId="0"/>
    <xf numFmtId="175" fontId="38" fillId="0" borderId="0"/>
    <xf numFmtId="0" fontId="151" fillId="86" borderId="105" applyNumberFormat="0" applyAlignment="0" applyProtection="0"/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0" fontId="151" fillId="86" borderId="105" applyNumberFormat="0" applyAlignment="0" applyProtection="0"/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8" fillId="22" borderId="1" applyNumberFormat="0" applyFont="0" applyAlignment="0">
      <protection locked="0"/>
    </xf>
    <xf numFmtId="175" fontId="152" fillId="0" borderId="0" applyNumberFormat="0" applyFill="0" applyBorder="0" applyAlignment="0" applyProtection="0">
      <alignment vertical="top"/>
      <protection locked="0"/>
    </xf>
    <xf numFmtId="175" fontId="152" fillId="0" borderId="0" applyNumberFormat="0" applyFill="0" applyBorder="0" applyAlignment="0" applyProtection="0">
      <alignment vertical="top"/>
      <protection locked="0"/>
    </xf>
    <xf numFmtId="175" fontId="152" fillId="0" borderId="0" applyNumberFormat="0" applyFill="0" applyBorder="0" applyAlignment="0" applyProtection="0">
      <alignment vertical="top"/>
      <protection locked="0"/>
    </xf>
    <xf numFmtId="175" fontId="152" fillId="0" borderId="0" applyNumberFormat="0" applyFill="0" applyBorder="0" applyAlignment="0" applyProtection="0">
      <alignment vertical="top"/>
      <protection locked="0"/>
    </xf>
    <xf numFmtId="175" fontId="153" fillId="0" borderId="0">
      <alignment vertical="center"/>
    </xf>
    <xf numFmtId="175" fontId="153" fillId="0" borderId="0">
      <alignment vertical="center"/>
    </xf>
    <xf numFmtId="175" fontId="153" fillId="0" borderId="0">
      <alignment vertical="center"/>
    </xf>
    <xf numFmtId="175" fontId="153" fillId="0" borderId="0">
      <alignment vertical="center"/>
    </xf>
    <xf numFmtId="206" fontId="38" fillId="0" borderId="0" applyFont="0" applyFill="0" applyBorder="0" applyAlignment="0" applyProtection="0"/>
    <xf numFmtId="207" fontId="38" fillId="0" borderId="0" applyFont="0" applyFill="0" applyBorder="0" applyAlignment="0" applyProtection="0"/>
    <xf numFmtId="182" fontId="154" fillId="0" borderId="0" applyFill="0" applyBorder="0" applyAlignment="0"/>
    <xf numFmtId="183" fontId="154" fillId="0" borderId="0" applyFill="0" applyBorder="0" applyAlignment="0"/>
    <xf numFmtId="182" fontId="154" fillId="0" borderId="0" applyFill="0" applyBorder="0" applyAlignment="0"/>
    <xf numFmtId="187" fontId="154" fillId="0" borderId="0" applyFill="0" applyBorder="0" applyAlignment="0"/>
    <xf numFmtId="183" fontId="154" fillId="0" borderId="0" applyFill="0" applyBorder="0" applyAlignment="0"/>
    <xf numFmtId="0" fontId="155" fillId="0" borderId="112" applyNumberFormat="0" applyFill="0" applyAlignment="0" applyProtection="0"/>
    <xf numFmtId="0" fontId="39" fillId="0" borderId="0"/>
    <xf numFmtId="208" fontId="38" fillId="0" borderId="0" applyFont="0" applyFill="0" applyBorder="0" applyAlignment="0" applyProtection="0"/>
    <xf numFmtId="209" fontId="38" fillId="0" borderId="0" applyFont="0" applyFill="0" applyBorder="0" applyAlignment="0" applyProtection="0"/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0" fontId="156" fillId="0" borderId="104">
      <alignment horizontal="right"/>
      <protection locked="0"/>
    </xf>
    <xf numFmtId="211" fontId="38" fillId="0" borderId="0" applyFont="0" applyFill="0" applyBorder="0" applyAlignment="0" applyProtection="0"/>
    <xf numFmtId="212" fontId="38" fillId="0" borderId="0" applyFont="0" applyFill="0" applyBorder="0" applyAlignment="0" applyProtection="0"/>
    <xf numFmtId="213" fontId="76" fillId="0" borderId="0" applyFont="0" applyFill="0" applyBorder="0" applyAlignment="0" applyProtection="0"/>
    <xf numFmtId="214" fontId="76" fillId="0" borderId="0" applyFont="0" applyFill="0" applyBorder="0" applyAlignment="0" applyProtection="0"/>
    <xf numFmtId="215" fontId="76" fillId="0" borderId="0" applyFont="0" applyFill="0" applyBorder="0" applyAlignment="0" applyProtection="0"/>
    <xf numFmtId="194" fontId="157" fillId="0" borderId="0" applyFont="0" applyFill="0" applyBorder="0" applyAlignment="0" applyProtection="0"/>
    <xf numFmtId="0" fontId="158" fillId="23" borderId="0" applyNumberFormat="0" applyBorder="0" applyAlignment="0" applyProtection="0"/>
    <xf numFmtId="37" fontId="159" fillId="0" borderId="0"/>
    <xf numFmtId="0" fontId="37" fillId="0" borderId="70"/>
    <xf numFmtId="0" fontId="37" fillId="0" borderId="70"/>
    <xf numFmtId="167" fontId="76" fillId="0" borderId="0"/>
    <xf numFmtId="0" fontId="39" fillId="0" borderId="0"/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52" fillId="0" borderId="0"/>
    <xf numFmtId="0" fontId="52" fillId="0" borderId="0"/>
    <xf numFmtId="0" fontId="52" fillId="0" borderId="0"/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0" fontId="52" fillId="0" borderId="0"/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37" fontId="160" fillId="47" borderId="113" applyBorder="0">
      <alignment horizontal="left" vertical="center" indent="2"/>
    </xf>
    <xf numFmtId="0" fontId="162" fillId="0" borderId="0"/>
    <xf numFmtId="175" fontId="163" fillId="0" borderId="0">
      <alignment horizontal="right"/>
    </xf>
    <xf numFmtId="175" fontId="163" fillId="0" borderId="0">
      <alignment horizontal="right"/>
    </xf>
    <xf numFmtId="175" fontId="163" fillId="0" borderId="0">
      <alignment horizontal="right"/>
    </xf>
    <xf numFmtId="175" fontId="163" fillId="0" borderId="0">
      <alignment horizontal="right"/>
    </xf>
    <xf numFmtId="0" fontId="38" fillId="0" borderId="0"/>
    <xf numFmtId="175" fontId="164" fillId="0" borderId="0"/>
    <xf numFmtId="0" fontId="165" fillId="0" borderId="0"/>
    <xf numFmtId="175" fontId="166" fillId="0" borderId="0"/>
    <xf numFmtId="0" fontId="39" fillId="0" borderId="0"/>
    <xf numFmtId="175" fontId="167" fillId="0" borderId="0"/>
    <xf numFmtId="175" fontId="167" fillId="0" borderId="0"/>
    <xf numFmtId="175" fontId="167" fillId="0" borderId="0"/>
    <xf numFmtId="175" fontId="167" fillId="0" borderId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40" fontId="43" fillId="44" borderId="0">
      <alignment horizontal="right"/>
    </xf>
    <xf numFmtId="175" fontId="169" fillId="101" borderId="0">
      <alignment horizontal="center"/>
    </xf>
    <xf numFmtId="175" fontId="169" fillId="101" borderId="0">
      <alignment horizontal="center"/>
    </xf>
    <xf numFmtId="175" fontId="169" fillId="101" borderId="0">
      <alignment horizontal="center"/>
    </xf>
    <xf numFmtId="175" fontId="169" fillId="101" borderId="0">
      <alignment horizontal="center"/>
    </xf>
    <xf numFmtId="175" fontId="170" fillId="102" borderId="0"/>
    <xf numFmtId="175" fontId="170" fillId="102" borderId="0"/>
    <xf numFmtId="175" fontId="170" fillId="102" borderId="0"/>
    <xf numFmtId="175" fontId="170" fillId="102" borderId="0"/>
    <xf numFmtId="175" fontId="171" fillId="44" borderId="0" applyBorder="0">
      <alignment horizontal="centerContinuous"/>
    </xf>
    <xf numFmtId="175" fontId="171" fillId="44" borderId="0" applyBorder="0">
      <alignment horizontal="centerContinuous"/>
    </xf>
    <xf numFmtId="175" fontId="171" fillId="44" borderId="0" applyBorder="0">
      <alignment horizontal="centerContinuous"/>
    </xf>
    <xf numFmtId="175" fontId="171" fillId="44" borderId="0" applyBorder="0">
      <alignment horizontal="centerContinuous"/>
    </xf>
    <xf numFmtId="175" fontId="172" fillId="102" borderId="0" applyBorder="0">
      <alignment horizontal="centerContinuous"/>
    </xf>
    <xf numFmtId="175" fontId="172" fillId="102" borderId="0" applyBorder="0">
      <alignment horizontal="centerContinuous"/>
    </xf>
    <xf numFmtId="175" fontId="172" fillId="102" borderId="0" applyBorder="0">
      <alignment horizontal="centerContinuous"/>
    </xf>
    <xf numFmtId="175" fontId="172" fillId="102" borderId="0" applyBorder="0">
      <alignment horizontal="centerContinuous"/>
    </xf>
    <xf numFmtId="175" fontId="142" fillId="0" borderId="0" applyNumberFormat="0" applyFill="0" applyBorder="0" applyAlignment="0" applyProtection="0"/>
    <xf numFmtId="175" fontId="142" fillId="0" borderId="0" applyNumberFormat="0" applyFill="0" applyBorder="0" applyAlignment="0" applyProtection="0"/>
    <xf numFmtId="175" fontId="142" fillId="0" borderId="0" applyNumberFormat="0" applyFill="0" applyBorder="0" applyAlignment="0" applyProtection="0"/>
    <xf numFmtId="175" fontId="142" fillId="0" borderId="0" applyNumberFormat="0" applyFill="0" applyBorder="0" applyAlignment="0" applyProtection="0"/>
    <xf numFmtId="175" fontId="173" fillId="0" borderId="0"/>
    <xf numFmtId="175" fontId="173" fillId="0" borderId="0"/>
    <xf numFmtId="175" fontId="173" fillId="0" borderId="0"/>
    <xf numFmtId="175" fontId="173" fillId="0" borderId="0"/>
    <xf numFmtId="1" fontId="174" fillId="0" borderId="0" applyProtection="0">
      <alignment horizontal="right" vertical="center"/>
    </xf>
    <xf numFmtId="216" fontId="38" fillId="0" borderId="0" applyFont="0" applyFill="0" applyBorder="0" applyAlignment="0" applyProtection="0"/>
    <xf numFmtId="217" fontId="3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70" fontId="9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Font="0" applyFill="0" applyBorder="0" applyAlignment="0" applyProtection="0"/>
    <xf numFmtId="182" fontId="175" fillId="0" borderId="0" applyFill="0" applyBorder="0" applyAlignment="0"/>
    <xf numFmtId="183" fontId="175" fillId="0" borderId="0" applyFill="0" applyBorder="0" applyAlignment="0"/>
    <xf numFmtId="182" fontId="175" fillId="0" borderId="0" applyFill="0" applyBorder="0" applyAlignment="0"/>
    <xf numFmtId="187" fontId="175" fillId="0" borderId="0" applyFill="0" applyBorder="0" applyAlignment="0"/>
    <xf numFmtId="183" fontId="175" fillId="0" borderId="0" applyFill="0" applyBorder="0" applyAlignment="0"/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218" fontId="177" fillId="0" borderId="116" applyBorder="0">
      <alignment horizontal="right"/>
      <protection locked="0"/>
    </xf>
    <xf numFmtId="218" fontId="176" fillId="0" borderId="116" applyBorder="0">
      <alignment horizontal="right"/>
      <protection locked="0"/>
    </xf>
    <xf numFmtId="175" fontId="173" fillId="0" borderId="0"/>
    <xf numFmtId="175" fontId="173" fillId="0" borderId="0"/>
    <xf numFmtId="175" fontId="173" fillId="0" borderId="0"/>
    <xf numFmtId="175" fontId="173" fillId="0" borderId="0"/>
    <xf numFmtId="175" fontId="178" fillId="0" borderId="0" applyNumberFormat="0" applyFill="0" applyBorder="0" applyAlignment="0" applyProtection="0">
      <alignment horizontal="left"/>
      <protection locked="0"/>
    </xf>
    <xf numFmtId="175" fontId="178" fillId="0" borderId="0" applyNumberFormat="0" applyFill="0" applyBorder="0" applyAlignment="0" applyProtection="0">
      <alignment horizontal="left"/>
      <protection locked="0"/>
    </xf>
    <xf numFmtId="175" fontId="178" fillId="0" borderId="0" applyNumberFormat="0" applyFill="0" applyBorder="0" applyAlignment="0" applyProtection="0">
      <alignment horizontal="left"/>
      <protection locked="0"/>
    </xf>
    <xf numFmtId="175" fontId="178" fillId="0" borderId="0" applyNumberFormat="0" applyFill="0" applyBorder="0" applyAlignment="0" applyProtection="0">
      <alignment horizontal="left"/>
      <protection locked="0"/>
    </xf>
    <xf numFmtId="175" fontId="179" fillId="0" borderId="117">
      <alignment vertical="center"/>
    </xf>
    <xf numFmtId="175" fontId="179" fillId="0" borderId="117">
      <alignment vertical="center"/>
    </xf>
    <xf numFmtId="175" fontId="179" fillId="0" borderId="117">
      <alignment vertical="center"/>
    </xf>
    <xf numFmtId="175" fontId="179" fillId="0" borderId="117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17" fillId="23" borderId="118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43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80" fillId="22" borderId="115" applyNumberFormat="0" applyProtection="0">
      <alignment vertical="center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17" fillId="22" borderId="118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43" fillId="22" borderId="115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17" fillId="24" borderId="118" applyNumberFormat="0" applyProtection="0">
      <alignment horizontal="left" vertical="center" indent="1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3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4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5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6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107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80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8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09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43" fillId="110" borderId="115" applyNumberFormat="0" applyProtection="0">
      <alignment horizontal="right" vertical="center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105" fillId="111" borderId="115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43" fillId="112" borderId="119" applyNumberFormat="0" applyProtection="0">
      <alignment horizontal="left" vertical="center" indent="1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4" fontId="17" fillId="36" borderId="118" applyNumberFormat="0" applyProtection="0">
      <alignment horizontal="right" vertical="center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3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114" borderId="115" applyNumberFormat="0" applyProtection="0">
      <alignment horizontal="left" vertical="center" indent="1"/>
    </xf>
    <xf numFmtId="0" fontId="38" fillId="44" borderId="104" applyNumberFormat="0">
      <protection locked="0"/>
    </xf>
    <xf numFmtId="0" fontId="38" fillId="44" borderId="104" applyNumberFormat="0">
      <protection locked="0"/>
    </xf>
    <xf numFmtId="0" fontId="38" fillId="44" borderId="104" applyNumberFormat="0">
      <protection locked="0"/>
    </xf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0" fontId="14" fillId="35" borderId="7" applyBorder="0"/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43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180" fillId="46" borderId="9" applyNumberFormat="0" applyProtection="0">
      <alignment vertical="center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43" fillId="46" borderId="9" applyNumberFormat="0" applyProtection="0">
      <alignment horizontal="left" vertical="center" indent="1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4" fontId="17" fillId="0" borderId="3" applyNumberFormat="0" applyProtection="0">
      <alignment horizontal="right" vertical="center"/>
    </xf>
    <xf numFmtId="3" fontId="181" fillId="0" borderId="9" applyProtection="0">
      <alignment horizontal="center" vertical="center"/>
    </xf>
    <xf numFmtId="3" fontId="181" fillId="0" borderId="9" applyProtection="0">
      <alignment horizontal="center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43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80" fillId="112" borderId="9" applyNumberFormat="0" applyProtection="0">
      <alignment horizontal="right" vertical="center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4" fontId="17" fillId="24" borderId="3" applyNumberFormat="0" applyProtection="0">
      <alignment horizontal="left" vertical="center" indent="1"/>
    </xf>
    <xf numFmtId="0" fontId="182" fillId="0" borderId="1"/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4" fontId="175" fillId="112" borderId="9" applyNumberFormat="0" applyProtection="0">
      <alignment horizontal="right" vertical="center"/>
    </xf>
    <xf numFmtId="175" fontId="183" fillId="0" borderId="120"/>
    <xf numFmtId="175" fontId="183" fillId="0" borderId="120"/>
    <xf numFmtId="175" fontId="184" fillId="0" borderId="120"/>
    <xf numFmtId="175" fontId="183" fillId="0" borderId="120"/>
    <xf numFmtId="175" fontId="184" fillId="0" borderId="120"/>
    <xf numFmtId="175" fontId="183" fillId="0" borderId="120"/>
    <xf numFmtId="175" fontId="184" fillId="0" borderId="120"/>
    <xf numFmtId="175" fontId="184" fillId="0" borderId="120"/>
    <xf numFmtId="175" fontId="111" fillId="0" borderId="0" applyFill="0" applyBorder="0" applyAlignment="0" applyProtection="0"/>
    <xf numFmtId="175" fontId="111" fillId="0" borderId="0" applyFill="0" applyBorder="0" applyAlignment="0" applyProtection="0"/>
    <xf numFmtId="175" fontId="111" fillId="0" borderId="0" applyFill="0" applyBorder="0" applyAlignment="0" applyProtection="0"/>
    <xf numFmtId="175" fontId="111" fillId="0" borderId="0" applyFill="0" applyBorder="0" applyAlignment="0" applyProtection="0"/>
    <xf numFmtId="175" fontId="94" fillId="0" borderId="0" applyNumberFormat="0" applyFill="0" applyBorder="0" applyAlignment="0" applyProtection="0">
      <alignment horizontal="center"/>
    </xf>
    <xf numFmtId="175" fontId="94" fillId="0" borderId="0" applyNumberFormat="0" applyFill="0" applyBorder="0" applyAlignment="0" applyProtection="0">
      <alignment horizontal="center"/>
    </xf>
    <xf numFmtId="175" fontId="95" fillId="0" borderId="0" applyNumberFormat="0" applyFill="0" applyBorder="0" applyAlignment="0" applyProtection="0">
      <alignment horizontal="center"/>
    </xf>
    <xf numFmtId="175" fontId="94" fillId="0" borderId="0" applyNumberFormat="0" applyFill="0" applyBorder="0" applyAlignment="0" applyProtection="0">
      <alignment horizontal="center"/>
    </xf>
    <xf numFmtId="175" fontId="95" fillId="0" borderId="0" applyNumberFormat="0" applyFill="0" applyBorder="0" applyAlignment="0" applyProtection="0">
      <alignment horizontal="center"/>
    </xf>
    <xf numFmtId="175" fontId="94" fillId="0" borderId="0" applyNumberFormat="0" applyFill="0" applyBorder="0" applyAlignment="0" applyProtection="0">
      <alignment horizontal="center"/>
    </xf>
    <xf numFmtId="175" fontId="95" fillId="0" borderId="0" applyNumberFormat="0" applyFill="0" applyBorder="0" applyAlignment="0" applyProtection="0">
      <alignment horizontal="center"/>
    </xf>
    <xf numFmtId="175" fontId="95" fillId="0" borderId="0" applyNumberFormat="0" applyFill="0" applyBorder="0" applyAlignment="0" applyProtection="0">
      <alignment horizontal="center"/>
    </xf>
    <xf numFmtId="175" fontId="185" fillId="0" borderId="0"/>
    <xf numFmtId="175" fontId="186" fillId="0" borderId="0"/>
    <xf numFmtId="175" fontId="186" fillId="0" borderId="0"/>
    <xf numFmtId="175" fontId="186" fillId="0" borderId="0"/>
    <xf numFmtId="175" fontId="186" fillId="0" borderId="0"/>
    <xf numFmtId="0" fontId="39" fillId="115" borderId="0" applyNumberFormat="0" applyFont="0" applyBorder="0" applyAlignment="0" applyProtection="0"/>
    <xf numFmtId="175" fontId="187" fillId="0" borderId="0" applyBorder="0" applyProtection="0">
      <alignment vertical="center"/>
    </xf>
    <xf numFmtId="175" fontId="187" fillId="0" borderId="0" applyBorder="0" applyProtection="0">
      <alignment vertical="center"/>
    </xf>
    <xf numFmtId="175" fontId="187" fillId="0" borderId="0" applyBorder="0" applyProtection="0">
      <alignment vertical="center"/>
    </xf>
    <xf numFmtId="175" fontId="187" fillId="0" borderId="0" applyBorder="0" applyProtection="0">
      <alignment vertical="center"/>
    </xf>
    <xf numFmtId="175" fontId="187" fillId="0" borderId="103" applyBorder="0" applyProtection="0">
      <alignment horizontal="right" vertical="center"/>
    </xf>
    <xf numFmtId="175" fontId="187" fillId="0" borderId="103" applyBorder="0" applyProtection="0">
      <alignment horizontal="right" vertical="center"/>
    </xf>
    <xf numFmtId="175" fontId="187" fillId="0" borderId="103" applyBorder="0" applyProtection="0">
      <alignment horizontal="right" vertical="center"/>
    </xf>
    <xf numFmtId="175" fontId="187" fillId="0" borderId="103" applyBorder="0" applyProtection="0">
      <alignment horizontal="right" vertical="center"/>
    </xf>
    <xf numFmtId="175" fontId="188" fillId="116" borderId="0" applyBorder="0" applyProtection="0">
      <alignment horizontal="centerContinuous" vertical="center"/>
    </xf>
    <xf numFmtId="175" fontId="188" fillId="116" borderId="0" applyBorder="0" applyProtection="0">
      <alignment horizontal="centerContinuous" vertical="center"/>
    </xf>
    <xf numFmtId="175" fontId="188" fillId="116" borderId="0" applyBorder="0" applyProtection="0">
      <alignment horizontal="centerContinuous" vertical="center"/>
    </xf>
    <xf numFmtId="175" fontId="188" fillId="116" borderId="0" applyBorder="0" applyProtection="0">
      <alignment horizontal="centerContinuous" vertical="center"/>
    </xf>
    <xf numFmtId="175" fontId="188" fillId="117" borderId="103" applyBorder="0" applyProtection="0">
      <alignment horizontal="centerContinuous" vertical="center"/>
    </xf>
    <xf numFmtId="175" fontId="188" fillId="117" borderId="103" applyBorder="0" applyProtection="0">
      <alignment horizontal="centerContinuous" vertical="center"/>
    </xf>
    <xf numFmtId="175" fontId="188" fillId="117" borderId="103" applyBorder="0" applyProtection="0">
      <alignment horizontal="centerContinuous" vertical="center"/>
    </xf>
    <xf numFmtId="175" fontId="188" fillId="117" borderId="103" applyBorder="0" applyProtection="0">
      <alignment horizontal="centerContinuous" vertical="center"/>
    </xf>
    <xf numFmtId="175" fontId="189" fillId="0" borderId="0"/>
    <xf numFmtId="175" fontId="167" fillId="0" borderId="0"/>
    <xf numFmtId="175" fontId="167" fillId="0" borderId="0"/>
    <xf numFmtId="175" fontId="167" fillId="0" borderId="0"/>
    <xf numFmtId="175" fontId="167" fillId="0" borderId="0"/>
    <xf numFmtId="175" fontId="190" fillId="0" borderId="0" applyFill="0" applyBorder="0" applyProtection="0">
      <alignment horizontal="left"/>
    </xf>
    <xf numFmtId="175" fontId="190" fillId="0" borderId="0" applyFill="0" applyBorder="0" applyProtection="0">
      <alignment horizontal="left"/>
    </xf>
    <xf numFmtId="175" fontId="190" fillId="0" borderId="0" applyFill="0" applyBorder="0" applyProtection="0">
      <alignment horizontal="left"/>
    </xf>
    <xf numFmtId="175" fontId="190" fillId="0" borderId="0" applyFill="0" applyBorder="0" applyProtection="0">
      <alignment horizontal="left"/>
    </xf>
    <xf numFmtId="175" fontId="138" fillId="0" borderId="121" applyFill="0" applyBorder="0" applyProtection="0">
      <alignment horizontal="left" vertical="top"/>
    </xf>
    <xf numFmtId="175" fontId="138" fillId="0" borderId="121" applyFill="0" applyBorder="0" applyProtection="0">
      <alignment horizontal="left" vertical="top"/>
    </xf>
    <xf numFmtId="175" fontId="138" fillId="0" borderId="121" applyFill="0" applyBorder="0" applyProtection="0">
      <alignment horizontal="left" vertical="top"/>
    </xf>
    <xf numFmtId="175" fontId="138" fillId="0" borderId="121" applyFill="0" applyBorder="0" applyProtection="0">
      <alignment horizontal="left" vertical="top"/>
    </xf>
    <xf numFmtId="175" fontId="191" fillId="0" borderId="0">
      <alignment horizontal="centerContinuous"/>
    </xf>
    <xf numFmtId="175" fontId="192" fillId="0" borderId="0"/>
    <xf numFmtId="175" fontId="192" fillId="0" borderId="0"/>
    <xf numFmtId="175" fontId="192" fillId="0" borderId="0"/>
    <xf numFmtId="175" fontId="192" fillId="0" borderId="0"/>
    <xf numFmtId="175" fontId="193" fillId="0" borderId="0"/>
    <xf numFmtId="175" fontId="193" fillId="0" borderId="0"/>
    <xf numFmtId="175" fontId="193" fillId="0" borderId="0"/>
    <xf numFmtId="175" fontId="193" fillId="0" borderId="0"/>
    <xf numFmtId="49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75" fontId="194" fillId="0" borderId="0" applyNumberFormat="0" applyFill="0" applyBorder="0" applyAlignment="0" applyProtection="0"/>
    <xf numFmtId="175" fontId="194" fillId="0" borderId="0" applyNumberFormat="0" applyFill="0" applyBorder="0" applyAlignment="0" applyProtection="0"/>
    <xf numFmtId="175" fontId="194" fillId="0" borderId="0" applyNumberFormat="0" applyFill="0" applyBorder="0" applyAlignment="0" applyProtection="0"/>
    <xf numFmtId="175" fontId="194" fillId="0" borderId="0" applyNumberFormat="0" applyFill="0" applyBorder="0" applyAlignment="0" applyProtection="0"/>
    <xf numFmtId="175" fontId="157" fillId="0" borderId="0" applyNumberFormat="0" applyFill="0" applyBorder="0" applyAlignment="0" applyProtection="0"/>
    <xf numFmtId="175" fontId="157" fillId="0" borderId="0" applyNumberFormat="0" applyFill="0" applyBorder="0" applyAlignment="0" applyProtection="0"/>
    <xf numFmtId="175" fontId="157" fillId="0" borderId="0" applyNumberFormat="0" applyFill="0" applyBorder="0" applyAlignment="0" applyProtection="0"/>
    <xf numFmtId="175" fontId="157" fillId="0" borderId="0" applyNumberFormat="0" applyFill="0" applyBorder="0" applyAlignment="0" applyProtection="0"/>
    <xf numFmtId="49" fontId="195" fillId="0" borderId="1">
      <alignment horizontal="left" vertical="top" wrapText="1"/>
      <protection locked="0"/>
    </xf>
    <xf numFmtId="49" fontId="196" fillId="0" borderId="1">
      <alignment horizontal="left" vertical="top" wrapText="1"/>
      <protection locked="0"/>
    </xf>
    <xf numFmtId="49" fontId="197" fillId="0" borderId="1">
      <alignment horizontal="left" vertical="top" wrapText="1"/>
      <protection locked="0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8" fillId="0" borderId="122">
      <alignment horizontal="left" vertical="top" wrapText="1"/>
    </xf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200" fillId="0" borderId="123">
      <alignment horizontal="center" vertical="center"/>
    </xf>
    <xf numFmtId="175" fontId="175" fillId="0" borderId="0" applyNumberFormat="0" applyFill="0" applyBorder="0" applyAlignment="0" applyProtection="0"/>
    <xf numFmtId="175" fontId="175" fillId="0" borderId="0" applyNumberFormat="0" applyFill="0" applyBorder="0" applyAlignment="0" applyProtection="0"/>
    <xf numFmtId="175" fontId="175" fillId="0" borderId="0" applyNumberFormat="0" applyFill="0" applyBorder="0" applyAlignment="0" applyProtection="0"/>
    <xf numFmtId="175" fontId="175" fillId="0" borderId="0" applyNumberFormat="0" applyFill="0" applyBorder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175" fontId="202" fillId="0" borderId="0">
      <alignment horizontal="fill"/>
    </xf>
    <xf numFmtId="175" fontId="203" fillId="0" borderId="0"/>
    <xf numFmtId="175" fontId="203" fillId="0" borderId="0"/>
    <xf numFmtId="175" fontId="203" fillId="0" borderId="0"/>
    <xf numFmtId="175" fontId="203" fillId="0" borderId="0"/>
    <xf numFmtId="219" fontId="38" fillId="0" borderId="0" applyFont="0" applyFill="0" applyBorder="0" applyAlignment="0" applyProtection="0"/>
    <xf numFmtId="220" fontId="38" fillId="0" borderId="0" applyFont="0" applyFill="0" applyBorder="0" applyAlignment="0" applyProtection="0"/>
    <xf numFmtId="175" fontId="203" fillId="0" borderId="0"/>
    <xf numFmtId="175" fontId="203" fillId="0" borderId="0"/>
    <xf numFmtId="175" fontId="203" fillId="0" borderId="0"/>
    <xf numFmtId="175" fontId="203" fillId="0" borderId="0"/>
    <xf numFmtId="0" fontId="204" fillId="0" borderId="0" applyNumberFormat="0" applyFill="0" applyBorder="0" applyAlignment="0" applyProtection="0"/>
    <xf numFmtId="175" fontId="18" fillId="33" borderId="0" applyNumberFormat="0" applyBorder="0" applyAlignment="0" applyProtection="0"/>
    <xf numFmtId="175" fontId="18" fillId="33" borderId="0" applyNumberFormat="0" applyBorder="0" applyAlignment="0" applyProtection="0"/>
    <xf numFmtId="175" fontId="18" fillId="33" borderId="0" applyNumberFormat="0" applyBorder="0" applyAlignment="0" applyProtection="0"/>
    <xf numFmtId="175" fontId="18" fillId="33" borderId="0" applyNumberFormat="0" applyBorder="0" applyAlignment="0" applyProtection="0"/>
    <xf numFmtId="9" fontId="205" fillId="0" borderId="0" applyFont="0" applyFill="0" applyBorder="0" applyAlignment="0" applyProtection="0"/>
    <xf numFmtId="175" fontId="206" fillId="0" borderId="103" applyBorder="0" applyProtection="0">
      <alignment horizontal="right"/>
    </xf>
    <xf numFmtId="175" fontId="206" fillId="0" borderId="103" applyBorder="0" applyProtection="0">
      <alignment horizontal="right"/>
    </xf>
    <xf numFmtId="175" fontId="207" fillId="0" borderId="103" applyBorder="0" applyProtection="0">
      <alignment horizontal="right"/>
    </xf>
    <xf numFmtId="175" fontId="206" fillId="0" borderId="103" applyBorder="0" applyProtection="0">
      <alignment horizontal="right"/>
    </xf>
    <xf numFmtId="175" fontId="207" fillId="0" borderId="103" applyBorder="0" applyProtection="0">
      <alignment horizontal="right"/>
    </xf>
    <xf numFmtId="175" fontId="206" fillId="0" borderId="103" applyBorder="0" applyProtection="0">
      <alignment horizontal="right"/>
    </xf>
    <xf numFmtId="175" fontId="207" fillId="0" borderId="103" applyBorder="0" applyProtection="0">
      <alignment horizontal="right"/>
    </xf>
    <xf numFmtId="175" fontId="207" fillId="0" borderId="103" applyBorder="0" applyProtection="0">
      <alignment horizontal="right"/>
    </xf>
    <xf numFmtId="221" fontId="111" fillId="0" borderId="0" applyFont="0" applyFill="0" applyBorder="0" applyAlignment="0" applyProtection="0"/>
    <xf numFmtId="0" fontId="208" fillId="49" borderId="125">
      <alignment horizontal="left" vertical="center" wrapText="1"/>
    </xf>
    <xf numFmtId="222" fontId="18" fillId="0" borderId="0" applyFont="0" applyFill="0" applyBorder="0" applyAlignment="0" applyProtection="0"/>
    <xf numFmtId="3" fontId="209" fillId="0" borderId="40">
      <alignment horizontal="center" vertical="center" wrapText="1"/>
    </xf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90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31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89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24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0" fontId="93" fillId="30" borderId="0" applyNumberFormat="0" applyBorder="0" applyAlignment="0" applyProtection="0"/>
    <xf numFmtId="197" fontId="210" fillId="118" borderId="126" applyNumberFormat="0" applyFont="0" applyAlignment="0">
      <protection locked="0"/>
    </xf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0" fontId="151" fillId="86" borderId="127" applyNumberFormat="0" applyAlignment="0" applyProtection="0"/>
    <xf numFmtId="3" fontId="211" fillId="0" borderId="0">
      <alignment horizontal="center" vertical="center" textRotation="90" wrapText="1"/>
    </xf>
    <xf numFmtId="197" fontId="210" fillId="119" borderId="126" applyNumberFormat="0" applyFont="0" applyAlignment="0">
      <protection locked="0"/>
    </xf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68" fillId="39" borderId="115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0" fontId="113" fillId="39" borderId="127" applyNumberFormat="0" applyAlignment="0" applyProtection="0"/>
    <xf numFmtId="175" fontId="212" fillId="0" borderId="0" applyNumberFormat="0" applyFill="0" applyBorder="0" applyAlignment="0" applyProtection="0">
      <alignment vertical="top"/>
      <protection locked="0"/>
    </xf>
    <xf numFmtId="175" fontId="212" fillId="0" borderId="0" applyNumberFormat="0" applyFill="0" applyBorder="0" applyAlignment="0" applyProtection="0">
      <alignment vertical="top"/>
      <protection locked="0"/>
    </xf>
    <xf numFmtId="0" fontId="213" fillId="0" borderId="0" applyNumberFormat="0" applyFill="0" applyBorder="0" applyAlignment="0" applyProtection="0"/>
    <xf numFmtId="175" fontId="34" fillId="0" borderId="17" applyNumberFormat="0" applyFill="0" applyBorder="0" applyProtection="0">
      <alignment horizontal="right" vertical="center"/>
    </xf>
    <xf numFmtId="175" fontId="34" fillId="0" borderId="17" applyNumberFormat="0" applyFill="0" applyBorder="0" applyProtection="0">
      <alignment horizontal="right" vertical="center"/>
    </xf>
    <xf numFmtId="175" fontId="34" fillId="0" borderId="17" applyNumberFormat="0" applyFill="0" applyBorder="0" applyProtection="0">
      <alignment horizontal="right" vertical="center"/>
    </xf>
    <xf numFmtId="175" fontId="34" fillId="0" borderId="17" applyNumberFormat="0" applyFill="0" applyBorder="0" applyProtection="0">
      <alignment horizontal="right" vertical="center"/>
    </xf>
    <xf numFmtId="14" fontId="214" fillId="0" borderId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3" fontId="39" fillId="0" borderId="0" applyFont="0" applyFill="0" applyBorder="0" applyAlignment="0" applyProtection="0"/>
    <xf numFmtId="224" fontId="205" fillId="0" borderId="0" applyFont="0" applyFill="0" applyBorder="0" applyAlignment="0" applyProtection="0"/>
    <xf numFmtId="0" fontId="63" fillId="0" borderId="128" applyNumberFormat="0" applyFill="0">
      <alignment horizontal="center" vertical="center"/>
    </xf>
    <xf numFmtId="0" fontId="215" fillId="120" borderId="129">
      <alignment horizontal="center" vertical="center" wrapText="1"/>
    </xf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4" fillId="0" borderId="108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5" fillId="0" borderId="109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110" applyNumberFormat="0" applyFill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201" fillId="0" borderId="124" applyNumberFormat="0" applyFill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0" fontId="115" fillId="93" borderId="14" applyNumberFormat="0" applyAlignment="0" applyProtection="0"/>
    <xf numFmtId="198" fontId="210" fillId="118" borderId="126" applyFont="0" applyFill="0" applyBorder="0" applyAlignment="0" applyProtection="0">
      <protection locked="0"/>
    </xf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38" fillId="0" borderId="130">
      <alignment horizontal="left" vertical="top" wrapText="1"/>
    </xf>
    <xf numFmtId="225" fontId="216" fillId="0" borderId="0"/>
    <xf numFmtId="175" fontId="217" fillId="47" borderId="0" applyFill="0"/>
    <xf numFmtId="175" fontId="217" fillId="47" borderId="0" applyFill="0"/>
    <xf numFmtId="175" fontId="217" fillId="47" borderId="0" applyFill="0"/>
    <xf numFmtId="175" fontId="217" fillId="47" borderId="0" applyFill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0" fontId="158" fillId="23" borderId="0" applyNumberFormat="0" applyBorder="0" applyAlignment="0" applyProtection="0"/>
    <xf numFmtId="197" fontId="210" fillId="121" borderId="126" applyNumberFormat="0" applyFon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18" fillId="0" borderId="0" applyNumberForma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9" fillId="0" borderId="0"/>
    <xf numFmtId="0" fontId="1" fillId="0" borderId="0"/>
    <xf numFmtId="0" fontId="2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5" fontId="1" fillId="0" borderId="0"/>
    <xf numFmtId="195" fontId="1" fillId="0" borderId="0"/>
    <xf numFmtId="19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ont="0" applyFill="0" applyBorder="0" applyAlignment="0" applyProtection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0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38" fillId="0" borderId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 applyNumberFormat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5" fontId="38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 applyNumberFormat="0" applyFont="0" applyFill="0" applyBorder="0" applyAlignment="0" applyProtection="0"/>
    <xf numFmtId="0" fontId="218" fillId="0" borderId="0" applyNumberForma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175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8" fillId="0" borderId="0" applyNumberFormat="0" applyFill="0" applyBorder="0" applyAlignment="0" applyProtection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39" fillId="0" borderId="0" applyNumberFormat="0" applyFont="0" applyFill="0" applyBorder="0" applyAlignment="0" applyProtection="0"/>
    <xf numFmtId="0" fontId="39" fillId="0" borderId="0"/>
    <xf numFmtId="0" fontId="1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on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05" fillId="0" borderId="0" applyFont="0" applyFill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04" fillId="25" borderId="0" applyNumberFormat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74" borderId="23" applyNumberFormat="0" applyFont="0" applyAlignment="0" applyProtection="0"/>
    <xf numFmtId="0" fontId="40" fillId="45" borderId="114" applyNumberFormat="0" applyFont="0" applyAlignment="0" applyProtection="0"/>
    <xf numFmtId="0" fontId="40" fillId="74" borderId="23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1" fillId="74" borderId="23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39" fillId="45" borderId="114" applyNumberFormat="0" applyFont="0" applyAlignment="0" applyProtection="0"/>
    <xf numFmtId="0" fontId="1" fillId="74" borderId="23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1" fillId="74" borderId="23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1" fillId="74" borderId="23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39" fillId="45" borderId="114" applyNumberFormat="0" applyFont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0" fontId="40" fillId="45" borderId="114" applyNumberFormat="0" applyFont="0" applyAlignment="0" applyProtection="0"/>
    <xf numFmtId="0" fontId="39" fillId="0" borderId="0" applyNumberFormat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2" fillId="0" borderId="16">
      <alignment horizontal="center"/>
    </xf>
    <xf numFmtId="0" fontId="42" fillId="0" borderId="16">
      <alignment horizontal="center"/>
    </xf>
    <xf numFmtId="197" fontId="210" fillId="122" borderId="126" applyNumberFormat="0" applyFont="0" applyAlignment="0"/>
    <xf numFmtId="0" fontId="221" fillId="0" borderId="22"/>
    <xf numFmtId="0" fontId="222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221" fillId="0" borderId="22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0" fontId="155" fillId="0" borderId="112" applyNumberFormat="0" applyFill="0" applyAlignment="0" applyProtection="0"/>
    <xf numFmtId="197" fontId="223" fillId="0" borderId="126" applyNumberFormat="0" applyAlignment="0"/>
    <xf numFmtId="0" fontId="45" fillId="0" borderId="0"/>
    <xf numFmtId="0" fontId="77" fillId="0" borderId="0"/>
    <xf numFmtId="0" fontId="77" fillId="0" borderId="0"/>
    <xf numFmtId="0" fontId="79" fillId="0" borderId="0"/>
    <xf numFmtId="0" fontId="77" fillId="0" borderId="0"/>
    <xf numFmtId="0" fontId="79" fillId="0" borderId="0"/>
    <xf numFmtId="0" fontId="77" fillId="0" borderId="0"/>
    <xf numFmtId="0" fontId="79" fillId="0" borderId="0"/>
    <xf numFmtId="0" fontId="79" fillId="0" borderId="0"/>
    <xf numFmtId="0" fontId="77" fillId="0" borderId="0"/>
    <xf numFmtId="0" fontId="79" fillId="0" borderId="0"/>
    <xf numFmtId="0" fontId="77" fillId="0" borderId="0"/>
    <xf numFmtId="0" fontId="77" fillId="0" borderId="0"/>
    <xf numFmtId="0" fontId="79" fillId="0" borderId="0"/>
    <xf numFmtId="0" fontId="77" fillId="0" borderId="0"/>
    <xf numFmtId="0" fontId="77" fillId="0" borderId="0"/>
    <xf numFmtId="0" fontId="79" fillId="0" borderId="0"/>
    <xf numFmtId="0" fontId="77" fillId="0" borderId="0"/>
    <xf numFmtId="0" fontId="77" fillId="0" borderId="0"/>
    <xf numFmtId="0" fontId="79" fillId="0" borderId="0"/>
    <xf numFmtId="0" fontId="77" fillId="0" borderId="0"/>
    <xf numFmtId="0" fontId="77" fillId="0" borderId="0"/>
    <xf numFmtId="0" fontId="79" fillId="0" borderId="0"/>
    <xf numFmtId="0" fontId="77" fillId="0" borderId="0"/>
    <xf numFmtId="0" fontId="77" fillId="0" borderId="0"/>
    <xf numFmtId="0" fontId="45" fillId="0" borderId="0"/>
    <xf numFmtId="0" fontId="77" fillId="0" borderId="0"/>
    <xf numFmtId="0" fontId="45" fillId="0" borderId="0"/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7" fillId="0" borderId="0" applyNumberFormat="0" applyFont="0" applyFill="0" applyBorder="0" applyAlignment="0" applyProtection="0">
      <alignment vertical="top"/>
    </xf>
    <xf numFmtId="175" fontId="39" fillId="0" borderId="0"/>
    <xf numFmtId="175" fontId="39" fillId="0" borderId="0"/>
    <xf numFmtId="175" fontId="39" fillId="0" borderId="0"/>
    <xf numFmtId="175" fontId="39" fillId="0" borderId="0"/>
    <xf numFmtId="175" fontId="39" fillId="0" borderId="0"/>
    <xf numFmtId="175" fontId="39" fillId="0" borderId="0"/>
    <xf numFmtId="175" fontId="39" fillId="0" borderId="0"/>
    <xf numFmtId="175" fontId="39" fillId="0" borderId="0"/>
    <xf numFmtId="226" fontId="224" fillId="48" borderId="0">
      <alignment horizontal="center"/>
    </xf>
    <xf numFmtId="49" fontId="225" fillId="0" borderId="0"/>
    <xf numFmtId="49" fontId="226" fillId="0" borderId="0">
      <alignment vertical="top"/>
    </xf>
    <xf numFmtId="0" fontId="78" fillId="0" borderId="17" applyBorder="0" applyAlignment="0">
      <alignment horizontal="left" wrapText="1"/>
    </xf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227" fontId="227" fillId="0" borderId="0"/>
    <xf numFmtId="228" fontId="205" fillId="0" borderId="0" applyFont="0" applyFill="0" applyBorder="0" applyAlignment="0" applyProtection="0"/>
    <xf numFmtId="229" fontId="205" fillId="0" borderId="0" applyFont="0" applyFill="0" applyBorder="0" applyAlignment="0" applyProtection="0"/>
    <xf numFmtId="0" fontId="119" fillId="0" borderId="0" applyNumberFormat="0" applyFill="0" applyBorder="0">
      <alignment horizontal="left" wrapText="1" indent="1"/>
    </xf>
    <xf numFmtId="0" fontId="119" fillId="0" borderId="0" applyFill="0" applyBorder="0">
      <alignment horizontal="left" wrapText="1" indent="2"/>
    </xf>
    <xf numFmtId="0" fontId="119" fillId="0" borderId="0" applyFill="0" applyBorder="0">
      <alignment horizontal="left" wrapText="1" indent="3"/>
    </xf>
    <xf numFmtId="0" fontId="119" fillId="0" borderId="0" applyFill="0" applyBorder="0">
      <alignment horizontal="left" wrapText="1" indent="4"/>
    </xf>
    <xf numFmtId="0" fontId="228" fillId="0" borderId="0" applyFill="0" applyBorder="0">
      <alignment horizontal="left" wrapText="1" indent="5"/>
    </xf>
    <xf numFmtId="0" fontId="228" fillId="0" borderId="0" applyFill="0" applyBorder="0">
      <alignment horizontal="left" wrapText="1" indent="6"/>
    </xf>
    <xf numFmtId="230" fontId="38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39" fillId="0" borderId="0" applyFont="0" applyFill="0" applyBorder="0" applyAlignment="0" applyProtection="0"/>
    <xf numFmtId="231" fontId="1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119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9" fillId="0" borderId="0" applyFont="0" applyFill="0" applyBorder="0" applyAlignment="0" applyProtection="0"/>
    <xf numFmtId="172" fontId="38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232" fontId="1" fillId="0" borderId="0" applyFont="0" applyFill="0" applyBorder="0" applyAlignment="0" applyProtection="0"/>
    <xf numFmtId="23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8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0" fontId="139" fillId="83" borderId="0" applyNumberFormat="0" applyBorder="0" applyAlignment="0" applyProtection="0"/>
    <xf numFmtId="197" fontId="210" fillId="118" borderId="126" applyFont="0" applyFill="0" applyBorder="0" applyAlignment="0" applyProtection="0">
      <protection locked="0"/>
    </xf>
    <xf numFmtId="202" fontId="210" fillId="118" borderId="126" applyFont="0" applyFill="0" applyBorder="0" applyAlignment="0" applyProtection="0">
      <protection locked="0"/>
    </xf>
    <xf numFmtId="199" fontId="210" fillId="118" borderId="126" applyFont="0" applyFill="0" applyBorder="0" applyAlignment="0" applyProtection="0">
      <protection locked="0"/>
    </xf>
    <xf numFmtId="201" fontId="210" fillId="118" borderId="126" applyFont="0" applyFill="0" applyBorder="0" applyAlignment="0" applyProtection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175" fontId="81" fillId="0" borderId="0">
      <protection locked="0"/>
    </xf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49" fontId="229" fillId="0" borderId="1" applyNumberFormat="0" applyFill="0" applyAlignment="0" applyProtection="0"/>
    <xf numFmtId="197" fontId="210" fillId="0" borderId="1" applyNumberFormat="0" applyAlignment="0"/>
  </cellStyleXfs>
  <cellXfs count="460">
    <xf numFmtId="0" fontId="0" fillId="0" borderId="0" xfId="0"/>
    <xf numFmtId="0" fontId="0" fillId="0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3" fillId="0" borderId="0" xfId="476"/>
    <xf numFmtId="0" fontId="56" fillId="0" borderId="0" xfId="476" applyFont="1"/>
    <xf numFmtId="170" fontId="56" fillId="0" borderId="1" xfId="478" applyNumberFormat="1" applyFont="1" applyBorder="1" applyAlignment="1">
      <alignment horizontal="center" vertical="center"/>
    </xf>
    <xf numFmtId="9" fontId="56" fillId="0" borderId="1" xfId="478" applyFont="1" applyBorder="1" applyAlignment="1">
      <alignment horizontal="center" vertical="center"/>
    </xf>
    <xf numFmtId="169" fontId="56" fillId="0" borderId="0" xfId="476" applyNumberFormat="1" applyFont="1"/>
    <xf numFmtId="168" fontId="56" fillId="0" borderId="0" xfId="476" applyNumberFormat="1" applyFont="1"/>
    <xf numFmtId="168" fontId="53" fillId="0" borderId="0" xfId="476" applyNumberFormat="1"/>
    <xf numFmtId="9" fontId="0" fillId="0" borderId="0" xfId="0" applyNumberFormat="1"/>
    <xf numFmtId="170" fontId="51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171" fontId="0" fillId="0" borderId="0" xfId="0" applyNumberFormat="1"/>
    <xf numFmtId="170" fontId="51" fillId="65" borderId="1" xfId="0" applyNumberFormat="1" applyFont="1" applyFill="1" applyBorder="1" applyAlignment="1">
      <alignment horizontal="center" vertical="center"/>
    </xf>
    <xf numFmtId="170" fontId="56" fillId="0" borderId="17" xfId="478" applyNumberFormat="1" applyFont="1" applyFill="1" applyBorder="1" applyAlignment="1">
      <alignment horizontal="center" vertical="center"/>
    </xf>
    <xf numFmtId="168" fontId="56" fillId="0" borderId="0" xfId="476" applyNumberFormat="1" applyFont="1" applyFill="1"/>
    <xf numFmtId="168" fontId="0" fillId="0" borderId="0" xfId="0" applyNumberFormat="1"/>
    <xf numFmtId="170" fontId="0" fillId="0" borderId="0" xfId="0" applyNumberFormat="1"/>
    <xf numFmtId="170" fontId="0" fillId="0" borderId="0" xfId="474" applyNumberFormat="1" applyFont="1"/>
    <xf numFmtId="0" fontId="0" fillId="60" borderId="0" xfId="0" applyFont="1" applyFill="1" applyBorder="1" applyAlignment="1">
      <alignment horizontal="left" vertical="center"/>
    </xf>
    <xf numFmtId="0" fontId="0" fillId="60" borderId="0" xfId="0" applyFill="1"/>
    <xf numFmtId="14" fontId="0" fillId="0" borderId="0" xfId="0" applyNumberFormat="1" applyAlignment="1">
      <alignment horizontal="center"/>
    </xf>
    <xf numFmtId="0" fontId="49" fillId="0" borderId="1" xfId="0" applyFont="1" applyBorder="1" applyAlignment="1">
      <alignment vertical="center" wrapText="1"/>
    </xf>
    <xf numFmtId="0" fontId="49" fillId="0" borderId="1" xfId="0" applyFont="1" applyBorder="1" applyAlignment="1">
      <alignment horizontal="center" vertical="center" wrapText="1"/>
    </xf>
    <xf numFmtId="164" fontId="48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9" fillId="61" borderId="1" xfId="0" applyFont="1" applyFill="1" applyBorder="1" applyAlignment="1">
      <alignment horizontal="center" vertical="center" wrapText="1"/>
    </xf>
    <xf numFmtId="164" fontId="48" fillId="61" borderId="1" xfId="1" applyFont="1" applyFill="1" applyBorder="1" applyAlignment="1">
      <alignment horizontal="center" vertical="center" wrapText="1"/>
    </xf>
    <xf numFmtId="164" fontId="48" fillId="68" borderId="1" xfId="1" applyFont="1" applyFill="1" applyBorder="1" applyAlignment="1">
      <alignment horizontal="center" vertical="center" wrapText="1"/>
    </xf>
    <xf numFmtId="164" fontId="48" fillId="67" borderId="1" xfId="1" applyFont="1" applyFill="1" applyBorder="1" applyAlignment="1">
      <alignment horizontal="center" vertical="center" wrapText="1"/>
    </xf>
    <xf numFmtId="164" fontId="48" fillId="60" borderId="1" xfId="1" applyFont="1" applyFill="1" applyBorder="1" applyAlignment="1">
      <alignment horizontal="center" vertical="center" wrapText="1"/>
    </xf>
    <xf numFmtId="164" fontId="48" fillId="69" borderId="1" xfId="1" applyFont="1" applyFill="1" applyBorder="1" applyAlignment="1">
      <alignment horizontal="center" vertical="center" wrapText="1"/>
    </xf>
    <xf numFmtId="164" fontId="48" fillId="66" borderId="1" xfId="1" applyFont="1" applyFill="1" applyBorder="1" applyAlignment="1">
      <alignment horizontal="center" vertical="center" wrapText="1"/>
    </xf>
    <xf numFmtId="0" fontId="48" fillId="7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 wrapText="1"/>
    </xf>
    <xf numFmtId="3" fontId="0" fillId="0" borderId="19" xfId="0" applyNumberFormat="1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3" fontId="0" fillId="0" borderId="18" xfId="0" applyNumberFormat="1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58" fillId="0" borderId="0" xfId="487" applyAlignment="1" applyProtection="1"/>
    <xf numFmtId="14" fontId="0" fillId="60" borderId="0" xfId="0" applyNumberFormat="1" applyFill="1"/>
    <xf numFmtId="0" fontId="0" fillId="61" borderId="0" xfId="0" applyFill="1" applyAlignment="1">
      <alignment horizontal="center"/>
    </xf>
    <xf numFmtId="171" fontId="0" fillId="61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68" borderId="0" xfId="0" applyFill="1"/>
    <xf numFmtId="14" fontId="0" fillId="60" borderId="0" xfId="0" applyNumberFormat="1" applyFill="1" applyAlignment="1">
      <alignment horizontal="center"/>
    </xf>
    <xf numFmtId="14" fontId="0" fillId="71" borderId="0" xfId="0" applyNumberFormat="1" applyFill="1" applyAlignment="1">
      <alignment horizontal="center"/>
    </xf>
    <xf numFmtId="0" fontId="0" fillId="60" borderId="0" xfId="0" applyFill="1" applyAlignment="1">
      <alignment horizontal="left"/>
    </xf>
    <xf numFmtId="0" fontId="0" fillId="71" borderId="0" xfId="0" applyFill="1" applyAlignment="1">
      <alignment horizontal="left"/>
    </xf>
    <xf numFmtId="172" fontId="0" fillId="0" borderId="0" xfId="0" applyNumberFormat="1" applyAlignment="1">
      <alignment horizontal="left"/>
    </xf>
    <xf numFmtId="172" fontId="0" fillId="60" borderId="0" xfId="0" applyNumberFormat="1" applyFill="1" applyAlignment="1">
      <alignment horizontal="left"/>
    </xf>
    <xf numFmtId="172" fontId="0" fillId="71" borderId="0" xfId="0" applyNumberFormat="1" applyFill="1" applyAlignment="1">
      <alignment horizontal="left"/>
    </xf>
    <xf numFmtId="169" fontId="0" fillId="0" borderId="0" xfId="0" applyNumberFormat="1" applyAlignment="1">
      <alignment horizontal="left"/>
    </xf>
    <xf numFmtId="167" fontId="0" fillId="68" borderId="0" xfId="0" applyNumberFormat="1" applyFill="1" applyAlignment="1">
      <alignment horizontal="center"/>
    </xf>
    <xf numFmtId="0" fontId="0" fillId="0" borderId="0" xfId="0" applyFill="1"/>
    <xf numFmtId="167" fontId="0" fillId="0" borderId="0" xfId="0" applyNumberFormat="1" applyFill="1" applyAlignment="1">
      <alignment horizontal="center"/>
    </xf>
    <xf numFmtId="0" fontId="58" fillId="0" borderId="0" xfId="487" applyFill="1" applyAlignment="1" applyProtection="1"/>
    <xf numFmtId="14" fontId="0" fillId="0" borderId="0" xfId="0" applyNumberFormat="1" applyFill="1" applyAlignment="1">
      <alignment horizontal="center"/>
    </xf>
    <xf numFmtId="0" fontId="0" fillId="70" borderId="0" xfId="0" applyFill="1"/>
    <xf numFmtId="0" fontId="0" fillId="70" borderId="0" xfId="0" applyFill="1" applyAlignment="1">
      <alignment horizontal="left"/>
    </xf>
    <xf numFmtId="0" fontId="0" fillId="70" borderId="0" xfId="0" applyFill="1" applyAlignment="1">
      <alignment horizontal="center"/>
    </xf>
    <xf numFmtId="0" fontId="0" fillId="71" borderId="0" xfId="0" applyFont="1" applyFill="1"/>
    <xf numFmtId="0" fontId="0" fillId="0" borderId="0" xfId="0" applyFill="1" applyAlignment="1">
      <alignment horizontal="left"/>
    </xf>
    <xf numFmtId="0" fontId="59" fillId="0" borderId="0" xfId="0" applyFont="1" applyFill="1"/>
    <xf numFmtId="0" fontId="59" fillId="0" borderId="0" xfId="0" applyFont="1" applyFill="1" applyAlignment="1">
      <alignment horizontal="left"/>
    </xf>
    <xf numFmtId="14" fontId="59" fillId="0" borderId="0" xfId="0" applyNumberFormat="1" applyFont="1" applyFill="1" applyAlignment="1">
      <alignment horizontal="center"/>
    </xf>
    <xf numFmtId="0" fontId="59" fillId="0" borderId="0" xfId="0" applyFont="1" applyAlignment="1">
      <alignment horizontal="left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14" fontId="0" fillId="0" borderId="0" xfId="0" applyNumberFormat="1" applyFont="1" applyFill="1" applyAlignment="1">
      <alignment horizontal="center"/>
    </xf>
    <xf numFmtId="0" fontId="0" fillId="69" borderId="0" xfId="0" applyFill="1"/>
    <xf numFmtId="0" fontId="51" fillId="70" borderId="0" xfId="0" applyFont="1" applyFill="1"/>
    <xf numFmtId="3" fontId="0" fillId="68" borderId="1" xfId="0" applyNumberFormat="1" applyFill="1" applyBorder="1" applyAlignment="1">
      <alignment horizontal="center" vertical="center"/>
    </xf>
    <xf numFmtId="3" fontId="0" fillId="67" borderId="1" xfId="0" applyNumberFormat="1" applyFill="1" applyBorder="1" applyAlignment="1">
      <alignment horizontal="center" vertical="center"/>
    </xf>
    <xf numFmtId="3" fontId="0" fillId="60" borderId="1" xfId="0" applyNumberFormat="1" applyFill="1" applyBorder="1" applyAlignment="1">
      <alignment horizontal="center" vertical="center"/>
    </xf>
    <xf numFmtId="3" fontId="0" fillId="66" borderId="1" xfId="0" applyNumberFormat="1" applyFill="1" applyBorder="1" applyAlignment="1">
      <alignment horizontal="center" vertical="center"/>
    </xf>
    <xf numFmtId="3" fontId="0" fillId="69" borderId="1" xfId="0" applyNumberFormat="1" applyFill="1" applyBorder="1" applyAlignment="1">
      <alignment horizontal="center" vertical="center"/>
    </xf>
    <xf numFmtId="170" fontId="0" fillId="70" borderId="1" xfId="474" applyNumberFormat="1" applyFont="1" applyFill="1" applyBorder="1" applyAlignment="1">
      <alignment horizontal="center" vertical="center"/>
    </xf>
    <xf numFmtId="170" fontId="0" fillId="0" borderId="1" xfId="474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9" fontId="0" fillId="0" borderId="1" xfId="474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70" fontId="0" fillId="0" borderId="1" xfId="0" applyNumberFormat="1" applyFill="1" applyBorder="1" applyAlignment="1">
      <alignment horizontal="center" vertical="center"/>
    </xf>
    <xf numFmtId="3" fontId="3" fillId="68" borderId="1" xfId="0" applyNumberFormat="1" applyFont="1" applyFill="1" applyBorder="1" applyAlignment="1">
      <alignment horizontal="center" vertical="center"/>
    </xf>
    <xf numFmtId="3" fontId="3" fillId="66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67" fontId="0" fillId="0" borderId="0" xfId="0" applyNumberFormat="1" applyAlignment="1">
      <alignment vertical="center"/>
    </xf>
    <xf numFmtId="167" fontId="0" fillId="65" borderId="0" xfId="0" applyNumberFormat="1" applyFill="1" applyAlignment="1">
      <alignment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horizontal="center" vertical="center"/>
    </xf>
    <xf numFmtId="0" fontId="0" fillId="61" borderId="19" xfId="0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0" fontId="0" fillId="60" borderId="1" xfId="0" applyFont="1" applyFill="1" applyBorder="1" applyAlignment="1">
      <alignment horizontal="center" vertical="center"/>
    </xf>
    <xf numFmtId="0" fontId="0" fillId="60" borderId="1" xfId="0" applyFont="1" applyFill="1" applyBorder="1" applyAlignment="1">
      <alignment horizontal="left" vertical="center"/>
    </xf>
    <xf numFmtId="0" fontId="0" fillId="60" borderId="1" xfId="0" applyFont="1" applyFill="1" applyBorder="1" applyAlignment="1">
      <alignment horizontal="left" vertical="center" wrapText="1"/>
    </xf>
    <xf numFmtId="0" fontId="0" fillId="60" borderId="1" xfId="0" applyFill="1" applyBorder="1" applyAlignment="1">
      <alignment horizontal="center" vertical="center" wrapText="1"/>
    </xf>
    <xf numFmtId="3" fontId="0" fillId="60" borderId="1" xfId="0" applyNumberFormat="1" applyFont="1" applyFill="1" applyBorder="1" applyAlignment="1">
      <alignment horizontal="center" vertical="center"/>
    </xf>
    <xf numFmtId="0" fontId="0" fillId="60" borderId="1" xfId="0" applyFill="1" applyBorder="1" applyAlignment="1">
      <alignment horizontal="center" vertical="center"/>
    </xf>
    <xf numFmtId="3" fontId="0" fillId="60" borderId="19" xfId="0" applyNumberFormat="1" applyFont="1" applyFill="1" applyBorder="1" applyAlignment="1">
      <alignment horizontal="center" vertical="center"/>
    </xf>
    <xf numFmtId="3" fontId="0" fillId="60" borderId="18" xfId="0" applyNumberFormat="1" applyFont="1" applyFill="1" applyBorder="1" applyAlignment="1">
      <alignment horizontal="center" vertical="center"/>
    </xf>
    <xf numFmtId="0" fontId="0" fillId="72" borderId="1" xfId="0" applyFont="1" applyFill="1" applyBorder="1" applyAlignment="1">
      <alignment horizontal="center" vertical="center"/>
    </xf>
    <xf numFmtId="0" fontId="0" fillId="72" borderId="1" xfId="0" applyFont="1" applyFill="1" applyBorder="1" applyAlignment="1">
      <alignment horizontal="left" vertical="center"/>
    </xf>
    <xf numFmtId="0" fontId="0" fillId="72" borderId="1" xfId="0" applyFont="1" applyFill="1" applyBorder="1" applyAlignment="1">
      <alignment horizontal="left" vertical="center" wrapText="1"/>
    </xf>
    <xf numFmtId="0" fontId="0" fillId="72" borderId="1" xfId="0" applyFill="1" applyBorder="1" applyAlignment="1">
      <alignment horizontal="center" vertical="center" wrapText="1"/>
    </xf>
    <xf numFmtId="3" fontId="0" fillId="72" borderId="1" xfId="0" applyNumberFormat="1" applyFont="1" applyFill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3" fontId="0" fillId="72" borderId="19" xfId="0" applyNumberFormat="1" applyFont="1" applyFill="1" applyBorder="1" applyAlignment="1">
      <alignment horizontal="center" vertical="center"/>
    </xf>
    <xf numFmtId="3" fontId="0" fillId="72" borderId="18" xfId="0" applyNumberFormat="1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left" vertical="center"/>
    </xf>
    <xf numFmtId="0" fontId="0" fillId="61" borderId="1" xfId="0" applyFont="1" applyFill="1" applyBorder="1" applyAlignment="1">
      <alignment horizontal="left" vertical="center" wrapText="1"/>
    </xf>
    <xf numFmtId="0" fontId="0" fillId="61" borderId="1" xfId="0" applyFill="1" applyBorder="1" applyAlignment="1">
      <alignment horizontal="center" vertical="center" wrapText="1"/>
    </xf>
    <xf numFmtId="3" fontId="0" fillId="61" borderId="1" xfId="0" applyNumberFormat="1" applyFont="1" applyFill="1" applyBorder="1" applyAlignment="1">
      <alignment horizontal="center" vertical="center"/>
    </xf>
    <xf numFmtId="3" fontId="0" fillId="61" borderId="19" xfId="0" applyNumberFormat="1" applyFont="1" applyFill="1" applyBorder="1" applyAlignment="1">
      <alignment horizontal="center" vertical="center"/>
    </xf>
    <xf numFmtId="3" fontId="0" fillId="61" borderId="18" xfId="0" applyNumberFormat="1" applyFont="1" applyFill="1" applyBorder="1" applyAlignment="1">
      <alignment horizontal="center" vertical="center"/>
    </xf>
    <xf numFmtId="0" fontId="0" fillId="73" borderId="1" xfId="0" applyFont="1" applyFill="1" applyBorder="1" applyAlignment="1">
      <alignment horizontal="center" vertical="center"/>
    </xf>
    <xf numFmtId="0" fontId="0" fillId="73" borderId="1" xfId="0" applyFont="1" applyFill="1" applyBorder="1" applyAlignment="1">
      <alignment horizontal="left" vertical="center"/>
    </xf>
    <xf numFmtId="0" fontId="0" fillId="73" borderId="1" xfId="0" applyFont="1" applyFill="1" applyBorder="1" applyAlignment="1">
      <alignment horizontal="left" vertical="center" wrapText="1"/>
    </xf>
    <xf numFmtId="0" fontId="0" fillId="73" borderId="1" xfId="0" applyFill="1" applyBorder="1" applyAlignment="1">
      <alignment horizontal="center" vertical="center" wrapText="1"/>
    </xf>
    <xf numFmtId="3" fontId="0" fillId="73" borderId="1" xfId="0" applyNumberFormat="1" applyFont="1" applyFill="1" applyBorder="1" applyAlignment="1">
      <alignment horizontal="center" vertical="center"/>
    </xf>
    <xf numFmtId="0" fontId="0" fillId="73" borderId="1" xfId="0" applyFill="1" applyBorder="1" applyAlignment="1">
      <alignment horizontal="center" vertical="center"/>
    </xf>
    <xf numFmtId="3" fontId="0" fillId="73" borderId="19" xfId="0" applyNumberFormat="1" applyFont="1" applyFill="1" applyBorder="1" applyAlignment="1">
      <alignment horizontal="center" vertical="center"/>
    </xf>
    <xf numFmtId="3" fontId="0" fillId="73" borderId="18" xfId="0" applyNumberFormat="1" applyFont="1" applyFill="1" applyBorder="1" applyAlignment="1">
      <alignment horizontal="center" vertical="center"/>
    </xf>
    <xf numFmtId="0" fontId="0" fillId="68" borderId="1" xfId="0" applyFont="1" applyFill="1" applyBorder="1" applyAlignment="1">
      <alignment horizontal="center" vertical="center"/>
    </xf>
    <xf numFmtId="0" fontId="0" fillId="68" borderId="1" xfId="0" applyFont="1" applyFill="1" applyBorder="1" applyAlignment="1">
      <alignment horizontal="left" vertical="center"/>
    </xf>
    <xf numFmtId="0" fontId="0" fillId="68" borderId="1" xfId="0" applyFont="1" applyFill="1" applyBorder="1" applyAlignment="1">
      <alignment horizontal="left" vertical="center" wrapText="1"/>
    </xf>
    <xf numFmtId="0" fontId="0" fillId="68" borderId="1" xfId="0" applyFill="1" applyBorder="1" applyAlignment="1">
      <alignment horizontal="center" vertical="center" wrapText="1"/>
    </xf>
    <xf numFmtId="3" fontId="0" fillId="68" borderId="1" xfId="0" applyNumberFormat="1" applyFont="1" applyFill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3" fontId="0" fillId="68" borderId="19" xfId="0" applyNumberFormat="1" applyFont="1" applyFill="1" applyBorder="1" applyAlignment="1">
      <alignment horizontal="center" vertical="center"/>
    </xf>
    <xf numFmtId="3" fontId="0" fillId="68" borderId="18" xfId="0" applyNumberFormat="1" applyFont="1" applyFill="1" applyBorder="1" applyAlignment="1">
      <alignment horizontal="center" vertical="center"/>
    </xf>
    <xf numFmtId="0" fontId="0" fillId="71" borderId="1" xfId="0" applyFont="1" applyFill="1" applyBorder="1" applyAlignment="1">
      <alignment horizontal="center" vertical="center"/>
    </xf>
    <xf numFmtId="0" fontId="0" fillId="71" borderId="1" xfId="0" applyFont="1" applyFill="1" applyBorder="1" applyAlignment="1">
      <alignment horizontal="left" vertical="center"/>
    </xf>
    <xf numFmtId="0" fontId="0" fillId="71" borderId="1" xfId="0" applyFont="1" applyFill="1" applyBorder="1" applyAlignment="1">
      <alignment horizontal="left" vertical="center" wrapText="1"/>
    </xf>
    <xf numFmtId="0" fontId="0" fillId="71" borderId="1" xfId="0" applyFill="1" applyBorder="1" applyAlignment="1">
      <alignment horizontal="center" vertical="center" wrapText="1"/>
    </xf>
    <xf numFmtId="3" fontId="0" fillId="71" borderId="19" xfId="0" applyNumberFormat="1" applyFont="1" applyFill="1" applyBorder="1" applyAlignment="1">
      <alignment horizontal="center" vertical="center"/>
    </xf>
    <xf numFmtId="3" fontId="0" fillId="71" borderId="1" xfId="0" applyNumberFormat="1" applyFont="1" applyFill="1" applyBorder="1" applyAlignment="1">
      <alignment horizontal="center" vertical="center"/>
    </xf>
    <xf numFmtId="3" fontId="0" fillId="71" borderId="18" xfId="0" applyNumberFormat="1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0" fillId="67" borderId="1" xfId="0" applyFont="1" applyFill="1" applyBorder="1" applyAlignment="1">
      <alignment horizontal="center" vertical="center"/>
    </xf>
    <xf numFmtId="0" fontId="0" fillId="67" borderId="1" xfId="0" applyFont="1" applyFill="1" applyBorder="1" applyAlignment="1">
      <alignment horizontal="left" vertical="center"/>
    </xf>
    <xf numFmtId="0" fontId="0" fillId="67" borderId="1" xfId="0" applyFont="1" applyFill="1" applyBorder="1" applyAlignment="1">
      <alignment horizontal="left" vertical="center" wrapText="1"/>
    </xf>
    <xf numFmtId="0" fontId="0" fillId="67" borderId="1" xfId="0" applyFill="1" applyBorder="1" applyAlignment="1">
      <alignment horizontal="center" vertical="center" wrapText="1"/>
    </xf>
    <xf numFmtId="3" fontId="0" fillId="67" borderId="19" xfId="0" applyNumberFormat="1" applyFont="1" applyFill="1" applyBorder="1" applyAlignment="1">
      <alignment horizontal="center" vertical="center"/>
    </xf>
    <xf numFmtId="3" fontId="0" fillId="67" borderId="1" xfId="0" applyNumberFormat="1" applyFont="1" applyFill="1" applyBorder="1" applyAlignment="1">
      <alignment horizontal="center" vertical="center"/>
    </xf>
    <xf numFmtId="3" fontId="0" fillId="67" borderId="18" xfId="0" applyNumberFormat="1" applyFont="1" applyFill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0" fillId="0" borderId="0" xfId="0" applyBorder="1"/>
    <xf numFmtId="170" fontId="0" fillId="70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0" fillId="0" borderId="20" xfId="0" applyFont="1" applyFill="1" applyBorder="1" applyAlignment="1">
      <alignment vertical="center" wrapText="1"/>
    </xf>
    <xf numFmtId="0" fontId="51" fillId="0" borderId="1" xfId="0" applyFont="1" applyBorder="1" applyAlignment="1">
      <alignment horizontal="center" vertical="center" wrapText="1"/>
    </xf>
    <xf numFmtId="0" fontId="60" fillId="0" borderId="20" xfId="0" applyFont="1" applyFill="1" applyBorder="1" applyAlignment="1">
      <alignment horizontal="center" vertical="center" wrapText="1"/>
    </xf>
    <xf numFmtId="0" fontId="0" fillId="0" borderId="0" xfId="0" pivotButton="1"/>
    <xf numFmtId="172" fontId="0" fillId="0" borderId="0" xfId="0" applyNumberFormat="1"/>
    <xf numFmtId="3" fontId="0" fillId="0" borderId="1" xfId="0" applyNumberFormat="1" applyFill="1" applyBorder="1" applyAlignment="1">
      <alignment vertical="center" wrapText="1"/>
    </xf>
    <xf numFmtId="173" fontId="0" fillId="0" borderId="0" xfId="0" applyNumberFormat="1"/>
    <xf numFmtId="3" fontId="0" fillId="60" borderId="0" xfId="0" applyNumberFormat="1" applyFill="1"/>
    <xf numFmtId="173" fontId="0" fillId="60" borderId="0" xfId="0" applyNumberFormat="1" applyFill="1"/>
    <xf numFmtId="0" fontId="62" fillId="0" borderId="0" xfId="0" applyFont="1"/>
    <xf numFmtId="0" fontId="0" fillId="0" borderId="0" xfId="0" pivotButton="1" applyAlignment="1">
      <alignment vertical="center"/>
    </xf>
    <xf numFmtId="0" fontId="0" fillId="0" borderId="0" xfId="0" applyAlignment="1">
      <alignment vertical="center" wrapText="1"/>
    </xf>
    <xf numFmtId="0" fontId="51" fillId="0" borderId="0" xfId="0" applyFont="1"/>
    <xf numFmtId="0" fontId="64" fillId="0" borderId="0" xfId="0" applyFont="1"/>
    <xf numFmtId="0" fontId="65" fillId="0" borderId="0" xfId="0" applyFont="1" applyBorder="1"/>
    <xf numFmtId="168" fontId="65" fillId="0" borderId="0" xfId="0" applyNumberFormat="1" applyFont="1" applyBorder="1"/>
    <xf numFmtId="0" fontId="3" fillId="0" borderId="0" xfId="0" applyFont="1" applyBorder="1"/>
    <xf numFmtId="0" fontId="3" fillId="0" borderId="0" xfId="0" applyFont="1"/>
    <xf numFmtId="0" fontId="64" fillId="0" borderId="25" xfId="0" applyFont="1" applyBorder="1" applyAlignment="1">
      <alignment vertical="center" wrapText="1"/>
    </xf>
    <xf numFmtId="0" fontId="64" fillId="0" borderId="0" xfId="0" applyFont="1" applyBorder="1" applyAlignment="1">
      <alignment horizontal="left" wrapText="1"/>
    </xf>
    <xf numFmtId="0" fontId="64" fillId="0" borderId="0" xfId="0" applyFont="1" applyBorder="1" applyAlignment="1">
      <alignment wrapText="1"/>
    </xf>
    <xf numFmtId="0" fontId="67" fillId="0" borderId="36" xfId="0" applyFont="1" applyBorder="1" applyAlignment="1">
      <alignment horizontal="center" vertical="center"/>
    </xf>
    <xf numFmtId="0" fontId="67" fillId="0" borderId="37" xfId="0" applyFont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0" fontId="67" fillId="0" borderId="28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41" xfId="0" applyFont="1" applyBorder="1" applyAlignment="1">
      <alignment horizontal="center" vertical="center"/>
    </xf>
    <xf numFmtId="0" fontId="67" fillId="0" borderId="27" xfId="0" applyFont="1" applyBorder="1" applyAlignment="1">
      <alignment horizontal="center" vertical="center"/>
    </xf>
    <xf numFmtId="0" fontId="67" fillId="0" borderId="42" xfId="0" applyFont="1" applyBorder="1" applyAlignment="1">
      <alignment horizontal="center" vertical="center"/>
    </xf>
    <xf numFmtId="0" fontId="68" fillId="0" borderId="46" xfId="490" applyFont="1" applyFill="1" applyBorder="1" applyAlignment="1">
      <alignment vertical="center" wrapText="1"/>
    </xf>
    <xf numFmtId="169" fontId="68" fillId="0" borderId="47" xfId="0" applyNumberFormat="1" applyFont="1" applyFill="1" applyBorder="1" applyAlignment="1">
      <alignment horizontal="center" vertical="center"/>
    </xf>
    <xf numFmtId="169" fontId="68" fillId="0" borderId="48" xfId="0" applyNumberFormat="1" applyFont="1" applyFill="1" applyBorder="1" applyAlignment="1">
      <alignment horizontal="center" vertical="center"/>
    </xf>
    <xf numFmtId="169" fontId="68" fillId="0" borderId="49" xfId="0" applyNumberFormat="1" applyFont="1" applyFill="1" applyBorder="1" applyAlignment="1">
      <alignment horizontal="center" vertical="center"/>
    </xf>
    <xf numFmtId="169" fontId="68" fillId="0" borderId="50" xfId="0" applyNumberFormat="1" applyFont="1" applyFill="1" applyBorder="1" applyAlignment="1">
      <alignment horizontal="center" vertical="center"/>
    </xf>
    <xf numFmtId="169" fontId="68" fillId="0" borderId="51" xfId="0" applyNumberFormat="1" applyFont="1" applyFill="1" applyBorder="1" applyAlignment="1">
      <alignment horizontal="center" vertical="center"/>
    </xf>
    <xf numFmtId="169" fontId="68" fillId="0" borderId="52" xfId="0" applyNumberFormat="1" applyFont="1" applyFill="1" applyBorder="1" applyAlignment="1">
      <alignment horizontal="center" vertical="center"/>
    </xf>
    <xf numFmtId="169" fontId="68" fillId="0" borderId="53" xfId="0" applyNumberFormat="1" applyFont="1" applyFill="1" applyBorder="1" applyAlignment="1">
      <alignment horizontal="center" vertical="center"/>
    </xf>
    <xf numFmtId="169" fontId="69" fillId="0" borderId="46" xfId="0" applyNumberFormat="1" applyFont="1" applyFill="1" applyBorder="1" applyAlignment="1">
      <alignment horizontal="center" vertical="center"/>
    </xf>
    <xf numFmtId="169" fontId="69" fillId="0" borderId="48" xfId="0" applyNumberFormat="1" applyFont="1" applyFill="1" applyBorder="1" applyAlignment="1">
      <alignment horizontal="center" vertical="center"/>
    </xf>
    <xf numFmtId="169" fontId="69" fillId="0" borderId="51" xfId="0" applyNumberFormat="1" applyFont="1" applyFill="1" applyBorder="1" applyAlignment="1">
      <alignment horizontal="center" vertical="center"/>
    </xf>
    <xf numFmtId="169" fontId="69" fillId="0" borderId="52" xfId="0" applyNumberFormat="1" applyFont="1" applyFill="1" applyBorder="1" applyAlignment="1">
      <alignment horizontal="center" vertical="center"/>
    </xf>
    <xf numFmtId="169" fontId="69" fillId="0" borderId="53" xfId="0" applyNumberFormat="1" applyFont="1" applyFill="1" applyBorder="1" applyAlignment="1">
      <alignment horizontal="center" vertical="center"/>
    </xf>
    <xf numFmtId="169" fontId="69" fillId="0" borderId="49" xfId="0" applyNumberFormat="1" applyFont="1" applyFill="1" applyBorder="1" applyAlignment="1">
      <alignment horizontal="center" vertical="center"/>
    </xf>
    <xf numFmtId="169" fontId="69" fillId="0" borderId="54" xfId="0" applyNumberFormat="1" applyFont="1" applyFill="1" applyBorder="1" applyAlignment="1">
      <alignment horizontal="center" vertical="center"/>
    </xf>
    <xf numFmtId="169" fontId="70" fillId="0" borderId="55" xfId="0" applyNumberFormat="1" applyFont="1" applyBorder="1" applyAlignment="1">
      <alignment horizontal="center" vertical="center"/>
    </xf>
    <xf numFmtId="169" fontId="69" fillId="0" borderId="56" xfId="0" applyNumberFormat="1" applyFont="1" applyBorder="1" applyAlignment="1">
      <alignment horizontal="center" vertical="center"/>
    </xf>
    <xf numFmtId="169" fontId="69" fillId="0" borderId="57" xfId="0" applyNumberFormat="1" applyFont="1" applyBorder="1" applyAlignment="1">
      <alignment horizontal="center" vertical="center"/>
    </xf>
    <xf numFmtId="0" fontId="71" fillId="0" borderId="58" xfId="490" applyFont="1" applyFill="1" applyBorder="1" applyAlignment="1">
      <alignment vertical="center" wrapText="1"/>
    </xf>
    <xf numFmtId="169" fontId="71" fillId="0" borderId="59" xfId="0" applyNumberFormat="1" applyFont="1" applyFill="1" applyBorder="1" applyAlignment="1">
      <alignment horizontal="center" vertical="center"/>
    </xf>
    <xf numFmtId="169" fontId="71" fillId="0" borderId="60" xfId="0" applyNumberFormat="1" applyFont="1" applyFill="1" applyBorder="1" applyAlignment="1">
      <alignment horizontal="center" vertical="center"/>
    </xf>
    <xf numFmtId="169" fontId="71" fillId="0" borderId="61" xfId="0" applyNumberFormat="1" applyFont="1" applyFill="1" applyBorder="1" applyAlignment="1">
      <alignment horizontal="center" vertical="center"/>
    </xf>
    <xf numFmtId="169" fontId="71" fillId="0" borderId="62" xfId="0" applyNumberFormat="1" applyFont="1" applyFill="1" applyBorder="1" applyAlignment="1">
      <alignment horizontal="center" vertical="center"/>
    </xf>
    <xf numFmtId="169" fontId="71" fillId="0" borderId="63" xfId="0" applyNumberFormat="1" applyFont="1" applyFill="1" applyBorder="1" applyAlignment="1">
      <alignment horizontal="center" vertical="center"/>
    </xf>
    <xf numFmtId="169" fontId="71" fillId="0" borderId="56" xfId="0" applyNumberFormat="1" applyFont="1" applyFill="1" applyBorder="1" applyAlignment="1">
      <alignment horizontal="center" vertical="center"/>
    </xf>
    <xf numFmtId="169" fontId="71" fillId="0" borderId="64" xfId="0" applyNumberFormat="1" applyFont="1" applyFill="1" applyBorder="1" applyAlignment="1">
      <alignment horizontal="center" vertical="center"/>
    </xf>
    <xf numFmtId="169" fontId="69" fillId="0" borderId="58" xfId="0" applyNumberFormat="1" applyFont="1" applyFill="1" applyBorder="1" applyAlignment="1">
      <alignment horizontal="center" vertical="center"/>
    </xf>
    <xf numFmtId="169" fontId="69" fillId="0" borderId="60" xfId="0" applyNumberFormat="1" applyFont="1" applyFill="1" applyBorder="1" applyAlignment="1">
      <alignment horizontal="center" vertical="center"/>
    </xf>
    <xf numFmtId="169" fontId="69" fillId="0" borderId="63" xfId="0" applyNumberFormat="1" applyFont="1" applyFill="1" applyBorder="1" applyAlignment="1">
      <alignment horizontal="center" vertical="center"/>
    </xf>
    <xf numFmtId="169" fontId="69" fillId="0" borderId="56" xfId="0" applyNumberFormat="1" applyFont="1" applyFill="1" applyBorder="1" applyAlignment="1">
      <alignment horizontal="center" vertical="center"/>
    </xf>
    <xf numFmtId="169" fontId="69" fillId="0" borderId="64" xfId="0" applyNumberFormat="1" applyFont="1" applyFill="1" applyBorder="1" applyAlignment="1">
      <alignment horizontal="center" vertical="center"/>
    </xf>
    <xf numFmtId="169" fontId="69" fillId="0" borderId="61" xfId="0" applyNumberFormat="1" applyFont="1" applyFill="1" applyBorder="1" applyAlignment="1">
      <alignment horizontal="center" vertical="center"/>
    </xf>
    <xf numFmtId="169" fontId="69" fillId="0" borderId="65" xfId="0" applyNumberFormat="1" applyFont="1" applyFill="1" applyBorder="1" applyAlignment="1">
      <alignment horizontal="center" vertical="center"/>
    </xf>
    <xf numFmtId="169" fontId="69" fillId="0" borderId="66" xfId="0" applyNumberFormat="1" applyFont="1" applyBorder="1" applyAlignment="1">
      <alignment horizontal="center" vertical="center"/>
    </xf>
    <xf numFmtId="0" fontId="67" fillId="0" borderId="67" xfId="0" applyFont="1" applyFill="1" applyBorder="1" applyAlignment="1">
      <alignment horizontal="left" vertical="center"/>
    </xf>
    <xf numFmtId="169" fontId="67" fillId="0" borderId="68" xfId="0" applyNumberFormat="1" applyFont="1" applyFill="1" applyBorder="1" applyAlignment="1">
      <alignment horizontal="center" vertical="center"/>
    </xf>
    <xf numFmtId="169" fontId="67" fillId="0" borderId="69" xfId="0" applyNumberFormat="1" applyFont="1" applyFill="1" applyBorder="1" applyAlignment="1">
      <alignment horizontal="center" vertical="center"/>
    </xf>
    <xf numFmtId="169" fontId="67" fillId="0" borderId="70" xfId="0" applyNumberFormat="1" applyFont="1" applyFill="1" applyBorder="1" applyAlignment="1">
      <alignment horizontal="center" vertical="center"/>
    </xf>
    <xf numFmtId="169" fontId="67" fillId="0" borderId="71" xfId="0" applyNumberFormat="1" applyFont="1" applyFill="1" applyBorder="1" applyAlignment="1">
      <alignment horizontal="center" vertical="center"/>
    </xf>
    <xf numFmtId="169" fontId="67" fillId="0" borderId="72" xfId="0" applyNumberFormat="1" applyFont="1" applyFill="1" applyBorder="1" applyAlignment="1">
      <alignment horizontal="center" vertical="center"/>
    </xf>
    <xf numFmtId="169" fontId="67" fillId="0" borderId="73" xfId="0" applyNumberFormat="1" applyFont="1" applyFill="1" applyBorder="1" applyAlignment="1">
      <alignment horizontal="center" vertical="center"/>
    </xf>
    <xf numFmtId="169" fontId="67" fillId="0" borderId="74" xfId="0" applyNumberFormat="1" applyFont="1" applyFill="1" applyBorder="1" applyAlignment="1">
      <alignment horizontal="center" vertical="center"/>
    </xf>
    <xf numFmtId="169" fontId="72" fillId="0" borderId="67" xfId="0" applyNumberFormat="1" applyFont="1" applyFill="1" applyBorder="1" applyAlignment="1">
      <alignment horizontal="center" vertical="center"/>
    </xf>
    <xf numFmtId="169" fontId="72" fillId="0" borderId="69" xfId="0" applyNumberFormat="1" applyFont="1" applyFill="1" applyBorder="1" applyAlignment="1">
      <alignment horizontal="center" vertical="center"/>
    </xf>
    <xf numFmtId="169" fontId="72" fillId="0" borderId="72" xfId="0" applyNumberFormat="1" applyFont="1" applyFill="1" applyBorder="1" applyAlignment="1">
      <alignment horizontal="center" vertical="center"/>
    </xf>
    <xf numFmtId="169" fontId="72" fillId="0" borderId="73" xfId="0" applyNumberFormat="1" applyFont="1" applyFill="1" applyBorder="1" applyAlignment="1">
      <alignment horizontal="center" vertical="center"/>
    </xf>
    <xf numFmtId="169" fontId="72" fillId="0" borderId="74" xfId="0" applyNumberFormat="1" applyFont="1" applyFill="1" applyBorder="1" applyAlignment="1">
      <alignment horizontal="center" vertical="center"/>
    </xf>
    <xf numFmtId="169" fontId="72" fillId="0" borderId="70" xfId="0" applyNumberFormat="1" applyFont="1" applyFill="1" applyBorder="1" applyAlignment="1">
      <alignment horizontal="center" vertical="center"/>
    </xf>
    <xf numFmtId="169" fontId="72" fillId="0" borderId="75" xfId="0" applyNumberFormat="1" applyFont="1" applyFill="1" applyBorder="1" applyAlignment="1">
      <alignment horizontal="center" vertical="center"/>
    </xf>
    <xf numFmtId="169" fontId="66" fillId="0" borderId="76" xfId="0" applyNumberFormat="1" applyFont="1" applyBorder="1" applyAlignment="1">
      <alignment horizontal="center" vertical="center"/>
    </xf>
    <xf numFmtId="169" fontId="72" fillId="0" borderId="73" xfId="0" applyNumberFormat="1" applyFont="1" applyBorder="1" applyAlignment="1">
      <alignment horizontal="center" vertical="center"/>
    </xf>
    <xf numFmtId="169" fontId="72" fillId="0" borderId="77" xfId="0" applyNumberFormat="1" applyFont="1" applyBorder="1" applyAlignment="1">
      <alignment horizontal="center" vertical="center"/>
    </xf>
    <xf numFmtId="174" fontId="3" fillId="0" borderId="0" xfId="0" applyNumberFormat="1" applyFont="1"/>
    <xf numFmtId="0" fontId="67" fillId="0" borderId="78" xfId="0" applyFont="1" applyFill="1" applyBorder="1" applyAlignment="1">
      <alignment horizontal="left" vertical="center"/>
    </xf>
    <xf numFmtId="169" fontId="67" fillId="0" borderId="79" xfId="0" applyNumberFormat="1" applyFont="1" applyFill="1" applyBorder="1" applyAlignment="1">
      <alignment horizontal="center" vertical="center"/>
    </xf>
    <xf numFmtId="169" fontId="67" fillId="0" borderId="80" xfId="0" applyNumberFormat="1" applyFont="1" applyFill="1" applyBorder="1" applyAlignment="1">
      <alignment horizontal="center" vertical="center"/>
    </xf>
    <xf numFmtId="169" fontId="67" fillId="0" borderId="81" xfId="0" applyNumberFormat="1" applyFont="1" applyFill="1" applyBorder="1" applyAlignment="1">
      <alignment horizontal="center" vertical="center"/>
    </xf>
    <xf numFmtId="169" fontId="67" fillId="0" borderId="82" xfId="0" applyNumberFormat="1" applyFont="1" applyFill="1" applyBorder="1" applyAlignment="1">
      <alignment horizontal="center" vertical="center"/>
    </xf>
    <xf numFmtId="169" fontId="67" fillId="0" borderId="83" xfId="0" applyNumberFormat="1" applyFont="1" applyFill="1" applyBorder="1" applyAlignment="1">
      <alignment horizontal="center" vertical="center"/>
    </xf>
    <xf numFmtId="169" fontId="67" fillId="0" borderId="84" xfId="0" applyNumberFormat="1" applyFont="1" applyFill="1" applyBorder="1" applyAlignment="1">
      <alignment horizontal="center" vertical="center"/>
    </xf>
    <xf numFmtId="169" fontId="67" fillId="0" borderId="85" xfId="0" applyNumberFormat="1" applyFont="1" applyFill="1" applyBorder="1" applyAlignment="1">
      <alignment horizontal="center" vertical="center"/>
    </xf>
    <xf numFmtId="169" fontId="72" fillId="0" borderId="78" xfId="0" applyNumberFormat="1" applyFont="1" applyFill="1" applyBorder="1" applyAlignment="1">
      <alignment horizontal="center" vertical="center"/>
    </xf>
    <xf numFmtId="169" fontId="72" fillId="0" borderId="80" xfId="0" applyNumberFormat="1" applyFont="1" applyFill="1" applyBorder="1" applyAlignment="1">
      <alignment horizontal="center" vertical="center"/>
    </xf>
    <xf numFmtId="169" fontId="72" fillId="0" borderId="83" xfId="0" applyNumberFormat="1" applyFont="1" applyFill="1" applyBorder="1" applyAlignment="1">
      <alignment horizontal="center" vertical="center"/>
    </xf>
    <xf numFmtId="169" fontId="72" fillId="0" borderId="84" xfId="0" applyNumberFormat="1" applyFont="1" applyFill="1" applyBorder="1" applyAlignment="1">
      <alignment horizontal="center" vertical="center"/>
    </xf>
    <xf numFmtId="169" fontId="72" fillId="0" borderId="85" xfId="0" applyNumberFormat="1" applyFont="1" applyFill="1" applyBorder="1" applyAlignment="1">
      <alignment horizontal="center" vertical="center"/>
    </xf>
    <xf numFmtId="169" fontId="72" fillId="0" borderId="81" xfId="0" applyNumberFormat="1" applyFont="1" applyFill="1" applyBorder="1" applyAlignment="1">
      <alignment horizontal="center" vertical="center"/>
    </xf>
    <xf numFmtId="169" fontId="72" fillId="0" borderId="86" xfId="0" applyNumberFormat="1" applyFont="1" applyFill="1" applyBorder="1" applyAlignment="1">
      <alignment horizontal="center" vertical="center"/>
    </xf>
    <xf numFmtId="169" fontId="66" fillId="0" borderId="87" xfId="0" applyNumberFormat="1" applyFont="1" applyBorder="1" applyAlignment="1">
      <alignment horizontal="center" vertical="center"/>
    </xf>
    <xf numFmtId="169" fontId="72" fillId="0" borderId="84" xfId="0" applyNumberFormat="1" applyFont="1" applyBorder="1" applyAlignment="1">
      <alignment horizontal="center" vertical="center"/>
    </xf>
    <xf numFmtId="169" fontId="72" fillId="0" borderId="88" xfId="0" applyNumberFormat="1" applyFont="1" applyBorder="1" applyAlignment="1">
      <alignment horizontal="center" vertical="center"/>
    </xf>
    <xf numFmtId="0" fontId="73" fillId="0" borderId="89" xfId="0" applyFont="1" applyFill="1" applyBorder="1" applyAlignment="1">
      <alignment horizontal="left" vertical="center"/>
    </xf>
    <xf numFmtId="169" fontId="73" fillId="0" borderId="90" xfId="0" applyNumberFormat="1" applyFont="1" applyFill="1" applyBorder="1" applyAlignment="1">
      <alignment horizontal="center" vertical="center"/>
    </xf>
    <xf numFmtId="169" fontId="73" fillId="0" borderId="91" xfId="0" applyNumberFormat="1" applyFont="1" applyFill="1" applyBorder="1" applyAlignment="1">
      <alignment horizontal="center" vertical="center"/>
    </xf>
    <xf numFmtId="169" fontId="73" fillId="0" borderId="92" xfId="0" applyNumberFormat="1" applyFont="1" applyFill="1" applyBorder="1" applyAlignment="1">
      <alignment horizontal="center" vertical="center"/>
    </xf>
    <xf numFmtId="169" fontId="73" fillId="0" borderId="93" xfId="0" applyNumberFormat="1" applyFont="1" applyFill="1" applyBorder="1" applyAlignment="1">
      <alignment horizontal="center" vertical="center"/>
    </xf>
    <xf numFmtId="169" fontId="73" fillId="0" borderId="94" xfId="0" applyNumberFormat="1" applyFont="1" applyFill="1" applyBorder="1" applyAlignment="1">
      <alignment horizontal="center" vertical="center"/>
    </xf>
    <xf numFmtId="169" fontId="73" fillId="0" borderId="95" xfId="0" applyNumberFormat="1" applyFont="1" applyFill="1" applyBorder="1" applyAlignment="1">
      <alignment horizontal="center" vertical="center"/>
    </xf>
    <xf numFmtId="169" fontId="73" fillId="0" borderId="96" xfId="0" applyNumberFormat="1" applyFont="1" applyFill="1" applyBorder="1" applyAlignment="1">
      <alignment horizontal="center" vertical="center"/>
    </xf>
    <xf numFmtId="169" fontId="72" fillId="0" borderId="89" xfId="0" applyNumberFormat="1" applyFont="1" applyFill="1" applyBorder="1" applyAlignment="1">
      <alignment horizontal="center" vertical="center"/>
    </xf>
    <xf numFmtId="169" fontId="72" fillId="0" borderId="91" xfId="0" applyNumberFormat="1" applyFont="1" applyFill="1" applyBorder="1" applyAlignment="1">
      <alignment horizontal="center" vertical="center"/>
    </xf>
    <xf numFmtId="169" fontId="72" fillId="0" borderId="94" xfId="0" applyNumberFormat="1" applyFont="1" applyFill="1" applyBorder="1" applyAlignment="1">
      <alignment horizontal="center" vertical="center"/>
    </xf>
    <xf numFmtId="169" fontId="72" fillId="0" borderId="95" xfId="0" applyNumberFormat="1" applyFont="1" applyFill="1" applyBorder="1" applyAlignment="1">
      <alignment horizontal="center" vertical="center"/>
    </xf>
    <xf numFmtId="169" fontId="72" fillId="0" borderId="96" xfId="0" applyNumberFormat="1" applyFont="1" applyFill="1" applyBorder="1" applyAlignment="1">
      <alignment horizontal="center" vertical="center"/>
    </xf>
    <xf numFmtId="169" fontId="72" fillId="0" borderId="92" xfId="0" applyNumberFormat="1" applyFont="1" applyFill="1" applyBorder="1" applyAlignment="1">
      <alignment horizontal="center" vertical="center"/>
    </xf>
    <xf numFmtId="169" fontId="72" fillId="0" borderId="97" xfId="0" applyNumberFormat="1" applyFont="1" applyFill="1" applyBorder="1" applyAlignment="1">
      <alignment horizontal="center" vertical="center"/>
    </xf>
    <xf numFmtId="169" fontId="66" fillId="0" borderId="98" xfId="0" applyNumberFormat="1" applyFont="1" applyBorder="1" applyAlignment="1">
      <alignment horizontal="center" vertical="center"/>
    </xf>
    <xf numFmtId="169" fontId="72" fillId="0" borderId="95" xfId="0" applyNumberFormat="1" applyFont="1" applyBorder="1" applyAlignment="1">
      <alignment horizontal="center" vertical="center"/>
    </xf>
    <xf numFmtId="169" fontId="72" fillId="0" borderId="99" xfId="0" applyNumberFormat="1" applyFont="1" applyBorder="1" applyAlignment="1">
      <alignment horizontal="center" vertical="center"/>
    </xf>
    <xf numFmtId="169" fontId="70" fillId="0" borderId="100" xfId="0" applyNumberFormat="1" applyFont="1" applyBorder="1" applyAlignment="1">
      <alignment horizontal="center" vertical="center"/>
    </xf>
    <xf numFmtId="169" fontId="69" fillId="0" borderId="52" xfId="0" applyNumberFormat="1" applyFont="1" applyBorder="1" applyAlignment="1">
      <alignment horizontal="center" vertical="center"/>
    </xf>
    <xf numFmtId="169" fontId="71" fillId="0" borderId="68" xfId="0" applyNumberFormat="1" applyFont="1" applyFill="1" applyBorder="1" applyAlignment="1">
      <alignment horizontal="center" vertical="center"/>
    </xf>
    <xf numFmtId="169" fontId="71" fillId="0" borderId="69" xfId="0" applyNumberFormat="1" applyFont="1" applyFill="1" applyBorder="1" applyAlignment="1">
      <alignment horizontal="center" vertical="center"/>
    </xf>
    <xf numFmtId="169" fontId="71" fillId="0" borderId="70" xfId="0" applyNumberFormat="1" applyFont="1" applyFill="1" applyBorder="1" applyAlignment="1">
      <alignment horizontal="center" vertical="center"/>
    </xf>
    <xf numFmtId="169" fontId="71" fillId="0" borderId="71" xfId="0" applyNumberFormat="1" applyFont="1" applyFill="1" applyBorder="1" applyAlignment="1">
      <alignment horizontal="center" vertical="center"/>
    </xf>
    <xf numFmtId="169" fontId="71" fillId="0" borderId="72" xfId="0" applyNumberFormat="1" applyFont="1" applyFill="1" applyBorder="1" applyAlignment="1">
      <alignment horizontal="center" vertical="center"/>
    </xf>
    <xf numFmtId="169" fontId="71" fillId="0" borderId="73" xfId="0" applyNumberFormat="1" applyFont="1" applyFill="1" applyBorder="1" applyAlignment="1">
      <alignment horizontal="center" vertical="center"/>
    </xf>
    <xf numFmtId="169" fontId="71" fillId="0" borderId="74" xfId="0" applyNumberFormat="1" applyFont="1" applyFill="1" applyBorder="1" applyAlignment="1">
      <alignment horizontal="center" vertical="center"/>
    </xf>
    <xf numFmtId="169" fontId="67" fillId="0" borderId="90" xfId="0" applyNumberFormat="1" applyFont="1" applyFill="1" applyBorder="1" applyAlignment="1">
      <alignment horizontal="center" vertical="center"/>
    </xf>
    <xf numFmtId="169" fontId="67" fillId="0" borderId="91" xfId="0" applyNumberFormat="1" applyFont="1" applyFill="1" applyBorder="1" applyAlignment="1">
      <alignment horizontal="center" vertical="center"/>
    </xf>
    <xf numFmtId="169" fontId="67" fillId="0" borderId="92" xfId="0" applyNumberFormat="1" applyFont="1" applyFill="1" applyBorder="1" applyAlignment="1">
      <alignment horizontal="center" vertical="center"/>
    </xf>
    <xf numFmtId="169" fontId="67" fillId="0" borderId="93" xfId="0" applyNumberFormat="1" applyFont="1" applyFill="1" applyBorder="1" applyAlignment="1">
      <alignment horizontal="center" vertical="center"/>
    </xf>
    <xf numFmtId="169" fontId="67" fillId="0" borderId="94" xfId="0" applyNumberFormat="1" applyFont="1" applyFill="1" applyBorder="1" applyAlignment="1">
      <alignment horizontal="center" vertical="center"/>
    </xf>
    <xf numFmtId="169" fontId="67" fillId="0" borderId="95" xfId="0" applyNumberFormat="1" applyFont="1" applyFill="1" applyBorder="1" applyAlignment="1">
      <alignment horizontal="center" vertical="center"/>
    </xf>
    <xf numFmtId="169" fontId="67" fillId="0" borderId="96" xfId="0" applyNumberFormat="1" applyFont="1" applyFill="1" applyBorder="1" applyAlignment="1">
      <alignment horizontal="center" vertical="center"/>
    </xf>
    <xf numFmtId="0" fontId="68" fillId="0" borderId="46" xfId="0" applyFont="1" applyFill="1" applyBorder="1" applyAlignment="1">
      <alignment horizontal="left" vertical="center" wrapText="1" indent="1"/>
    </xf>
    <xf numFmtId="169" fontId="69" fillId="0" borderId="46" xfId="0" applyNumberFormat="1" applyFont="1" applyBorder="1" applyAlignment="1">
      <alignment horizontal="center" vertical="center"/>
    </xf>
    <xf numFmtId="169" fontId="69" fillId="0" borderId="48" xfId="0" applyNumberFormat="1" applyFont="1" applyBorder="1" applyAlignment="1">
      <alignment horizontal="center" vertical="center"/>
    </xf>
    <xf numFmtId="169" fontId="69" fillId="0" borderId="51" xfId="0" applyNumberFormat="1" applyFont="1" applyBorder="1" applyAlignment="1">
      <alignment horizontal="center" vertical="center"/>
    </xf>
    <xf numFmtId="169" fontId="69" fillId="0" borderId="53" xfId="0" applyNumberFormat="1" applyFont="1" applyBorder="1" applyAlignment="1">
      <alignment horizontal="center" vertical="center"/>
    </xf>
    <xf numFmtId="169" fontId="69" fillId="0" borderId="49" xfId="0" applyNumberFormat="1" applyFont="1" applyBorder="1" applyAlignment="1">
      <alignment horizontal="center" vertical="center"/>
    </xf>
    <xf numFmtId="169" fontId="69" fillId="0" borderId="54" xfId="0" applyNumberFormat="1" applyFont="1" applyBorder="1" applyAlignment="1">
      <alignment horizontal="center" vertical="center"/>
    </xf>
    <xf numFmtId="0" fontId="71" fillId="0" borderId="67" xfId="0" applyFont="1" applyFill="1" applyBorder="1" applyAlignment="1">
      <alignment horizontal="left" vertical="center" indent="1"/>
    </xf>
    <xf numFmtId="169" fontId="69" fillId="0" borderId="58" xfId="0" applyNumberFormat="1" applyFont="1" applyBorder="1" applyAlignment="1">
      <alignment horizontal="center" vertical="center"/>
    </xf>
    <xf numFmtId="169" fontId="69" fillId="0" borderId="60" xfId="0" applyNumberFormat="1" applyFont="1" applyBorder="1" applyAlignment="1">
      <alignment horizontal="center" vertical="center"/>
    </xf>
    <xf numFmtId="169" fontId="69" fillId="0" borderId="63" xfId="0" applyNumberFormat="1" applyFont="1" applyBorder="1" applyAlignment="1">
      <alignment horizontal="center" vertical="center"/>
    </xf>
    <xf numFmtId="169" fontId="69" fillId="0" borderId="64" xfId="0" applyNumberFormat="1" applyFont="1" applyBorder="1" applyAlignment="1">
      <alignment horizontal="center" vertical="center"/>
    </xf>
    <xf numFmtId="169" fontId="69" fillId="0" borderId="61" xfId="0" applyNumberFormat="1" applyFont="1" applyBorder="1" applyAlignment="1">
      <alignment horizontal="center" vertical="center"/>
    </xf>
    <xf numFmtId="169" fontId="69" fillId="0" borderId="65" xfId="0" applyNumberFormat="1" applyFont="1" applyBorder="1" applyAlignment="1">
      <alignment horizontal="center" vertical="center"/>
    </xf>
    <xf numFmtId="0" fontId="67" fillId="0" borderId="67" xfId="0" applyFont="1" applyFill="1" applyBorder="1" applyAlignment="1">
      <alignment horizontal="left" vertical="center" indent="1"/>
    </xf>
    <xf numFmtId="169" fontId="72" fillId="0" borderId="67" xfId="0" applyNumberFormat="1" applyFont="1" applyBorder="1" applyAlignment="1">
      <alignment horizontal="center" vertical="center"/>
    </xf>
    <xf numFmtId="169" fontId="72" fillId="0" borderId="69" xfId="0" applyNumberFormat="1" applyFont="1" applyBorder="1" applyAlignment="1">
      <alignment horizontal="center" vertical="center"/>
    </xf>
    <xf numFmtId="169" fontId="72" fillId="0" borderId="72" xfId="0" applyNumberFormat="1" applyFont="1" applyBorder="1" applyAlignment="1">
      <alignment horizontal="center" vertical="center"/>
    </xf>
    <xf numFmtId="169" fontId="72" fillId="0" borderId="74" xfId="0" applyNumberFormat="1" applyFont="1" applyBorder="1" applyAlignment="1">
      <alignment horizontal="center" vertical="center"/>
    </xf>
    <xf numFmtId="169" fontId="72" fillId="0" borderId="70" xfId="0" applyNumberFormat="1" applyFont="1" applyBorder="1" applyAlignment="1">
      <alignment horizontal="center" vertical="center"/>
    </xf>
    <xf numFmtId="169" fontId="72" fillId="0" borderId="75" xfId="0" applyNumberFormat="1" applyFont="1" applyBorder="1" applyAlignment="1">
      <alignment horizontal="center" vertical="center"/>
    </xf>
    <xf numFmtId="0" fontId="67" fillId="0" borderId="78" xfId="0" applyFont="1" applyFill="1" applyBorder="1" applyAlignment="1">
      <alignment horizontal="left" vertical="center" indent="1"/>
    </xf>
    <xf numFmtId="169" fontId="72" fillId="0" borderId="78" xfId="0" applyNumberFormat="1" applyFont="1" applyBorder="1" applyAlignment="1">
      <alignment horizontal="center" vertical="center"/>
    </xf>
    <xf numFmtId="169" fontId="72" fillId="0" borderId="80" xfId="0" applyNumberFormat="1" applyFont="1" applyBorder="1" applyAlignment="1">
      <alignment horizontal="center" vertical="center"/>
    </xf>
    <xf numFmtId="169" fontId="72" fillId="0" borderId="83" xfId="0" applyNumberFormat="1" applyFont="1" applyBorder="1" applyAlignment="1">
      <alignment horizontal="center" vertical="center"/>
    </xf>
    <xf numFmtId="169" fontId="72" fillId="0" borderId="85" xfId="0" applyNumberFormat="1" applyFont="1" applyBorder="1" applyAlignment="1">
      <alignment horizontal="center" vertical="center"/>
    </xf>
    <xf numFmtId="169" fontId="72" fillId="0" borderId="81" xfId="0" applyNumberFormat="1" applyFont="1" applyBorder="1" applyAlignment="1">
      <alignment horizontal="center" vertical="center"/>
    </xf>
    <xf numFmtId="169" fontId="72" fillId="0" borderId="86" xfId="0" applyNumberFormat="1" applyFont="1" applyBorder="1" applyAlignment="1">
      <alignment horizontal="center" vertical="center"/>
    </xf>
    <xf numFmtId="0" fontId="73" fillId="0" borderId="89" xfId="0" applyFont="1" applyFill="1" applyBorder="1" applyAlignment="1">
      <alignment horizontal="left" vertical="center" indent="1"/>
    </xf>
    <xf numFmtId="169" fontId="72" fillId="0" borderId="89" xfId="0" applyNumberFormat="1" applyFont="1" applyBorder="1" applyAlignment="1">
      <alignment horizontal="center" vertical="center"/>
    </xf>
    <xf numFmtId="169" fontId="72" fillId="0" borderId="91" xfId="0" applyNumberFormat="1" applyFont="1" applyBorder="1" applyAlignment="1">
      <alignment horizontal="center" vertical="center"/>
    </xf>
    <xf numFmtId="169" fontId="72" fillId="0" borderId="94" xfId="0" applyNumberFormat="1" applyFont="1" applyBorder="1" applyAlignment="1">
      <alignment horizontal="center" vertical="center"/>
    </xf>
    <xf numFmtId="169" fontId="72" fillId="0" borderId="96" xfId="0" applyNumberFormat="1" applyFont="1" applyBorder="1" applyAlignment="1">
      <alignment horizontal="center" vertical="center"/>
    </xf>
    <xf numFmtId="169" fontId="72" fillId="0" borderId="92" xfId="0" applyNumberFormat="1" applyFont="1" applyBorder="1" applyAlignment="1">
      <alignment horizontal="center" vertical="center"/>
    </xf>
    <xf numFmtId="169" fontId="72" fillId="0" borderId="97" xfId="0" applyNumberFormat="1" applyFont="1" applyBorder="1" applyAlignment="1">
      <alignment horizontal="center" vertical="center"/>
    </xf>
    <xf numFmtId="169" fontId="3" fillId="0" borderId="0" xfId="0" applyNumberFormat="1" applyFont="1"/>
    <xf numFmtId="169" fontId="74" fillId="0" borderId="83" xfId="0" applyNumberFormat="1" applyFont="1" applyFill="1" applyBorder="1" applyAlignment="1">
      <alignment horizontal="center" vertical="center"/>
    </xf>
    <xf numFmtId="169" fontId="74" fillId="0" borderId="84" xfId="0" applyNumberFormat="1" applyFont="1" applyFill="1" applyBorder="1" applyAlignment="1">
      <alignment horizontal="center" vertical="center"/>
    </xf>
    <xf numFmtId="169" fontId="74" fillId="0" borderId="85" xfId="0" applyNumberFormat="1" applyFont="1" applyFill="1" applyBorder="1" applyAlignment="1">
      <alignment horizontal="center" vertical="center"/>
    </xf>
    <xf numFmtId="169" fontId="74" fillId="0" borderId="81" xfId="0" applyNumberFormat="1" applyFont="1" applyFill="1" applyBorder="1" applyAlignment="1">
      <alignment horizontal="center" vertical="center"/>
    </xf>
    <xf numFmtId="169" fontId="75" fillId="0" borderId="94" xfId="0" applyNumberFormat="1" applyFont="1" applyFill="1" applyBorder="1" applyAlignment="1">
      <alignment horizontal="center" vertical="center"/>
    </xf>
    <xf numFmtId="169" fontId="75" fillId="0" borderId="95" xfId="0" applyNumberFormat="1" applyFont="1" applyFill="1" applyBorder="1" applyAlignment="1">
      <alignment horizontal="center" vertical="center"/>
    </xf>
    <xf numFmtId="169" fontId="75" fillId="0" borderId="96" xfId="0" applyNumberFormat="1" applyFont="1" applyFill="1" applyBorder="1" applyAlignment="1">
      <alignment horizontal="center" vertical="center"/>
    </xf>
    <xf numFmtId="169" fontId="75" fillId="0" borderId="92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0" fontId="0" fillId="0" borderId="0" xfId="0" pivotButton="1" applyAlignment="1">
      <alignment wrapText="1"/>
    </xf>
    <xf numFmtId="0" fontId="59" fillId="0" borderId="0" xfId="0" applyFont="1" applyAlignment="1">
      <alignment horizontal="left" indent="1"/>
    </xf>
    <xf numFmtId="0" fontId="0" fillId="61" borderId="0" xfId="0" applyFont="1" applyFill="1"/>
    <xf numFmtId="0" fontId="0" fillId="61" borderId="24" xfId="0" applyFont="1" applyFill="1" applyBorder="1"/>
    <xf numFmtId="0" fontId="51" fillId="61" borderId="0" xfId="0" applyFont="1" applyFill="1"/>
    <xf numFmtId="172" fontId="51" fillId="61" borderId="0" xfId="0" applyNumberFormat="1" applyFont="1" applyFill="1"/>
    <xf numFmtId="172" fontId="51" fillId="0" borderId="131" xfId="0" applyNumberFormat="1" applyFont="1" applyBorder="1"/>
    <xf numFmtId="172" fontId="0" fillId="0" borderId="131" xfId="0" applyNumberFormat="1" applyBorder="1"/>
    <xf numFmtId="172" fontId="51" fillId="61" borderId="0" xfId="0" applyNumberFormat="1" applyFont="1" applyFill="1" applyBorder="1"/>
    <xf numFmtId="172" fontId="51" fillId="61" borderId="131" xfId="0" applyNumberFormat="1" applyFont="1" applyFill="1" applyBorder="1"/>
    <xf numFmtId="172" fontId="0" fillId="0" borderId="0" xfId="0" applyNumberFormat="1" applyBorder="1"/>
    <xf numFmtId="172" fontId="0" fillId="61" borderId="0" xfId="0" applyNumberFormat="1" applyFill="1" applyBorder="1"/>
    <xf numFmtId="172" fontId="0" fillId="61" borderId="131" xfId="0" applyNumberFormat="1" applyFill="1" applyBorder="1"/>
    <xf numFmtId="169" fontId="51" fillId="0" borderId="121" xfId="0" applyNumberFormat="1" applyFont="1" applyBorder="1"/>
    <xf numFmtId="169" fontId="0" fillId="0" borderId="121" xfId="0" applyNumberFormat="1" applyBorder="1"/>
    <xf numFmtId="172" fontId="51" fillId="61" borderId="121" xfId="0" applyNumberFormat="1" applyFont="1" applyFill="1" applyBorder="1"/>
    <xf numFmtId="172" fontId="0" fillId="0" borderId="121" xfId="0" applyNumberFormat="1" applyBorder="1"/>
    <xf numFmtId="172" fontId="0" fillId="61" borderId="121" xfId="0" applyNumberFormat="1" applyFill="1" applyBorder="1"/>
    <xf numFmtId="172" fontId="51" fillId="0" borderId="121" xfId="0" applyNumberFormat="1" applyFont="1" applyBorder="1"/>
    <xf numFmtId="172" fontId="51" fillId="0" borderId="0" xfId="0" applyNumberFormat="1" applyFont="1" applyBorder="1"/>
    <xf numFmtId="170" fontId="51" fillId="0" borderId="131" xfId="474" applyNumberFormat="1" applyFont="1" applyBorder="1"/>
    <xf numFmtId="170" fontId="0" fillId="0" borderId="131" xfId="474" applyNumberFormat="1" applyFont="1" applyBorder="1"/>
    <xf numFmtId="170" fontId="51" fillId="61" borderId="131" xfId="474" applyNumberFormat="1" applyFont="1" applyFill="1" applyBorder="1"/>
    <xf numFmtId="170" fontId="0" fillId="61" borderId="131" xfId="474" applyNumberFormat="1" applyFont="1" applyFill="1" applyBorder="1"/>
    <xf numFmtId="0" fontId="0" fillId="0" borderId="103" xfId="0" applyBorder="1"/>
    <xf numFmtId="0" fontId="0" fillId="0" borderId="18" xfId="0" applyBorder="1"/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 wrapText="1"/>
    </xf>
    <xf numFmtId="49" fontId="0" fillId="0" borderId="16" xfId="0" applyNumberFormat="1" applyBorder="1" applyAlignment="1">
      <alignment vertical="center"/>
    </xf>
    <xf numFmtId="49" fontId="0" fillId="0" borderId="19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21" xfId="0" applyBorder="1"/>
    <xf numFmtId="172" fontId="51" fillId="70" borderId="0" xfId="0" applyNumberFormat="1" applyFont="1" applyFill="1" applyBorder="1"/>
    <xf numFmtId="0" fontId="0" fillId="67" borderId="0" xfId="0" applyFill="1"/>
    <xf numFmtId="0" fontId="231" fillId="0" borderId="0" xfId="0" applyFont="1" applyAlignment="1">
      <alignment vertical="center"/>
    </xf>
    <xf numFmtId="0" fontId="0" fillId="70" borderId="1" xfId="0" applyFill="1" applyBorder="1" applyAlignment="1">
      <alignment horizontal="center" vertical="center"/>
    </xf>
    <xf numFmtId="168" fontId="231" fillId="67" borderId="0" xfId="0" applyNumberFormat="1" applyFont="1" applyFill="1" applyAlignment="1">
      <alignment horizontal="center" vertical="center"/>
    </xf>
    <xf numFmtId="0" fontId="232" fillId="61" borderId="0" xfId="0" applyFont="1" applyFill="1"/>
    <xf numFmtId="0" fontId="231" fillId="67" borderId="0" xfId="0" applyFont="1" applyFill="1" applyAlignment="1">
      <alignment vertical="center"/>
    </xf>
    <xf numFmtId="0" fontId="233" fillId="67" borderId="0" xfId="0" applyFont="1" applyFill="1" applyBorder="1"/>
    <xf numFmtId="1" fontId="0" fillId="0" borderId="0" xfId="474" applyNumberFormat="1" applyFont="1" applyBorder="1"/>
    <xf numFmtId="0" fontId="230" fillId="61" borderId="121" xfId="0" applyFont="1" applyFill="1" applyBorder="1"/>
    <xf numFmtId="0" fontId="233" fillId="67" borderId="131" xfId="0" applyFont="1" applyFill="1" applyBorder="1"/>
    <xf numFmtId="170" fontId="0" fillId="67" borderId="131" xfId="474" applyNumberFormat="1" applyFont="1" applyFill="1" applyBorder="1"/>
    <xf numFmtId="173" fontId="0" fillId="0" borderId="0" xfId="0" applyNumberFormat="1" applyFill="1"/>
    <xf numFmtId="170" fontId="0" fillId="68" borderId="0" xfId="474" applyNumberFormat="1" applyFon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48" fillId="0" borderId="1" xfId="1" applyNumberFormat="1" applyFont="1" applyFill="1" applyBorder="1" applyAlignment="1">
      <alignment horizontal="center" vertical="center" wrapText="1"/>
    </xf>
    <xf numFmtId="0" fontId="234" fillId="0" borderId="0" xfId="0" applyFont="1"/>
    <xf numFmtId="0" fontId="0" fillId="48" borderId="0" xfId="0" applyFill="1"/>
    <xf numFmtId="0" fontId="230" fillId="61" borderId="139" xfId="0" applyFont="1" applyFill="1" applyBorder="1"/>
    <xf numFmtId="170" fontId="3" fillId="61" borderId="140" xfId="474" applyNumberFormat="1" applyFont="1" applyFill="1" applyBorder="1"/>
    <xf numFmtId="1" fontId="62" fillId="67" borderId="0" xfId="0" applyNumberFormat="1" applyFont="1" applyFill="1" applyAlignment="1">
      <alignment horizontal="center" vertical="center"/>
    </xf>
    <xf numFmtId="0" fontId="0" fillId="68" borderId="0" xfId="0" applyFill="1" applyAlignment="1">
      <alignment horizontal="center" wrapText="1"/>
    </xf>
    <xf numFmtId="0" fontId="235" fillId="61" borderId="0" xfId="0" applyFont="1" applyFill="1"/>
    <xf numFmtId="0" fontId="0" fillId="0" borderId="1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70" borderId="21" xfId="0" applyFill="1" applyBorder="1" applyAlignment="1">
      <alignment horizontal="center"/>
    </xf>
    <xf numFmtId="0" fontId="0" fillId="70" borderId="22" xfId="0" applyFill="1" applyBorder="1" applyAlignment="1">
      <alignment horizontal="center"/>
    </xf>
    <xf numFmtId="0" fontId="0" fillId="70" borderId="134" xfId="0" applyFill="1" applyBorder="1" applyAlignment="1">
      <alignment horizontal="center"/>
    </xf>
    <xf numFmtId="168" fontId="0" fillId="61" borderId="135" xfId="0" applyNumberFormat="1" applyFill="1" applyBorder="1" applyAlignment="1">
      <alignment horizontal="center"/>
    </xf>
    <xf numFmtId="168" fontId="0" fillId="61" borderId="136" xfId="0" applyNumberFormat="1" applyFill="1" applyBorder="1" applyAlignment="1">
      <alignment horizontal="center"/>
    </xf>
    <xf numFmtId="0" fontId="0" fillId="67" borderId="138" xfId="0" applyFill="1" applyBorder="1" applyAlignment="1">
      <alignment horizontal="center"/>
    </xf>
    <xf numFmtId="0" fontId="0" fillId="67" borderId="137" xfId="0" applyFill="1" applyBorder="1" applyAlignment="1">
      <alignment horizontal="center"/>
    </xf>
    <xf numFmtId="0" fontId="0" fillId="71" borderId="132" xfId="0" applyFill="1" applyBorder="1" applyAlignment="1">
      <alignment horizontal="center"/>
    </xf>
    <xf numFmtId="0" fontId="0" fillId="71" borderId="103" xfId="0" applyFill="1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71" borderId="133" xfId="0" applyFill="1" applyBorder="1" applyAlignment="1">
      <alignment horizontal="center"/>
    </xf>
    <xf numFmtId="0" fontId="0" fillId="0" borderId="103" xfId="0" applyBorder="1" applyAlignment="1">
      <alignment horizontal="center"/>
    </xf>
    <xf numFmtId="0" fontId="62" fillId="70" borderId="103" xfId="0" applyFont="1" applyFill="1" applyBorder="1" applyAlignment="1">
      <alignment horizontal="center" vertical="center"/>
    </xf>
    <xf numFmtId="0" fontId="49" fillId="6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50" fillId="63" borderId="18" xfId="0" applyFont="1" applyFill="1" applyBorder="1" applyAlignment="1">
      <alignment horizontal="center" vertical="center"/>
    </xf>
    <xf numFmtId="0" fontId="50" fillId="63" borderId="16" xfId="0" applyFont="1" applyFill="1" applyBorder="1" applyAlignment="1">
      <alignment horizontal="center" vertical="center"/>
    </xf>
    <xf numFmtId="0" fontId="50" fillId="63" borderId="19" xfId="0" applyFont="1" applyFill="1" applyBorder="1" applyAlignment="1">
      <alignment horizontal="center" vertical="center"/>
    </xf>
    <xf numFmtId="0" fontId="50" fillId="61" borderId="18" xfId="0" applyFont="1" applyFill="1" applyBorder="1" applyAlignment="1">
      <alignment horizontal="center" vertical="center"/>
    </xf>
    <xf numFmtId="0" fontId="50" fillId="61" borderId="16" xfId="0" applyFont="1" applyFill="1" applyBorder="1" applyAlignment="1">
      <alignment horizontal="center" vertical="center"/>
    </xf>
    <xf numFmtId="0" fontId="50" fillId="61" borderId="19" xfId="0" applyFont="1" applyFill="1" applyBorder="1" applyAlignment="1">
      <alignment horizontal="center" vertical="center"/>
    </xf>
    <xf numFmtId="0" fontId="50" fillId="62" borderId="18" xfId="0" applyFont="1" applyFill="1" applyBorder="1" applyAlignment="1">
      <alignment horizontal="center" vertical="center"/>
    </xf>
    <xf numFmtId="0" fontId="50" fillId="62" borderId="16" xfId="0" applyFont="1" applyFill="1" applyBorder="1" applyAlignment="1">
      <alignment horizontal="center" vertical="center"/>
    </xf>
    <xf numFmtId="0" fontId="50" fillId="62" borderId="19" xfId="0" applyFont="1" applyFill="1" applyBorder="1" applyAlignment="1">
      <alignment horizontal="center" vertical="center"/>
    </xf>
    <xf numFmtId="0" fontId="49" fillId="61" borderId="18" xfId="0" applyFont="1" applyFill="1" applyBorder="1" applyAlignment="1">
      <alignment horizontal="center" vertical="center" wrapText="1"/>
    </xf>
    <xf numFmtId="0" fontId="49" fillId="61" borderId="16" xfId="0" applyFont="1" applyFill="1" applyBorder="1" applyAlignment="1">
      <alignment horizontal="center" vertical="center" wrapText="1"/>
    </xf>
    <xf numFmtId="0" fontId="49" fillId="61" borderId="19" xfId="0" applyFont="1" applyFill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66" fillId="0" borderId="26" xfId="488" applyFont="1" applyFill="1" applyBorder="1" applyAlignment="1">
      <alignment horizontal="center" vertical="center"/>
    </xf>
    <xf numFmtId="0" fontId="66" fillId="0" borderId="35" xfId="488" applyFont="1" applyFill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29" xfId="0" applyFont="1" applyBorder="1" applyAlignment="1">
      <alignment horizontal="center" vertical="center"/>
    </xf>
    <xf numFmtId="0" fontId="66" fillId="0" borderId="30" xfId="489" applyFont="1" applyFill="1" applyBorder="1" applyAlignment="1">
      <alignment horizontal="center" vertical="center"/>
    </xf>
    <xf numFmtId="0" fontId="66" fillId="0" borderId="28" xfId="489" applyFont="1" applyFill="1" applyBorder="1" applyAlignment="1">
      <alignment horizontal="center" vertical="center"/>
    </xf>
    <xf numFmtId="0" fontId="66" fillId="0" borderId="31" xfId="489" applyFont="1" applyFill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/>
    </xf>
    <xf numFmtId="0" fontId="49" fillId="67" borderId="1" xfId="0" applyFont="1" applyFill="1" applyBorder="1" applyAlignment="1">
      <alignment horizontal="center" vertical="center" wrapText="1"/>
    </xf>
    <xf numFmtId="0" fontId="50" fillId="62" borderId="1" xfId="0" applyFont="1" applyFill="1" applyBorder="1" applyAlignment="1">
      <alignment horizontal="center" vertical="center"/>
    </xf>
    <xf numFmtId="0" fontId="53" fillId="64" borderId="0" xfId="476" applyFill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20902">
    <cellStyle name=" 1" xfId="491" xr:uid="{00000000-0005-0000-0000-000000000000}"/>
    <cellStyle name=" 1 2" xfId="492" xr:uid="{00000000-0005-0000-0000-000001000000}"/>
    <cellStyle name=";;;" xfId="493" xr:uid="{00000000-0005-0000-0000-000002000000}"/>
    <cellStyle name=";;; 2" xfId="494" xr:uid="{00000000-0005-0000-0000-000003000000}"/>
    <cellStyle name=";;; 3" xfId="495" xr:uid="{00000000-0005-0000-0000-000004000000}"/>
    <cellStyle name=";;; 4" xfId="496" xr:uid="{00000000-0005-0000-0000-000005000000}"/>
    <cellStyle name="_19,20,21" xfId="497" xr:uid="{00000000-0005-0000-0000-000006000000}"/>
    <cellStyle name="_19,20,21 2" xfId="498" xr:uid="{00000000-0005-0000-0000-000007000000}"/>
    <cellStyle name="_19,20,21 2 2" xfId="499" xr:uid="{00000000-0005-0000-0000-000008000000}"/>
    <cellStyle name="_19,20,21 3" xfId="500" xr:uid="{00000000-0005-0000-0000-000009000000}"/>
    <cellStyle name="_19,20,21 3 2" xfId="501" xr:uid="{00000000-0005-0000-0000-00000A000000}"/>
    <cellStyle name="_19,20,21 4" xfId="502" xr:uid="{00000000-0005-0000-0000-00000B000000}"/>
    <cellStyle name="_19,20,21 4 2" xfId="503" xr:uid="{00000000-0005-0000-0000-00000C000000}"/>
    <cellStyle name="_19,20,21 5" xfId="504" xr:uid="{00000000-0005-0000-0000-00000D000000}"/>
    <cellStyle name="_2008г. и 4кв" xfId="505" xr:uid="{00000000-0005-0000-0000-00000E000000}"/>
    <cellStyle name="_3.2.2. МЭФ_14.08.06" xfId="506" xr:uid="{00000000-0005-0000-0000-00000F000000}"/>
    <cellStyle name="_3.2.2. МЭФ_14.08.06 2" xfId="507" xr:uid="{00000000-0005-0000-0000-000010000000}"/>
    <cellStyle name="_3.2.2. МЭФ_14.08.06 2 2" xfId="508" xr:uid="{00000000-0005-0000-0000-000011000000}"/>
    <cellStyle name="_3.2.2. МЭФ_14.08.06 3" xfId="509" xr:uid="{00000000-0005-0000-0000-000012000000}"/>
    <cellStyle name="_3.2.2. МЭФ_14.08.06 3 2" xfId="510" xr:uid="{00000000-0005-0000-0000-000013000000}"/>
    <cellStyle name="_3.2.2. МЭФ_14.08.06 4" xfId="511" xr:uid="{00000000-0005-0000-0000-000014000000}"/>
    <cellStyle name="_3.2.2. МЭФ_14.08.06 4 2" xfId="512" xr:uid="{00000000-0005-0000-0000-000015000000}"/>
    <cellStyle name="_3.2.2. МЭФ_14.08.06 5" xfId="513" xr:uid="{00000000-0005-0000-0000-000016000000}"/>
    <cellStyle name="_3_1_1 Производственная программа" xfId="514" xr:uid="{00000000-0005-0000-0000-000017000000}"/>
    <cellStyle name="_3_1_1 Производственная программа 2" xfId="515" xr:uid="{00000000-0005-0000-0000-000018000000}"/>
    <cellStyle name="_3_1_1 Производственная программа 3" xfId="516" xr:uid="{00000000-0005-0000-0000-000019000000}"/>
    <cellStyle name="_3_1_1 Производственная программа 4" xfId="517" xr:uid="{00000000-0005-0000-0000-00001A000000}"/>
    <cellStyle name="_3_2_2 Смета затрат" xfId="518" xr:uid="{00000000-0005-0000-0000-00001B000000}"/>
    <cellStyle name="_3_2_2 Смета затрат 2" xfId="519" xr:uid="{00000000-0005-0000-0000-00001C000000}"/>
    <cellStyle name="_3_2_2 Смета затрат 3" xfId="520" xr:uid="{00000000-0005-0000-0000-00001D000000}"/>
    <cellStyle name="_3_2_2 Смета затрат 4" xfId="521" xr:uid="{00000000-0005-0000-0000-00001E000000}"/>
    <cellStyle name="_3_2_9 ФЗП_испр_v2" xfId="522" xr:uid="{00000000-0005-0000-0000-00001F000000}"/>
    <cellStyle name="_3_2_9 ФЗП_испр_v2 2" xfId="523" xr:uid="{00000000-0005-0000-0000-000020000000}"/>
    <cellStyle name="_3_2_9 ФЗП_испр_v2 3" xfId="524" xr:uid="{00000000-0005-0000-0000-000021000000}"/>
    <cellStyle name="_3_2_9 ФЗП_испр_v2 4" xfId="525" xr:uid="{00000000-0005-0000-0000-000022000000}"/>
    <cellStyle name="_3_5_1Capex19_v2" xfId="526" xr:uid="{00000000-0005-0000-0000-000023000000}"/>
    <cellStyle name="_3_5_1Capex19_v2 2" xfId="527" xr:uid="{00000000-0005-0000-0000-000024000000}"/>
    <cellStyle name="_3_5_1Capex19_v2 3" xfId="528" xr:uid="{00000000-0005-0000-0000-000025000000}"/>
    <cellStyle name="_3_5_1Capex19_v2 4" xfId="529" xr:uid="{00000000-0005-0000-0000-000026000000}"/>
    <cellStyle name="_3_5_2 CAPEX_20_v2" xfId="530" xr:uid="{00000000-0005-0000-0000-000027000000}"/>
    <cellStyle name="_3_5_2 CAPEX_20_v2 2" xfId="531" xr:uid="{00000000-0005-0000-0000-000028000000}"/>
    <cellStyle name="_3_5_2 CAPEX_20_v2 3" xfId="532" xr:uid="{00000000-0005-0000-0000-000029000000}"/>
    <cellStyle name="_3_5_2 CAPEX_20_v2 4" xfId="533" xr:uid="{00000000-0005-0000-0000-00002A000000}"/>
    <cellStyle name="_5 DO Budjet model_case study испр" xfId="534" xr:uid="{00000000-0005-0000-0000-00002B000000}"/>
    <cellStyle name="_5 DO Budjet model_case study испр 2" xfId="535" xr:uid="{00000000-0005-0000-0000-00002C000000}"/>
    <cellStyle name="_5 DO Budjet model_case study испр 2 2" xfId="536" xr:uid="{00000000-0005-0000-0000-00002D000000}"/>
    <cellStyle name="_5 DO Budjet model_case study испр 3" xfId="537" xr:uid="{00000000-0005-0000-0000-00002E000000}"/>
    <cellStyle name="_5 DO Budjet model_case study испр 3 2" xfId="538" xr:uid="{00000000-0005-0000-0000-00002F000000}"/>
    <cellStyle name="_5 DO Budjet model_case study испр 4" xfId="539" xr:uid="{00000000-0005-0000-0000-000030000000}"/>
    <cellStyle name="_5 DO Budjet model_case study испр 4 2" xfId="540" xr:uid="{00000000-0005-0000-0000-000031000000}"/>
    <cellStyle name="_5 DO Budjet model_case study испр 5" xfId="541" xr:uid="{00000000-0005-0000-0000-000032000000}"/>
    <cellStyle name="_CAPEX 2006 (18.11.2005)" xfId="542" xr:uid="{00000000-0005-0000-0000-000033000000}"/>
    <cellStyle name="_CAPEX 2006 (18.11.2005) 2" xfId="543" xr:uid="{00000000-0005-0000-0000-000034000000}"/>
    <cellStyle name="_CAPEX 2006 (18.11.2005) 2 2" xfId="544" xr:uid="{00000000-0005-0000-0000-000035000000}"/>
    <cellStyle name="_CAPEX 2006 (18.11.2005) 3" xfId="545" xr:uid="{00000000-0005-0000-0000-000036000000}"/>
    <cellStyle name="_CAPEX 2006 (18.11.2005) 3 2" xfId="546" xr:uid="{00000000-0005-0000-0000-000037000000}"/>
    <cellStyle name="_CAPEX 2006 (18.11.2005) 4" xfId="547" xr:uid="{00000000-0005-0000-0000-000038000000}"/>
    <cellStyle name="_CAPEX 2006 (18.11.2005) 4 2" xfId="548" xr:uid="{00000000-0005-0000-0000-000039000000}"/>
    <cellStyle name="_CAPEX 2006 (18.11.2005) 5" xfId="549" xr:uid="{00000000-0005-0000-0000-00003A000000}"/>
    <cellStyle name="_for_BD_Пакет_форм2уровня_баз_final" xfId="550" xr:uid="{00000000-0005-0000-0000-00003B000000}"/>
    <cellStyle name="_for_BD_Пакет_форм2уровня_баз_final 2" xfId="551" xr:uid="{00000000-0005-0000-0000-00003C000000}"/>
    <cellStyle name="_for_BD_Пакет_форм2уровня_баз_final 3" xfId="552" xr:uid="{00000000-0005-0000-0000-00003D000000}"/>
    <cellStyle name="_for_BD_Пакет_форм2уровня_баз_final 4" xfId="553" xr:uid="{00000000-0005-0000-0000-00003E000000}"/>
    <cellStyle name="_MB2006_sample2006_баз" xfId="554" xr:uid="{00000000-0005-0000-0000-00003F000000}"/>
    <cellStyle name="_MB2006_sample2006_баз 2" xfId="555" xr:uid="{00000000-0005-0000-0000-000040000000}"/>
    <cellStyle name="_MB2006_sample2006_баз 2 2" xfId="556" xr:uid="{00000000-0005-0000-0000-000041000000}"/>
    <cellStyle name="_MB2006_sample2006_баз 3" xfId="557" xr:uid="{00000000-0005-0000-0000-000042000000}"/>
    <cellStyle name="_MB2006_sample2006_баз 3 2" xfId="558" xr:uid="{00000000-0005-0000-0000-000043000000}"/>
    <cellStyle name="_MB2006_sample2006_баз 4" xfId="559" xr:uid="{00000000-0005-0000-0000-000044000000}"/>
    <cellStyle name="_MB2006_sample2006_баз 4 2" xfId="560" xr:uid="{00000000-0005-0000-0000-000045000000}"/>
    <cellStyle name="_MB2006_sample2006_баз 5" xfId="561" xr:uid="{00000000-0005-0000-0000-000046000000}"/>
    <cellStyle name="_NTMK forecast 2006-1" xfId="562" xr:uid="{00000000-0005-0000-0000-000047000000}"/>
    <cellStyle name="_NTMK forecast 2006-1 2" xfId="563" xr:uid="{00000000-0005-0000-0000-000048000000}"/>
    <cellStyle name="_NTMK forecast 2006-1 3" xfId="564" xr:uid="{00000000-0005-0000-0000-000049000000}"/>
    <cellStyle name="_NTMK forecast 2006-1 4" xfId="565" xr:uid="{00000000-0005-0000-0000-00004A000000}"/>
    <cellStyle name="_Аналитические_признаки" xfId="566" xr:uid="{00000000-0005-0000-0000-00004B000000}"/>
    <cellStyle name="_Аналитические_признаки - исправленная версия" xfId="567" xr:uid="{00000000-0005-0000-0000-00004C000000}"/>
    <cellStyle name="_Аналитические_признаки - исправленная версия 2" xfId="568" xr:uid="{00000000-0005-0000-0000-00004D000000}"/>
    <cellStyle name="_Аналитические_признаки - исправленная версия 3" xfId="569" xr:uid="{00000000-0005-0000-0000-00004E000000}"/>
    <cellStyle name="_Аналитические_признаки - исправленная версия 4" xfId="570" xr:uid="{00000000-0005-0000-0000-00004F000000}"/>
    <cellStyle name="_Аналитические_признаки 2" xfId="571" xr:uid="{00000000-0005-0000-0000-000050000000}"/>
    <cellStyle name="_Аналитические_признаки 3" xfId="572" xr:uid="{00000000-0005-0000-0000-000051000000}"/>
    <cellStyle name="_Аналитические_признаки 4" xfId="573" xr:uid="{00000000-0005-0000-0000-000052000000}"/>
    <cellStyle name="_Единица отчетности_update" xfId="574" xr:uid="{00000000-0005-0000-0000-000053000000}"/>
    <cellStyle name="_Единица отчетности_update 2" xfId="575" xr:uid="{00000000-0005-0000-0000-000054000000}"/>
    <cellStyle name="_Единица отчетности_update 3" xfId="576" xr:uid="{00000000-0005-0000-0000-000055000000}"/>
    <cellStyle name="_Единица отчетности_update 4" xfId="577" xr:uid="{00000000-0005-0000-0000-000056000000}"/>
    <cellStyle name="_ЗСМК отчет за январь 2006 (2005.12.27) план ЕХ" xfId="578" xr:uid="{00000000-0005-0000-0000-000057000000}"/>
    <cellStyle name="_ЗСМК отчет за январь 2006 (2005.12.27) план ЕХ 2" xfId="579" xr:uid="{00000000-0005-0000-0000-000058000000}"/>
    <cellStyle name="_ЗСМК отчет за январь 2006 (2005.12.27) план ЕХ 2 2" xfId="580" xr:uid="{00000000-0005-0000-0000-000059000000}"/>
    <cellStyle name="_ЗСМК отчет за январь 2006 (2005.12.27) план ЕХ 3" xfId="581" xr:uid="{00000000-0005-0000-0000-00005A000000}"/>
    <cellStyle name="_ЗСМК отчет за январь 2006 (2005.12.27) план ЕХ 3 2" xfId="582" xr:uid="{00000000-0005-0000-0000-00005B000000}"/>
    <cellStyle name="_ЗСМК отчет за январь 2006 (2005.12.27) план ЕХ 4" xfId="583" xr:uid="{00000000-0005-0000-0000-00005C000000}"/>
    <cellStyle name="_ЗСМК отчет за январь 2006 (2005.12.27) план ЕХ 4 2" xfId="584" xr:uid="{00000000-0005-0000-0000-00005D000000}"/>
    <cellStyle name="_ЗСМК отчет за январь 2006 (2005.12.27) план ЕХ 5" xfId="585" xr:uid="{00000000-0005-0000-0000-00005E000000}"/>
    <cellStyle name="_ЗСМК отчет за январь 2006 (2006.01.10) план2 ЕХ" xfId="586" xr:uid="{00000000-0005-0000-0000-00005F000000}"/>
    <cellStyle name="_ЗСМК отчет за январь 2006 (2006.01.10) план2 ЕХ 2" xfId="587" xr:uid="{00000000-0005-0000-0000-000060000000}"/>
    <cellStyle name="_ЗСМК отчет за январь 2006 (2006.01.10) план2 ЕХ 2 2" xfId="588" xr:uid="{00000000-0005-0000-0000-000061000000}"/>
    <cellStyle name="_ЗСМК отчет за январь 2006 (2006.01.10) план2 ЕХ 3" xfId="589" xr:uid="{00000000-0005-0000-0000-000062000000}"/>
    <cellStyle name="_ЗСМК отчет за январь 2006 (2006.01.10) план2 ЕХ 3 2" xfId="590" xr:uid="{00000000-0005-0000-0000-000063000000}"/>
    <cellStyle name="_ЗСМК отчет за январь 2006 (2006.01.10) план2 ЕХ 4" xfId="591" xr:uid="{00000000-0005-0000-0000-000064000000}"/>
    <cellStyle name="_ЗСМК отчет за январь 2006 (2006.01.10) план2 ЕХ 4 2" xfId="592" xr:uid="{00000000-0005-0000-0000-000065000000}"/>
    <cellStyle name="_ЗСМК отчет за январь 2006 (2006.01.10) план2 ЕХ 5" xfId="593" xr:uid="{00000000-0005-0000-0000-000066000000}"/>
    <cellStyle name="_Книга1" xfId="594" xr:uid="{00000000-0005-0000-0000-000067000000}"/>
    <cellStyle name="_Книга3" xfId="595" xr:uid="{00000000-0005-0000-0000-000068000000}"/>
    <cellStyle name="_Книга3 2" xfId="596" xr:uid="{00000000-0005-0000-0000-000069000000}"/>
    <cellStyle name="_Консолидация и отчетность - мастерданные" xfId="597" xr:uid="{00000000-0005-0000-0000-00006A000000}"/>
    <cellStyle name="_Консолидация и отчетность - мастерданные 2" xfId="598" xr:uid="{00000000-0005-0000-0000-00006B000000}"/>
    <cellStyle name="_Консолидация и отчетность - мастерданные 3" xfId="599" xr:uid="{00000000-0005-0000-0000-00006C000000}"/>
    <cellStyle name="_Консолидация и отчетность - мастерданные 4" xfId="600" xr:uid="{00000000-0005-0000-0000-00006D000000}"/>
    <cellStyle name="_курсовые разницы 01,06,08" xfId="601" xr:uid="{00000000-0005-0000-0000-00006E000000}"/>
    <cellStyle name="_Макро_2030 год" xfId="602" xr:uid="{00000000-0005-0000-0000-00006F000000}"/>
    <cellStyle name="_Макро_2030 год 2" xfId="603" xr:uid="{00000000-0005-0000-0000-000070000000}"/>
    <cellStyle name="_Макро_2030 год 3" xfId="604" xr:uid="{00000000-0005-0000-0000-000071000000}"/>
    <cellStyle name="_Мощности_МП_исх_формы_ручного_ввода" xfId="605" xr:uid="{00000000-0005-0000-0000-000072000000}"/>
    <cellStyle name="_Мощности_МП_исх_формы_ручного_ввода 2" xfId="606" xr:uid="{00000000-0005-0000-0000-000073000000}"/>
    <cellStyle name="_Мощности_МП_исх_формы_ручного_ввода 3" xfId="607" xr:uid="{00000000-0005-0000-0000-000074000000}"/>
    <cellStyle name="_Мощности_МП_исх_формы_ручного_ввода 4" xfId="608" xr:uid="{00000000-0005-0000-0000-000075000000}"/>
    <cellStyle name="_Пакет №1 (Coal)" xfId="609" xr:uid="{00000000-0005-0000-0000-000076000000}"/>
    <cellStyle name="_Пакет №1 (Coal) 2" xfId="610" xr:uid="{00000000-0005-0000-0000-000077000000}"/>
    <cellStyle name="_Пакет №1 (Coal) 3" xfId="611" xr:uid="{00000000-0005-0000-0000-000078000000}"/>
    <cellStyle name="_Пакет №1 (Coal) 4" xfId="612" xr:uid="{00000000-0005-0000-0000-000079000000}"/>
    <cellStyle name="_Пакет ГОКи" xfId="613" xr:uid="{00000000-0005-0000-0000-00007A000000}"/>
    <cellStyle name="_Пакет ГОКи 2" xfId="614" xr:uid="{00000000-0005-0000-0000-00007B000000}"/>
    <cellStyle name="_Пакет ГОКи 3" xfId="615" xr:uid="{00000000-0005-0000-0000-00007C000000}"/>
    <cellStyle name="_Пакет ГОКи 4" xfId="616" xr:uid="{00000000-0005-0000-0000-00007D000000}"/>
    <cellStyle name="_Пакет по МП" xfId="617" xr:uid="{00000000-0005-0000-0000-00007E000000}"/>
    <cellStyle name="_Пакет по МП 2" xfId="618" xr:uid="{00000000-0005-0000-0000-00007F000000}"/>
    <cellStyle name="_Пакет по МП 3" xfId="619" xr:uid="{00000000-0005-0000-0000-000080000000}"/>
    <cellStyle name="_Пакет по МП 4" xfId="620" xr:uid="{00000000-0005-0000-0000-000081000000}"/>
    <cellStyle name="_Правила заполнения" xfId="621" xr:uid="{00000000-0005-0000-0000-000082000000}"/>
    <cellStyle name="_Презентация бюджета 2006" xfId="622" xr:uid="{00000000-0005-0000-0000-000083000000}"/>
    <cellStyle name="_Презентация бюджета 2006 2" xfId="623" xr:uid="{00000000-0005-0000-0000-000084000000}"/>
    <cellStyle name="_Презентация бюджета 2006 3" xfId="624" xr:uid="{00000000-0005-0000-0000-000085000000}"/>
    <cellStyle name="_Презентация бюджета 2006 4" xfId="625" xr:uid="{00000000-0005-0000-0000-000086000000}"/>
    <cellStyle name="_Прогноз освоения'05 ЗСМК (2005.11.02)ЕХ" xfId="626" xr:uid="{00000000-0005-0000-0000-000087000000}"/>
    <cellStyle name="_Прогноз освоения'05 ЗСМК (2005.11.02)ЕХ 2" xfId="627" xr:uid="{00000000-0005-0000-0000-000088000000}"/>
    <cellStyle name="_Прогноз освоения'05 ЗСМК (2005.11.02)ЕХ 2 2" xfId="628" xr:uid="{00000000-0005-0000-0000-000089000000}"/>
    <cellStyle name="_Прогноз освоения'05 ЗСМК (2005.11.02)ЕХ 3" xfId="629" xr:uid="{00000000-0005-0000-0000-00008A000000}"/>
    <cellStyle name="_Прогноз освоения'05 ЗСМК (2005.11.02)ЕХ 3 2" xfId="630" xr:uid="{00000000-0005-0000-0000-00008B000000}"/>
    <cellStyle name="_Прогноз освоения'05 ЗСМК (2005.11.02)ЕХ 4" xfId="631" xr:uid="{00000000-0005-0000-0000-00008C000000}"/>
    <cellStyle name="_Прогноз освоения'05 ЗСМК (2005.11.02)ЕХ 4 2" xfId="632" xr:uid="{00000000-0005-0000-0000-00008D000000}"/>
    <cellStyle name="_Прогноз освоения'05 ЗСМК (2005.11.02)ЕХ 5" xfId="633" xr:uid="{00000000-0005-0000-0000-00008E000000}"/>
    <cellStyle name="_Росжелдорпроект" xfId="634" xr:uid="{00000000-0005-0000-0000-00008F000000}"/>
    <cellStyle name="_Росжелдорпроект 2" xfId="635" xr:uid="{00000000-0005-0000-0000-000090000000}"/>
    <cellStyle name="_слайд КВ 2006" xfId="636" xr:uid="{00000000-0005-0000-0000-000091000000}"/>
    <cellStyle name="_слайд КВ 2006 2" xfId="637" xr:uid="{00000000-0005-0000-0000-000092000000}"/>
    <cellStyle name="_слайд КВ 2006 2 2" xfId="638" xr:uid="{00000000-0005-0000-0000-000093000000}"/>
    <cellStyle name="_слайд КВ 2006 3" xfId="639" xr:uid="{00000000-0005-0000-0000-000094000000}"/>
    <cellStyle name="_слайд КВ 2006 3 2" xfId="640" xr:uid="{00000000-0005-0000-0000-000095000000}"/>
    <cellStyle name="_слайд КВ 2006 4" xfId="641" xr:uid="{00000000-0005-0000-0000-000096000000}"/>
    <cellStyle name="_слайд КВ 2006 4 2" xfId="642" xr:uid="{00000000-0005-0000-0000-000097000000}"/>
    <cellStyle name="_слайд КВ 2006 5" xfId="643" xr:uid="{00000000-0005-0000-0000-000098000000}"/>
    <cellStyle name="_Формуляры форм ручного ввода" xfId="644" xr:uid="{00000000-0005-0000-0000-000099000000}"/>
    <cellStyle name="_Формуляры форм ручного ввода 2" xfId="645" xr:uid="{00000000-0005-0000-0000-00009A000000}"/>
    <cellStyle name="_Формуляры форм ручного ввода 3" xfId="646" xr:uid="{00000000-0005-0000-0000-00009B000000}"/>
    <cellStyle name="_Формуляры форм ручного ввода 4" xfId="647" xr:uid="{00000000-0005-0000-0000-00009C000000}"/>
    <cellStyle name="_Формы - утверждено на СД" xfId="648" xr:uid="{00000000-0005-0000-0000-00009D000000}"/>
    <cellStyle name="_Формы - утверждено на СД 2" xfId="649" xr:uid="{00000000-0005-0000-0000-00009E000000}"/>
    <cellStyle name="_Формы - утверждено на СД 2 2" xfId="650" xr:uid="{00000000-0005-0000-0000-00009F000000}"/>
    <cellStyle name="_Формы - утверждено на СД 3" xfId="651" xr:uid="{00000000-0005-0000-0000-0000A0000000}"/>
    <cellStyle name="_Формы - утверждено на СД 3 2" xfId="652" xr:uid="{00000000-0005-0000-0000-0000A1000000}"/>
    <cellStyle name="_Формы - утверждено на СД 4" xfId="653" xr:uid="{00000000-0005-0000-0000-0000A2000000}"/>
    <cellStyle name="_Формы - утверждено на СД 4 2" xfId="654" xr:uid="{00000000-0005-0000-0000-0000A3000000}"/>
    <cellStyle name="_Формы - утверждено на СД 5" xfId="655" xr:uid="{00000000-0005-0000-0000-0000A4000000}"/>
    <cellStyle name="_Формы 2 уровня ЗСМК баз." xfId="656" xr:uid="{00000000-0005-0000-0000-0000A5000000}"/>
    <cellStyle name="_Формы 2 уровня ЗСМК баз. 2" xfId="657" xr:uid="{00000000-0005-0000-0000-0000A6000000}"/>
    <cellStyle name="_Формы 2 уровня ЗСМК баз. 2 2" xfId="658" xr:uid="{00000000-0005-0000-0000-0000A7000000}"/>
    <cellStyle name="_Формы 2 уровня ЗСМК баз. 3" xfId="659" xr:uid="{00000000-0005-0000-0000-0000A8000000}"/>
    <cellStyle name="_Формы 2 уровня ЗСМК баз. 3 2" xfId="660" xr:uid="{00000000-0005-0000-0000-0000A9000000}"/>
    <cellStyle name="_Формы 2 уровня ЗСМК баз. 4" xfId="661" xr:uid="{00000000-0005-0000-0000-0000AA000000}"/>
    <cellStyle name="_Формы 2 уровня ЗСМК баз. 4 2" xfId="662" xr:uid="{00000000-0005-0000-0000-0000AB000000}"/>
    <cellStyle name="_Формы 2 уровня ЗСМК баз. 5" xfId="663" xr:uid="{00000000-0005-0000-0000-0000AC000000}"/>
    <cellStyle name="_Формы 2 уровня ЗСМК баз.15.11 от Паньшина." xfId="664" xr:uid="{00000000-0005-0000-0000-0000AD000000}"/>
    <cellStyle name="_Формы 2 уровня ЗСМК баз.15.11 от Паньшина. 2" xfId="665" xr:uid="{00000000-0005-0000-0000-0000AE000000}"/>
    <cellStyle name="_Формы 2 уровня ЗСМК баз.15.11 от Паньшина. 2 2" xfId="666" xr:uid="{00000000-0005-0000-0000-0000AF000000}"/>
    <cellStyle name="_Формы 2 уровня ЗСМК баз.15.11 от Паньшина. 3" xfId="667" xr:uid="{00000000-0005-0000-0000-0000B0000000}"/>
    <cellStyle name="_Формы 2 уровня ЗСМК баз.15.11 от Паньшина. 3 2" xfId="668" xr:uid="{00000000-0005-0000-0000-0000B1000000}"/>
    <cellStyle name="_Формы 2 уровня ЗСМК баз.15.11 от Паньшина. 4" xfId="669" xr:uid="{00000000-0005-0000-0000-0000B2000000}"/>
    <cellStyle name="_Формы 2 уровня ЗСМК баз.15.11 от Паньшина. 4 2" xfId="670" xr:uid="{00000000-0005-0000-0000-0000B3000000}"/>
    <cellStyle name="_Формы 2 уровня ЗСМК баз.15.11 от Паньшина. 5" xfId="671" xr:uid="{00000000-0005-0000-0000-0000B4000000}"/>
    <cellStyle name="_Формы 2 уровня(баз)" xfId="672" xr:uid="{00000000-0005-0000-0000-0000B5000000}"/>
    <cellStyle name="_Формы 2 уровня(баз) 2" xfId="673" xr:uid="{00000000-0005-0000-0000-0000B6000000}"/>
    <cellStyle name="_Формы 2 уровня(баз) 2 2" xfId="674" xr:uid="{00000000-0005-0000-0000-0000B7000000}"/>
    <cellStyle name="_Формы 2 уровня(баз) 3" xfId="675" xr:uid="{00000000-0005-0000-0000-0000B8000000}"/>
    <cellStyle name="_Формы 2 уровня(баз) 3 2" xfId="676" xr:uid="{00000000-0005-0000-0000-0000B9000000}"/>
    <cellStyle name="_Формы 2 уровня(баз) 4" xfId="677" xr:uid="{00000000-0005-0000-0000-0000BA000000}"/>
    <cellStyle name="_Формы 2 уровня(баз) 4 2" xfId="678" xr:uid="{00000000-0005-0000-0000-0000BB000000}"/>
    <cellStyle name="_Формы 2 уровня(баз) 5" xfId="679" xr:uid="{00000000-0005-0000-0000-0000BC000000}"/>
    <cellStyle name="_Формы 2 уровня(баз)СД" xfId="680" xr:uid="{00000000-0005-0000-0000-0000BD000000}"/>
    <cellStyle name="_Формы 2 уровня(баз)СД 2" xfId="681" xr:uid="{00000000-0005-0000-0000-0000BE000000}"/>
    <cellStyle name="_Формы 2 уровня(баз)СД 2 2" xfId="682" xr:uid="{00000000-0005-0000-0000-0000BF000000}"/>
    <cellStyle name="_Формы 2 уровня(баз)СД 3" xfId="683" xr:uid="{00000000-0005-0000-0000-0000C0000000}"/>
    <cellStyle name="_Формы 2 уровня(баз)СД 3 2" xfId="684" xr:uid="{00000000-0005-0000-0000-0000C1000000}"/>
    <cellStyle name="_Формы 2 уровня(баз)СД 4" xfId="685" xr:uid="{00000000-0005-0000-0000-0000C2000000}"/>
    <cellStyle name="_Формы 2 уровня(баз)СД 4 2" xfId="686" xr:uid="{00000000-0005-0000-0000-0000C3000000}"/>
    <cellStyle name="_Формы 2 уровня(баз)СД 5" xfId="687" xr:uid="{00000000-0005-0000-0000-0000C4000000}"/>
    <cellStyle name="_ЦФ  реализация акций 2008-2010" xfId="688" xr:uid="{00000000-0005-0000-0000-0000C5000000}"/>
    <cellStyle name="_ЦФ  реализация акций 2008-2010_акции по годам 2009-2012" xfId="689" xr:uid="{00000000-0005-0000-0000-0000C6000000}"/>
    <cellStyle name="_ЦФ  реализация акций 2008-2010_Копия Прогноз ПТРдо 2030г  (3)" xfId="690" xr:uid="{00000000-0005-0000-0000-0000C7000000}"/>
    <cellStyle name="_ЦФ  реализация акций 2008-2010_Прогноз ПТРдо 2030г." xfId="691" xr:uid="{00000000-0005-0000-0000-0000C8000000}"/>
    <cellStyle name="”ќђќ‘ћ‚›‰" xfId="692" xr:uid="{00000000-0005-0000-0000-0000C9000000}"/>
    <cellStyle name="”ќђќ‘ћ‚›‰ 2" xfId="693" xr:uid="{00000000-0005-0000-0000-0000CA000000}"/>
    <cellStyle name="”ќђќ‘ћ‚›‰ 3" xfId="694" xr:uid="{00000000-0005-0000-0000-0000CB000000}"/>
    <cellStyle name="”ќђќ‘ћ‚›‰ 4" xfId="695" xr:uid="{00000000-0005-0000-0000-0000CC000000}"/>
    <cellStyle name="”љ‘ђћ‚ђќќ›‰" xfId="696" xr:uid="{00000000-0005-0000-0000-0000CD000000}"/>
    <cellStyle name="”љ‘ђћ‚ђќќ›‰ 2" xfId="697" xr:uid="{00000000-0005-0000-0000-0000CE000000}"/>
    <cellStyle name="”љ‘ђћ‚ђќќ›‰ 3" xfId="698" xr:uid="{00000000-0005-0000-0000-0000CF000000}"/>
    <cellStyle name="”љ‘ђћ‚ђќќ›‰ 4" xfId="699" xr:uid="{00000000-0005-0000-0000-0000D0000000}"/>
    <cellStyle name="„…ќ…†ќ›‰" xfId="700" xr:uid="{00000000-0005-0000-0000-0000D1000000}"/>
    <cellStyle name="„…ќ…†ќ›‰ 2" xfId="701" xr:uid="{00000000-0005-0000-0000-0000D2000000}"/>
    <cellStyle name="„…ќ…†ќ›‰ 3" xfId="702" xr:uid="{00000000-0005-0000-0000-0000D3000000}"/>
    <cellStyle name="„…ќ…†ќ›‰ 4" xfId="703" xr:uid="{00000000-0005-0000-0000-0000D4000000}"/>
    <cellStyle name="„ђ’ђ" xfId="704" xr:uid="{00000000-0005-0000-0000-0000D5000000}"/>
    <cellStyle name="„ђ’ђ 2" xfId="705" xr:uid="{00000000-0005-0000-0000-0000D6000000}"/>
    <cellStyle name="„ђ’ђ 3" xfId="706" xr:uid="{00000000-0005-0000-0000-0000D7000000}"/>
    <cellStyle name="„ђ’ђ 4" xfId="707" xr:uid="{00000000-0005-0000-0000-0000D8000000}"/>
    <cellStyle name="‡ђѓћ‹ћ‚ћљ1" xfId="708" xr:uid="{00000000-0005-0000-0000-0000D9000000}"/>
    <cellStyle name="‡ђѓћ‹ћ‚ћљ1 2" xfId="709" xr:uid="{00000000-0005-0000-0000-0000DA000000}"/>
    <cellStyle name="‡ђѓћ‹ћ‚ћљ1 3" xfId="710" xr:uid="{00000000-0005-0000-0000-0000DB000000}"/>
    <cellStyle name="‡ђѓћ‹ћ‚ћљ1 4" xfId="711" xr:uid="{00000000-0005-0000-0000-0000DC000000}"/>
    <cellStyle name="‡ђѓћ‹ћ‚ћљ2" xfId="712" xr:uid="{00000000-0005-0000-0000-0000DD000000}"/>
    <cellStyle name="‡ђѓћ‹ћ‚ћљ2 2" xfId="713" xr:uid="{00000000-0005-0000-0000-0000DE000000}"/>
    <cellStyle name="‡ђѓћ‹ћ‚ћљ2 3" xfId="714" xr:uid="{00000000-0005-0000-0000-0000DF000000}"/>
    <cellStyle name="‡ђѓћ‹ћ‚ћљ2 4" xfId="715" xr:uid="{00000000-0005-0000-0000-0000E0000000}"/>
    <cellStyle name="’ћѓћ‚›‰" xfId="716" xr:uid="{00000000-0005-0000-0000-0000E1000000}"/>
    <cellStyle name="’ћѓћ‚›‰ 10" xfId="717" xr:uid="{00000000-0005-0000-0000-0000E2000000}"/>
    <cellStyle name="’ћѓћ‚›‰ 10 2" xfId="718" xr:uid="{00000000-0005-0000-0000-0000E3000000}"/>
    <cellStyle name="’ћѓћ‚›‰ 10 2 2" xfId="719" xr:uid="{00000000-0005-0000-0000-0000E4000000}"/>
    <cellStyle name="’ћѓћ‚›‰ 10 2 3" xfId="720" xr:uid="{00000000-0005-0000-0000-0000E5000000}"/>
    <cellStyle name="’ћѓћ‚›‰ 10 3" xfId="721" xr:uid="{00000000-0005-0000-0000-0000E6000000}"/>
    <cellStyle name="’ћѓћ‚›‰ 10 3 2" xfId="722" xr:uid="{00000000-0005-0000-0000-0000E7000000}"/>
    <cellStyle name="’ћѓћ‚›‰ 10 3 3" xfId="723" xr:uid="{00000000-0005-0000-0000-0000E8000000}"/>
    <cellStyle name="’ћѓћ‚›‰ 10 4" xfId="724" xr:uid="{00000000-0005-0000-0000-0000E9000000}"/>
    <cellStyle name="’ћѓћ‚›‰ 10 4 2" xfId="725" xr:uid="{00000000-0005-0000-0000-0000EA000000}"/>
    <cellStyle name="’ћѓћ‚›‰ 10 4 3" xfId="726" xr:uid="{00000000-0005-0000-0000-0000EB000000}"/>
    <cellStyle name="’ћѓћ‚›‰ 10 5" xfId="727" xr:uid="{00000000-0005-0000-0000-0000EC000000}"/>
    <cellStyle name="’ћѓћ‚›‰ 10 6" xfId="728" xr:uid="{00000000-0005-0000-0000-0000ED000000}"/>
    <cellStyle name="’ћѓћ‚›‰ 11" xfId="729" xr:uid="{00000000-0005-0000-0000-0000EE000000}"/>
    <cellStyle name="’ћѓћ‚›‰ 11 2" xfId="730" xr:uid="{00000000-0005-0000-0000-0000EF000000}"/>
    <cellStyle name="’ћѓћ‚›‰ 11 3" xfId="731" xr:uid="{00000000-0005-0000-0000-0000F0000000}"/>
    <cellStyle name="’ћѓћ‚›‰ 12" xfId="732" xr:uid="{00000000-0005-0000-0000-0000F1000000}"/>
    <cellStyle name="’ћѓћ‚›‰ 12 2" xfId="733" xr:uid="{00000000-0005-0000-0000-0000F2000000}"/>
    <cellStyle name="’ћѓћ‚›‰ 12 3" xfId="734" xr:uid="{00000000-0005-0000-0000-0000F3000000}"/>
    <cellStyle name="’ћѓћ‚›‰ 13" xfId="735" xr:uid="{00000000-0005-0000-0000-0000F4000000}"/>
    <cellStyle name="’ћѓћ‚›‰ 13 2" xfId="736" xr:uid="{00000000-0005-0000-0000-0000F5000000}"/>
    <cellStyle name="’ћѓћ‚›‰ 13 3" xfId="737" xr:uid="{00000000-0005-0000-0000-0000F6000000}"/>
    <cellStyle name="’ћѓћ‚›‰ 14" xfId="738" xr:uid="{00000000-0005-0000-0000-0000F7000000}"/>
    <cellStyle name="’ћѓћ‚›‰ 15" xfId="739" xr:uid="{00000000-0005-0000-0000-0000F8000000}"/>
    <cellStyle name="’ћѓћ‚›‰ 2" xfId="740" xr:uid="{00000000-0005-0000-0000-0000F9000000}"/>
    <cellStyle name="’ћѓћ‚›‰ 2 2" xfId="741" xr:uid="{00000000-0005-0000-0000-0000FA000000}"/>
    <cellStyle name="’ћѓћ‚›‰ 2 2 2" xfId="742" xr:uid="{00000000-0005-0000-0000-0000FB000000}"/>
    <cellStyle name="’ћѓћ‚›‰ 2 2 3" xfId="743" xr:uid="{00000000-0005-0000-0000-0000FC000000}"/>
    <cellStyle name="’ћѓћ‚›‰ 2 3" xfId="744" xr:uid="{00000000-0005-0000-0000-0000FD000000}"/>
    <cellStyle name="’ћѓћ‚›‰ 2 3 2" xfId="745" xr:uid="{00000000-0005-0000-0000-0000FE000000}"/>
    <cellStyle name="’ћѓћ‚›‰ 2 3 3" xfId="746" xr:uid="{00000000-0005-0000-0000-0000FF000000}"/>
    <cellStyle name="’ћѓћ‚›‰ 2 4" xfId="747" xr:uid="{00000000-0005-0000-0000-000000010000}"/>
    <cellStyle name="’ћѓћ‚›‰ 2 4 2" xfId="748" xr:uid="{00000000-0005-0000-0000-000001010000}"/>
    <cellStyle name="’ћѓћ‚›‰ 2 4 3" xfId="749" xr:uid="{00000000-0005-0000-0000-000002010000}"/>
    <cellStyle name="’ћѓћ‚›‰ 2 5" xfId="750" xr:uid="{00000000-0005-0000-0000-000003010000}"/>
    <cellStyle name="’ћѓћ‚›‰ 2 6" xfId="751" xr:uid="{00000000-0005-0000-0000-000004010000}"/>
    <cellStyle name="’ћѓћ‚›‰ 3" xfId="752" xr:uid="{00000000-0005-0000-0000-000005010000}"/>
    <cellStyle name="’ћѓћ‚›‰ 3 2" xfId="753" xr:uid="{00000000-0005-0000-0000-000006010000}"/>
    <cellStyle name="’ћѓћ‚›‰ 3 2 2" xfId="754" xr:uid="{00000000-0005-0000-0000-000007010000}"/>
    <cellStyle name="’ћѓћ‚›‰ 3 2 3" xfId="755" xr:uid="{00000000-0005-0000-0000-000008010000}"/>
    <cellStyle name="’ћѓћ‚›‰ 3 3" xfId="756" xr:uid="{00000000-0005-0000-0000-000009010000}"/>
    <cellStyle name="’ћѓћ‚›‰ 3 3 2" xfId="757" xr:uid="{00000000-0005-0000-0000-00000A010000}"/>
    <cellStyle name="’ћѓћ‚›‰ 3 3 3" xfId="758" xr:uid="{00000000-0005-0000-0000-00000B010000}"/>
    <cellStyle name="’ћѓћ‚›‰ 3 4" xfId="759" xr:uid="{00000000-0005-0000-0000-00000C010000}"/>
    <cellStyle name="’ћѓћ‚›‰ 3 4 2" xfId="760" xr:uid="{00000000-0005-0000-0000-00000D010000}"/>
    <cellStyle name="’ћѓћ‚›‰ 3 4 3" xfId="761" xr:uid="{00000000-0005-0000-0000-00000E010000}"/>
    <cellStyle name="’ћѓћ‚›‰ 3 5" xfId="762" xr:uid="{00000000-0005-0000-0000-00000F010000}"/>
    <cellStyle name="’ћѓћ‚›‰ 3 6" xfId="763" xr:uid="{00000000-0005-0000-0000-000010010000}"/>
    <cellStyle name="’ћѓћ‚›‰ 4" xfId="764" xr:uid="{00000000-0005-0000-0000-000011010000}"/>
    <cellStyle name="’ћѓћ‚›‰ 4 2" xfId="765" xr:uid="{00000000-0005-0000-0000-000012010000}"/>
    <cellStyle name="’ћѓћ‚›‰ 4 2 2" xfId="766" xr:uid="{00000000-0005-0000-0000-000013010000}"/>
    <cellStyle name="’ћѓћ‚›‰ 4 2 3" xfId="767" xr:uid="{00000000-0005-0000-0000-000014010000}"/>
    <cellStyle name="’ћѓћ‚›‰ 4 3" xfId="768" xr:uid="{00000000-0005-0000-0000-000015010000}"/>
    <cellStyle name="’ћѓћ‚›‰ 4 3 2" xfId="769" xr:uid="{00000000-0005-0000-0000-000016010000}"/>
    <cellStyle name="’ћѓћ‚›‰ 4 3 3" xfId="770" xr:uid="{00000000-0005-0000-0000-000017010000}"/>
    <cellStyle name="’ћѓћ‚›‰ 4 4" xfId="771" xr:uid="{00000000-0005-0000-0000-000018010000}"/>
    <cellStyle name="’ћѓћ‚›‰ 4 4 2" xfId="772" xr:uid="{00000000-0005-0000-0000-000019010000}"/>
    <cellStyle name="’ћѓћ‚›‰ 4 4 3" xfId="773" xr:uid="{00000000-0005-0000-0000-00001A010000}"/>
    <cellStyle name="’ћѓћ‚›‰ 4 5" xfId="774" xr:uid="{00000000-0005-0000-0000-00001B010000}"/>
    <cellStyle name="’ћѓћ‚›‰ 4 6" xfId="775" xr:uid="{00000000-0005-0000-0000-00001C010000}"/>
    <cellStyle name="’ћѓћ‚›‰ 5" xfId="776" xr:uid="{00000000-0005-0000-0000-00001D010000}"/>
    <cellStyle name="’ћѓћ‚›‰ 5 2" xfId="777" xr:uid="{00000000-0005-0000-0000-00001E010000}"/>
    <cellStyle name="’ћѓћ‚›‰ 5 2 2" xfId="778" xr:uid="{00000000-0005-0000-0000-00001F010000}"/>
    <cellStyle name="’ћѓћ‚›‰ 5 2 3" xfId="779" xr:uid="{00000000-0005-0000-0000-000020010000}"/>
    <cellStyle name="’ћѓћ‚›‰ 5 3" xfId="780" xr:uid="{00000000-0005-0000-0000-000021010000}"/>
    <cellStyle name="’ћѓћ‚›‰ 5 3 2" xfId="781" xr:uid="{00000000-0005-0000-0000-000022010000}"/>
    <cellStyle name="’ћѓћ‚›‰ 5 3 3" xfId="782" xr:uid="{00000000-0005-0000-0000-000023010000}"/>
    <cellStyle name="’ћѓћ‚›‰ 5 4" xfId="783" xr:uid="{00000000-0005-0000-0000-000024010000}"/>
    <cellStyle name="’ћѓћ‚›‰ 5 4 2" xfId="784" xr:uid="{00000000-0005-0000-0000-000025010000}"/>
    <cellStyle name="’ћѓћ‚›‰ 5 4 3" xfId="785" xr:uid="{00000000-0005-0000-0000-000026010000}"/>
    <cellStyle name="’ћѓћ‚›‰ 5 5" xfId="786" xr:uid="{00000000-0005-0000-0000-000027010000}"/>
    <cellStyle name="’ћѓћ‚›‰ 5 6" xfId="787" xr:uid="{00000000-0005-0000-0000-000028010000}"/>
    <cellStyle name="’ћѓћ‚›‰ 6" xfId="788" xr:uid="{00000000-0005-0000-0000-000029010000}"/>
    <cellStyle name="’ћѓћ‚›‰ 6 2" xfId="789" xr:uid="{00000000-0005-0000-0000-00002A010000}"/>
    <cellStyle name="’ћѓћ‚›‰ 6 2 2" xfId="790" xr:uid="{00000000-0005-0000-0000-00002B010000}"/>
    <cellStyle name="’ћѓћ‚›‰ 6 2 3" xfId="791" xr:uid="{00000000-0005-0000-0000-00002C010000}"/>
    <cellStyle name="’ћѓћ‚›‰ 6 3" xfId="792" xr:uid="{00000000-0005-0000-0000-00002D010000}"/>
    <cellStyle name="’ћѓћ‚›‰ 6 3 2" xfId="793" xr:uid="{00000000-0005-0000-0000-00002E010000}"/>
    <cellStyle name="’ћѓћ‚›‰ 6 3 3" xfId="794" xr:uid="{00000000-0005-0000-0000-00002F010000}"/>
    <cellStyle name="’ћѓћ‚›‰ 6 4" xfId="795" xr:uid="{00000000-0005-0000-0000-000030010000}"/>
    <cellStyle name="’ћѓћ‚›‰ 6 4 2" xfId="796" xr:uid="{00000000-0005-0000-0000-000031010000}"/>
    <cellStyle name="’ћѓћ‚›‰ 6 4 3" xfId="797" xr:uid="{00000000-0005-0000-0000-000032010000}"/>
    <cellStyle name="’ћѓћ‚›‰ 6 5" xfId="798" xr:uid="{00000000-0005-0000-0000-000033010000}"/>
    <cellStyle name="’ћѓћ‚›‰ 6 6" xfId="799" xr:uid="{00000000-0005-0000-0000-000034010000}"/>
    <cellStyle name="’ћѓћ‚›‰ 7" xfId="800" xr:uid="{00000000-0005-0000-0000-000035010000}"/>
    <cellStyle name="’ћѓћ‚›‰ 7 2" xfId="801" xr:uid="{00000000-0005-0000-0000-000036010000}"/>
    <cellStyle name="’ћѓћ‚›‰ 7 2 2" xfId="802" xr:uid="{00000000-0005-0000-0000-000037010000}"/>
    <cellStyle name="’ћѓћ‚›‰ 7 2 3" xfId="803" xr:uid="{00000000-0005-0000-0000-000038010000}"/>
    <cellStyle name="’ћѓћ‚›‰ 7 3" xfId="804" xr:uid="{00000000-0005-0000-0000-000039010000}"/>
    <cellStyle name="’ћѓћ‚›‰ 7 3 2" xfId="805" xr:uid="{00000000-0005-0000-0000-00003A010000}"/>
    <cellStyle name="’ћѓћ‚›‰ 7 3 3" xfId="806" xr:uid="{00000000-0005-0000-0000-00003B010000}"/>
    <cellStyle name="’ћѓћ‚›‰ 7 4" xfId="807" xr:uid="{00000000-0005-0000-0000-00003C010000}"/>
    <cellStyle name="’ћѓћ‚›‰ 7 4 2" xfId="808" xr:uid="{00000000-0005-0000-0000-00003D010000}"/>
    <cellStyle name="’ћѓћ‚›‰ 7 4 3" xfId="809" xr:uid="{00000000-0005-0000-0000-00003E010000}"/>
    <cellStyle name="’ћѓћ‚›‰ 7 5" xfId="810" xr:uid="{00000000-0005-0000-0000-00003F010000}"/>
    <cellStyle name="’ћѓћ‚›‰ 7 6" xfId="811" xr:uid="{00000000-0005-0000-0000-000040010000}"/>
    <cellStyle name="’ћѓћ‚›‰ 8" xfId="812" xr:uid="{00000000-0005-0000-0000-000041010000}"/>
    <cellStyle name="’ћѓћ‚›‰ 8 2" xfId="813" xr:uid="{00000000-0005-0000-0000-000042010000}"/>
    <cellStyle name="’ћѓћ‚›‰ 8 2 2" xfId="814" xr:uid="{00000000-0005-0000-0000-000043010000}"/>
    <cellStyle name="’ћѓћ‚›‰ 8 2 3" xfId="815" xr:uid="{00000000-0005-0000-0000-000044010000}"/>
    <cellStyle name="’ћѓћ‚›‰ 8 3" xfId="816" xr:uid="{00000000-0005-0000-0000-000045010000}"/>
    <cellStyle name="’ћѓћ‚›‰ 8 3 2" xfId="817" xr:uid="{00000000-0005-0000-0000-000046010000}"/>
    <cellStyle name="’ћѓћ‚›‰ 8 3 3" xfId="818" xr:uid="{00000000-0005-0000-0000-000047010000}"/>
    <cellStyle name="’ћѓћ‚›‰ 8 4" xfId="819" xr:uid="{00000000-0005-0000-0000-000048010000}"/>
    <cellStyle name="’ћѓћ‚›‰ 8 4 2" xfId="820" xr:uid="{00000000-0005-0000-0000-000049010000}"/>
    <cellStyle name="’ћѓћ‚›‰ 8 4 3" xfId="821" xr:uid="{00000000-0005-0000-0000-00004A010000}"/>
    <cellStyle name="’ћѓћ‚›‰ 8 5" xfId="822" xr:uid="{00000000-0005-0000-0000-00004B010000}"/>
    <cellStyle name="’ћѓћ‚›‰ 8 6" xfId="823" xr:uid="{00000000-0005-0000-0000-00004C010000}"/>
    <cellStyle name="’ћѓћ‚›‰ 9" xfId="824" xr:uid="{00000000-0005-0000-0000-00004D010000}"/>
    <cellStyle name="’ћѓћ‚›‰ 9 2" xfId="825" xr:uid="{00000000-0005-0000-0000-00004E010000}"/>
    <cellStyle name="’ћѓћ‚›‰ 9 2 2" xfId="826" xr:uid="{00000000-0005-0000-0000-00004F010000}"/>
    <cellStyle name="’ћѓћ‚›‰ 9 2 3" xfId="827" xr:uid="{00000000-0005-0000-0000-000050010000}"/>
    <cellStyle name="’ћѓћ‚›‰ 9 3" xfId="828" xr:uid="{00000000-0005-0000-0000-000051010000}"/>
    <cellStyle name="’ћѓћ‚›‰ 9 3 2" xfId="829" xr:uid="{00000000-0005-0000-0000-000052010000}"/>
    <cellStyle name="’ћѓћ‚›‰ 9 3 3" xfId="830" xr:uid="{00000000-0005-0000-0000-000053010000}"/>
    <cellStyle name="’ћѓћ‚›‰ 9 4" xfId="831" xr:uid="{00000000-0005-0000-0000-000054010000}"/>
    <cellStyle name="’ћѓћ‚›‰ 9 4 2" xfId="832" xr:uid="{00000000-0005-0000-0000-000055010000}"/>
    <cellStyle name="’ћѓћ‚›‰ 9 4 3" xfId="833" xr:uid="{00000000-0005-0000-0000-000056010000}"/>
    <cellStyle name="’ћѓћ‚›‰ 9 5" xfId="834" xr:uid="{00000000-0005-0000-0000-000057010000}"/>
    <cellStyle name="’ћѓћ‚›‰ 9 6" xfId="835" xr:uid="{00000000-0005-0000-0000-000058010000}"/>
    <cellStyle name="1Normal" xfId="836" xr:uid="{00000000-0005-0000-0000-000059010000}"/>
    <cellStyle name="1Outputbox1" xfId="837" xr:uid="{00000000-0005-0000-0000-00005A010000}"/>
    <cellStyle name="1Outputbox1 10" xfId="838" xr:uid="{00000000-0005-0000-0000-00005B010000}"/>
    <cellStyle name="1Outputbox1 10 2" xfId="839" xr:uid="{00000000-0005-0000-0000-00005C010000}"/>
    <cellStyle name="1Outputbox1 10 2 2" xfId="840" xr:uid="{00000000-0005-0000-0000-00005D010000}"/>
    <cellStyle name="1Outputbox1 10 2 2 2" xfId="841" xr:uid="{00000000-0005-0000-0000-00005E010000}"/>
    <cellStyle name="1Outputbox1 10 2 2 2 2" xfId="842" xr:uid="{00000000-0005-0000-0000-00005F010000}"/>
    <cellStyle name="1Outputbox1 10 2 2 3" xfId="843" xr:uid="{00000000-0005-0000-0000-000060010000}"/>
    <cellStyle name="1Outputbox1 10 2 2 3 2" xfId="844" xr:uid="{00000000-0005-0000-0000-000061010000}"/>
    <cellStyle name="1Outputbox1 10 2 3" xfId="845" xr:uid="{00000000-0005-0000-0000-000062010000}"/>
    <cellStyle name="1Outputbox1 10 2 3 2" xfId="846" xr:uid="{00000000-0005-0000-0000-000063010000}"/>
    <cellStyle name="1Outputbox1 10 2 3 2 2" xfId="847" xr:uid="{00000000-0005-0000-0000-000064010000}"/>
    <cellStyle name="1Outputbox1 10 2 3 3" xfId="848" xr:uid="{00000000-0005-0000-0000-000065010000}"/>
    <cellStyle name="1Outputbox1 10 2 3 3 2" xfId="849" xr:uid="{00000000-0005-0000-0000-000066010000}"/>
    <cellStyle name="1Outputbox1 10 2 4" xfId="850" xr:uid="{00000000-0005-0000-0000-000067010000}"/>
    <cellStyle name="1Outputbox1 10 2 4 2" xfId="851" xr:uid="{00000000-0005-0000-0000-000068010000}"/>
    <cellStyle name="1Outputbox1 10 2 5" xfId="852" xr:uid="{00000000-0005-0000-0000-000069010000}"/>
    <cellStyle name="1Outputbox1 10 2 5 2" xfId="853" xr:uid="{00000000-0005-0000-0000-00006A010000}"/>
    <cellStyle name="1Outputbox1 10 3" xfId="854" xr:uid="{00000000-0005-0000-0000-00006B010000}"/>
    <cellStyle name="1Outputbox1 10 3 2" xfId="855" xr:uid="{00000000-0005-0000-0000-00006C010000}"/>
    <cellStyle name="1Outputbox1 10 3 2 2" xfId="856" xr:uid="{00000000-0005-0000-0000-00006D010000}"/>
    <cellStyle name="1Outputbox1 10 3 2 2 2" xfId="857" xr:uid="{00000000-0005-0000-0000-00006E010000}"/>
    <cellStyle name="1Outputbox1 10 3 2 3" xfId="858" xr:uid="{00000000-0005-0000-0000-00006F010000}"/>
    <cellStyle name="1Outputbox1 10 3 2 3 2" xfId="859" xr:uid="{00000000-0005-0000-0000-000070010000}"/>
    <cellStyle name="1Outputbox1 10 3 3" xfId="860" xr:uid="{00000000-0005-0000-0000-000071010000}"/>
    <cellStyle name="1Outputbox1 10 3 3 2" xfId="861" xr:uid="{00000000-0005-0000-0000-000072010000}"/>
    <cellStyle name="1Outputbox1 10 3 3 2 2" xfId="862" xr:uid="{00000000-0005-0000-0000-000073010000}"/>
    <cellStyle name="1Outputbox1 10 3 3 3" xfId="863" xr:uid="{00000000-0005-0000-0000-000074010000}"/>
    <cellStyle name="1Outputbox1 10 3 3 3 2" xfId="864" xr:uid="{00000000-0005-0000-0000-000075010000}"/>
    <cellStyle name="1Outputbox1 10 3 4" xfId="865" xr:uid="{00000000-0005-0000-0000-000076010000}"/>
    <cellStyle name="1Outputbox1 10 3 4 2" xfId="866" xr:uid="{00000000-0005-0000-0000-000077010000}"/>
    <cellStyle name="1Outputbox1 10 3 5" xfId="867" xr:uid="{00000000-0005-0000-0000-000078010000}"/>
    <cellStyle name="1Outputbox1 10 3 5 2" xfId="868" xr:uid="{00000000-0005-0000-0000-000079010000}"/>
    <cellStyle name="1Outputbox1 10 4" xfId="869" xr:uid="{00000000-0005-0000-0000-00007A010000}"/>
    <cellStyle name="1Outputbox1 10 4 2" xfId="870" xr:uid="{00000000-0005-0000-0000-00007B010000}"/>
    <cellStyle name="1Outputbox1 10 4 2 2" xfId="871" xr:uid="{00000000-0005-0000-0000-00007C010000}"/>
    <cellStyle name="1Outputbox1 10 4 2 2 2" xfId="872" xr:uid="{00000000-0005-0000-0000-00007D010000}"/>
    <cellStyle name="1Outputbox1 10 4 2 3" xfId="873" xr:uid="{00000000-0005-0000-0000-00007E010000}"/>
    <cellStyle name="1Outputbox1 10 4 2 3 2" xfId="874" xr:uid="{00000000-0005-0000-0000-00007F010000}"/>
    <cellStyle name="1Outputbox1 10 4 3" xfId="875" xr:uid="{00000000-0005-0000-0000-000080010000}"/>
    <cellStyle name="1Outputbox1 10 4 3 2" xfId="876" xr:uid="{00000000-0005-0000-0000-000081010000}"/>
    <cellStyle name="1Outputbox1 10 4 3 2 2" xfId="877" xr:uid="{00000000-0005-0000-0000-000082010000}"/>
    <cellStyle name="1Outputbox1 10 4 3 3" xfId="878" xr:uid="{00000000-0005-0000-0000-000083010000}"/>
    <cellStyle name="1Outputbox1 10 4 3 3 2" xfId="879" xr:uid="{00000000-0005-0000-0000-000084010000}"/>
    <cellStyle name="1Outputbox1 10 4 4" xfId="880" xr:uid="{00000000-0005-0000-0000-000085010000}"/>
    <cellStyle name="1Outputbox1 10 4 4 2" xfId="881" xr:uid="{00000000-0005-0000-0000-000086010000}"/>
    <cellStyle name="1Outputbox1 10 4 5" xfId="882" xr:uid="{00000000-0005-0000-0000-000087010000}"/>
    <cellStyle name="1Outputbox1 10 4 5 2" xfId="883" xr:uid="{00000000-0005-0000-0000-000088010000}"/>
    <cellStyle name="1Outputbox1 10 5" xfId="884" xr:uid="{00000000-0005-0000-0000-000089010000}"/>
    <cellStyle name="1Outputbox1 10 5 2" xfId="885" xr:uid="{00000000-0005-0000-0000-00008A010000}"/>
    <cellStyle name="1Outputbox1 10 5 2 2" xfId="886" xr:uid="{00000000-0005-0000-0000-00008B010000}"/>
    <cellStyle name="1Outputbox1 10 5 3" xfId="887" xr:uid="{00000000-0005-0000-0000-00008C010000}"/>
    <cellStyle name="1Outputbox1 10 5 3 2" xfId="888" xr:uid="{00000000-0005-0000-0000-00008D010000}"/>
    <cellStyle name="1Outputbox1 10 6" xfId="889" xr:uid="{00000000-0005-0000-0000-00008E010000}"/>
    <cellStyle name="1Outputbox1 10 6 2" xfId="890" xr:uid="{00000000-0005-0000-0000-00008F010000}"/>
    <cellStyle name="1Outputbox1 10 6 2 2" xfId="891" xr:uid="{00000000-0005-0000-0000-000090010000}"/>
    <cellStyle name="1Outputbox1 10 6 3" xfId="892" xr:uid="{00000000-0005-0000-0000-000091010000}"/>
    <cellStyle name="1Outputbox1 10 6 3 2" xfId="893" xr:uid="{00000000-0005-0000-0000-000092010000}"/>
    <cellStyle name="1Outputbox1 10 7" xfId="894" xr:uid="{00000000-0005-0000-0000-000093010000}"/>
    <cellStyle name="1Outputbox1 10 7 2" xfId="895" xr:uid="{00000000-0005-0000-0000-000094010000}"/>
    <cellStyle name="1Outputbox1 10 8" xfId="896" xr:uid="{00000000-0005-0000-0000-000095010000}"/>
    <cellStyle name="1Outputbox1 10 8 2" xfId="897" xr:uid="{00000000-0005-0000-0000-000096010000}"/>
    <cellStyle name="1Outputbox1 11" xfId="898" xr:uid="{00000000-0005-0000-0000-000097010000}"/>
    <cellStyle name="1Outputbox1 11 2" xfId="899" xr:uid="{00000000-0005-0000-0000-000098010000}"/>
    <cellStyle name="1Outputbox1 11 2 2" xfId="900" xr:uid="{00000000-0005-0000-0000-000099010000}"/>
    <cellStyle name="1Outputbox1 11 2 2 2" xfId="901" xr:uid="{00000000-0005-0000-0000-00009A010000}"/>
    <cellStyle name="1Outputbox1 11 2 2 2 2" xfId="902" xr:uid="{00000000-0005-0000-0000-00009B010000}"/>
    <cellStyle name="1Outputbox1 11 2 2 3" xfId="903" xr:uid="{00000000-0005-0000-0000-00009C010000}"/>
    <cellStyle name="1Outputbox1 11 2 2 3 2" xfId="904" xr:uid="{00000000-0005-0000-0000-00009D010000}"/>
    <cellStyle name="1Outputbox1 11 2 3" xfId="905" xr:uid="{00000000-0005-0000-0000-00009E010000}"/>
    <cellStyle name="1Outputbox1 11 2 3 2" xfId="906" xr:uid="{00000000-0005-0000-0000-00009F010000}"/>
    <cellStyle name="1Outputbox1 11 2 3 2 2" xfId="907" xr:uid="{00000000-0005-0000-0000-0000A0010000}"/>
    <cellStyle name="1Outputbox1 11 2 3 3" xfId="908" xr:uid="{00000000-0005-0000-0000-0000A1010000}"/>
    <cellStyle name="1Outputbox1 11 2 3 3 2" xfId="909" xr:uid="{00000000-0005-0000-0000-0000A2010000}"/>
    <cellStyle name="1Outputbox1 11 2 4" xfId="910" xr:uid="{00000000-0005-0000-0000-0000A3010000}"/>
    <cellStyle name="1Outputbox1 11 2 4 2" xfId="911" xr:uid="{00000000-0005-0000-0000-0000A4010000}"/>
    <cellStyle name="1Outputbox1 11 2 5" xfId="912" xr:uid="{00000000-0005-0000-0000-0000A5010000}"/>
    <cellStyle name="1Outputbox1 11 2 5 2" xfId="913" xr:uid="{00000000-0005-0000-0000-0000A6010000}"/>
    <cellStyle name="1Outputbox1 11 3" xfId="914" xr:uid="{00000000-0005-0000-0000-0000A7010000}"/>
    <cellStyle name="1Outputbox1 11 3 2" xfId="915" xr:uid="{00000000-0005-0000-0000-0000A8010000}"/>
    <cellStyle name="1Outputbox1 11 3 2 2" xfId="916" xr:uid="{00000000-0005-0000-0000-0000A9010000}"/>
    <cellStyle name="1Outputbox1 11 3 2 2 2" xfId="917" xr:uid="{00000000-0005-0000-0000-0000AA010000}"/>
    <cellStyle name="1Outputbox1 11 3 2 3" xfId="918" xr:uid="{00000000-0005-0000-0000-0000AB010000}"/>
    <cellStyle name="1Outputbox1 11 3 2 3 2" xfId="919" xr:uid="{00000000-0005-0000-0000-0000AC010000}"/>
    <cellStyle name="1Outputbox1 11 3 3" xfId="920" xr:uid="{00000000-0005-0000-0000-0000AD010000}"/>
    <cellStyle name="1Outputbox1 11 3 3 2" xfId="921" xr:uid="{00000000-0005-0000-0000-0000AE010000}"/>
    <cellStyle name="1Outputbox1 11 3 3 2 2" xfId="922" xr:uid="{00000000-0005-0000-0000-0000AF010000}"/>
    <cellStyle name="1Outputbox1 11 3 3 3" xfId="923" xr:uid="{00000000-0005-0000-0000-0000B0010000}"/>
    <cellStyle name="1Outputbox1 11 3 3 3 2" xfId="924" xr:uid="{00000000-0005-0000-0000-0000B1010000}"/>
    <cellStyle name="1Outputbox1 11 3 4" xfId="925" xr:uid="{00000000-0005-0000-0000-0000B2010000}"/>
    <cellStyle name="1Outputbox1 11 3 4 2" xfId="926" xr:uid="{00000000-0005-0000-0000-0000B3010000}"/>
    <cellStyle name="1Outputbox1 11 3 5" xfId="927" xr:uid="{00000000-0005-0000-0000-0000B4010000}"/>
    <cellStyle name="1Outputbox1 11 3 5 2" xfId="928" xr:uid="{00000000-0005-0000-0000-0000B5010000}"/>
    <cellStyle name="1Outputbox1 11 4" xfId="929" xr:uid="{00000000-0005-0000-0000-0000B6010000}"/>
    <cellStyle name="1Outputbox1 11 4 2" xfId="930" xr:uid="{00000000-0005-0000-0000-0000B7010000}"/>
    <cellStyle name="1Outputbox1 11 4 2 2" xfId="931" xr:uid="{00000000-0005-0000-0000-0000B8010000}"/>
    <cellStyle name="1Outputbox1 11 4 2 2 2" xfId="932" xr:uid="{00000000-0005-0000-0000-0000B9010000}"/>
    <cellStyle name="1Outputbox1 11 4 2 3" xfId="933" xr:uid="{00000000-0005-0000-0000-0000BA010000}"/>
    <cellStyle name="1Outputbox1 11 4 2 3 2" xfId="934" xr:uid="{00000000-0005-0000-0000-0000BB010000}"/>
    <cellStyle name="1Outputbox1 11 4 3" xfId="935" xr:uid="{00000000-0005-0000-0000-0000BC010000}"/>
    <cellStyle name="1Outputbox1 11 4 3 2" xfId="936" xr:uid="{00000000-0005-0000-0000-0000BD010000}"/>
    <cellStyle name="1Outputbox1 11 4 3 2 2" xfId="937" xr:uid="{00000000-0005-0000-0000-0000BE010000}"/>
    <cellStyle name="1Outputbox1 11 4 3 3" xfId="938" xr:uid="{00000000-0005-0000-0000-0000BF010000}"/>
    <cellStyle name="1Outputbox1 11 4 3 3 2" xfId="939" xr:uid="{00000000-0005-0000-0000-0000C0010000}"/>
    <cellStyle name="1Outputbox1 11 4 4" xfId="940" xr:uid="{00000000-0005-0000-0000-0000C1010000}"/>
    <cellStyle name="1Outputbox1 11 4 4 2" xfId="941" xr:uid="{00000000-0005-0000-0000-0000C2010000}"/>
    <cellStyle name="1Outputbox1 11 4 5" xfId="942" xr:uid="{00000000-0005-0000-0000-0000C3010000}"/>
    <cellStyle name="1Outputbox1 11 4 5 2" xfId="943" xr:uid="{00000000-0005-0000-0000-0000C4010000}"/>
    <cellStyle name="1Outputbox1 11 5" xfId="944" xr:uid="{00000000-0005-0000-0000-0000C5010000}"/>
    <cellStyle name="1Outputbox1 11 5 2" xfId="945" xr:uid="{00000000-0005-0000-0000-0000C6010000}"/>
    <cellStyle name="1Outputbox1 11 5 2 2" xfId="946" xr:uid="{00000000-0005-0000-0000-0000C7010000}"/>
    <cellStyle name="1Outputbox1 11 5 3" xfId="947" xr:uid="{00000000-0005-0000-0000-0000C8010000}"/>
    <cellStyle name="1Outputbox1 11 5 3 2" xfId="948" xr:uid="{00000000-0005-0000-0000-0000C9010000}"/>
    <cellStyle name="1Outputbox1 11 6" xfId="949" xr:uid="{00000000-0005-0000-0000-0000CA010000}"/>
    <cellStyle name="1Outputbox1 11 6 2" xfId="950" xr:uid="{00000000-0005-0000-0000-0000CB010000}"/>
    <cellStyle name="1Outputbox1 11 6 2 2" xfId="951" xr:uid="{00000000-0005-0000-0000-0000CC010000}"/>
    <cellStyle name="1Outputbox1 11 6 3" xfId="952" xr:uid="{00000000-0005-0000-0000-0000CD010000}"/>
    <cellStyle name="1Outputbox1 11 6 3 2" xfId="953" xr:uid="{00000000-0005-0000-0000-0000CE010000}"/>
    <cellStyle name="1Outputbox1 11 7" xfId="954" xr:uid="{00000000-0005-0000-0000-0000CF010000}"/>
    <cellStyle name="1Outputbox1 11 7 2" xfId="955" xr:uid="{00000000-0005-0000-0000-0000D0010000}"/>
    <cellStyle name="1Outputbox1 11 8" xfId="956" xr:uid="{00000000-0005-0000-0000-0000D1010000}"/>
    <cellStyle name="1Outputbox1 11 8 2" xfId="957" xr:uid="{00000000-0005-0000-0000-0000D2010000}"/>
    <cellStyle name="1Outputbox1 12" xfId="958" xr:uid="{00000000-0005-0000-0000-0000D3010000}"/>
    <cellStyle name="1Outputbox1 12 2" xfId="959" xr:uid="{00000000-0005-0000-0000-0000D4010000}"/>
    <cellStyle name="1Outputbox1 12 2 2" xfId="960" xr:uid="{00000000-0005-0000-0000-0000D5010000}"/>
    <cellStyle name="1Outputbox1 12 2 2 2" xfId="961" xr:uid="{00000000-0005-0000-0000-0000D6010000}"/>
    <cellStyle name="1Outputbox1 12 2 2 2 2" xfId="962" xr:uid="{00000000-0005-0000-0000-0000D7010000}"/>
    <cellStyle name="1Outputbox1 12 2 2 3" xfId="963" xr:uid="{00000000-0005-0000-0000-0000D8010000}"/>
    <cellStyle name="1Outputbox1 12 2 2 3 2" xfId="964" xr:uid="{00000000-0005-0000-0000-0000D9010000}"/>
    <cellStyle name="1Outputbox1 12 2 3" xfId="965" xr:uid="{00000000-0005-0000-0000-0000DA010000}"/>
    <cellStyle name="1Outputbox1 12 2 3 2" xfId="966" xr:uid="{00000000-0005-0000-0000-0000DB010000}"/>
    <cellStyle name="1Outputbox1 12 2 3 2 2" xfId="967" xr:uid="{00000000-0005-0000-0000-0000DC010000}"/>
    <cellStyle name="1Outputbox1 12 2 3 3" xfId="968" xr:uid="{00000000-0005-0000-0000-0000DD010000}"/>
    <cellStyle name="1Outputbox1 12 2 3 3 2" xfId="969" xr:uid="{00000000-0005-0000-0000-0000DE010000}"/>
    <cellStyle name="1Outputbox1 12 2 4" xfId="970" xr:uid="{00000000-0005-0000-0000-0000DF010000}"/>
    <cellStyle name="1Outputbox1 12 2 4 2" xfId="971" xr:uid="{00000000-0005-0000-0000-0000E0010000}"/>
    <cellStyle name="1Outputbox1 12 2 5" xfId="972" xr:uid="{00000000-0005-0000-0000-0000E1010000}"/>
    <cellStyle name="1Outputbox1 12 2 5 2" xfId="973" xr:uid="{00000000-0005-0000-0000-0000E2010000}"/>
    <cellStyle name="1Outputbox1 12 3" xfId="974" xr:uid="{00000000-0005-0000-0000-0000E3010000}"/>
    <cellStyle name="1Outputbox1 12 3 2" xfId="975" xr:uid="{00000000-0005-0000-0000-0000E4010000}"/>
    <cellStyle name="1Outputbox1 12 3 2 2" xfId="976" xr:uid="{00000000-0005-0000-0000-0000E5010000}"/>
    <cellStyle name="1Outputbox1 12 3 2 2 2" xfId="977" xr:uid="{00000000-0005-0000-0000-0000E6010000}"/>
    <cellStyle name="1Outputbox1 12 3 2 3" xfId="978" xr:uid="{00000000-0005-0000-0000-0000E7010000}"/>
    <cellStyle name="1Outputbox1 12 3 2 3 2" xfId="979" xr:uid="{00000000-0005-0000-0000-0000E8010000}"/>
    <cellStyle name="1Outputbox1 12 3 3" xfId="980" xr:uid="{00000000-0005-0000-0000-0000E9010000}"/>
    <cellStyle name="1Outputbox1 12 3 3 2" xfId="981" xr:uid="{00000000-0005-0000-0000-0000EA010000}"/>
    <cellStyle name="1Outputbox1 12 3 3 2 2" xfId="982" xr:uid="{00000000-0005-0000-0000-0000EB010000}"/>
    <cellStyle name="1Outputbox1 12 3 3 3" xfId="983" xr:uid="{00000000-0005-0000-0000-0000EC010000}"/>
    <cellStyle name="1Outputbox1 12 3 3 3 2" xfId="984" xr:uid="{00000000-0005-0000-0000-0000ED010000}"/>
    <cellStyle name="1Outputbox1 12 3 4" xfId="985" xr:uid="{00000000-0005-0000-0000-0000EE010000}"/>
    <cellStyle name="1Outputbox1 12 3 4 2" xfId="986" xr:uid="{00000000-0005-0000-0000-0000EF010000}"/>
    <cellStyle name="1Outputbox1 12 3 5" xfId="987" xr:uid="{00000000-0005-0000-0000-0000F0010000}"/>
    <cellStyle name="1Outputbox1 12 3 5 2" xfId="988" xr:uid="{00000000-0005-0000-0000-0000F1010000}"/>
    <cellStyle name="1Outputbox1 12 4" xfId="989" xr:uid="{00000000-0005-0000-0000-0000F2010000}"/>
    <cellStyle name="1Outputbox1 12 4 2" xfId="990" xr:uid="{00000000-0005-0000-0000-0000F3010000}"/>
    <cellStyle name="1Outputbox1 12 4 2 2" xfId="991" xr:uid="{00000000-0005-0000-0000-0000F4010000}"/>
    <cellStyle name="1Outputbox1 12 4 2 2 2" xfId="992" xr:uid="{00000000-0005-0000-0000-0000F5010000}"/>
    <cellStyle name="1Outputbox1 12 4 2 3" xfId="993" xr:uid="{00000000-0005-0000-0000-0000F6010000}"/>
    <cellStyle name="1Outputbox1 12 4 2 3 2" xfId="994" xr:uid="{00000000-0005-0000-0000-0000F7010000}"/>
    <cellStyle name="1Outputbox1 12 4 3" xfId="995" xr:uid="{00000000-0005-0000-0000-0000F8010000}"/>
    <cellStyle name="1Outputbox1 12 4 3 2" xfId="996" xr:uid="{00000000-0005-0000-0000-0000F9010000}"/>
    <cellStyle name="1Outputbox1 12 4 3 2 2" xfId="997" xr:uid="{00000000-0005-0000-0000-0000FA010000}"/>
    <cellStyle name="1Outputbox1 12 4 3 3" xfId="998" xr:uid="{00000000-0005-0000-0000-0000FB010000}"/>
    <cellStyle name="1Outputbox1 12 4 3 3 2" xfId="999" xr:uid="{00000000-0005-0000-0000-0000FC010000}"/>
    <cellStyle name="1Outputbox1 12 4 4" xfId="1000" xr:uid="{00000000-0005-0000-0000-0000FD010000}"/>
    <cellStyle name="1Outputbox1 12 4 4 2" xfId="1001" xr:uid="{00000000-0005-0000-0000-0000FE010000}"/>
    <cellStyle name="1Outputbox1 12 4 5" xfId="1002" xr:uid="{00000000-0005-0000-0000-0000FF010000}"/>
    <cellStyle name="1Outputbox1 12 4 5 2" xfId="1003" xr:uid="{00000000-0005-0000-0000-000000020000}"/>
    <cellStyle name="1Outputbox1 12 5" xfId="1004" xr:uid="{00000000-0005-0000-0000-000001020000}"/>
    <cellStyle name="1Outputbox1 12 5 2" xfId="1005" xr:uid="{00000000-0005-0000-0000-000002020000}"/>
    <cellStyle name="1Outputbox1 12 5 2 2" xfId="1006" xr:uid="{00000000-0005-0000-0000-000003020000}"/>
    <cellStyle name="1Outputbox1 12 5 3" xfId="1007" xr:uid="{00000000-0005-0000-0000-000004020000}"/>
    <cellStyle name="1Outputbox1 12 5 3 2" xfId="1008" xr:uid="{00000000-0005-0000-0000-000005020000}"/>
    <cellStyle name="1Outputbox1 12 6" xfId="1009" xr:uid="{00000000-0005-0000-0000-000006020000}"/>
    <cellStyle name="1Outputbox1 12 6 2" xfId="1010" xr:uid="{00000000-0005-0000-0000-000007020000}"/>
    <cellStyle name="1Outputbox1 12 6 2 2" xfId="1011" xr:uid="{00000000-0005-0000-0000-000008020000}"/>
    <cellStyle name="1Outputbox1 12 6 3" xfId="1012" xr:uid="{00000000-0005-0000-0000-000009020000}"/>
    <cellStyle name="1Outputbox1 12 6 3 2" xfId="1013" xr:uid="{00000000-0005-0000-0000-00000A020000}"/>
    <cellStyle name="1Outputbox1 12 7" xfId="1014" xr:uid="{00000000-0005-0000-0000-00000B020000}"/>
    <cellStyle name="1Outputbox1 12 7 2" xfId="1015" xr:uid="{00000000-0005-0000-0000-00000C020000}"/>
    <cellStyle name="1Outputbox1 12 8" xfId="1016" xr:uid="{00000000-0005-0000-0000-00000D020000}"/>
    <cellStyle name="1Outputbox1 12 8 2" xfId="1017" xr:uid="{00000000-0005-0000-0000-00000E020000}"/>
    <cellStyle name="1Outputbox1 13" xfId="1018" xr:uid="{00000000-0005-0000-0000-00000F020000}"/>
    <cellStyle name="1Outputbox1 13 2" xfId="1019" xr:uid="{00000000-0005-0000-0000-000010020000}"/>
    <cellStyle name="1Outputbox1 13 2 2" xfId="1020" xr:uid="{00000000-0005-0000-0000-000011020000}"/>
    <cellStyle name="1Outputbox1 13 2 2 2" xfId="1021" xr:uid="{00000000-0005-0000-0000-000012020000}"/>
    <cellStyle name="1Outputbox1 13 2 2 2 2" xfId="1022" xr:uid="{00000000-0005-0000-0000-000013020000}"/>
    <cellStyle name="1Outputbox1 13 2 2 3" xfId="1023" xr:uid="{00000000-0005-0000-0000-000014020000}"/>
    <cellStyle name="1Outputbox1 13 2 2 3 2" xfId="1024" xr:uid="{00000000-0005-0000-0000-000015020000}"/>
    <cellStyle name="1Outputbox1 13 2 3" xfId="1025" xr:uid="{00000000-0005-0000-0000-000016020000}"/>
    <cellStyle name="1Outputbox1 13 2 3 2" xfId="1026" xr:uid="{00000000-0005-0000-0000-000017020000}"/>
    <cellStyle name="1Outputbox1 13 2 3 2 2" xfId="1027" xr:uid="{00000000-0005-0000-0000-000018020000}"/>
    <cellStyle name="1Outputbox1 13 2 3 3" xfId="1028" xr:uid="{00000000-0005-0000-0000-000019020000}"/>
    <cellStyle name="1Outputbox1 13 2 3 3 2" xfId="1029" xr:uid="{00000000-0005-0000-0000-00001A020000}"/>
    <cellStyle name="1Outputbox1 13 2 4" xfId="1030" xr:uid="{00000000-0005-0000-0000-00001B020000}"/>
    <cellStyle name="1Outputbox1 13 2 4 2" xfId="1031" xr:uid="{00000000-0005-0000-0000-00001C020000}"/>
    <cellStyle name="1Outputbox1 13 2 5" xfId="1032" xr:uid="{00000000-0005-0000-0000-00001D020000}"/>
    <cellStyle name="1Outputbox1 13 2 5 2" xfId="1033" xr:uid="{00000000-0005-0000-0000-00001E020000}"/>
    <cellStyle name="1Outputbox1 13 3" xfId="1034" xr:uid="{00000000-0005-0000-0000-00001F020000}"/>
    <cellStyle name="1Outputbox1 13 3 2" xfId="1035" xr:uid="{00000000-0005-0000-0000-000020020000}"/>
    <cellStyle name="1Outputbox1 13 3 2 2" xfId="1036" xr:uid="{00000000-0005-0000-0000-000021020000}"/>
    <cellStyle name="1Outputbox1 13 3 2 2 2" xfId="1037" xr:uid="{00000000-0005-0000-0000-000022020000}"/>
    <cellStyle name="1Outputbox1 13 3 2 3" xfId="1038" xr:uid="{00000000-0005-0000-0000-000023020000}"/>
    <cellStyle name="1Outputbox1 13 3 2 3 2" xfId="1039" xr:uid="{00000000-0005-0000-0000-000024020000}"/>
    <cellStyle name="1Outputbox1 13 3 3" xfId="1040" xr:uid="{00000000-0005-0000-0000-000025020000}"/>
    <cellStyle name="1Outputbox1 13 3 3 2" xfId="1041" xr:uid="{00000000-0005-0000-0000-000026020000}"/>
    <cellStyle name="1Outputbox1 13 3 3 2 2" xfId="1042" xr:uid="{00000000-0005-0000-0000-000027020000}"/>
    <cellStyle name="1Outputbox1 13 3 3 3" xfId="1043" xr:uid="{00000000-0005-0000-0000-000028020000}"/>
    <cellStyle name="1Outputbox1 13 3 3 3 2" xfId="1044" xr:uid="{00000000-0005-0000-0000-000029020000}"/>
    <cellStyle name="1Outputbox1 13 3 4" xfId="1045" xr:uid="{00000000-0005-0000-0000-00002A020000}"/>
    <cellStyle name="1Outputbox1 13 3 4 2" xfId="1046" xr:uid="{00000000-0005-0000-0000-00002B020000}"/>
    <cellStyle name="1Outputbox1 13 3 5" xfId="1047" xr:uid="{00000000-0005-0000-0000-00002C020000}"/>
    <cellStyle name="1Outputbox1 13 3 5 2" xfId="1048" xr:uid="{00000000-0005-0000-0000-00002D020000}"/>
    <cellStyle name="1Outputbox1 13 4" xfId="1049" xr:uid="{00000000-0005-0000-0000-00002E020000}"/>
    <cellStyle name="1Outputbox1 13 4 2" xfId="1050" xr:uid="{00000000-0005-0000-0000-00002F020000}"/>
    <cellStyle name="1Outputbox1 13 4 2 2" xfId="1051" xr:uid="{00000000-0005-0000-0000-000030020000}"/>
    <cellStyle name="1Outputbox1 13 4 2 2 2" xfId="1052" xr:uid="{00000000-0005-0000-0000-000031020000}"/>
    <cellStyle name="1Outputbox1 13 4 2 3" xfId="1053" xr:uid="{00000000-0005-0000-0000-000032020000}"/>
    <cellStyle name="1Outputbox1 13 4 2 3 2" xfId="1054" xr:uid="{00000000-0005-0000-0000-000033020000}"/>
    <cellStyle name="1Outputbox1 13 4 3" xfId="1055" xr:uid="{00000000-0005-0000-0000-000034020000}"/>
    <cellStyle name="1Outputbox1 13 4 3 2" xfId="1056" xr:uid="{00000000-0005-0000-0000-000035020000}"/>
    <cellStyle name="1Outputbox1 13 4 3 2 2" xfId="1057" xr:uid="{00000000-0005-0000-0000-000036020000}"/>
    <cellStyle name="1Outputbox1 13 4 3 3" xfId="1058" xr:uid="{00000000-0005-0000-0000-000037020000}"/>
    <cellStyle name="1Outputbox1 13 4 3 3 2" xfId="1059" xr:uid="{00000000-0005-0000-0000-000038020000}"/>
    <cellStyle name="1Outputbox1 13 4 4" xfId="1060" xr:uid="{00000000-0005-0000-0000-000039020000}"/>
    <cellStyle name="1Outputbox1 13 4 4 2" xfId="1061" xr:uid="{00000000-0005-0000-0000-00003A020000}"/>
    <cellStyle name="1Outputbox1 13 4 5" xfId="1062" xr:uid="{00000000-0005-0000-0000-00003B020000}"/>
    <cellStyle name="1Outputbox1 13 4 5 2" xfId="1063" xr:uid="{00000000-0005-0000-0000-00003C020000}"/>
    <cellStyle name="1Outputbox1 13 5" xfId="1064" xr:uid="{00000000-0005-0000-0000-00003D020000}"/>
    <cellStyle name="1Outputbox1 13 5 2" xfId="1065" xr:uid="{00000000-0005-0000-0000-00003E020000}"/>
    <cellStyle name="1Outputbox1 13 5 2 2" xfId="1066" xr:uid="{00000000-0005-0000-0000-00003F020000}"/>
    <cellStyle name="1Outputbox1 13 5 3" xfId="1067" xr:uid="{00000000-0005-0000-0000-000040020000}"/>
    <cellStyle name="1Outputbox1 13 5 3 2" xfId="1068" xr:uid="{00000000-0005-0000-0000-000041020000}"/>
    <cellStyle name="1Outputbox1 13 6" xfId="1069" xr:uid="{00000000-0005-0000-0000-000042020000}"/>
    <cellStyle name="1Outputbox1 13 6 2" xfId="1070" xr:uid="{00000000-0005-0000-0000-000043020000}"/>
    <cellStyle name="1Outputbox1 13 6 2 2" xfId="1071" xr:uid="{00000000-0005-0000-0000-000044020000}"/>
    <cellStyle name="1Outputbox1 13 6 3" xfId="1072" xr:uid="{00000000-0005-0000-0000-000045020000}"/>
    <cellStyle name="1Outputbox1 13 6 3 2" xfId="1073" xr:uid="{00000000-0005-0000-0000-000046020000}"/>
    <cellStyle name="1Outputbox1 13 7" xfId="1074" xr:uid="{00000000-0005-0000-0000-000047020000}"/>
    <cellStyle name="1Outputbox1 13 7 2" xfId="1075" xr:uid="{00000000-0005-0000-0000-000048020000}"/>
    <cellStyle name="1Outputbox1 13 8" xfId="1076" xr:uid="{00000000-0005-0000-0000-000049020000}"/>
    <cellStyle name="1Outputbox1 13 8 2" xfId="1077" xr:uid="{00000000-0005-0000-0000-00004A020000}"/>
    <cellStyle name="1Outputbox1 14" xfId="1078" xr:uid="{00000000-0005-0000-0000-00004B020000}"/>
    <cellStyle name="1Outputbox1 14 2" xfId="1079" xr:uid="{00000000-0005-0000-0000-00004C020000}"/>
    <cellStyle name="1Outputbox1 14 2 2" xfId="1080" xr:uid="{00000000-0005-0000-0000-00004D020000}"/>
    <cellStyle name="1Outputbox1 14 2 2 2" xfId="1081" xr:uid="{00000000-0005-0000-0000-00004E020000}"/>
    <cellStyle name="1Outputbox1 14 2 2 2 2" xfId="1082" xr:uid="{00000000-0005-0000-0000-00004F020000}"/>
    <cellStyle name="1Outputbox1 14 2 2 3" xfId="1083" xr:uid="{00000000-0005-0000-0000-000050020000}"/>
    <cellStyle name="1Outputbox1 14 2 2 3 2" xfId="1084" xr:uid="{00000000-0005-0000-0000-000051020000}"/>
    <cellStyle name="1Outputbox1 14 2 3" xfId="1085" xr:uid="{00000000-0005-0000-0000-000052020000}"/>
    <cellStyle name="1Outputbox1 14 2 3 2" xfId="1086" xr:uid="{00000000-0005-0000-0000-000053020000}"/>
    <cellStyle name="1Outputbox1 14 2 3 2 2" xfId="1087" xr:uid="{00000000-0005-0000-0000-000054020000}"/>
    <cellStyle name="1Outputbox1 14 2 3 3" xfId="1088" xr:uid="{00000000-0005-0000-0000-000055020000}"/>
    <cellStyle name="1Outputbox1 14 2 3 3 2" xfId="1089" xr:uid="{00000000-0005-0000-0000-000056020000}"/>
    <cellStyle name="1Outputbox1 14 2 4" xfId="1090" xr:uid="{00000000-0005-0000-0000-000057020000}"/>
    <cellStyle name="1Outputbox1 14 2 4 2" xfId="1091" xr:uid="{00000000-0005-0000-0000-000058020000}"/>
    <cellStyle name="1Outputbox1 14 2 5" xfId="1092" xr:uid="{00000000-0005-0000-0000-000059020000}"/>
    <cellStyle name="1Outputbox1 14 2 5 2" xfId="1093" xr:uid="{00000000-0005-0000-0000-00005A020000}"/>
    <cellStyle name="1Outputbox1 14 3" xfId="1094" xr:uid="{00000000-0005-0000-0000-00005B020000}"/>
    <cellStyle name="1Outputbox1 14 3 2" xfId="1095" xr:uid="{00000000-0005-0000-0000-00005C020000}"/>
    <cellStyle name="1Outputbox1 14 3 2 2" xfId="1096" xr:uid="{00000000-0005-0000-0000-00005D020000}"/>
    <cellStyle name="1Outputbox1 14 3 2 2 2" xfId="1097" xr:uid="{00000000-0005-0000-0000-00005E020000}"/>
    <cellStyle name="1Outputbox1 14 3 2 3" xfId="1098" xr:uid="{00000000-0005-0000-0000-00005F020000}"/>
    <cellStyle name="1Outputbox1 14 3 2 3 2" xfId="1099" xr:uid="{00000000-0005-0000-0000-000060020000}"/>
    <cellStyle name="1Outputbox1 14 3 3" xfId="1100" xr:uid="{00000000-0005-0000-0000-000061020000}"/>
    <cellStyle name="1Outputbox1 14 3 3 2" xfId="1101" xr:uid="{00000000-0005-0000-0000-000062020000}"/>
    <cellStyle name="1Outputbox1 14 3 3 2 2" xfId="1102" xr:uid="{00000000-0005-0000-0000-000063020000}"/>
    <cellStyle name="1Outputbox1 14 3 3 3" xfId="1103" xr:uid="{00000000-0005-0000-0000-000064020000}"/>
    <cellStyle name="1Outputbox1 14 3 3 3 2" xfId="1104" xr:uid="{00000000-0005-0000-0000-000065020000}"/>
    <cellStyle name="1Outputbox1 14 3 4" xfId="1105" xr:uid="{00000000-0005-0000-0000-000066020000}"/>
    <cellStyle name="1Outputbox1 14 3 4 2" xfId="1106" xr:uid="{00000000-0005-0000-0000-000067020000}"/>
    <cellStyle name="1Outputbox1 14 3 5" xfId="1107" xr:uid="{00000000-0005-0000-0000-000068020000}"/>
    <cellStyle name="1Outputbox1 14 3 5 2" xfId="1108" xr:uid="{00000000-0005-0000-0000-000069020000}"/>
    <cellStyle name="1Outputbox1 14 4" xfId="1109" xr:uid="{00000000-0005-0000-0000-00006A020000}"/>
    <cellStyle name="1Outputbox1 14 4 2" xfId="1110" xr:uid="{00000000-0005-0000-0000-00006B020000}"/>
    <cellStyle name="1Outputbox1 14 4 2 2" xfId="1111" xr:uid="{00000000-0005-0000-0000-00006C020000}"/>
    <cellStyle name="1Outputbox1 14 4 2 2 2" xfId="1112" xr:uid="{00000000-0005-0000-0000-00006D020000}"/>
    <cellStyle name="1Outputbox1 14 4 2 3" xfId="1113" xr:uid="{00000000-0005-0000-0000-00006E020000}"/>
    <cellStyle name="1Outputbox1 14 4 2 3 2" xfId="1114" xr:uid="{00000000-0005-0000-0000-00006F020000}"/>
    <cellStyle name="1Outputbox1 14 4 3" xfId="1115" xr:uid="{00000000-0005-0000-0000-000070020000}"/>
    <cellStyle name="1Outputbox1 14 4 3 2" xfId="1116" xr:uid="{00000000-0005-0000-0000-000071020000}"/>
    <cellStyle name="1Outputbox1 14 4 3 2 2" xfId="1117" xr:uid="{00000000-0005-0000-0000-000072020000}"/>
    <cellStyle name="1Outputbox1 14 4 3 3" xfId="1118" xr:uid="{00000000-0005-0000-0000-000073020000}"/>
    <cellStyle name="1Outputbox1 14 4 3 3 2" xfId="1119" xr:uid="{00000000-0005-0000-0000-000074020000}"/>
    <cellStyle name="1Outputbox1 14 4 4" xfId="1120" xr:uid="{00000000-0005-0000-0000-000075020000}"/>
    <cellStyle name="1Outputbox1 14 4 4 2" xfId="1121" xr:uid="{00000000-0005-0000-0000-000076020000}"/>
    <cellStyle name="1Outputbox1 14 4 5" xfId="1122" xr:uid="{00000000-0005-0000-0000-000077020000}"/>
    <cellStyle name="1Outputbox1 14 4 5 2" xfId="1123" xr:uid="{00000000-0005-0000-0000-000078020000}"/>
    <cellStyle name="1Outputbox1 14 5" xfId="1124" xr:uid="{00000000-0005-0000-0000-000079020000}"/>
    <cellStyle name="1Outputbox1 14 5 2" xfId="1125" xr:uid="{00000000-0005-0000-0000-00007A020000}"/>
    <cellStyle name="1Outputbox1 14 5 2 2" xfId="1126" xr:uid="{00000000-0005-0000-0000-00007B020000}"/>
    <cellStyle name="1Outputbox1 14 5 3" xfId="1127" xr:uid="{00000000-0005-0000-0000-00007C020000}"/>
    <cellStyle name="1Outputbox1 14 5 3 2" xfId="1128" xr:uid="{00000000-0005-0000-0000-00007D020000}"/>
    <cellStyle name="1Outputbox1 14 6" xfId="1129" xr:uid="{00000000-0005-0000-0000-00007E020000}"/>
    <cellStyle name="1Outputbox1 14 6 2" xfId="1130" xr:uid="{00000000-0005-0000-0000-00007F020000}"/>
    <cellStyle name="1Outputbox1 14 6 2 2" xfId="1131" xr:uid="{00000000-0005-0000-0000-000080020000}"/>
    <cellStyle name="1Outputbox1 14 6 3" xfId="1132" xr:uid="{00000000-0005-0000-0000-000081020000}"/>
    <cellStyle name="1Outputbox1 14 6 3 2" xfId="1133" xr:uid="{00000000-0005-0000-0000-000082020000}"/>
    <cellStyle name="1Outputbox1 14 7" xfId="1134" xr:uid="{00000000-0005-0000-0000-000083020000}"/>
    <cellStyle name="1Outputbox1 14 7 2" xfId="1135" xr:uid="{00000000-0005-0000-0000-000084020000}"/>
    <cellStyle name="1Outputbox1 14 8" xfId="1136" xr:uid="{00000000-0005-0000-0000-000085020000}"/>
    <cellStyle name="1Outputbox1 14 8 2" xfId="1137" xr:uid="{00000000-0005-0000-0000-000086020000}"/>
    <cellStyle name="1Outputbox1 15" xfId="1138" xr:uid="{00000000-0005-0000-0000-000087020000}"/>
    <cellStyle name="1Outputbox1 15 2" xfId="1139" xr:uid="{00000000-0005-0000-0000-000088020000}"/>
    <cellStyle name="1Outputbox1 15 2 2" xfId="1140" xr:uid="{00000000-0005-0000-0000-000089020000}"/>
    <cellStyle name="1Outputbox1 15 2 2 2" xfId="1141" xr:uid="{00000000-0005-0000-0000-00008A020000}"/>
    <cellStyle name="1Outputbox1 15 2 2 2 2" xfId="1142" xr:uid="{00000000-0005-0000-0000-00008B020000}"/>
    <cellStyle name="1Outputbox1 15 2 2 3" xfId="1143" xr:uid="{00000000-0005-0000-0000-00008C020000}"/>
    <cellStyle name="1Outputbox1 15 2 2 3 2" xfId="1144" xr:uid="{00000000-0005-0000-0000-00008D020000}"/>
    <cellStyle name="1Outputbox1 15 2 3" xfId="1145" xr:uid="{00000000-0005-0000-0000-00008E020000}"/>
    <cellStyle name="1Outputbox1 15 2 3 2" xfId="1146" xr:uid="{00000000-0005-0000-0000-00008F020000}"/>
    <cellStyle name="1Outputbox1 15 2 3 2 2" xfId="1147" xr:uid="{00000000-0005-0000-0000-000090020000}"/>
    <cellStyle name="1Outputbox1 15 2 3 3" xfId="1148" xr:uid="{00000000-0005-0000-0000-000091020000}"/>
    <cellStyle name="1Outputbox1 15 2 3 3 2" xfId="1149" xr:uid="{00000000-0005-0000-0000-000092020000}"/>
    <cellStyle name="1Outputbox1 15 2 4" xfId="1150" xr:uid="{00000000-0005-0000-0000-000093020000}"/>
    <cellStyle name="1Outputbox1 15 2 4 2" xfId="1151" xr:uid="{00000000-0005-0000-0000-000094020000}"/>
    <cellStyle name="1Outputbox1 15 2 5" xfId="1152" xr:uid="{00000000-0005-0000-0000-000095020000}"/>
    <cellStyle name="1Outputbox1 15 2 5 2" xfId="1153" xr:uid="{00000000-0005-0000-0000-000096020000}"/>
    <cellStyle name="1Outputbox1 15 3" xfId="1154" xr:uid="{00000000-0005-0000-0000-000097020000}"/>
    <cellStyle name="1Outputbox1 15 3 2" xfId="1155" xr:uid="{00000000-0005-0000-0000-000098020000}"/>
    <cellStyle name="1Outputbox1 15 3 2 2" xfId="1156" xr:uid="{00000000-0005-0000-0000-000099020000}"/>
    <cellStyle name="1Outputbox1 15 3 2 2 2" xfId="1157" xr:uid="{00000000-0005-0000-0000-00009A020000}"/>
    <cellStyle name="1Outputbox1 15 3 2 3" xfId="1158" xr:uid="{00000000-0005-0000-0000-00009B020000}"/>
    <cellStyle name="1Outputbox1 15 3 2 3 2" xfId="1159" xr:uid="{00000000-0005-0000-0000-00009C020000}"/>
    <cellStyle name="1Outputbox1 15 3 3" xfId="1160" xr:uid="{00000000-0005-0000-0000-00009D020000}"/>
    <cellStyle name="1Outputbox1 15 3 3 2" xfId="1161" xr:uid="{00000000-0005-0000-0000-00009E020000}"/>
    <cellStyle name="1Outputbox1 15 3 3 2 2" xfId="1162" xr:uid="{00000000-0005-0000-0000-00009F020000}"/>
    <cellStyle name="1Outputbox1 15 3 3 3" xfId="1163" xr:uid="{00000000-0005-0000-0000-0000A0020000}"/>
    <cellStyle name="1Outputbox1 15 3 3 3 2" xfId="1164" xr:uid="{00000000-0005-0000-0000-0000A1020000}"/>
    <cellStyle name="1Outputbox1 15 3 4" xfId="1165" xr:uid="{00000000-0005-0000-0000-0000A2020000}"/>
    <cellStyle name="1Outputbox1 15 3 4 2" xfId="1166" xr:uid="{00000000-0005-0000-0000-0000A3020000}"/>
    <cellStyle name="1Outputbox1 15 3 5" xfId="1167" xr:uid="{00000000-0005-0000-0000-0000A4020000}"/>
    <cellStyle name="1Outputbox1 15 3 5 2" xfId="1168" xr:uid="{00000000-0005-0000-0000-0000A5020000}"/>
    <cellStyle name="1Outputbox1 15 4" xfId="1169" xr:uid="{00000000-0005-0000-0000-0000A6020000}"/>
    <cellStyle name="1Outputbox1 15 4 2" xfId="1170" xr:uid="{00000000-0005-0000-0000-0000A7020000}"/>
    <cellStyle name="1Outputbox1 15 4 2 2" xfId="1171" xr:uid="{00000000-0005-0000-0000-0000A8020000}"/>
    <cellStyle name="1Outputbox1 15 4 2 2 2" xfId="1172" xr:uid="{00000000-0005-0000-0000-0000A9020000}"/>
    <cellStyle name="1Outputbox1 15 4 2 3" xfId="1173" xr:uid="{00000000-0005-0000-0000-0000AA020000}"/>
    <cellStyle name="1Outputbox1 15 4 2 3 2" xfId="1174" xr:uid="{00000000-0005-0000-0000-0000AB020000}"/>
    <cellStyle name="1Outputbox1 15 4 3" xfId="1175" xr:uid="{00000000-0005-0000-0000-0000AC020000}"/>
    <cellStyle name="1Outputbox1 15 4 3 2" xfId="1176" xr:uid="{00000000-0005-0000-0000-0000AD020000}"/>
    <cellStyle name="1Outputbox1 15 4 3 2 2" xfId="1177" xr:uid="{00000000-0005-0000-0000-0000AE020000}"/>
    <cellStyle name="1Outputbox1 15 4 3 3" xfId="1178" xr:uid="{00000000-0005-0000-0000-0000AF020000}"/>
    <cellStyle name="1Outputbox1 15 4 3 3 2" xfId="1179" xr:uid="{00000000-0005-0000-0000-0000B0020000}"/>
    <cellStyle name="1Outputbox1 15 4 4" xfId="1180" xr:uid="{00000000-0005-0000-0000-0000B1020000}"/>
    <cellStyle name="1Outputbox1 15 4 4 2" xfId="1181" xr:uid="{00000000-0005-0000-0000-0000B2020000}"/>
    <cellStyle name="1Outputbox1 15 4 5" xfId="1182" xr:uid="{00000000-0005-0000-0000-0000B3020000}"/>
    <cellStyle name="1Outputbox1 15 4 5 2" xfId="1183" xr:uid="{00000000-0005-0000-0000-0000B4020000}"/>
    <cellStyle name="1Outputbox1 15 5" xfId="1184" xr:uid="{00000000-0005-0000-0000-0000B5020000}"/>
    <cellStyle name="1Outputbox1 15 5 2" xfId="1185" xr:uid="{00000000-0005-0000-0000-0000B6020000}"/>
    <cellStyle name="1Outputbox1 15 5 2 2" xfId="1186" xr:uid="{00000000-0005-0000-0000-0000B7020000}"/>
    <cellStyle name="1Outputbox1 15 5 3" xfId="1187" xr:uid="{00000000-0005-0000-0000-0000B8020000}"/>
    <cellStyle name="1Outputbox1 15 5 3 2" xfId="1188" xr:uid="{00000000-0005-0000-0000-0000B9020000}"/>
    <cellStyle name="1Outputbox1 15 6" xfId="1189" xr:uid="{00000000-0005-0000-0000-0000BA020000}"/>
    <cellStyle name="1Outputbox1 15 6 2" xfId="1190" xr:uid="{00000000-0005-0000-0000-0000BB020000}"/>
    <cellStyle name="1Outputbox1 15 6 2 2" xfId="1191" xr:uid="{00000000-0005-0000-0000-0000BC020000}"/>
    <cellStyle name="1Outputbox1 15 6 3" xfId="1192" xr:uid="{00000000-0005-0000-0000-0000BD020000}"/>
    <cellStyle name="1Outputbox1 15 6 3 2" xfId="1193" xr:uid="{00000000-0005-0000-0000-0000BE020000}"/>
    <cellStyle name="1Outputbox1 15 7" xfId="1194" xr:uid="{00000000-0005-0000-0000-0000BF020000}"/>
    <cellStyle name="1Outputbox1 15 7 2" xfId="1195" xr:uid="{00000000-0005-0000-0000-0000C0020000}"/>
    <cellStyle name="1Outputbox1 15 8" xfId="1196" xr:uid="{00000000-0005-0000-0000-0000C1020000}"/>
    <cellStyle name="1Outputbox1 15 8 2" xfId="1197" xr:uid="{00000000-0005-0000-0000-0000C2020000}"/>
    <cellStyle name="1Outputbox1 16" xfId="1198" xr:uid="{00000000-0005-0000-0000-0000C3020000}"/>
    <cellStyle name="1Outputbox1 16 2" xfId="1199" xr:uid="{00000000-0005-0000-0000-0000C4020000}"/>
    <cellStyle name="1Outputbox1 16 2 2" xfId="1200" xr:uid="{00000000-0005-0000-0000-0000C5020000}"/>
    <cellStyle name="1Outputbox1 16 2 2 2" xfId="1201" xr:uid="{00000000-0005-0000-0000-0000C6020000}"/>
    <cellStyle name="1Outputbox1 16 2 2 2 2" xfId="1202" xr:uid="{00000000-0005-0000-0000-0000C7020000}"/>
    <cellStyle name="1Outputbox1 16 2 2 3" xfId="1203" xr:uid="{00000000-0005-0000-0000-0000C8020000}"/>
    <cellStyle name="1Outputbox1 16 2 2 3 2" xfId="1204" xr:uid="{00000000-0005-0000-0000-0000C9020000}"/>
    <cellStyle name="1Outputbox1 16 2 3" xfId="1205" xr:uid="{00000000-0005-0000-0000-0000CA020000}"/>
    <cellStyle name="1Outputbox1 16 2 3 2" xfId="1206" xr:uid="{00000000-0005-0000-0000-0000CB020000}"/>
    <cellStyle name="1Outputbox1 16 2 3 2 2" xfId="1207" xr:uid="{00000000-0005-0000-0000-0000CC020000}"/>
    <cellStyle name="1Outputbox1 16 2 3 3" xfId="1208" xr:uid="{00000000-0005-0000-0000-0000CD020000}"/>
    <cellStyle name="1Outputbox1 16 2 3 3 2" xfId="1209" xr:uid="{00000000-0005-0000-0000-0000CE020000}"/>
    <cellStyle name="1Outputbox1 16 2 4" xfId="1210" xr:uid="{00000000-0005-0000-0000-0000CF020000}"/>
    <cellStyle name="1Outputbox1 16 2 4 2" xfId="1211" xr:uid="{00000000-0005-0000-0000-0000D0020000}"/>
    <cellStyle name="1Outputbox1 16 2 5" xfId="1212" xr:uid="{00000000-0005-0000-0000-0000D1020000}"/>
    <cellStyle name="1Outputbox1 16 2 5 2" xfId="1213" xr:uid="{00000000-0005-0000-0000-0000D2020000}"/>
    <cellStyle name="1Outputbox1 16 3" xfId="1214" xr:uid="{00000000-0005-0000-0000-0000D3020000}"/>
    <cellStyle name="1Outputbox1 16 3 2" xfId="1215" xr:uid="{00000000-0005-0000-0000-0000D4020000}"/>
    <cellStyle name="1Outputbox1 16 3 2 2" xfId="1216" xr:uid="{00000000-0005-0000-0000-0000D5020000}"/>
    <cellStyle name="1Outputbox1 16 3 2 2 2" xfId="1217" xr:uid="{00000000-0005-0000-0000-0000D6020000}"/>
    <cellStyle name="1Outputbox1 16 3 2 3" xfId="1218" xr:uid="{00000000-0005-0000-0000-0000D7020000}"/>
    <cellStyle name="1Outputbox1 16 3 2 3 2" xfId="1219" xr:uid="{00000000-0005-0000-0000-0000D8020000}"/>
    <cellStyle name="1Outputbox1 16 3 3" xfId="1220" xr:uid="{00000000-0005-0000-0000-0000D9020000}"/>
    <cellStyle name="1Outputbox1 16 3 3 2" xfId="1221" xr:uid="{00000000-0005-0000-0000-0000DA020000}"/>
    <cellStyle name="1Outputbox1 16 3 3 2 2" xfId="1222" xr:uid="{00000000-0005-0000-0000-0000DB020000}"/>
    <cellStyle name="1Outputbox1 16 3 3 3" xfId="1223" xr:uid="{00000000-0005-0000-0000-0000DC020000}"/>
    <cellStyle name="1Outputbox1 16 3 3 3 2" xfId="1224" xr:uid="{00000000-0005-0000-0000-0000DD020000}"/>
    <cellStyle name="1Outputbox1 16 3 4" xfId="1225" xr:uid="{00000000-0005-0000-0000-0000DE020000}"/>
    <cellStyle name="1Outputbox1 16 3 4 2" xfId="1226" xr:uid="{00000000-0005-0000-0000-0000DF020000}"/>
    <cellStyle name="1Outputbox1 16 3 5" xfId="1227" xr:uid="{00000000-0005-0000-0000-0000E0020000}"/>
    <cellStyle name="1Outputbox1 16 3 5 2" xfId="1228" xr:uid="{00000000-0005-0000-0000-0000E1020000}"/>
    <cellStyle name="1Outputbox1 16 4" xfId="1229" xr:uid="{00000000-0005-0000-0000-0000E2020000}"/>
    <cellStyle name="1Outputbox1 16 4 2" xfId="1230" xr:uid="{00000000-0005-0000-0000-0000E3020000}"/>
    <cellStyle name="1Outputbox1 16 4 2 2" xfId="1231" xr:uid="{00000000-0005-0000-0000-0000E4020000}"/>
    <cellStyle name="1Outputbox1 16 4 2 2 2" xfId="1232" xr:uid="{00000000-0005-0000-0000-0000E5020000}"/>
    <cellStyle name="1Outputbox1 16 4 2 3" xfId="1233" xr:uid="{00000000-0005-0000-0000-0000E6020000}"/>
    <cellStyle name="1Outputbox1 16 4 2 3 2" xfId="1234" xr:uid="{00000000-0005-0000-0000-0000E7020000}"/>
    <cellStyle name="1Outputbox1 16 4 3" xfId="1235" xr:uid="{00000000-0005-0000-0000-0000E8020000}"/>
    <cellStyle name="1Outputbox1 16 4 3 2" xfId="1236" xr:uid="{00000000-0005-0000-0000-0000E9020000}"/>
    <cellStyle name="1Outputbox1 16 4 3 2 2" xfId="1237" xr:uid="{00000000-0005-0000-0000-0000EA020000}"/>
    <cellStyle name="1Outputbox1 16 4 3 3" xfId="1238" xr:uid="{00000000-0005-0000-0000-0000EB020000}"/>
    <cellStyle name="1Outputbox1 16 4 3 3 2" xfId="1239" xr:uid="{00000000-0005-0000-0000-0000EC020000}"/>
    <cellStyle name="1Outputbox1 16 4 4" xfId="1240" xr:uid="{00000000-0005-0000-0000-0000ED020000}"/>
    <cellStyle name="1Outputbox1 16 4 4 2" xfId="1241" xr:uid="{00000000-0005-0000-0000-0000EE020000}"/>
    <cellStyle name="1Outputbox1 16 4 5" xfId="1242" xr:uid="{00000000-0005-0000-0000-0000EF020000}"/>
    <cellStyle name="1Outputbox1 16 4 5 2" xfId="1243" xr:uid="{00000000-0005-0000-0000-0000F0020000}"/>
    <cellStyle name="1Outputbox1 16 5" xfId="1244" xr:uid="{00000000-0005-0000-0000-0000F1020000}"/>
    <cellStyle name="1Outputbox1 16 5 2" xfId="1245" xr:uid="{00000000-0005-0000-0000-0000F2020000}"/>
    <cellStyle name="1Outputbox1 16 5 2 2" xfId="1246" xr:uid="{00000000-0005-0000-0000-0000F3020000}"/>
    <cellStyle name="1Outputbox1 16 5 3" xfId="1247" xr:uid="{00000000-0005-0000-0000-0000F4020000}"/>
    <cellStyle name="1Outputbox1 16 5 3 2" xfId="1248" xr:uid="{00000000-0005-0000-0000-0000F5020000}"/>
    <cellStyle name="1Outputbox1 16 6" xfId="1249" xr:uid="{00000000-0005-0000-0000-0000F6020000}"/>
    <cellStyle name="1Outputbox1 16 6 2" xfId="1250" xr:uid="{00000000-0005-0000-0000-0000F7020000}"/>
    <cellStyle name="1Outputbox1 16 6 2 2" xfId="1251" xr:uid="{00000000-0005-0000-0000-0000F8020000}"/>
    <cellStyle name="1Outputbox1 16 6 3" xfId="1252" xr:uid="{00000000-0005-0000-0000-0000F9020000}"/>
    <cellStyle name="1Outputbox1 16 6 3 2" xfId="1253" xr:uid="{00000000-0005-0000-0000-0000FA020000}"/>
    <cellStyle name="1Outputbox1 16 7" xfId="1254" xr:uid="{00000000-0005-0000-0000-0000FB020000}"/>
    <cellStyle name="1Outputbox1 16 7 2" xfId="1255" xr:uid="{00000000-0005-0000-0000-0000FC020000}"/>
    <cellStyle name="1Outputbox1 16 8" xfId="1256" xr:uid="{00000000-0005-0000-0000-0000FD020000}"/>
    <cellStyle name="1Outputbox1 16 8 2" xfId="1257" xr:uid="{00000000-0005-0000-0000-0000FE020000}"/>
    <cellStyle name="1Outputbox1 17" xfId="1258" xr:uid="{00000000-0005-0000-0000-0000FF020000}"/>
    <cellStyle name="1Outputbox1 17 2" xfId="1259" xr:uid="{00000000-0005-0000-0000-000000030000}"/>
    <cellStyle name="1Outputbox1 17 2 2" xfId="1260" xr:uid="{00000000-0005-0000-0000-000001030000}"/>
    <cellStyle name="1Outputbox1 17 2 2 2" xfId="1261" xr:uid="{00000000-0005-0000-0000-000002030000}"/>
    <cellStyle name="1Outputbox1 17 2 3" xfId="1262" xr:uid="{00000000-0005-0000-0000-000003030000}"/>
    <cellStyle name="1Outputbox1 17 2 3 2" xfId="1263" xr:uid="{00000000-0005-0000-0000-000004030000}"/>
    <cellStyle name="1Outputbox1 17 3" xfId="1264" xr:uid="{00000000-0005-0000-0000-000005030000}"/>
    <cellStyle name="1Outputbox1 17 3 2" xfId="1265" xr:uid="{00000000-0005-0000-0000-000006030000}"/>
    <cellStyle name="1Outputbox1 17 3 2 2" xfId="1266" xr:uid="{00000000-0005-0000-0000-000007030000}"/>
    <cellStyle name="1Outputbox1 17 3 3" xfId="1267" xr:uid="{00000000-0005-0000-0000-000008030000}"/>
    <cellStyle name="1Outputbox1 17 3 3 2" xfId="1268" xr:uid="{00000000-0005-0000-0000-000009030000}"/>
    <cellStyle name="1Outputbox1 17 4" xfId="1269" xr:uid="{00000000-0005-0000-0000-00000A030000}"/>
    <cellStyle name="1Outputbox1 17 4 2" xfId="1270" xr:uid="{00000000-0005-0000-0000-00000B030000}"/>
    <cellStyle name="1Outputbox1 17 5" xfId="1271" xr:uid="{00000000-0005-0000-0000-00000C030000}"/>
    <cellStyle name="1Outputbox1 17 5 2" xfId="1272" xr:uid="{00000000-0005-0000-0000-00000D030000}"/>
    <cellStyle name="1Outputbox1 18" xfId="1273" xr:uid="{00000000-0005-0000-0000-00000E030000}"/>
    <cellStyle name="1Outputbox1 18 2" xfId="1274" xr:uid="{00000000-0005-0000-0000-00000F030000}"/>
    <cellStyle name="1Outputbox1 18 2 2" xfId="1275" xr:uid="{00000000-0005-0000-0000-000010030000}"/>
    <cellStyle name="1Outputbox1 18 2 2 2" xfId="1276" xr:uid="{00000000-0005-0000-0000-000011030000}"/>
    <cellStyle name="1Outputbox1 18 2 3" xfId="1277" xr:uid="{00000000-0005-0000-0000-000012030000}"/>
    <cellStyle name="1Outputbox1 18 2 3 2" xfId="1278" xr:uid="{00000000-0005-0000-0000-000013030000}"/>
    <cellStyle name="1Outputbox1 18 3" xfId="1279" xr:uid="{00000000-0005-0000-0000-000014030000}"/>
    <cellStyle name="1Outputbox1 18 3 2" xfId="1280" xr:uid="{00000000-0005-0000-0000-000015030000}"/>
    <cellStyle name="1Outputbox1 18 3 2 2" xfId="1281" xr:uid="{00000000-0005-0000-0000-000016030000}"/>
    <cellStyle name="1Outputbox1 18 3 3" xfId="1282" xr:uid="{00000000-0005-0000-0000-000017030000}"/>
    <cellStyle name="1Outputbox1 18 3 3 2" xfId="1283" xr:uid="{00000000-0005-0000-0000-000018030000}"/>
    <cellStyle name="1Outputbox1 18 4" xfId="1284" xr:uid="{00000000-0005-0000-0000-000019030000}"/>
    <cellStyle name="1Outputbox1 18 4 2" xfId="1285" xr:uid="{00000000-0005-0000-0000-00001A030000}"/>
    <cellStyle name="1Outputbox1 18 5" xfId="1286" xr:uid="{00000000-0005-0000-0000-00001B030000}"/>
    <cellStyle name="1Outputbox1 18 5 2" xfId="1287" xr:uid="{00000000-0005-0000-0000-00001C030000}"/>
    <cellStyle name="1Outputbox1 19" xfId="1288" xr:uid="{00000000-0005-0000-0000-00001D030000}"/>
    <cellStyle name="1Outputbox1 19 2" xfId="1289" xr:uid="{00000000-0005-0000-0000-00001E030000}"/>
    <cellStyle name="1Outputbox1 19 2 2" xfId="1290" xr:uid="{00000000-0005-0000-0000-00001F030000}"/>
    <cellStyle name="1Outputbox1 19 2 2 2" xfId="1291" xr:uid="{00000000-0005-0000-0000-000020030000}"/>
    <cellStyle name="1Outputbox1 19 2 3" xfId="1292" xr:uid="{00000000-0005-0000-0000-000021030000}"/>
    <cellStyle name="1Outputbox1 19 2 3 2" xfId="1293" xr:uid="{00000000-0005-0000-0000-000022030000}"/>
    <cellStyle name="1Outputbox1 19 3" xfId="1294" xr:uid="{00000000-0005-0000-0000-000023030000}"/>
    <cellStyle name="1Outputbox1 19 3 2" xfId="1295" xr:uid="{00000000-0005-0000-0000-000024030000}"/>
    <cellStyle name="1Outputbox1 19 3 2 2" xfId="1296" xr:uid="{00000000-0005-0000-0000-000025030000}"/>
    <cellStyle name="1Outputbox1 19 3 3" xfId="1297" xr:uid="{00000000-0005-0000-0000-000026030000}"/>
    <cellStyle name="1Outputbox1 19 3 3 2" xfId="1298" xr:uid="{00000000-0005-0000-0000-000027030000}"/>
    <cellStyle name="1Outputbox1 19 4" xfId="1299" xr:uid="{00000000-0005-0000-0000-000028030000}"/>
    <cellStyle name="1Outputbox1 19 4 2" xfId="1300" xr:uid="{00000000-0005-0000-0000-000029030000}"/>
    <cellStyle name="1Outputbox1 19 5" xfId="1301" xr:uid="{00000000-0005-0000-0000-00002A030000}"/>
    <cellStyle name="1Outputbox1 19 5 2" xfId="1302" xr:uid="{00000000-0005-0000-0000-00002B030000}"/>
    <cellStyle name="1Outputbox1 2" xfId="1303" xr:uid="{00000000-0005-0000-0000-00002C030000}"/>
    <cellStyle name="1Outputbox1 2 2" xfId="1304" xr:uid="{00000000-0005-0000-0000-00002D030000}"/>
    <cellStyle name="1Outputbox1 2 2 2" xfId="1305" xr:uid="{00000000-0005-0000-0000-00002E030000}"/>
    <cellStyle name="1Outputbox1 2 2 2 2" xfId="1306" xr:uid="{00000000-0005-0000-0000-00002F030000}"/>
    <cellStyle name="1Outputbox1 2 2 2 2 2" xfId="1307" xr:uid="{00000000-0005-0000-0000-000030030000}"/>
    <cellStyle name="1Outputbox1 2 2 2 3" xfId="1308" xr:uid="{00000000-0005-0000-0000-000031030000}"/>
    <cellStyle name="1Outputbox1 2 2 2 3 2" xfId="1309" xr:uid="{00000000-0005-0000-0000-000032030000}"/>
    <cellStyle name="1Outputbox1 2 2 3" xfId="1310" xr:uid="{00000000-0005-0000-0000-000033030000}"/>
    <cellStyle name="1Outputbox1 2 2 3 2" xfId="1311" xr:uid="{00000000-0005-0000-0000-000034030000}"/>
    <cellStyle name="1Outputbox1 2 2 3 2 2" xfId="1312" xr:uid="{00000000-0005-0000-0000-000035030000}"/>
    <cellStyle name="1Outputbox1 2 2 3 3" xfId="1313" xr:uid="{00000000-0005-0000-0000-000036030000}"/>
    <cellStyle name="1Outputbox1 2 2 3 3 2" xfId="1314" xr:uid="{00000000-0005-0000-0000-000037030000}"/>
    <cellStyle name="1Outputbox1 2 2 4" xfId="1315" xr:uid="{00000000-0005-0000-0000-000038030000}"/>
    <cellStyle name="1Outputbox1 2 2 4 2" xfId="1316" xr:uid="{00000000-0005-0000-0000-000039030000}"/>
    <cellStyle name="1Outputbox1 2 2 5" xfId="1317" xr:uid="{00000000-0005-0000-0000-00003A030000}"/>
    <cellStyle name="1Outputbox1 2 2 5 2" xfId="1318" xr:uid="{00000000-0005-0000-0000-00003B030000}"/>
    <cellStyle name="1Outputbox1 2 3" xfId="1319" xr:uid="{00000000-0005-0000-0000-00003C030000}"/>
    <cellStyle name="1Outputbox1 2 3 2" xfId="1320" xr:uid="{00000000-0005-0000-0000-00003D030000}"/>
    <cellStyle name="1Outputbox1 2 3 2 2" xfId="1321" xr:uid="{00000000-0005-0000-0000-00003E030000}"/>
    <cellStyle name="1Outputbox1 2 3 2 2 2" xfId="1322" xr:uid="{00000000-0005-0000-0000-00003F030000}"/>
    <cellStyle name="1Outputbox1 2 3 2 3" xfId="1323" xr:uid="{00000000-0005-0000-0000-000040030000}"/>
    <cellStyle name="1Outputbox1 2 3 2 3 2" xfId="1324" xr:uid="{00000000-0005-0000-0000-000041030000}"/>
    <cellStyle name="1Outputbox1 2 3 3" xfId="1325" xr:uid="{00000000-0005-0000-0000-000042030000}"/>
    <cellStyle name="1Outputbox1 2 3 3 2" xfId="1326" xr:uid="{00000000-0005-0000-0000-000043030000}"/>
    <cellStyle name="1Outputbox1 2 3 3 2 2" xfId="1327" xr:uid="{00000000-0005-0000-0000-000044030000}"/>
    <cellStyle name="1Outputbox1 2 3 3 3" xfId="1328" xr:uid="{00000000-0005-0000-0000-000045030000}"/>
    <cellStyle name="1Outputbox1 2 3 3 3 2" xfId="1329" xr:uid="{00000000-0005-0000-0000-000046030000}"/>
    <cellStyle name="1Outputbox1 2 3 4" xfId="1330" xr:uid="{00000000-0005-0000-0000-000047030000}"/>
    <cellStyle name="1Outputbox1 2 3 4 2" xfId="1331" xr:uid="{00000000-0005-0000-0000-000048030000}"/>
    <cellStyle name="1Outputbox1 2 3 5" xfId="1332" xr:uid="{00000000-0005-0000-0000-000049030000}"/>
    <cellStyle name="1Outputbox1 2 3 5 2" xfId="1333" xr:uid="{00000000-0005-0000-0000-00004A030000}"/>
    <cellStyle name="1Outputbox1 2 4" xfId="1334" xr:uid="{00000000-0005-0000-0000-00004B030000}"/>
    <cellStyle name="1Outputbox1 2 4 2" xfId="1335" xr:uid="{00000000-0005-0000-0000-00004C030000}"/>
    <cellStyle name="1Outputbox1 2 4 2 2" xfId="1336" xr:uid="{00000000-0005-0000-0000-00004D030000}"/>
    <cellStyle name="1Outputbox1 2 4 2 2 2" xfId="1337" xr:uid="{00000000-0005-0000-0000-00004E030000}"/>
    <cellStyle name="1Outputbox1 2 4 2 3" xfId="1338" xr:uid="{00000000-0005-0000-0000-00004F030000}"/>
    <cellStyle name="1Outputbox1 2 4 2 3 2" xfId="1339" xr:uid="{00000000-0005-0000-0000-000050030000}"/>
    <cellStyle name="1Outputbox1 2 4 3" xfId="1340" xr:uid="{00000000-0005-0000-0000-000051030000}"/>
    <cellStyle name="1Outputbox1 2 4 3 2" xfId="1341" xr:uid="{00000000-0005-0000-0000-000052030000}"/>
    <cellStyle name="1Outputbox1 2 4 3 2 2" xfId="1342" xr:uid="{00000000-0005-0000-0000-000053030000}"/>
    <cellStyle name="1Outputbox1 2 4 3 3" xfId="1343" xr:uid="{00000000-0005-0000-0000-000054030000}"/>
    <cellStyle name="1Outputbox1 2 4 3 3 2" xfId="1344" xr:uid="{00000000-0005-0000-0000-000055030000}"/>
    <cellStyle name="1Outputbox1 2 4 4" xfId="1345" xr:uid="{00000000-0005-0000-0000-000056030000}"/>
    <cellStyle name="1Outputbox1 2 4 4 2" xfId="1346" xr:uid="{00000000-0005-0000-0000-000057030000}"/>
    <cellStyle name="1Outputbox1 2 4 5" xfId="1347" xr:uid="{00000000-0005-0000-0000-000058030000}"/>
    <cellStyle name="1Outputbox1 2 4 5 2" xfId="1348" xr:uid="{00000000-0005-0000-0000-000059030000}"/>
    <cellStyle name="1Outputbox1 2 5" xfId="1349" xr:uid="{00000000-0005-0000-0000-00005A030000}"/>
    <cellStyle name="1Outputbox1 2 5 2" xfId="1350" xr:uid="{00000000-0005-0000-0000-00005B030000}"/>
    <cellStyle name="1Outputbox1 2 5 2 2" xfId="1351" xr:uid="{00000000-0005-0000-0000-00005C030000}"/>
    <cellStyle name="1Outputbox1 2 5 3" xfId="1352" xr:uid="{00000000-0005-0000-0000-00005D030000}"/>
    <cellStyle name="1Outputbox1 2 5 3 2" xfId="1353" xr:uid="{00000000-0005-0000-0000-00005E030000}"/>
    <cellStyle name="1Outputbox1 2 6" xfId="1354" xr:uid="{00000000-0005-0000-0000-00005F030000}"/>
    <cellStyle name="1Outputbox1 2 6 2" xfId="1355" xr:uid="{00000000-0005-0000-0000-000060030000}"/>
    <cellStyle name="1Outputbox1 2 6 2 2" xfId="1356" xr:uid="{00000000-0005-0000-0000-000061030000}"/>
    <cellStyle name="1Outputbox1 2 6 3" xfId="1357" xr:uid="{00000000-0005-0000-0000-000062030000}"/>
    <cellStyle name="1Outputbox1 2 6 3 2" xfId="1358" xr:uid="{00000000-0005-0000-0000-000063030000}"/>
    <cellStyle name="1Outputbox1 2 7" xfId="1359" xr:uid="{00000000-0005-0000-0000-000064030000}"/>
    <cellStyle name="1Outputbox1 2 7 2" xfId="1360" xr:uid="{00000000-0005-0000-0000-000065030000}"/>
    <cellStyle name="1Outputbox1 2 8" xfId="1361" xr:uid="{00000000-0005-0000-0000-000066030000}"/>
    <cellStyle name="1Outputbox1 2 8 2" xfId="1362" xr:uid="{00000000-0005-0000-0000-000067030000}"/>
    <cellStyle name="1Outputbox1 20" xfId="1363" xr:uid="{00000000-0005-0000-0000-000068030000}"/>
    <cellStyle name="1Outputbox1 20 2" xfId="1364" xr:uid="{00000000-0005-0000-0000-000069030000}"/>
    <cellStyle name="1Outputbox1 20 2 2" xfId="1365" xr:uid="{00000000-0005-0000-0000-00006A030000}"/>
    <cellStyle name="1Outputbox1 20 3" xfId="1366" xr:uid="{00000000-0005-0000-0000-00006B030000}"/>
    <cellStyle name="1Outputbox1 20 3 2" xfId="1367" xr:uid="{00000000-0005-0000-0000-00006C030000}"/>
    <cellStyle name="1Outputbox1 21" xfId="1368" xr:uid="{00000000-0005-0000-0000-00006D030000}"/>
    <cellStyle name="1Outputbox1 21 2" xfId="1369" xr:uid="{00000000-0005-0000-0000-00006E030000}"/>
    <cellStyle name="1Outputbox1 21 2 2" xfId="1370" xr:uid="{00000000-0005-0000-0000-00006F030000}"/>
    <cellStyle name="1Outputbox1 21 3" xfId="1371" xr:uid="{00000000-0005-0000-0000-000070030000}"/>
    <cellStyle name="1Outputbox1 21 3 2" xfId="1372" xr:uid="{00000000-0005-0000-0000-000071030000}"/>
    <cellStyle name="1Outputbox1 22" xfId="1373" xr:uid="{00000000-0005-0000-0000-000072030000}"/>
    <cellStyle name="1Outputbox1 22 2" xfId="1374" xr:uid="{00000000-0005-0000-0000-000073030000}"/>
    <cellStyle name="1Outputbox1 23" xfId="1375" xr:uid="{00000000-0005-0000-0000-000074030000}"/>
    <cellStyle name="1Outputbox1 23 2" xfId="1376" xr:uid="{00000000-0005-0000-0000-000075030000}"/>
    <cellStyle name="1Outputbox1 3" xfId="1377" xr:uid="{00000000-0005-0000-0000-000076030000}"/>
    <cellStyle name="1Outputbox1 3 2" xfId="1378" xr:uid="{00000000-0005-0000-0000-000077030000}"/>
    <cellStyle name="1Outputbox1 3 2 2" xfId="1379" xr:uid="{00000000-0005-0000-0000-000078030000}"/>
    <cellStyle name="1Outputbox1 3 2 2 2" xfId="1380" xr:uid="{00000000-0005-0000-0000-000079030000}"/>
    <cellStyle name="1Outputbox1 3 2 2 2 2" xfId="1381" xr:uid="{00000000-0005-0000-0000-00007A030000}"/>
    <cellStyle name="1Outputbox1 3 2 2 3" xfId="1382" xr:uid="{00000000-0005-0000-0000-00007B030000}"/>
    <cellStyle name="1Outputbox1 3 2 2 3 2" xfId="1383" xr:uid="{00000000-0005-0000-0000-00007C030000}"/>
    <cellStyle name="1Outputbox1 3 2 3" xfId="1384" xr:uid="{00000000-0005-0000-0000-00007D030000}"/>
    <cellStyle name="1Outputbox1 3 2 3 2" xfId="1385" xr:uid="{00000000-0005-0000-0000-00007E030000}"/>
    <cellStyle name="1Outputbox1 3 2 3 2 2" xfId="1386" xr:uid="{00000000-0005-0000-0000-00007F030000}"/>
    <cellStyle name="1Outputbox1 3 2 3 3" xfId="1387" xr:uid="{00000000-0005-0000-0000-000080030000}"/>
    <cellStyle name="1Outputbox1 3 2 3 3 2" xfId="1388" xr:uid="{00000000-0005-0000-0000-000081030000}"/>
    <cellStyle name="1Outputbox1 3 2 4" xfId="1389" xr:uid="{00000000-0005-0000-0000-000082030000}"/>
    <cellStyle name="1Outputbox1 3 2 4 2" xfId="1390" xr:uid="{00000000-0005-0000-0000-000083030000}"/>
    <cellStyle name="1Outputbox1 3 2 5" xfId="1391" xr:uid="{00000000-0005-0000-0000-000084030000}"/>
    <cellStyle name="1Outputbox1 3 2 5 2" xfId="1392" xr:uid="{00000000-0005-0000-0000-000085030000}"/>
    <cellStyle name="1Outputbox1 3 3" xfId="1393" xr:uid="{00000000-0005-0000-0000-000086030000}"/>
    <cellStyle name="1Outputbox1 3 3 2" xfId="1394" xr:uid="{00000000-0005-0000-0000-000087030000}"/>
    <cellStyle name="1Outputbox1 3 3 2 2" xfId="1395" xr:uid="{00000000-0005-0000-0000-000088030000}"/>
    <cellStyle name="1Outputbox1 3 3 2 2 2" xfId="1396" xr:uid="{00000000-0005-0000-0000-000089030000}"/>
    <cellStyle name="1Outputbox1 3 3 2 3" xfId="1397" xr:uid="{00000000-0005-0000-0000-00008A030000}"/>
    <cellStyle name="1Outputbox1 3 3 2 3 2" xfId="1398" xr:uid="{00000000-0005-0000-0000-00008B030000}"/>
    <cellStyle name="1Outputbox1 3 3 3" xfId="1399" xr:uid="{00000000-0005-0000-0000-00008C030000}"/>
    <cellStyle name="1Outputbox1 3 3 3 2" xfId="1400" xr:uid="{00000000-0005-0000-0000-00008D030000}"/>
    <cellStyle name="1Outputbox1 3 3 3 2 2" xfId="1401" xr:uid="{00000000-0005-0000-0000-00008E030000}"/>
    <cellStyle name="1Outputbox1 3 3 3 3" xfId="1402" xr:uid="{00000000-0005-0000-0000-00008F030000}"/>
    <cellStyle name="1Outputbox1 3 3 3 3 2" xfId="1403" xr:uid="{00000000-0005-0000-0000-000090030000}"/>
    <cellStyle name="1Outputbox1 3 3 4" xfId="1404" xr:uid="{00000000-0005-0000-0000-000091030000}"/>
    <cellStyle name="1Outputbox1 3 3 4 2" xfId="1405" xr:uid="{00000000-0005-0000-0000-000092030000}"/>
    <cellStyle name="1Outputbox1 3 3 5" xfId="1406" xr:uid="{00000000-0005-0000-0000-000093030000}"/>
    <cellStyle name="1Outputbox1 3 3 5 2" xfId="1407" xr:uid="{00000000-0005-0000-0000-000094030000}"/>
    <cellStyle name="1Outputbox1 3 4" xfId="1408" xr:uid="{00000000-0005-0000-0000-000095030000}"/>
    <cellStyle name="1Outputbox1 3 4 2" xfId="1409" xr:uid="{00000000-0005-0000-0000-000096030000}"/>
    <cellStyle name="1Outputbox1 3 4 2 2" xfId="1410" xr:uid="{00000000-0005-0000-0000-000097030000}"/>
    <cellStyle name="1Outputbox1 3 4 2 2 2" xfId="1411" xr:uid="{00000000-0005-0000-0000-000098030000}"/>
    <cellStyle name="1Outputbox1 3 4 2 3" xfId="1412" xr:uid="{00000000-0005-0000-0000-000099030000}"/>
    <cellStyle name="1Outputbox1 3 4 2 3 2" xfId="1413" xr:uid="{00000000-0005-0000-0000-00009A030000}"/>
    <cellStyle name="1Outputbox1 3 4 3" xfId="1414" xr:uid="{00000000-0005-0000-0000-00009B030000}"/>
    <cellStyle name="1Outputbox1 3 4 3 2" xfId="1415" xr:uid="{00000000-0005-0000-0000-00009C030000}"/>
    <cellStyle name="1Outputbox1 3 4 3 2 2" xfId="1416" xr:uid="{00000000-0005-0000-0000-00009D030000}"/>
    <cellStyle name="1Outputbox1 3 4 3 3" xfId="1417" xr:uid="{00000000-0005-0000-0000-00009E030000}"/>
    <cellStyle name="1Outputbox1 3 4 3 3 2" xfId="1418" xr:uid="{00000000-0005-0000-0000-00009F030000}"/>
    <cellStyle name="1Outputbox1 3 4 4" xfId="1419" xr:uid="{00000000-0005-0000-0000-0000A0030000}"/>
    <cellStyle name="1Outputbox1 3 4 4 2" xfId="1420" xr:uid="{00000000-0005-0000-0000-0000A1030000}"/>
    <cellStyle name="1Outputbox1 3 4 5" xfId="1421" xr:uid="{00000000-0005-0000-0000-0000A2030000}"/>
    <cellStyle name="1Outputbox1 3 4 5 2" xfId="1422" xr:uid="{00000000-0005-0000-0000-0000A3030000}"/>
    <cellStyle name="1Outputbox1 3 5" xfId="1423" xr:uid="{00000000-0005-0000-0000-0000A4030000}"/>
    <cellStyle name="1Outputbox1 3 5 2" xfId="1424" xr:uid="{00000000-0005-0000-0000-0000A5030000}"/>
    <cellStyle name="1Outputbox1 3 5 2 2" xfId="1425" xr:uid="{00000000-0005-0000-0000-0000A6030000}"/>
    <cellStyle name="1Outputbox1 3 5 3" xfId="1426" xr:uid="{00000000-0005-0000-0000-0000A7030000}"/>
    <cellStyle name="1Outputbox1 3 5 3 2" xfId="1427" xr:uid="{00000000-0005-0000-0000-0000A8030000}"/>
    <cellStyle name="1Outputbox1 3 6" xfId="1428" xr:uid="{00000000-0005-0000-0000-0000A9030000}"/>
    <cellStyle name="1Outputbox1 3 6 2" xfId="1429" xr:uid="{00000000-0005-0000-0000-0000AA030000}"/>
    <cellStyle name="1Outputbox1 3 6 2 2" xfId="1430" xr:uid="{00000000-0005-0000-0000-0000AB030000}"/>
    <cellStyle name="1Outputbox1 3 6 3" xfId="1431" xr:uid="{00000000-0005-0000-0000-0000AC030000}"/>
    <cellStyle name="1Outputbox1 3 6 3 2" xfId="1432" xr:uid="{00000000-0005-0000-0000-0000AD030000}"/>
    <cellStyle name="1Outputbox1 3 7" xfId="1433" xr:uid="{00000000-0005-0000-0000-0000AE030000}"/>
    <cellStyle name="1Outputbox1 3 7 2" xfId="1434" xr:uid="{00000000-0005-0000-0000-0000AF030000}"/>
    <cellStyle name="1Outputbox1 3 8" xfId="1435" xr:uid="{00000000-0005-0000-0000-0000B0030000}"/>
    <cellStyle name="1Outputbox1 3 8 2" xfId="1436" xr:uid="{00000000-0005-0000-0000-0000B1030000}"/>
    <cellStyle name="1Outputbox1 4" xfId="1437" xr:uid="{00000000-0005-0000-0000-0000B2030000}"/>
    <cellStyle name="1Outputbox1 4 2" xfId="1438" xr:uid="{00000000-0005-0000-0000-0000B3030000}"/>
    <cellStyle name="1Outputbox1 4 2 2" xfId="1439" xr:uid="{00000000-0005-0000-0000-0000B4030000}"/>
    <cellStyle name="1Outputbox1 4 2 2 2" xfId="1440" xr:uid="{00000000-0005-0000-0000-0000B5030000}"/>
    <cellStyle name="1Outputbox1 4 2 2 2 2" xfId="1441" xr:uid="{00000000-0005-0000-0000-0000B6030000}"/>
    <cellStyle name="1Outputbox1 4 2 2 3" xfId="1442" xr:uid="{00000000-0005-0000-0000-0000B7030000}"/>
    <cellStyle name="1Outputbox1 4 2 2 3 2" xfId="1443" xr:uid="{00000000-0005-0000-0000-0000B8030000}"/>
    <cellStyle name="1Outputbox1 4 2 3" xfId="1444" xr:uid="{00000000-0005-0000-0000-0000B9030000}"/>
    <cellStyle name="1Outputbox1 4 2 3 2" xfId="1445" xr:uid="{00000000-0005-0000-0000-0000BA030000}"/>
    <cellStyle name="1Outputbox1 4 2 3 2 2" xfId="1446" xr:uid="{00000000-0005-0000-0000-0000BB030000}"/>
    <cellStyle name="1Outputbox1 4 2 3 3" xfId="1447" xr:uid="{00000000-0005-0000-0000-0000BC030000}"/>
    <cellStyle name="1Outputbox1 4 2 3 3 2" xfId="1448" xr:uid="{00000000-0005-0000-0000-0000BD030000}"/>
    <cellStyle name="1Outputbox1 4 2 4" xfId="1449" xr:uid="{00000000-0005-0000-0000-0000BE030000}"/>
    <cellStyle name="1Outputbox1 4 2 4 2" xfId="1450" xr:uid="{00000000-0005-0000-0000-0000BF030000}"/>
    <cellStyle name="1Outputbox1 4 2 5" xfId="1451" xr:uid="{00000000-0005-0000-0000-0000C0030000}"/>
    <cellStyle name="1Outputbox1 4 2 5 2" xfId="1452" xr:uid="{00000000-0005-0000-0000-0000C1030000}"/>
    <cellStyle name="1Outputbox1 4 3" xfId="1453" xr:uid="{00000000-0005-0000-0000-0000C2030000}"/>
    <cellStyle name="1Outputbox1 4 3 2" xfId="1454" xr:uid="{00000000-0005-0000-0000-0000C3030000}"/>
    <cellStyle name="1Outputbox1 4 3 2 2" xfId="1455" xr:uid="{00000000-0005-0000-0000-0000C4030000}"/>
    <cellStyle name="1Outputbox1 4 3 2 2 2" xfId="1456" xr:uid="{00000000-0005-0000-0000-0000C5030000}"/>
    <cellStyle name="1Outputbox1 4 3 2 3" xfId="1457" xr:uid="{00000000-0005-0000-0000-0000C6030000}"/>
    <cellStyle name="1Outputbox1 4 3 2 3 2" xfId="1458" xr:uid="{00000000-0005-0000-0000-0000C7030000}"/>
    <cellStyle name="1Outputbox1 4 3 3" xfId="1459" xr:uid="{00000000-0005-0000-0000-0000C8030000}"/>
    <cellStyle name="1Outputbox1 4 3 3 2" xfId="1460" xr:uid="{00000000-0005-0000-0000-0000C9030000}"/>
    <cellStyle name="1Outputbox1 4 3 3 2 2" xfId="1461" xr:uid="{00000000-0005-0000-0000-0000CA030000}"/>
    <cellStyle name="1Outputbox1 4 3 3 3" xfId="1462" xr:uid="{00000000-0005-0000-0000-0000CB030000}"/>
    <cellStyle name="1Outputbox1 4 3 3 3 2" xfId="1463" xr:uid="{00000000-0005-0000-0000-0000CC030000}"/>
    <cellStyle name="1Outputbox1 4 3 4" xfId="1464" xr:uid="{00000000-0005-0000-0000-0000CD030000}"/>
    <cellStyle name="1Outputbox1 4 3 4 2" xfId="1465" xr:uid="{00000000-0005-0000-0000-0000CE030000}"/>
    <cellStyle name="1Outputbox1 4 3 5" xfId="1466" xr:uid="{00000000-0005-0000-0000-0000CF030000}"/>
    <cellStyle name="1Outputbox1 4 3 5 2" xfId="1467" xr:uid="{00000000-0005-0000-0000-0000D0030000}"/>
    <cellStyle name="1Outputbox1 4 4" xfId="1468" xr:uid="{00000000-0005-0000-0000-0000D1030000}"/>
    <cellStyle name="1Outputbox1 4 4 2" xfId="1469" xr:uid="{00000000-0005-0000-0000-0000D2030000}"/>
    <cellStyle name="1Outputbox1 4 4 2 2" xfId="1470" xr:uid="{00000000-0005-0000-0000-0000D3030000}"/>
    <cellStyle name="1Outputbox1 4 4 2 2 2" xfId="1471" xr:uid="{00000000-0005-0000-0000-0000D4030000}"/>
    <cellStyle name="1Outputbox1 4 4 2 3" xfId="1472" xr:uid="{00000000-0005-0000-0000-0000D5030000}"/>
    <cellStyle name="1Outputbox1 4 4 2 3 2" xfId="1473" xr:uid="{00000000-0005-0000-0000-0000D6030000}"/>
    <cellStyle name="1Outputbox1 4 4 3" xfId="1474" xr:uid="{00000000-0005-0000-0000-0000D7030000}"/>
    <cellStyle name="1Outputbox1 4 4 3 2" xfId="1475" xr:uid="{00000000-0005-0000-0000-0000D8030000}"/>
    <cellStyle name="1Outputbox1 4 4 3 2 2" xfId="1476" xr:uid="{00000000-0005-0000-0000-0000D9030000}"/>
    <cellStyle name="1Outputbox1 4 4 3 3" xfId="1477" xr:uid="{00000000-0005-0000-0000-0000DA030000}"/>
    <cellStyle name="1Outputbox1 4 4 3 3 2" xfId="1478" xr:uid="{00000000-0005-0000-0000-0000DB030000}"/>
    <cellStyle name="1Outputbox1 4 4 4" xfId="1479" xr:uid="{00000000-0005-0000-0000-0000DC030000}"/>
    <cellStyle name="1Outputbox1 4 4 4 2" xfId="1480" xr:uid="{00000000-0005-0000-0000-0000DD030000}"/>
    <cellStyle name="1Outputbox1 4 4 5" xfId="1481" xr:uid="{00000000-0005-0000-0000-0000DE030000}"/>
    <cellStyle name="1Outputbox1 4 4 5 2" xfId="1482" xr:uid="{00000000-0005-0000-0000-0000DF030000}"/>
    <cellStyle name="1Outputbox1 4 5" xfId="1483" xr:uid="{00000000-0005-0000-0000-0000E0030000}"/>
    <cellStyle name="1Outputbox1 4 5 2" xfId="1484" xr:uid="{00000000-0005-0000-0000-0000E1030000}"/>
    <cellStyle name="1Outputbox1 4 5 2 2" xfId="1485" xr:uid="{00000000-0005-0000-0000-0000E2030000}"/>
    <cellStyle name="1Outputbox1 4 5 3" xfId="1486" xr:uid="{00000000-0005-0000-0000-0000E3030000}"/>
    <cellStyle name="1Outputbox1 4 5 3 2" xfId="1487" xr:uid="{00000000-0005-0000-0000-0000E4030000}"/>
    <cellStyle name="1Outputbox1 4 6" xfId="1488" xr:uid="{00000000-0005-0000-0000-0000E5030000}"/>
    <cellStyle name="1Outputbox1 4 6 2" xfId="1489" xr:uid="{00000000-0005-0000-0000-0000E6030000}"/>
    <cellStyle name="1Outputbox1 4 6 2 2" xfId="1490" xr:uid="{00000000-0005-0000-0000-0000E7030000}"/>
    <cellStyle name="1Outputbox1 4 6 3" xfId="1491" xr:uid="{00000000-0005-0000-0000-0000E8030000}"/>
    <cellStyle name="1Outputbox1 4 6 3 2" xfId="1492" xr:uid="{00000000-0005-0000-0000-0000E9030000}"/>
    <cellStyle name="1Outputbox1 4 7" xfId="1493" xr:uid="{00000000-0005-0000-0000-0000EA030000}"/>
    <cellStyle name="1Outputbox1 4 7 2" xfId="1494" xr:uid="{00000000-0005-0000-0000-0000EB030000}"/>
    <cellStyle name="1Outputbox1 4 8" xfId="1495" xr:uid="{00000000-0005-0000-0000-0000EC030000}"/>
    <cellStyle name="1Outputbox1 4 8 2" xfId="1496" xr:uid="{00000000-0005-0000-0000-0000ED030000}"/>
    <cellStyle name="1Outputbox1 5" xfId="1497" xr:uid="{00000000-0005-0000-0000-0000EE030000}"/>
    <cellStyle name="1Outputbox1 5 2" xfId="1498" xr:uid="{00000000-0005-0000-0000-0000EF030000}"/>
    <cellStyle name="1Outputbox1 5 2 2" xfId="1499" xr:uid="{00000000-0005-0000-0000-0000F0030000}"/>
    <cellStyle name="1Outputbox1 5 2 2 2" xfId="1500" xr:uid="{00000000-0005-0000-0000-0000F1030000}"/>
    <cellStyle name="1Outputbox1 5 2 2 2 2" xfId="1501" xr:uid="{00000000-0005-0000-0000-0000F2030000}"/>
    <cellStyle name="1Outputbox1 5 2 2 3" xfId="1502" xr:uid="{00000000-0005-0000-0000-0000F3030000}"/>
    <cellStyle name="1Outputbox1 5 2 2 3 2" xfId="1503" xr:uid="{00000000-0005-0000-0000-0000F4030000}"/>
    <cellStyle name="1Outputbox1 5 2 3" xfId="1504" xr:uid="{00000000-0005-0000-0000-0000F5030000}"/>
    <cellStyle name="1Outputbox1 5 2 3 2" xfId="1505" xr:uid="{00000000-0005-0000-0000-0000F6030000}"/>
    <cellStyle name="1Outputbox1 5 2 3 2 2" xfId="1506" xr:uid="{00000000-0005-0000-0000-0000F7030000}"/>
    <cellStyle name="1Outputbox1 5 2 3 3" xfId="1507" xr:uid="{00000000-0005-0000-0000-0000F8030000}"/>
    <cellStyle name="1Outputbox1 5 2 3 3 2" xfId="1508" xr:uid="{00000000-0005-0000-0000-0000F9030000}"/>
    <cellStyle name="1Outputbox1 5 2 4" xfId="1509" xr:uid="{00000000-0005-0000-0000-0000FA030000}"/>
    <cellStyle name="1Outputbox1 5 2 4 2" xfId="1510" xr:uid="{00000000-0005-0000-0000-0000FB030000}"/>
    <cellStyle name="1Outputbox1 5 2 5" xfId="1511" xr:uid="{00000000-0005-0000-0000-0000FC030000}"/>
    <cellStyle name="1Outputbox1 5 2 5 2" xfId="1512" xr:uid="{00000000-0005-0000-0000-0000FD030000}"/>
    <cellStyle name="1Outputbox1 5 3" xfId="1513" xr:uid="{00000000-0005-0000-0000-0000FE030000}"/>
    <cellStyle name="1Outputbox1 5 3 2" xfId="1514" xr:uid="{00000000-0005-0000-0000-0000FF030000}"/>
    <cellStyle name="1Outputbox1 5 3 2 2" xfId="1515" xr:uid="{00000000-0005-0000-0000-000000040000}"/>
    <cellStyle name="1Outputbox1 5 3 2 2 2" xfId="1516" xr:uid="{00000000-0005-0000-0000-000001040000}"/>
    <cellStyle name="1Outputbox1 5 3 2 3" xfId="1517" xr:uid="{00000000-0005-0000-0000-000002040000}"/>
    <cellStyle name="1Outputbox1 5 3 2 3 2" xfId="1518" xr:uid="{00000000-0005-0000-0000-000003040000}"/>
    <cellStyle name="1Outputbox1 5 3 3" xfId="1519" xr:uid="{00000000-0005-0000-0000-000004040000}"/>
    <cellStyle name="1Outputbox1 5 3 3 2" xfId="1520" xr:uid="{00000000-0005-0000-0000-000005040000}"/>
    <cellStyle name="1Outputbox1 5 3 3 2 2" xfId="1521" xr:uid="{00000000-0005-0000-0000-000006040000}"/>
    <cellStyle name="1Outputbox1 5 3 3 3" xfId="1522" xr:uid="{00000000-0005-0000-0000-000007040000}"/>
    <cellStyle name="1Outputbox1 5 3 3 3 2" xfId="1523" xr:uid="{00000000-0005-0000-0000-000008040000}"/>
    <cellStyle name="1Outputbox1 5 3 4" xfId="1524" xr:uid="{00000000-0005-0000-0000-000009040000}"/>
    <cellStyle name="1Outputbox1 5 3 4 2" xfId="1525" xr:uid="{00000000-0005-0000-0000-00000A040000}"/>
    <cellStyle name="1Outputbox1 5 3 5" xfId="1526" xr:uid="{00000000-0005-0000-0000-00000B040000}"/>
    <cellStyle name="1Outputbox1 5 3 5 2" xfId="1527" xr:uid="{00000000-0005-0000-0000-00000C040000}"/>
    <cellStyle name="1Outputbox1 5 4" xfId="1528" xr:uid="{00000000-0005-0000-0000-00000D040000}"/>
    <cellStyle name="1Outputbox1 5 4 2" xfId="1529" xr:uid="{00000000-0005-0000-0000-00000E040000}"/>
    <cellStyle name="1Outputbox1 5 4 2 2" xfId="1530" xr:uid="{00000000-0005-0000-0000-00000F040000}"/>
    <cellStyle name="1Outputbox1 5 4 2 2 2" xfId="1531" xr:uid="{00000000-0005-0000-0000-000010040000}"/>
    <cellStyle name="1Outputbox1 5 4 2 3" xfId="1532" xr:uid="{00000000-0005-0000-0000-000011040000}"/>
    <cellStyle name="1Outputbox1 5 4 2 3 2" xfId="1533" xr:uid="{00000000-0005-0000-0000-000012040000}"/>
    <cellStyle name="1Outputbox1 5 4 3" xfId="1534" xr:uid="{00000000-0005-0000-0000-000013040000}"/>
    <cellStyle name="1Outputbox1 5 4 3 2" xfId="1535" xr:uid="{00000000-0005-0000-0000-000014040000}"/>
    <cellStyle name="1Outputbox1 5 4 3 2 2" xfId="1536" xr:uid="{00000000-0005-0000-0000-000015040000}"/>
    <cellStyle name="1Outputbox1 5 4 3 3" xfId="1537" xr:uid="{00000000-0005-0000-0000-000016040000}"/>
    <cellStyle name="1Outputbox1 5 4 3 3 2" xfId="1538" xr:uid="{00000000-0005-0000-0000-000017040000}"/>
    <cellStyle name="1Outputbox1 5 4 4" xfId="1539" xr:uid="{00000000-0005-0000-0000-000018040000}"/>
    <cellStyle name="1Outputbox1 5 4 4 2" xfId="1540" xr:uid="{00000000-0005-0000-0000-000019040000}"/>
    <cellStyle name="1Outputbox1 5 4 5" xfId="1541" xr:uid="{00000000-0005-0000-0000-00001A040000}"/>
    <cellStyle name="1Outputbox1 5 4 5 2" xfId="1542" xr:uid="{00000000-0005-0000-0000-00001B040000}"/>
    <cellStyle name="1Outputbox1 5 5" xfId="1543" xr:uid="{00000000-0005-0000-0000-00001C040000}"/>
    <cellStyle name="1Outputbox1 5 5 2" xfId="1544" xr:uid="{00000000-0005-0000-0000-00001D040000}"/>
    <cellStyle name="1Outputbox1 5 5 2 2" xfId="1545" xr:uid="{00000000-0005-0000-0000-00001E040000}"/>
    <cellStyle name="1Outputbox1 5 5 3" xfId="1546" xr:uid="{00000000-0005-0000-0000-00001F040000}"/>
    <cellStyle name="1Outputbox1 5 5 3 2" xfId="1547" xr:uid="{00000000-0005-0000-0000-000020040000}"/>
    <cellStyle name="1Outputbox1 5 6" xfId="1548" xr:uid="{00000000-0005-0000-0000-000021040000}"/>
    <cellStyle name="1Outputbox1 5 6 2" xfId="1549" xr:uid="{00000000-0005-0000-0000-000022040000}"/>
    <cellStyle name="1Outputbox1 5 6 2 2" xfId="1550" xr:uid="{00000000-0005-0000-0000-000023040000}"/>
    <cellStyle name="1Outputbox1 5 6 3" xfId="1551" xr:uid="{00000000-0005-0000-0000-000024040000}"/>
    <cellStyle name="1Outputbox1 5 6 3 2" xfId="1552" xr:uid="{00000000-0005-0000-0000-000025040000}"/>
    <cellStyle name="1Outputbox1 5 7" xfId="1553" xr:uid="{00000000-0005-0000-0000-000026040000}"/>
    <cellStyle name="1Outputbox1 5 7 2" xfId="1554" xr:uid="{00000000-0005-0000-0000-000027040000}"/>
    <cellStyle name="1Outputbox1 5 8" xfId="1555" xr:uid="{00000000-0005-0000-0000-000028040000}"/>
    <cellStyle name="1Outputbox1 5 8 2" xfId="1556" xr:uid="{00000000-0005-0000-0000-000029040000}"/>
    <cellStyle name="1Outputbox1 6" xfId="1557" xr:uid="{00000000-0005-0000-0000-00002A040000}"/>
    <cellStyle name="1Outputbox1 6 2" xfId="1558" xr:uid="{00000000-0005-0000-0000-00002B040000}"/>
    <cellStyle name="1Outputbox1 6 2 2" xfId="1559" xr:uid="{00000000-0005-0000-0000-00002C040000}"/>
    <cellStyle name="1Outputbox1 6 2 2 2" xfId="1560" xr:uid="{00000000-0005-0000-0000-00002D040000}"/>
    <cellStyle name="1Outputbox1 6 2 2 2 2" xfId="1561" xr:uid="{00000000-0005-0000-0000-00002E040000}"/>
    <cellStyle name="1Outputbox1 6 2 2 3" xfId="1562" xr:uid="{00000000-0005-0000-0000-00002F040000}"/>
    <cellStyle name="1Outputbox1 6 2 2 3 2" xfId="1563" xr:uid="{00000000-0005-0000-0000-000030040000}"/>
    <cellStyle name="1Outputbox1 6 2 3" xfId="1564" xr:uid="{00000000-0005-0000-0000-000031040000}"/>
    <cellStyle name="1Outputbox1 6 2 3 2" xfId="1565" xr:uid="{00000000-0005-0000-0000-000032040000}"/>
    <cellStyle name="1Outputbox1 6 2 3 2 2" xfId="1566" xr:uid="{00000000-0005-0000-0000-000033040000}"/>
    <cellStyle name="1Outputbox1 6 2 3 3" xfId="1567" xr:uid="{00000000-0005-0000-0000-000034040000}"/>
    <cellStyle name="1Outputbox1 6 2 3 3 2" xfId="1568" xr:uid="{00000000-0005-0000-0000-000035040000}"/>
    <cellStyle name="1Outputbox1 6 2 4" xfId="1569" xr:uid="{00000000-0005-0000-0000-000036040000}"/>
    <cellStyle name="1Outputbox1 6 2 4 2" xfId="1570" xr:uid="{00000000-0005-0000-0000-000037040000}"/>
    <cellStyle name="1Outputbox1 6 2 5" xfId="1571" xr:uid="{00000000-0005-0000-0000-000038040000}"/>
    <cellStyle name="1Outputbox1 6 2 5 2" xfId="1572" xr:uid="{00000000-0005-0000-0000-000039040000}"/>
    <cellStyle name="1Outputbox1 6 3" xfId="1573" xr:uid="{00000000-0005-0000-0000-00003A040000}"/>
    <cellStyle name="1Outputbox1 6 3 2" xfId="1574" xr:uid="{00000000-0005-0000-0000-00003B040000}"/>
    <cellStyle name="1Outputbox1 6 3 2 2" xfId="1575" xr:uid="{00000000-0005-0000-0000-00003C040000}"/>
    <cellStyle name="1Outputbox1 6 3 2 2 2" xfId="1576" xr:uid="{00000000-0005-0000-0000-00003D040000}"/>
    <cellStyle name="1Outputbox1 6 3 2 3" xfId="1577" xr:uid="{00000000-0005-0000-0000-00003E040000}"/>
    <cellStyle name="1Outputbox1 6 3 2 3 2" xfId="1578" xr:uid="{00000000-0005-0000-0000-00003F040000}"/>
    <cellStyle name="1Outputbox1 6 3 3" xfId="1579" xr:uid="{00000000-0005-0000-0000-000040040000}"/>
    <cellStyle name="1Outputbox1 6 3 3 2" xfId="1580" xr:uid="{00000000-0005-0000-0000-000041040000}"/>
    <cellStyle name="1Outputbox1 6 3 3 2 2" xfId="1581" xr:uid="{00000000-0005-0000-0000-000042040000}"/>
    <cellStyle name="1Outputbox1 6 3 3 3" xfId="1582" xr:uid="{00000000-0005-0000-0000-000043040000}"/>
    <cellStyle name="1Outputbox1 6 3 3 3 2" xfId="1583" xr:uid="{00000000-0005-0000-0000-000044040000}"/>
    <cellStyle name="1Outputbox1 6 3 4" xfId="1584" xr:uid="{00000000-0005-0000-0000-000045040000}"/>
    <cellStyle name="1Outputbox1 6 3 4 2" xfId="1585" xr:uid="{00000000-0005-0000-0000-000046040000}"/>
    <cellStyle name="1Outputbox1 6 3 5" xfId="1586" xr:uid="{00000000-0005-0000-0000-000047040000}"/>
    <cellStyle name="1Outputbox1 6 3 5 2" xfId="1587" xr:uid="{00000000-0005-0000-0000-000048040000}"/>
    <cellStyle name="1Outputbox1 6 4" xfId="1588" xr:uid="{00000000-0005-0000-0000-000049040000}"/>
    <cellStyle name="1Outputbox1 6 4 2" xfId="1589" xr:uid="{00000000-0005-0000-0000-00004A040000}"/>
    <cellStyle name="1Outputbox1 6 4 2 2" xfId="1590" xr:uid="{00000000-0005-0000-0000-00004B040000}"/>
    <cellStyle name="1Outputbox1 6 4 2 2 2" xfId="1591" xr:uid="{00000000-0005-0000-0000-00004C040000}"/>
    <cellStyle name="1Outputbox1 6 4 2 3" xfId="1592" xr:uid="{00000000-0005-0000-0000-00004D040000}"/>
    <cellStyle name="1Outputbox1 6 4 2 3 2" xfId="1593" xr:uid="{00000000-0005-0000-0000-00004E040000}"/>
    <cellStyle name="1Outputbox1 6 4 3" xfId="1594" xr:uid="{00000000-0005-0000-0000-00004F040000}"/>
    <cellStyle name="1Outputbox1 6 4 3 2" xfId="1595" xr:uid="{00000000-0005-0000-0000-000050040000}"/>
    <cellStyle name="1Outputbox1 6 4 3 2 2" xfId="1596" xr:uid="{00000000-0005-0000-0000-000051040000}"/>
    <cellStyle name="1Outputbox1 6 4 3 3" xfId="1597" xr:uid="{00000000-0005-0000-0000-000052040000}"/>
    <cellStyle name="1Outputbox1 6 4 3 3 2" xfId="1598" xr:uid="{00000000-0005-0000-0000-000053040000}"/>
    <cellStyle name="1Outputbox1 6 4 4" xfId="1599" xr:uid="{00000000-0005-0000-0000-000054040000}"/>
    <cellStyle name="1Outputbox1 6 4 4 2" xfId="1600" xr:uid="{00000000-0005-0000-0000-000055040000}"/>
    <cellStyle name="1Outputbox1 6 4 5" xfId="1601" xr:uid="{00000000-0005-0000-0000-000056040000}"/>
    <cellStyle name="1Outputbox1 6 4 5 2" xfId="1602" xr:uid="{00000000-0005-0000-0000-000057040000}"/>
    <cellStyle name="1Outputbox1 6 5" xfId="1603" xr:uid="{00000000-0005-0000-0000-000058040000}"/>
    <cellStyle name="1Outputbox1 6 5 2" xfId="1604" xr:uid="{00000000-0005-0000-0000-000059040000}"/>
    <cellStyle name="1Outputbox1 6 5 2 2" xfId="1605" xr:uid="{00000000-0005-0000-0000-00005A040000}"/>
    <cellStyle name="1Outputbox1 6 5 3" xfId="1606" xr:uid="{00000000-0005-0000-0000-00005B040000}"/>
    <cellStyle name="1Outputbox1 6 5 3 2" xfId="1607" xr:uid="{00000000-0005-0000-0000-00005C040000}"/>
    <cellStyle name="1Outputbox1 6 6" xfId="1608" xr:uid="{00000000-0005-0000-0000-00005D040000}"/>
    <cellStyle name="1Outputbox1 6 6 2" xfId="1609" xr:uid="{00000000-0005-0000-0000-00005E040000}"/>
    <cellStyle name="1Outputbox1 6 6 2 2" xfId="1610" xr:uid="{00000000-0005-0000-0000-00005F040000}"/>
    <cellStyle name="1Outputbox1 6 6 3" xfId="1611" xr:uid="{00000000-0005-0000-0000-000060040000}"/>
    <cellStyle name="1Outputbox1 6 6 3 2" xfId="1612" xr:uid="{00000000-0005-0000-0000-000061040000}"/>
    <cellStyle name="1Outputbox1 6 7" xfId="1613" xr:uid="{00000000-0005-0000-0000-000062040000}"/>
    <cellStyle name="1Outputbox1 6 7 2" xfId="1614" xr:uid="{00000000-0005-0000-0000-000063040000}"/>
    <cellStyle name="1Outputbox1 6 8" xfId="1615" xr:uid="{00000000-0005-0000-0000-000064040000}"/>
    <cellStyle name="1Outputbox1 6 8 2" xfId="1616" xr:uid="{00000000-0005-0000-0000-000065040000}"/>
    <cellStyle name="1Outputbox1 7" xfId="1617" xr:uid="{00000000-0005-0000-0000-000066040000}"/>
    <cellStyle name="1Outputbox1 7 2" xfId="1618" xr:uid="{00000000-0005-0000-0000-000067040000}"/>
    <cellStyle name="1Outputbox1 7 2 2" xfId="1619" xr:uid="{00000000-0005-0000-0000-000068040000}"/>
    <cellStyle name="1Outputbox1 7 2 2 2" xfId="1620" xr:uid="{00000000-0005-0000-0000-000069040000}"/>
    <cellStyle name="1Outputbox1 7 2 2 2 2" xfId="1621" xr:uid="{00000000-0005-0000-0000-00006A040000}"/>
    <cellStyle name="1Outputbox1 7 2 2 3" xfId="1622" xr:uid="{00000000-0005-0000-0000-00006B040000}"/>
    <cellStyle name="1Outputbox1 7 2 2 3 2" xfId="1623" xr:uid="{00000000-0005-0000-0000-00006C040000}"/>
    <cellStyle name="1Outputbox1 7 2 3" xfId="1624" xr:uid="{00000000-0005-0000-0000-00006D040000}"/>
    <cellStyle name="1Outputbox1 7 2 3 2" xfId="1625" xr:uid="{00000000-0005-0000-0000-00006E040000}"/>
    <cellStyle name="1Outputbox1 7 2 3 2 2" xfId="1626" xr:uid="{00000000-0005-0000-0000-00006F040000}"/>
    <cellStyle name="1Outputbox1 7 2 3 3" xfId="1627" xr:uid="{00000000-0005-0000-0000-000070040000}"/>
    <cellStyle name="1Outputbox1 7 2 3 3 2" xfId="1628" xr:uid="{00000000-0005-0000-0000-000071040000}"/>
    <cellStyle name="1Outputbox1 7 2 4" xfId="1629" xr:uid="{00000000-0005-0000-0000-000072040000}"/>
    <cellStyle name="1Outputbox1 7 2 4 2" xfId="1630" xr:uid="{00000000-0005-0000-0000-000073040000}"/>
    <cellStyle name="1Outputbox1 7 2 5" xfId="1631" xr:uid="{00000000-0005-0000-0000-000074040000}"/>
    <cellStyle name="1Outputbox1 7 2 5 2" xfId="1632" xr:uid="{00000000-0005-0000-0000-000075040000}"/>
    <cellStyle name="1Outputbox1 7 3" xfId="1633" xr:uid="{00000000-0005-0000-0000-000076040000}"/>
    <cellStyle name="1Outputbox1 7 3 2" xfId="1634" xr:uid="{00000000-0005-0000-0000-000077040000}"/>
    <cellStyle name="1Outputbox1 7 3 2 2" xfId="1635" xr:uid="{00000000-0005-0000-0000-000078040000}"/>
    <cellStyle name="1Outputbox1 7 3 2 2 2" xfId="1636" xr:uid="{00000000-0005-0000-0000-000079040000}"/>
    <cellStyle name="1Outputbox1 7 3 2 3" xfId="1637" xr:uid="{00000000-0005-0000-0000-00007A040000}"/>
    <cellStyle name="1Outputbox1 7 3 2 3 2" xfId="1638" xr:uid="{00000000-0005-0000-0000-00007B040000}"/>
    <cellStyle name="1Outputbox1 7 3 3" xfId="1639" xr:uid="{00000000-0005-0000-0000-00007C040000}"/>
    <cellStyle name="1Outputbox1 7 3 3 2" xfId="1640" xr:uid="{00000000-0005-0000-0000-00007D040000}"/>
    <cellStyle name="1Outputbox1 7 3 3 2 2" xfId="1641" xr:uid="{00000000-0005-0000-0000-00007E040000}"/>
    <cellStyle name="1Outputbox1 7 3 3 3" xfId="1642" xr:uid="{00000000-0005-0000-0000-00007F040000}"/>
    <cellStyle name="1Outputbox1 7 3 3 3 2" xfId="1643" xr:uid="{00000000-0005-0000-0000-000080040000}"/>
    <cellStyle name="1Outputbox1 7 3 4" xfId="1644" xr:uid="{00000000-0005-0000-0000-000081040000}"/>
    <cellStyle name="1Outputbox1 7 3 4 2" xfId="1645" xr:uid="{00000000-0005-0000-0000-000082040000}"/>
    <cellStyle name="1Outputbox1 7 3 5" xfId="1646" xr:uid="{00000000-0005-0000-0000-000083040000}"/>
    <cellStyle name="1Outputbox1 7 3 5 2" xfId="1647" xr:uid="{00000000-0005-0000-0000-000084040000}"/>
    <cellStyle name="1Outputbox1 7 4" xfId="1648" xr:uid="{00000000-0005-0000-0000-000085040000}"/>
    <cellStyle name="1Outputbox1 7 4 2" xfId="1649" xr:uid="{00000000-0005-0000-0000-000086040000}"/>
    <cellStyle name="1Outputbox1 7 4 2 2" xfId="1650" xr:uid="{00000000-0005-0000-0000-000087040000}"/>
    <cellStyle name="1Outputbox1 7 4 2 2 2" xfId="1651" xr:uid="{00000000-0005-0000-0000-000088040000}"/>
    <cellStyle name="1Outputbox1 7 4 2 3" xfId="1652" xr:uid="{00000000-0005-0000-0000-000089040000}"/>
    <cellStyle name="1Outputbox1 7 4 2 3 2" xfId="1653" xr:uid="{00000000-0005-0000-0000-00008A040000}"/>
    <cellStyle name="1Outputbox1 7 4 3" xfId="1654" xr:uid="{00000000-0005-0000-0000-00008B040000}"/>
    <cellStyle name="1Outputbox1 7 4 3 2" xfId="1655" xr:uid="{00000000-0005-0000-0000-00008C040000}"/>
    <cellStyle name="1Outputbox1 7 4 3 2 2" xfId="1656" xr:uid="{00000000-0005-0000-0000-00008D040000}"/>
    <cellStyle name="1Outputbox1 7 4 3 3" xfId="1657" xr:uid="{00000000-0005-0000-0000-00008E040000}"/>
    <cellStyle name="1Outputbox1 7 4 3 3 2" xfId="1658" xr:uid="{00000000-0005-0000-0000-00008F040000}"/>
    <cellStyle name="1Outputbox1 7 4 4" xfId="1659" xr:uid="{00000000-0005-0000-0000-000090040000}"/>
    <cellStyle name="1Outputbox1 7 4 4 2" xfId="1660" xr:uid="{00000000-0005-0000-0000-000091040000}"/>
    <cellStyle name="1Outputbox1 7 4 5" xfId="1661" xr:uid="{00000000-0005-0000-0000-000092040000}"/>
    <cellStyle name="1Outputbox1 7 4 5 2" xfId="1662" xr:uid="{00000000-0005-0000-0000-000093040000}"/>
    <cellStyle name="1Outputbox1 7 5" xfId="1663" xr:uid="{00000000-0005-0000-0000-000094040000}"/>
    <cellStyle name="1Outputbox1 7 5 2" xfId="1664" xr:uid="{00000000-0005-0000-0000-000095040000}"/>
    <cellStyle name="1Outputbox1 7 5 2 2" xfId="1665" xr:uid="{00000000-0005-0000-0000-000096040000}"/>
    <cellStyle name="1Outputbox1 7 5 3" xfId="1666" xr:uid="{00000000-0005-0000-0000-000097040000}"/>
    <cellStyle name="1Outputbox1 7 5 3 2" xfId="1667" xr:uid="{00000000-0005-0000-0000-000098040000}"/>
    <cellStyle name="1Outputbox1 7 6" xfId="1668" xr:uid="{00000000-0005-0000-0000-000099040000}"/>
    <cellStyle name="1Outputbox1 7 6 2" xfId="1669" xr:uid="{00000000-0005-0000-0000-00009A040000}"/>
    <cellStyle name="1Outputbox1 7 6 2 2" xfId="1670" xr:uid="{00000000-0005-0000-0000-00009B040000}"/>
    <cellStyle name="1Outputbox1 7 6 3" xfId="1671" xr:uid="{00000000-0005-0000-0000-00009C040000}"/>
    <cellStyle name="1Outputbox1 7 6 3 2" xfId="1672" xr:uid="{00000000-0005-0000-0000-00009D040000}"/>
    <cellStyle name="1Outputbox1 7 7" xfId="1673" xr:uid="{00000000-0005-0000-0000-00009E040000}"/>
    <cellStyle name="1Outputbox1 7 7 2" xfId="1674" xr:uid="{00000000-0005-0000-0000-00009F040000}"/>
    <cellStyle name="1Outputbox1 7 8" xfId="1675" xr:uid="{00000000-0005-0000-0000-0000A0040000}"/>
    <cellStyle name="1Outputbox1 7 8 2" xfId="1676" xr:uid="{00000000-0005-0000-0000-0000A1040000}"/>
    <cellStyle name="1Outputbox1 8" xfId="1677" xr:uid="{00000000-0005-0000-0000-0000A2040000}"/>
    <cellStyle name="1Outputbox1 8 2" xfId="1678" xr:uid="{00000000-0005-0000-0000-0000A3040000}"/>
    <cellStyle name="1Outputbox1 8 2 2" xfId="1679" xr:uid="{00000000-0005-0000-0000-0000A4040000}"/>
    <cellStyle name="1Outputbox1 8 2 2 2" xfId="1680" xr:uid="{00000000-0005-0000-0000-0000A5040000}"/>
    <cellStyle name="1Outputbox1 8 2 2 2 2" xfId="1681" xr:uid="{00000000-0005-0000-0000-0000A6040000}"/>
    <cellStyle name="1Outputbox1 8 2 2 3" xfId="1682" xr:uid="{00000000-0005-0000-0000-0000A7040000}"/>
    <cellStyle name="1Outputbox1 8 2 2 3 2" xfId="1683" xr:uid="{00000000-0005-0000-0000-0000A8040000}"/>
    <cellStyle name="1Outputbox1 8 2 3" xfId="1684" xr:uid="{00000000-0005-0000-0000-0000A9040000}"/>
    <cellStyle name="1Outputbox1 8 2 3 2" xfId="1685" xr:uid="{00000000-0005-0000-0000-0000AA040000}"/>
    <cellStyle name="1Outputbox1 8 2 3 2 2" xfId="1686" xr:uid="{00000000-0005-0000-0000-0000AB040000}"/>
    <cellStyle name="1Outputbox1 8 2 3 3" xfId="1687" xr:uid="{00000000-0005-0000-0000-0000AC040000}"/>
    <cellStyle name="1Outputbox1 8 2 3 3 2" xfId="1688" xr:uid="{00000000-0005-0000-0000-0000AD040000}"/>
    <cellStyle name="1Outputbox1 8 2 4" xfId="1689" xr:uid="{00000000-0005-0000-0000-0000AE040000}"/>
    <cellStyle name="1Outputbox1 8 2 4 2" xfId="1690" xr:uid="{00000000-0005-0000-0000-0000AF040000}"/>
    <cellStyle name="1Outputbox1 8 2 5" xfId="1691" xr:uid="{00000000-0005-0000-0000-0000B0040000}"/>
    <cellStyle name="1Outputbox1 8 2 5 2" xfId="1692" xr:uid="{00000000-0005-0000-0000-0000B1040000}"/>
    <cellStyle name="1Outputbox1 8 3" xfId="1693" xr:uid="{00000000-0005-0000-0000-0000B2040000}"/>
    <cellStyle name="1Outputbox1 8 3 2" xfId="1694" xr:uid="{00000000-0005-0000-0000-0000B3040000}"/>
    <cellStyle name="1Outputbox1 8 3 2 2" xfId="1695" xr:uid="{00000000-0005-0000-0000-0000B4040000}"/>
    <cellStyle name="1Outputbox1 8 3 2 2 2" xfId="1696" xr:uid="{00000000-0005-0000-0000-0000B5040000}"/>
    <cellStyle name="1Outputbox1 8 3 2 3" xfId="1697" xr:uid="{00000000-0005-0000-0000-0000B6040000}"/>
    <cellStyle name="1Outputbox1 8 3 2 3 2" xfId="1698" xr:uid="{00000000-0005-0000-0000-0000B7040000}"/>
    <cellStyle name="1Outputbox1 8 3 3" xfId="1699" xr:uid="{00000000-0005-0000-0000-0000B8040000}"/>
    <cellStyle name="1Outputbox1 8 3 3 2" xfId="1700" xr:uid="{00000000-0005-0000-0000-0000B9040000}"/>
    <cellStyle name="1Outputbox1 8 3 3 2 2" xfId="1701" xr:uid="{00000000-0005-0000-0000-0000BA040000}"/>
    <cellStyle name="1Outputbox1 8 3 3 3" xfId="1702" xr:uid="{00000000-0005-0000-0000-0000BB040000}"/>
    <cellStyle name="1Outputbox1 8 3 3 3 2" xfId="1703" xr:uid="{00000000-0005-0000-0000-0000BC040000}"/>
    <cellStyle name="1Outputbox1 8 3 4" xfId="1704" xr:uid="{00000000-0005-0000-0000-0000BD040000}"/>
    <cellStyle name="1Outputbox1 8 3 4 2" xfId="1705" xr:uid="{00000000-0005-0000-0000-0000BE040000}"/>
    <cellStyle name="1Outputbox1 8 3 5" xfId="1706" xr:uid="{00000000-0005-0000-0000-0000BF040000}"/>
    <cellStyle name="1Outputbox1 8 3 5 2" xfId="1707" xr:uid="{00000000-0005-0000-0000-0000C0040000}"/>
    <cellStyle name="1Outputbox1 8 4" xfId="1708" xr:uid="{00000000-0005-0000-0000-0000C1040000}"/>
    <cellStyle name="1Outputbox1 8 4 2" xfId="1709" xr:uid="{00000000-0005-0000-0000-0000C2040000}"/>
    <cellStyle name="1Outputbox1 8 4 2 2" xfId="1710" xr:uid="{00000000-0005-0000-0000-0000C3040000}"/>
    <cellStyle name="1Outputbox1 8 4 2 2 2" xfId="1711" xr:uid="{00000000-0005-0000-0000-0000C4040000}"/>
    <cellStyle name="1Outputbox1 8 4 2 3" xfId="1712" xr:uid="{00000000-0005-0000-0000-0000C5040000}"/>
    <cellStyle name="1Outputbox1 8 4 2 3 2" xfId="1713" xr:uid="{00000000-0005-0000-0000-0000C6040000}"/>
    <cellStyle name="1Outputbox1 8 4 3" xfId="1714" xr:uid="{00000000-0005-0000-0000-0000C7040000}"/>
    <cellStyle name="1Outputbox1 8 4 3 2" xfId="1715" xr:uid="{00000000-0005-0000-0000-0000C8040000}"/>
    <cellStyle name="1Outputbox1 8 4 3 2 2" xfId="1716" xr:uid="{00000000-0005-0000-0000-0000C9040000}"/>
    <cellStyle name="1Outputbox1 8 4 3 3" xfId="1717" xr:uid="{00000000-0005-0000-0000-0000CA040000}"/>
    <cellStyle name="1Outputbox1 8 4 3 3 2" xfId="1718" xr:uid="{00000000-0005-0000-0000-0000CB040000}"/>
    <cellStyle name="1Outputbox1 8 4 4" xfId="1719" xr:uid="{00000000-0005-0000-0000-0000CC040000}"/>
    <cellStyle name="1Outputbox1 8 4 4 2" xfId="1720" xr:uid="{00000000-0005-0000-0000-0000CD040000}"/>
    <cellStyle name="1Outputbox1 8 4 5" xfId="1721" xr:uid="{00000000-0005-0000-0000-0000CE040000}"/>
    <cellStyle name="1Outputbox1 8 4 5 2" xfId="1722" xr:uid="{00000000-0005-0000-0000-0000CF040000}"/>
    <cellStyle name="1Outputbox1 8 5" xfId="1723" xr:uid="{00000000-0005-0000-0000-0000D0040000}"/>
    <cellStyle name="1Outputbox1 8 5 2" xfId="1724" xr:uid="{00000000-0005-0000-0000-0000D1040000}"/>
    <cellStyle name="1Outputbox1 8 5 2 2" xfId="1725" xr:uid="{00000000-0005-0000-0000-0000D2040000}"/>
    <cellStyle name="1Outputbox1 8 5 3" xfId="1726" xr:uid="{00000000-0005-0000-0000-0000D3040000}"/>
    <cellStyle name="1Outputbox1 8 5 3 2" xfId="1727" xr:uid="{00000000-0005-0000-0000-0000D4040000}"/>
    <cellStyle name="1Outputbox1 8 6" xfId="1728" xr:uid="{00000000-0005-0000-0000-0000D5040000}"/>
    <cellStyle name="1Outputbox1 8 6 2" xfId="1729" xr:uid="{00000000-0005-0000-0000-0000D6040000}"/>
    <cellStyle name="1Outputbox1 8 6 2 2" xfId="1730" xr:uid="{00000000-0005-0000-0000-0000D7040000}"/>
    <cellStyle name="1Outputbox1 8 6 3" xfId="1731" xr:uid="{00000000-0005-0000-0000-0000D8040000}"/>
    <cellStyle name="1Outputbox1 8 6 3 2" xfId="1732" xr:uid="{00000000-0005-0000-0000-0000D9040000}"/>
    <cellStyle name="1Outputbox1 8 7" xfId="1733" xr:uid="{00000000-0005-0000-0000-0000DA040000}"/>
    <cellStyle name="1Outputbox1 8 7 2" xfId="1734" xr:uid="{00000000-0005-0000-0000-0000DB040000}"/>
    <cellStyle name="1Outputbox1 8 8" xfId="1735" xr:uid="{00000000-0005-0000-0000-0000DC040000}"/>
    <cellStyle name="1Outputbox1 8 8 2" xfId="1736" xr:uid="{00000000-0005-0000-0000-0000DD040000}"/>
    <cellStyle name="1Outputbox1 9" xfId="1737" xr:uid="{00000000-0005-0000-0000-0000DE040000}"/>
    <cellStyle name="1Outputbox1 9 2" xfId="1738" xr:uid="{00000000-0005-0000-0000-0000DF040000}"/>
    <cellStyle name="1Outputbox1 9 2 2" xfId="1739" xr:uid="{00000000-0005-0000-0000-0000E0040000}"/>
    <cellStyle name="1Outputbox1 9 2 2 2" xfId="1740" xr:uid="{00000000-0005-0000-0000-0000E1040000}"/>
    <cellStyle name="1Outputbox1 9 2 2 2 2" xfId="1741" xr:uid="{00000000-0005-0000-0000-0000E2040000}"/>
    <cellStyle name="1Outputbox1 9 2 2 3" xfId="1742" xr:uid="{00000000-0005-0000-0000-0000E3040000}"/>
    <cellStyle name="1Outputbox1 9 2 2 3 2" xfId="1743" xr:uid="{00000000-0005-0000-0000-0000E4040000}"/>
    <cellStyle name="1Outputbox1 9 2 3" xfId="1744" xr:uid="{00000000-0005-0000-0000-0000E5040000}"/>
    <cellStyle name="1Outputbox1 9 2 3 2" xfId="1745" xr:uid="{00000000-0005-0000-0000-0000E6040000}"/>
    <cellStyle name="1Outputbox1 9 2 3 2 2" xfId="1746" xr:uid="{00000000-0005-0000-0000-0000E7040000}"/>
    <cellStyle name="1Outputbox1 9 2 3 3" xfId="1747" xr:uid="{00000000-0005-0000-0000-0000E8040000}"/>
    <cellStyle name="1Outputbox1 9 2 3 3 2" xfId="1748" xr:uid="{00000000-0005-0000-0000-0000E9040000}"/>
    <cellStyle name="1Outputbox1 9 2 4" xfId="1749" xr:uid="{00000000-0005-0000-0000-0000EA040000}"/>
    <cellStyle name="1Outputbox1 9 2 4 2" xfId="1750" xr:uid="{00000000-0005-0000-0000-0000EB040000}"/>
    <cellStyle name="1Outputbox1 9 2 5" xfId="1751" xr:uid="{00000000-0005-0000-0000-0000EC040000}"/>
    <cellStyle name="1Outputbox1 9 2 5 2" xfId="1752" xr:uid="{00000000-0005-0000-0000-0000ED040000}"/>
    <cellStyle name="1Outputbox1 9 3" xfId="1753" xr:uid="{00000000-0005-0000-0000-0000EE040000}"/>
    <cellStyle name="1Outputbox1 9 3 2" xfId="1754" xr:uid="{00000000-0005-0000-0000-0000EF040000}"/>
    <cellStyle name="1Outputbox1 9 3 2 2" xfId="1755" xr:uid="{00000000-0005-0000-0000-0000F0040000}"/>
    <cellStyle name="1Outputbox1 9 3 2 2 2" xfId="1756" xr:uid="{00000000-0005-0000-0000-0000F1040000}"/>
    <cellStyle name="1Outputbox1 9 3 2 3" xfId="1757" xr:uid="{00000000-0005-0000-0000-0000F2040000}"/>
    <cellStyle name="1Outputbox1 9 3 2 3 2" xfId="1758" xr:uid="{00000000-0005-0000-0000-0000F3040000}"/>
    <cellStyle name="1Outputbox1 9 3 3" xfId="1759" xr:uid="{00000000-0005-0000-0000-0000F4040000}"/>
    <cellStyle name="1Outputbox1 9 3 3 2" xfId="1760" xr:uid="{00000000-0005-0000-0000-0000F5040000}"/>
    <cellStyle name="1Outputbox1 9 3 3 2 2" xfId="1761" xr:uid="{00000000-0005-0000-0000-0000F6040000}"/>
    <cellStyle name="1Outputbox1 9 3 3 3" xfId="1762" xr:uid="{00000000-0005-0000-0000-0000F7040000}"/>
    <cellStyle name="1Outputbox1 9 3 3 3 2" xfId="1763" xr:uid="{00000000-0005-0000-0000-0000F8040000}"/>
    <cellStyle name="1Outputbox1 9 3 4" xfId="1764" xr:uid="{00000000-0005-0000-0000-0000F9040000}"/>
    <cellStyle name="1Outputbox1 9 3 4 2" xfId="1765" xr:uid="{00000000-0005-0000-0000-0000FA040000}"/>
    <cellStyle name="1Outputbox1 9 3 5" xfId="1766" xr:uid="{00000000-0005-0000-0000-0000FB040000}"/>
    <cellStyle name="1Outputbox1 9 3 5 2" xfId="1767" xr:uid="{00000000-0005-0000-0000-0000FC040000}"/>
    <cellStyle name="1Outputbox1 9 4" xfId="1768" xr:uid="{00000000-0005-0000-0000-0000FD040000}"/>
    <cellStyle name="1Outputbox1 9 4 2" xfId="1769" xr:uid="{00000000-0005-0000-0000-0000FE040000}"/>
    <cellStyle name="1Outputbox1 9 4 2 2" xfId="1770" xr:uid="{00000000-0005-0000-0000-0000FF040000}"/>
    <cellStyle name="1Outputbox1 9 4 2 2 2" xfId="1771" xr:uid="{00000000-0005-0000-0000-000000050000}"/>
    <cellStyle name="1Outputbox1 9 4 2 3" xfId="1772" xr:uid="{00000000-0005-0000-0000-000001050000}"/>
    <cellStyle name="1Outputbox1 9 4 2 3 2" xfId="1773" xr:uid="{00000000-0005-0000-0000-000002050000}"/>
    <cellStyle name="1Outputbox1 9 4 3" xfId="1774" xr:uid="{00000000-0005-0000-0000-000003050000}"/>
    <cellStyle name="1Outputbox1 9 4 3 2" xfId="1775" xr:uid="{00000000-0005-0000-0000-000004050000}"/>
    <cellStyle name="1Outputbox1 9 4 3 2 2" xfId="1776" xr:uid="{00000000-0005-0000-0000-000005050000}"/>
    <cellStyle name="1Outputbox1 9 4 3 3" xfId="1777" xr:uid="{00000000-0005-0000-0000-000006050000}"/>
    <cellStyle name="1Outputbox1 9 4 3 3 2" xfId="1778" xr:uid="{00000000-0005-0000-0000-000007050000}"/>
    <cellStyle name="1Outputbox1 9 4 4" xfId="1779" xr:uid="{00000000-0005-0000-0000-000008050000}"/>
    <cellStyle name="1Outputbox1 9 4 4 2" xfId="1780" xr:uid="{00000000-0005-0000-0000-000009050000}"/>
    <cellStyle name="1Outputbox1 9 4 5" xfId="1781" xr:uid="{00000000-0005-0000-0000-00000A050000}"/>
    <cellStyle name="1Outputbox1 9 4 5 2" xfId="1782" xr:uid="{00000000-0005-0000-0000-00000B050000}"/>
    <cellStyle name="1Outputbox1 9 5" xfId="1783" xr:uid="{00000000-0005-0000-0000-00000C050000}"/>
    <cellStyle name="1Outputbox1 9 5 2" xfId="1784" xr:uid="{00000000-0005-0000-0000-00000D050000}"/>
    <cellStyle name="1Outputbox1 9 5 2 2" xfId="1785" xr:uid="{00000000-0005-0000-0000-00000E050000}"/>
    <cellStyle name="1Outputbox1 9 5 3" xfId="1786" xr:uid="{00000000-0005-0000-0000-00000F050000}"/>
    <cellStyle name="1Outputbox1 9 5 3 2" xfId="1787" xr:uid="{00000000-0005-0000-0000-000010050000}"/>
    <cellStyle name="1Outputbox1 9 6" xfId="1788" xr:uid="{00000000-0005-0000-0000-000011050000}"/>
    <cellStyle name="1Outputbox1 9 6 2" xfId="1789" xr:uid="{00000000-0005-0000-0000-000012050000}"/>
    <cellStyle name="1Outputbox1 9 6 2 2" xfId="1790" xr:uid="{00000000-0005-0000-0000-000013050000}"/>
    <cellStyle name="1Outputbox1 9 6 3" xfId="1791" xr:uid="{00000000-0005-0000-0000-000014050000}"/>
    <cellStyle name="1Outputbox1 9 6 3 2" xfId="1792" xr:uid="{00000000-0005-0000-0000-000015050000}"/>
    <cellStyle name="1Outputbox1 9 7" xfId="1793" xr:uid="{00000000-0005-0000-0000-000016050000}"/>
    <cellStyle name="1Outputbox1 9 7 2" xfId="1794" xr:uid="{00000000-0005-0000-0000-000017050000}"/>
    <cellStyle name="1Outputbox1 9 8" xfId="1795" xr:uid="{00000000-0005-0000-0000-000018050000}"/>
    <cellStyle name="1Outputbox1 9 8 2" xfId="1796" xr:uid="{00000000-0005-0000-0000-000019050000}"/>
    <cellStyle name="1Outputbox2" xfId="1797" xr:uid="{00000000-0005-0000-0000-00001A050000}"/>
    <cellStyle name="1Outputbox2 2" xfId="1798" xr:uid="{00000000-0005-0000-0000-00001B050000}"/>
    <cellStyle name="1Outputbox2 3" xfId="1799" xr:uid="{00000000-0005-0000-0000-00001C050000}"/>
    <cellStyle name="1Outputbox2 4" xfId="1800" xr:uid="{00000000-0005-0000-0000-00001D050000}"/>
    <cellStyle name="1Outputheader" xfId="1801" xr:uid="{00000000-0005-0000-0000-00001E050000}"/>
    <cellStyle name="1Outputheader 10" xfId="1802" xr:uid="{00000000-0005-0000-0000-00001F050000}"/>
    <cellStyle name="1Outputheader 10 2" xfId="1803" xr:uid="{00000000-0005-0000-0000-000020050000}"/>
    <cellStyle name="1Outputheader 10 2 2" xfId="1804" xr:uid="{00000000-0005-0000-0000-000021050000}"/>
    <cellStyle name="1Outputheader 10 2 2 2" xfId="1805" xr:uid="{00000000-0005-0000-0000-000022050000}"/>
    <cellStyle name="1Outputheader 10 2 2 2 2" xfId="1806" xr:uid="{00000000-0005-0000-0000-000023050000}"/>
    <cellStyle name="1Outputheader 10 2 2 3" xfId="1807" xr:uid="{00000000-0005-0000-0000-000024050000}"/>
    <cellStyle name="1Outputheader 10 2 2 3 2" xfId="1808" xr:uid="{00000000-0005-0000-0000-000025050000}"/>
    <cellStyle name="1Outputheader 10 2 3" xfId="1809" xr:uid="{00000000-0005-0000-0000-000026050000}"/>
    <cellStyle name="1Outputheader 10 2 3 2" xfId="1810" xr:uid="{00000000-0005-0000-0000-000027050000}"/>
    <cellStyle name="1Outputheader 10 2 3 2 2" xfId="1811" xr:uid="{00000000-0005-0000-0000-000028050000}"/>
    <cellStyle name="1Outputheader 10 2 3 3" xfId="1812" xr:uid="{00000000-0005-0000-0000-000029050000}"/>
    <cellStyle name="1Outputheader 10 2 3 3 2" xfId="1813" xr:uid="{00000000-0005-0000-0000-00002A050000}"/>
    <cellStyle name="1Outputheader 10 2 4" xfId="1814" xr:uid="{00000000-0005-0000-0000-00002B050000}"/>
    <cellStyle name="1Outputheader 10 2 4 2" xfId="1815" xr:uid="{00000000-0005-0000-0000-00002C050000}"/>
    <cellStyle name="1Outputheader 10 2 5" xfId="1816" xr:uid="{00000000-0005-0000-0000-00002D050000}"/>
    <cellStyle name="1Outputheader 10 2 5 2" xfId="1817" xr:uid="{00000000-0005-0000-0000-00002E050000}"/>
    <cellStyle name="1Outputheader 10 3" xfId="1818" xr:uid="{00000000-0005-0000-0000-00002F050000}"/>
    <cellStyle name="1Outputheader 10 3 2" xfId="1819" xr:uid="{00000000-0005-0000-0000-000030050000}"/>
    <cellStyle name="1Outputheader 10 3 2 2" xfId="1820" xr:uid="{00000000-0005-0000-0000-000031050000}"/>
    <cellStyle name="1Outputheader 10 3 2 2 2" xfId="1821" xr:uid="{00000000-0005-0000-0000-000032050000}"/>
    <cellStyle name="1Outputheader 10 3 2 3" xfId="1822" xr:uid="{00000000-0005-0000-0000-000033050000}"/>
    <cellStyle name="1Outputheader 10 3 2 3 2" xfId="1823" xr:uid="{00000000-0005-0000-0000-000034050000}"/>
    <cellStyle name="1Outputheader 10 3 3" xfId="1824" xr:uid="{00000000-0005-0000-0000-000035050000}"/>
    <cellStyle name="1Outputheader 10 3 3 2" xfId="1825" xr:uid="{00000000-0005-0000-0000-000036050000}"/>
    <cellStyle name="1Outputheader 10 3 3 2 2" xfId="1826" xr:uid="{00000000-0005-0000-0000-000037050000}"/>
    <cellStyle name="1Outputheader 10 3 3 3" xfId="1827" xr:uid="{00000000-0005-0000-0000-000038050000}"/>
    <cellStyle name="1Outputheader 10 3 3 3 2" xfId="1828" xr:uid="{00000000-0005-0000-0000-000039050000}"/>
    <cellStyle name="1Outputheader 10 3 4" xfId="1829" xr:uid="{00000000-0005-0000-0000-00003A050000}"/>
    <cellStyle name="1Outputheader 10 3 4 2" xfId="1830" xr:uid="{00000000-0005-0000-0000-00003B050000}"/>
    <cellStyle name="1Outputheader 10 3 5" xfId="1831" xr:uid="{00000000-0005-0000-0000-00003C050000}"/>
    <cellStyle name="1Outputheader 10 3 5 2" xfId="1832" xr:uid="{00000000-0005-0000-0000-00003D050000}"/>
    <cellStyle name="1Outputheader 10 4" xfId="1833" xr:uid="{00000000-0005-0000-0000-00003E050000}"/>
    <cellStyle name="1Outputheader 10 4 2" xfId="1834" xr:uid="{00000000-0005-0000-0000-00003F050000}"/>
    <cellStyle name="1Outputheader 10 4 2 2" xfId="1835" xr:uid="{00000000-0005-0000-0000-000040050000}"/>
    <cellStyle name="1Outputheader 10 4 2 2 2" xfId="1836" xr:uid="{00000000-0005-0000-0000-000041050000}"/>
    <cellStyle name="1Outputheader 10 4 2 3" xfId="1837" xr:uid="{00000000-0005-0000-0000-000042050000}"/>
    <cellStyle name="1Outputheader 10 4 2 3 2" xfId="1838" xr:uid="{00000000-0005-0000-0000-000043050000}"/>
    <cellStyle name="1Outputheader 10 4 3" xfId="1839" xr:uid="{00000000-0005-0000-0000-000044050000}"/>
    <cellStyle name="1Outputheader 10 4 3 2" xfId="1840" xr:uid="{00000000-0005-0000-0000-000045050000}"/>
    <cellStyle name="1Outputheader 10 4 3 2 2" xfId="1841" xr:uid="{00000000-0005-0000-0000-000046050000}"/>
    <cellStyle name="1Outputheader 10 4 3 3" xfId="1842" xr:uid="{00000000-0005-0000-0000-000047050000}"/>
    <cellStyle name="1Outputheader 10 4 3 3 2" xfId="1843" xr:uid="{00000000-0005-0000-0000-000048050000}"/>
    <cellStyle name="1Outputheader 10 4 4" xfId="1844" xr:uid="{00000000-0005-0000-0000-000049050000}"/>
    <cellStyle name="1Outputheader 10 4 4 2" xfId="1845" xr:uid="{00000000-0005-0000-0000-00004A050000}"/>
    <cellStyle name="1Outputheader 10 4 5" xfId="1846" xr:uid="{00000000-0005-0000-0000-00004B050000}"/>
    <cellStyle name="1Outputheader 10 4 5 2" xfId="1847" xr:uid="{00000000-0005-0000-0000-00004C050000}"/>
    <cellStyle name="1Outputheader 10 5" xfId="1848" xr:uid="{00000000-0005-0000-0000-00004D050000}"/>
    <cellStyle name="1Outputheader 10 5 2" xfId="1849" xr:uid="{00000000-0005-0000-0000-00004E050000}"/>
    <cellStyle name="1Outputheader 10 5 2 2" xfId="1850" xr:uid="{00000000-0005-0000-0000-00004F050000}"/>
    <cellStyle name="1Outputheader 10 5 3" xfId="1851" xr:uid="{00000000-0005-0000-0000-000050050000}"/>
    <cellStyle name="1Outputheader 10 5 3 2" xfId="1852" xr:uid="{00000000-0005-0000-0000-000051050000}"/>
    <cellStyle name="1Outputheader 10 6" xfId="1853" xr:uid="{00000000-0005-0000-0000-000052050000}"/>
    <cellStyle name="1Outputheader 10 6 2" xfId="1854" xr:uid="{00000000-0005-0000-0000-000053050000}"/>
    <cellStyle name="1Outputheader 10 6 2 2" xfId="1855" xr:uid="{00000000-0005-0000-0000-000054050000}"/>
    <cellStyle name="1Outputheader 10 6 3" xfId="1856" xr:uid="{00000000-0005-0000-0000-000055050000}"/>
    <cellStyle name="1Outputheader 10 6 3 2" xfId="1857" xr:uid="{00000000-0005-0000-0000-000056050000}"/>
    <cellStyle name="1Outputheader 10 7" xfId="1858" xr:uid="{00000000-0005-0000-0000-000057050000}"/>
    <cellStyle name="1Outputheader 10 7 2" xfId="1859" xr:uid="{00000000-0005-0000-0000-000058050000}"/>
    <cellStyle name="1Outputheader 10 8" xfId="1860" xr:uid="{00000000-0005-0000-0000-000059050000}"/>
    <cellStyle name="1Outputheader 10 8 2" xfId="1861" xr:uid="{00000000-0005-0000-0000-00005A050000}"/>
    <cellStyle name="1Outputheader 11" xfId="1862" xr:uid="{00000000-0005-0000-0000-00005B050000}"/>
    <cellStyle name="1Outputheader 11 2" xfId="1863" xr:uid="{00000000-0005-0000-0000-00005C050000}"/>
    <cellStyle name="1Outputheader 11 2 2" xfId="1864" xr:uid="{00000000-0005-0000-0000-00005D050000}"/>
    <cellStyle name="1Outputheader 11 2 2 2" xfId="1865" xr:uid="{00000000-0005-0000-0000-00005E050000}"/>
    <cellStyle name="1Outputheader 11 2 2 2 2" xfId="1866" xr:uid="{00000000-0005-0000-0000-00005F050000}"/>
    <cellStyle name="1Outputheader 11 2 2 3" xfId="1867" xr:uid="{00000000-0005-0000-0000-000060050000}"/>
    <cellStyle name="1Outputheader 11 2 2 3 2" xfId="1868" xr:uid="{00000000-0005-0000-0000-000061050000}"/>
    <cellStyle name="1Outputheader 11 2 3" xfId="1869" xr:uid="{00000000-0005-0000-0000-000062050000}"/>
    <cellStyle name="1Outputheader 11 2 3 2" xfId="1870" xr:uid="{00000000-0005-0000-0000-000063050000}"/>
    <cellStyle name="1Outputheader 11 2 3 2 2" xfId="1871" xr:uid="{00000000-0005-0000-0000-000064050000}"/>
    <cellStyle name="1Outputheader 11 2 3 3" xfId="1872" xr:uid="{00000000-0005-0000-0000-000065050000}"/>
    <cellStyle name="1Outputheader 11 2 3 3 2" xfId="1873" xr:uid="{00000000-0005-0000-0000-000066050000}"/>
    <cellStyle name="1Outputheader 11 2 4" xfId="1874" xr:uid="{00000000-0005-0000-0000-000067050000}"/>
    <cellStyle name="1Outputheader 11 2 4 2" xfId="1875" xr:uid="{00000000-0005-0000-0000-000068050000}"/>
    <cellStyle name="1Outputheader 11 2 5" xfId="1876" xr:uid="{00000000-0005-0000-0000-000069050000}"/>
    <cellStyle name="1Outputheader 11 2 5 2" xfId="1877" xr:uid="{00000000-0005-0000-0000-00006A050000}"/>
    <cellStyle name="1Outputheader 11 3" xfId="1878" xr:uid="{00000000-0005-0000-0000-00006B050000}"/>
    <cellStyle name="1Outputheader 11 3 2" xfId="1879" xr:uid="{00000000-0005-0000-0000-00006C050000}"/>
    <cellStyle name="1Outputheader 11 3 2 2" xfId="1880" xr:uid="{00000000-0005-0000-0000-00006D050000}"/>
    <cellStyle name="1Outputheader 11 3 2 2 2" xfId="1881" xr:uid="{00000000-0005-0000-0000-00006E050000}"/>
    <cellStyle name="1Outputheader 11 3 2 3" xfId="1882" xr:uid="{00000000-0005-0000-0000-00006F050000}"/>
    <cellStyle name="1Outputheader 11 3 2 3 2" xfId="1883" xr:uid="{00000000-0005-0000-0000-000070050000}"/>
    <cellStyle name="1Outputheader 11 3 3" xfId="1884" xr:uid="{00000000-0005-0000-0000-000071050000}"/>
    <cellStyle name="1Outputheader 11 3 3 2" xfId="1885" xr:uid="{00000000-0005-0000-0000-000072050000}"/>
    <cellStyle name="1Outputheader 11 3 3 2 2" xfId="1886" xr:uid="{00000000-0005-0000-0000-000073050000}"/>
    <cellStyle name="1Outputheader 11 3 3 3" xfId="1887" xr:uid="{00000000-0005-0000-0000-000074050000}"/>
    <cellStyle name="1Outputheader 11 3 3 3 2" xfId="1888" xr:uid="{00000000-0005-0000-0000-000075050000}"/>
    <cellStyle name="1Outputheader 11 3 4" xfId="1889" xr:uid="{00000000-0005-0000-0000-000076050000}"/>
    <cellStyle name="1Outputheader 11 3 4 2" xfId="1890" xr:uid="{00000000-0005-0000-0000-000077050000}"/>
    <cellStyle name="1Outputheader 11 3 5" xfId="1891" xr:uid="{00000000-0005-0000-0000-000078050000}"/>
    <cellStyle name="1Outputheader 11 3 5 2" xfId="1892" xr:uid="{00000000-0005-0000-0000-000079050000}"/>
    <cellStyle name="1Outputheader 11 4" xfId="1893" xr:uid="{00000000-0005-0000-0000-00007A050000}"/>
    <cellStyle name="1Outputheader 11 4 2" xfId="1894" xr:uid="{00000000-0005-0000-0000-00007B050000}"/>
    <cellStyle name="1Outputheader 11 4 2 2" xfId="1895" xr:uid="{00000000-0005-0000-0000-00007C050000}"/>
    <cellStyle name="1Outputheader 11 4 2 2 2" xfId="1896" xr:uid="{00000000-0005-0000-0000-00007D050000}"/>
    <cellStyle name="1Outputheader 11 4 2 3" xfId="1897" xr:uid="{00000000-0005-0000-0000-00007E050000}"/>
    <cellStyle name="1Outputheader 11 4 2 3 2" xfId="1898" xr:uid="{00000000-0005-0000-0000-00007F050000}"/>
    <cellStyle name="1Outputheader 11 4 3" xfId="1899" xr:uid="{00000000-0005-0000-0000-000080050000}"/>
    <cellStyle name="1Outputheader 11 4 3 2" xfId="1900" xr:uid="{00000000-0005-0000-0000-000081050000}"/>
    <cellStyle name="1Outputheader 11 4 3 2 2" xfId="1901" xr:uid="{00000000-0005-0000-0000-000082050000}"/>
    <cellStyle name="1Outputheader 11 4 3 3" xfId="1902" xr:uid="{00000000-0005-0000-0000-000083050000}"/>
    <cellStyle name="1Outputheader 11 4 3 3 2" xfId="1903" xr:uid="{00000000-0005-0000-0000-000084050000}"/>
    <cellStyle name="1Outputheader 11 4 4" xfId="1904" xr:uid="{00000000-0005-0000-0000-000085050000}"/>
    <cellStyle name="1Outputheader 11 4 4 2" xfId="1905" xr:uid="{00000000-0005-0000-0000-000086050000}"/>
    <cellStyle name="1Outputheader 11 4 5" xfId="1906" xr:uid="{00000000-0005-0000-0000-000087050000}"/>
    <cellStyle name="1Outputheader 11 4 5 2" xfId="1907" xr:uid="{00000000-0005-0000-0000-000088050000}"/>
    <cellStyle name="1Outputheader 11 5" xfId="1908" xr:uid="{00000000-0005-0000-0000-000089050000}"/>
    <cellStyle name="1Outputheader 11 5 2" xfId="1909" xr:uid="{00000000-0005-0000-0000-00008A050000}"/>
    <cellStyle name="1Outputheader 11 5 2 2" xfId="1910" xr:uid="{00000000-0005-0000-0000-00008B050000}"/>
    <cellStyle name="1Outputheader 11 5 3" xfId="1911" xr:uid="{00000000-0005-0000-0000-00008C050000}"/>
    <cellStyle name="1Outputheader 11 5 3 2" xfId="1912" xr:uid="{00000000-0005-0000-0000-00008D050000}"/>
    <cellStyle name="1Outputheader 11 6" xfId="1913" xr:uid="{00000000-0005-0000-0000-00008E050000}"/>
    <cellStyle name="1Outputheader 11 6 2" xfId="1914" xr:uid="{00000000-0005-0000-0000-00008F050000}"/>
    <cellStyle name="1Outputheader 11 6 2 2" xfId="1915" xr:uid="{00000000-0005-0000-0000-000090050000}"/>
    <cellStyle name="1Outputheader 11 6 3" xfId="1916" xr:uid="{00000000-0005-0000-0000-000091050000}"/>
    <cellStyle name="1Outputheader 11 6 3 2" xfId="1917" xr:uid="{00000000-0005-0000-0000-000092050000}"/>
    <cellStyle name="1Outputheader 11 7" xfId="1918" xr:uid="{00000000-0005-0000-0000-000093050000}"/>
    <cellStyle name="1Outputheader 11 7 2" xfId="1919" xr:uid="{00000000-0005-0000-0000-000094050000}"/>
    <cellStyle name="1Outputheader 11 8" xfId="1920" xr:uid="{00000000-0005-0000-0000-000095050000}"/>
    <cellStyle name="1Outputheader 11 8 2" xfId="1921" xr:uid="{00000000-0005-0000-0000-000096050000}"/>
    <cellStyle name="1Outputheader 12" xfId="1922" xr:uid="{00000000-0005-0000-0000-000097050000}"/>
    <cellStyle name="1Outputheader 12 2" xfId="1923" xr:uid="{00000000-0005-0000-0000-000098050000}"/>
    <cellStyle name="1Outputheader 12 2 2" xfId="1924" xr:uid="{00000000-0005-0000-0000-000099050000}"/>
    <cellStyle name="1Outputheader 12 2 2 2" xfId="1925" xr:uid="{00000000-0005-0000-0000-00009A050000}"/>
    <cellStyle name="1Outputheader 12 2 2 2 2" xfId="1926" xr:uid="{00000000-0005-0000-0000-00009B050000}"/>
    <cellStyle name="1Outputheader 12 2 2 3" xfId="1927" xr:uid="{00000000-0005-0000-0000-00009C050000}"/>
    <cellStyle name="1Outputheader 12 2 2 3 2" xfId="1928" xr:uid="{00000000-0005-0000-0000-00009D050000}"/>
    <cellStyle name="1Outputheader 12 2 3" xfId="1929" xr:uid="{00000000-0005-0000-0000-00009E050000}"/>
    <cellStyle name="1Outputheader 12 2 3 2" xfId="1930" xr:uid="{00000000-0005-0000-0000-00009F050000}"/>
    <cellStyle name="1Outputheader 12 2 3 2 2" xfId="1931" xr:uid="{00000000-0005-0000-0000-0000A0050000}"/>
    <cellStyle name="1Outputheader 12 2 3 3" xfId="1932" xr:uid="{00000000-0005-0000-0000-0000A1050000}"/>
    <cellStyle name="1Outputheader 12 2 3 3 2" xfId="1933" xr:uid="{00000000-0005-0000-0000-0000A2050000}"/>
    <cellStyle name="1Outputheader 12 2 4" xfId="1934" xr:uid="{00000000-0005-0000-0000-0000A3050000}"/>
    <cellStyle name="1Outputheader 12 2 4 2" xfId="1935" xr:uid="{00000000-0005-0000-0000-0000A4050000}"/>
    <cellStyle name="1Outputheader 12 2 5" xfId="1936" xr:uid="{00000000-0005-0000-0000-0000A5050000}"/>
    <cellStyle name="1Outputheader 12 2 5 2" xfId="1937" xr:uid="{00000000-0005-0000-0000-0000A6050000}"/>
    <cellStyle name="1Outputheader 12 3" xfId="1938" xr:uid="{00000000-0005-0000-0000-0000A7050000}"/>
    <cellStyle name="1Outputheader 12 3 2" xfId="1939" xr:uid="{00000000-0005-0000-0000-0000A8050000}"/>
    <cellStyle name="1Outputheader 12 3 2 2" xfId="1940" xr:uid="{00000000-0005-0000-0000-0000A9050000}"/>
    <cellStyle name="1Outputheader 12 3 2 2 2" xfId="1941" xr:uid="{00000000-0005-0000-0000-0000AA050000}"/>
    <cellStyle name="1Outputheader 12 3 2 3" xfId="1942" xr:uid="{00000000-0005-0000-0000-0000AB050000}"/>
    <cellStyle name="1Outputheader 12 3 2 3 2" xfId="1943" xr:uid="{00000000-0005-0000-0000-0000AC050000}"/>
    <cellStyle name="1Outputheader 12 3 3" xfId="1944" xr:uid="{00000000-0005-0000-0000-0000AD050000}"/>
    <cellStyle name="1Outputheader 12 3 3 2" xfId="1945" xr:uid="{00000000-0005-0000-0000-0000AE050000}"/>
    <cellStyle name="1Outputheader 12 3 3 2 2" xfId="1946" xr:uid="{00000000-0005-0000-0000-0000AF050000}"/>
    <cellStyle name="1Outputheader 12 3 3 3" xfId="1947" xr:uid="{00000000-0005-0000-0000-0000B0050000}"/>
    <cellStyle name="1Outputheader 12 3 3 3 2" xfId="1948" xr:uid="{00000000-0005-0000-0000-0000B1050000}"/>
    <cellStyle name="1Outputheader 12 3 4" xfId="1949" xr:uid="{00000000-0005-0000-0000-0000B2050000}"/>
    <cellStyle name="1Outputheader 12 3 4 2" xfId="1950" xr:uid="{00000000-0005-0000-0000-0000B3050000}"/>
    <cellStyle name="1Outputheader 12 3 5" xfId="1951" xr:uid="{00000000-0005-0000-0000-0000B4050000}"/>
    <cellStyle name="1Outputheader 12 3 5 2" xfId="1952" xr:uid="{00000000-0005-0000-0000-0000B5050000}"/>
    <cellStyle name="1Outputheader 12 4" xfId="1953" xr:uid="{00000000-0005-0000-0000-0000B6050000}"/>
    <cellStyle name="1Outputheader 12 4 2" xfId="1954" xr:uid="{00000000-0005-0000-0000-0000B7050000}"/>
    <cellStyle name="1Outputheader 12 4 2 2" xfId="1955" xr:uid="{00000000-0005-0000-0000-0000B8050000}"/>
    <cellStyle name="1Outputheader 12 4 2 2 2" xfId="1956" xr:uid="{00000000-0005-0000-0000-0000B9050000}"/>
    <cellStyle name="1Outputheader 12 4 2 3" xfId="1957" xr:uid="{00000000-0005-0000-0000-0000BA050000}"/>
    <cellStyle name="1Outputheader 12 4 2 3 2" xfId="1958" xr:uid="{00000000-0005-0000-0000-0000BB050000}"/>
    <cellStyle name="1Outputheader 12 4 3" xfId="1959" xr:uid="{00000000-0005-0000-0000-0000BC050000}"/>
    <cellStyle name="1Outputheader 12 4 3 2" xfId="1960" xr:uid="{00000000-0005-0000-0000-0000BD050000}"/>
    <cellStyle name="1Outputheader 12 4 3 2 2" xfId="1961" xr:uid="{00000000-0005-0000-0000-0000BE050000}"/>
    <cellStyle name="1Outputheader 12 4 3 3" xfId="1962" xr:uid="{00000000-0005-0000-0000-0000BF050000}"/>
    <cellStyle name="1Outputheader 12 4 3 3 2" xfId="1963" xr:uid="{00000000-0005-0000-0000-0000C0050000}"/>
    <cellStyle name="1Outputheader 12 4 4" xfId="1964" xr:uid="{00000000-0005-0000-0000-0000C1050000}"/>
    <cellStyle name="1Outputheader 12 4 4 2" xfId="1965" xr:uid="{00000000-0005-0000-0000-0000C2050000}"/>
    <cellStyle name="1Outputheader 12 4 5" xfId="1966" xr:uid="{00000000-0005-0000-0000-0000C3050000}"/>
    <cellStyle name="1Outputheader 12 4 5 2" xfId="1967" xr:uid="{00000000-0005-0000-0000-0000C4050000}"/>
    <cellStyle name="1Outputheader 12 5" xfId="1968" xr:uid="{00000000-0005-0000-0000-0000C5050000}"/>
    <cellStyle name="1Outputheader 12 5 2" xfId="1969" xr:uid="{00000000-0005-0000-0000-0000C6050000}"/>
    <cellStyle name="1Outputheader 12 5 2 2" xfId="1970" xr:uid="{00000000-0005-0000-0000-0000C7050000}"/>
    <cellStyle name="1Outputheader 12 5 3" xfId="1971" xr:uid="{00000000-0005-0000-0000-0000C8050000}"/>
    <cellStyle name="1Outputheader 12 5 3 2" xfId="1972" xr:uid="{00000000-0005-0000-0000-0000C9050000}"/>
    <cellStyle name="1Outputheader 12 6" xfId="1973" xr:uid="{00000000-0005-0000-0000-0000CA050000}"/>
    <cellStyle name="1Outputheader 12 6 2" xfId="1974" xr:uid="{00000000-0005-0000-0000-0000CB050000}"/>
    <cellStyle name="1Outputheader 12 6 2 2" xfId="1975" xr:uid="{00000000-0005-0000-0000-0000CC050000}"/>
    <cellStyle name="1Outputheader 12 6 3" xfId="1976" xr:uid="{00000000-0005-0000-0000-0000CD050000}"/>
    <cellStyle name="1Outputheader 12 6 3 2" xfId="1977" xr:uid="{00000000-0005-0000-0000-0000CE050000}"/>
    <cellStyle name="1Outputheader 12 7" xfId="1978" xr:uid="{00000000-0005-0000-0000-0000CF050000}"/>
    <cellStyle name="1Outputheader 12 7 2" xfId="1979" xr:uid="{00000000-0005-0000-0000-0000D0050000}"/>
    <cellStyle name="1Outputheader 12 8" xfId="1980" xr:uid="{00000000-0005-0000-0000-0000D1050000}"/>
    <cellStyle name="1Outputheader 12 8 2" xfId="1981" xr:uid="{00000000-0005-0000-0000-0000D2050000}"/>
    <cellStyle name="1Outputheader 13" xfId="1982" xr:uid="{00000000-0005-0000-0000-0000D3050000}"/>
    <cellStyle name="1Outputheader 13 2" xfId="1983" xr:uid="{00000000-0005-0000-0000-0000D4050000}"/>
    <cellStyle name="1Outputheader 13 2 2" xfId="1984" xr:uid="{00000000-0005-0000-0000-0000D5050000}"/>
    <cellStyle name="1Outputheader 13 2 2 2" xfId="1985" xr:uid="{00000000-0005-0000-0000-0000D6050000}"/>
    <cellStyle name="1Outputheader 13 2 2 2 2" xfId="1986" xr:uid="{00000000-0005-0000-0000-0000D7050000}"/>
    <cellStyle name="1Outputheader 13 2 2 3" xfId="1987" xr:uid="{00000000-0005-0000-0000-0000D8050000}"/>
    <cellStyle name="1Outputheader 13 2 2 3 2" xfId="1988" xr:uid="{00000000-0005-0000-0000-0000D9050000}"/>
    <cellStyle name="1Outputheader 13 2 3" xfId="1989" xr:uid="{00000000-0005-0000-0000-0000DA050000}"/>
    <cellStyle name="1Outputheader 13 2 3 2" xfId="1990" xr:uid="{00000000-0005-0000-0000-0000DB050000}"/>
    <cellStyle name="1Outputheader 13 2 3 2 2" xfId="1991" xr:uid="{00000000-0005-0000-0000-0000DC050000}"/>
    <cellStyle name="1Outputheader 13 2 3 3" xfId="1992" xr:uid="{00000000-0005-0000-0000-0000DD050000}"/>
    <cellStyle name="1Outputheader 13 2 3 3 2" xfId="1993" xr:uid="{00000000-0005-0000-0000-0000DE050000}"/>
    <cellStyle name="1Outputheader 13 2 4" xfId="1994" xr:uid="{00000000-0005-0000-0000-0000DF050000}"/>
    <cellStyle name="1Outputheader 13 2 4 2" xfId="1995" xr:uid="{00000000-0005-0000-0000-0000E0050000}"/>
    <cellStyle name="1Outputheader 13 2 5" xfId="1996" xr:uid="{00000000-0005-0000-0000-0000E1050000}"/>
    <cellStyle name="1Outputheader 13 2 5 2" xfId="1997" xr:uid="{00000000-0005-0000-0000-0000E2050000}"/>
    <cellStyle name="1Outputheader 13 3" xfId="1998" xr:uid="{00000000-0005-0000-0000-0000E3050000}"/>
    <cellStyle name="1Outputheader 13 3 2" xfId="1999" xr:uid="{00000000-0005-0000-0000-0000E4050000}"/>
    <cellStyle name="1Outputheader 13 3 2 2" xfId="2000" xr:uid="{00000000-0005-0000-0000-0000E5050000}"/>
    <cellStyle name="1Outputheader 13 3 2 2 2" xfId="2001" xr:uid="{00000000-0005-0000-0000-0000E6050000}"/>
    <cellStyle name="1Outputheader 13 3 2 3" xfId="2002" xr:uid="{00000000-0005-0000-0000-0000E7050000}"/>
    <cellStyle name="1Outputheader 13 3 2 3 2" xfId="2003" xr:uid="{00000000-0005-0000-0000-0000E8050000}"/>
    <cellStyle name="1Outputheader 13 3 3" xfId="2004" xr:uid="{00000000-0005-0000-0000-0000E9050000}"/>
    <cellStyle name="1Outputheader 13 3 3 2" xfId="2005" xr:uid="{00000000-0005-0000-0000-0000EA050000}"/>
    <cellStyle name="1Outputheader 13 3 3 2 2" xfId="2006" xr:uid="{00000000-0005-0000-0000-0000EB050000}"/>
    <cellStyle name="1Outputheader 13 3 3 3" xfId="2007" xr:uid="{00000000-0005-0000-0000-0000EC050000}"/>
    <cellStyle name="1Outputheader 13 3 3 3 2" xfId="2008" xr:uid="{00000000-0005-0000-0000-0000ED050000}"/>
    <cellStyle name="1Outputheader 13 3 4" xfId="2009" xr:uid="{00000000-0005-0000-0000-0000EE050000}"/>
    <cellStyle name="1Outputheader 13 3 4 2" xfId="2010" xr:uid="{00000000-0005-0000-0000-0000EF050000}"/>
    <cellStyle name="1Outputheader 13 3 5" xfId="2011" xr:uid="{00000000-0005-0000-0000-0000F0050000}"/>
    <cellStyle name="1Outputheader 13 3 5 2" xfId="2012" xr:uid="{00000000-0005-0000-0000-0000F1050000}"/>
    <cellStyle name="1Outputheader 13 4" xfId="2013" xr:uid="{00000000-0005-0000-0000-0000F2050000}"/>
    <cellStyle name="1Outputheader 13 4 2" xfId="2014" xr:uid="{00000000-0005-0000-0000-0000F3050000}"/>
    <cellStyle name="1Outputheader 13 4 2 2" xfId="2015" xr:uid="{00000000-0005-0000-0000-0000F4050000}"/>
    <cellStyle name="1Outputheader 13 4 2 2 2" xfId="2016" xr:uid="{00000000-0005-0000-0000-0000F5050000}"/>
    <cellStyle name="1Outputheader 13 4 2 3" xfId="2017" xr:uid="{00000000-0005-0000-0000-0000F6050000}"/>
    <cellStyle name="1Outputheader 13 4 2 3 2" xfId="2018" xr:uid="{00000000-0005-0000-0000-0000F7050000}"/>
    <cellStyle name="1Outputheader 13 4 3" xfId="2019" xr:uid="{00000000-0005-0000-0000-0000F8050000}"/>
    <cellStyle name="1Outputheader 13 4 3 2" xfId="2020" xr:uid="{00000000-0005-0000-0000-0000F9050000}"/>
    <cellStyle name="1Outputheader 13 4 3 2 2" xfId="2021" xr:uid="{00000000-0005-0000-0000-0000FA050000}"/>
    <cellStyle name="1Outputheader 13 4 3 3" xfId="2022" xr:uid="{00000000-0005-0000-0000-0000FB050000}"/>
    <cellStyle name="1Outputheader 13 4 3 3 2" xfId="2023" xr:uid="{00000000-0005-0000-0000-0000FC050000}"/>
    <cellStyle name="1Outputheader 13 4 4" xfId="2024" xr:uid="{00000000-0005-0000-0000-0000FD050000}"/>
    <cellStyle name="1Outputheader 13 4 4 2" xfId="2025" xr:uid="{00000000-0005-0000-0000-0000FE050000}"/>
    <cellStyle name="1Outputheader 13 4 5" xfId="2026" xr:uid="{00000000-0005-0000-0000-0000FF050000}"/>
    <cellStyle name="1Outputheader 13 4 5 2" xfId="2027" xr:uid="{00000000-0005-0000-0000-000000060000}"/>
    <cellStyle name="1Outputheader 13 5" xfId="2028" xr:uid="{00000000-0005-0000-0000-000001060000}"/>
    <cellStyle name="1Outputheader 13 5 2" xfId="2029" xr:uid="{00000000-0005-0000-0000-000002060000}"/>
    <cellStyle name="1Outputheader 13 5 2 2" xfId="2030" xr:uid="{00000000-0005-0000-0000-000003060000}"/>
    <cellStyle name="1Outputheader 13 5 3" xfId="2031" xr:uid="{00000000-0005-0000-0000-000004060000}"/>
    <cellStyle name="1Outputheader 13 5 3 2" xfId="2032" xr:uid="{00000000-0005-0000-0000-000005060000}"/>
    <cellStyle name="1Outputheader 13 6" xfId="2033" xr:uid="{00000000-0005-0000-0000-000006060000}"/>
    <cellStyle name="1Outputheader 13 6 2" xfId="2034" xr:uid="{00000000-0005-0000-0000-000007060000}"/>
    <cellStyle name="1Outputheader 13 6 2 2" xfId="2035" xr:uid="{00000000-0005-0000-0000-000008060000}"/>
    <cellStyle name="1Outputheader 13 6 3" xfId="2036" xr:uid="{00000000-0005-0000-0000-000009060000}"/>
    <cellStyle name="1Outputheader 13 6 3 2" xfId="2037" xr:uid="{00000000-0005-0000-0000-00000A060000}"/>
    <cellStyle name="1Outputheader 13 7" xfId="2038" xr:uid="{00000000-0005-0000-0000-00000B060000}"/>
    <cellStyle name="1Outputheader 13 7 2" xfId="2039" xr:uid="{00000000-0005-0000-0000-00000C060000}"/>
    <cellStyle name="1Outputheader 13 8" xfId="2040" xr:uid="{00000000-0005-0000-0000-00000D060000}"/>
    <cellStyle name="1Outputheader 13 8 2" xfId="2041" xr:uid="{00000000-0005-0000-0000-00000E060000}"/>
    <cellStyle name="1Outputheader 14" xfId="2042" xr:uid="{00000000-0005-0000-0000-00000F060000}"/>
    <cellStyle name="1Outputheader 14 2" xfId="2043" xr:uid="{00000000-0005-0000-0000-000010060000}"/>
    <cellStyle name="1Outputheader 14 2 2" xfId="2044" xr:uid="{00000000-0005-0000-0000-000011060000}"/>
    <cellStyle name="1Outputheader 14 2 2 2" xfId="2045" xr:uid="{00000000-0005-0000-0000-000012060000}"/>
    <cellStyle name="1Outputheader 14 2 2 2 2" xfId="2046" xr:uid="{00000000-0005-0000-0000-000013060000}"/>
    <cellStyle name="1Outputheader 14 2 2 3" xfId="2047" xr:uid="{00000000-0005-0000-0000-000014060000}"/>
    <cellStyle name="1Outputheader 14 2 2 3 2" xfId="2048" xr:uid="{00000000-0005-0000-0000-000015060000}"/>
    <cellStyle name="1Outputheader 14 2 3" xfId="2049" xr:uid="{00000000-0005-0000-0000-000016060000}"/>
    <cellStyle name="1Outputheader 14 2 3 2" xfId="2050" xr:uid="{00000000-0005-0000-0000-000017060000}"/>
    <cellStyle name="1Outputheader 14 2 3 2 2" xfId="2051" xr:uid="{00000000-0005-0000-0000-000018060000}"/>
    <cellStyle name="1Outputheader 14 2 3 3" xfId="2052" xr:uid="{00000000-0005-0000-0000-000019060000}"/>
    <cellStyle name="1Outputheader 14 2 3 3 2" xfId="2053" xr:uid="{00000000-0005-0000-0000-00001A060000}"/>
    <cellStyle name="1Outputheader 14 2 4" xfId="2054" xr:uid="{00000000-0005-0000-0000-00001B060000}"/>
    <cellStyle name="1Outputheader 14 2 4 2" xfId="2055" xr:uid="{00000000-0005-0000-0000-00001C060000}"/>
    <cellStyle name="1Outputheader 14 2 5" xfId="2056" xr:uid="{00000000-0005-0000-0000-00001D060000}"/>
    <cellStyle name="1Outputheader 14 2 5 2" xfId="2057" xr:uid="{00000000-0005-0000-0000-00001E060000}"/>
    <cellStyle name="1Outputheader 14 3" xfId="2058" xr:uid="{00000000-0005-0000-0000-00001F060000}"/>
    <cellStyle name="1Outputheader 14 3 2" xfId="2059" xr:uid="{00000000-0005-0000-0000-000020060000}"/>
    <cellStyle name="1Outputheader 14 3 2 2" xfId="2060" xr:uid="{00000000-0005-0000-0000-000021060000}"/>
    <cellStyle name="1Outputheader 14 3 2 2 2" xfId="2061" xr:uid="{00000000-0005-0000-0000-000022060000}"/>
    <cellStyle name="1Outputheader 14 3 2 3" xfId="2062" xr:uid="{00000000-0005-0000-0000-000023060000}"/>
    <cellStyle name="1Outputheader 14 3 2 3 2" xfId="2063" xr:uid="{00000000-0005-0000-0000-000024060000}"/>
    <cellStyle name="1Outputheader 14 3 3" xfId="2064" xr:uid="{00000000-0005-0000-0000-000025060000}"/>
    <cellStyle name="1Outputheader 14 3 3 2" xfId="2065" xr:uid="{00000000-0005-0000-0000-000026060000}"/>
    <cellStyle name="1Outputheader 14 3 3 2 2" xfId="2066" xr:uid="{00000000-0005-0000-0000-000027060000}"/>
    <cellStyle name="1Outputheader 14 3 3 3" xfId="2067" xr:uid="{00000000-0005-0000-0000-000028060000}"/>
    <cellStyle name="1Outputheader 14 3 3 3 2" xfId="2068" xr:uid="{00000000-0005-0000-0000-000029060000}"/>
    <cellStyle name="1Outputheader 14 3 4" xfId="2069" xr:uid="{00000000-0005-0000-0000-00002A060000}"/>
    <cellStyle name="1Outputheader 14 3 4 2" xfId="2070" xr:uid="{00000000-0005-0000-0000-00002B060000}"/>
    <cellStyle name="1Outputheader 14 3 5" xfId="2071" xr:uid="{00000000-0005-0000-0000-00002C060000}"/>
    <cellStyle name="1Outputheader 14 3 5 2" xfId="2072" xr:uid="{00000000-0005-0000-0000-00002D060000}"/>
    <cellStyle name="1Outputheader 14 4" xfId="2073" xr:uid="{00000000-0005-0000-0000-00002E060000}"/>
    <cellStyle name="1Outputheader 14 4 2" xfId="2074" xr:uid="{00000000-0005-0000-0000-00002F060000}"/>
    <cellStyle name="1Outputheader 14 4 2 2" xfId="2075" xr:uid="{00000000-0005-0000-0000-000030060000}"/>
    <cellStyle name="1Outputheader 14 4 2 2 2" xfId="2076" xr:uid="{00000000-0005-0000-0000-000031060000}"/>
    <cellStyle name="1Outputheader 14 4 2 3" xfId="2077" xr:uid="{00000000-0005-0000-0000-000032060000}"/>
    <cellStyle name="1Outputheader 14 4 2 3 2" xfId="2078" xr:uid="{00000000-0005-0000-0000-000033060000}"/>
    <cellStyle name="1Outputheader 14 4 3" xfId="2079" xr:uid="{00000000-0005-0000-0000-000034060000}"/>
    <cellStyle name="1Outputheader 14 4 3 2" xfId="2080" xr:uid="{00000000-0005-0000-0000-000035060000}"/>
    <cellStyle name="1Outputheader 14 4 3 2 2" xfId="2081" xr:uid="{00000000-0005-0000-0000-000036060000}"/>
    <cellStyle name="1Outputheader 14 4 3 3" xfId="2082" xr:uid="{00000000-0005-0000-0000-000037060000}"/>
    <cellStyle name="1Outputheader 14 4 3 3 2" xfId="2083" xr:uid="{00000000-0005-0000-0000-000038060000}"/>
    <cellStyle name="1Outputheader 14 4 4" xfId="2084" xr:uid="{00000000-0005-0000-0000-000039060000}"/>
    <cellStyle name="1Outputheader 14 4 4 2" xfId="2085" xr:uid="{00000000-0005-0000-0000-00003A060000}"/>
    <cellStyle name="1Outputheader 14 4 5" xfId="2086" xr:uid="{00000000-0005-0000-0000-00003B060000}"/>
    <cellStyle name="1Outputheader 14 4 5 2" xfId="2087" xr:uid="{00000000-0005-0000-0000-00003C060000}"/>
    <cellStyle name="1Outputheader 14 5" xfId="2088" xr:uid="{00000000-0005-0000-0000-00003D060000}"/>
    <cellStyle name="1Outputheader 14 5 2" xfId="2089" xr:uid="{00000000-0005-0000-0000-00003E060000}"/>
    <cellStyle name="1Outputheader 14 5 2 2" xfId="2090" xr:uid="{00000000-0005-0000-0000-00003F060000}"/>
    <cellStyle name="1Outputheader 14 5 3" xfId="2091" xr:uid="{00000000-0005-0000-0000-000040060000}"/>
    <cellStyle name="1Outputheader 14 5 3 2" xfId="2092" xr:uid="{00000000-0005-0000-0000-000041060000}"/>
    <cellStyle name="1Outputheader 14 6" xfId="2093" xr:uid="{00000000-0005-0000-0000-000042060000}"/>
    <cellStyle name="1Outputheader 14 6 2" xfId="2094" xr:uid="{00000000-0005-0000-0000-000043060000}"/>
    <cellStyle name="1Outputheader 14 6 2 2" xfId="2095" xr:uid="{00000000-0005-0000-0000-000044060000}"/>
    <cellStyle name="1Outputheader 14 6 3" xfId="2096" xr:uid="{00000000-0005-0000-0000-000045060000}"/>
    <cellStyle name="1Outputheader 14 6 3 2" xfId="2097" xr:uid="{00000000-0005-0000-0000-000046060000}"/>
    <cellStyle name="1Outputheader 14 7" xfId="2098" xr:uid="{00000000-0005-0000-0000-000047060000}"/>
    <cellStyle name="1Outputheader 14 7 2" xfId="2099" xr:uid="{00000000-0005-0000-0000-000048060000}"/>
    <cellStyle name="1Outputheader 14 8" xfId="2100" xr:uid="{00000000-0005-0000-0000-000049060000}"/>
    <cellStyle name="1Outputheader 14 8 2" xfId="2101" xr:uid="{00000000-0005-0000-0000-00004A060000}"/>
    <cellStyle name="1Outputheader 15" xfId="2102" xr:uid="{00000000-0005-0000-0000-00004B060000}"/>
    <cellStyle name="1Outputheader 15 2" xfId="2103" xr:uid="{00000000-0005-0000-0000-00004C060000}"/>
    <cellStyle name="1Outputheader 15 2 2" xfId="2104" xr:uid="{00000000-0005-0000-0000-00004D060000}"/>
    <cellStyle name="1Outputheader 15 2 2 2" xfId="2105" xr:uid="{00000000-0005-0000-0000-00004E060000}"/>
    <cellStyle name="1Outputheader 15 2 2 2 2" xfId="2106" xr:uid="{00000000-0005-0000-0000-00004F060000}"/>
    <cellStyle name="1Outputheader 15 2 2 3" xfId="2107" xr:uid="{00000000-0005-0000-0000-000050060000}"/>
    <cellStyle name="1Outputheader 15 2 2 3 2" xfId="2108" xr:uid="{00000000-0005-0000-0000-000051060000}"/>
    <cellStyle name="1Outputheader 15 2 3" xfId="2109" xr:uid="{00000000-0005-0000-0000-000052060000}"/>
    <cellStyle name="1Outputheader 15 2 3 2" xfId="2110" xr:uid="{00000000-0005-0000-0000-000053060000}"/>
    <cellStyle name="1Outputheader 15 2 3 2 2" xfId="2111" xr:uid="{00000000-0005-0000-0000-000054060000}"/>
    <cellStyle name="1Outputheader 15 2 3 3" xfId="2112" xr:uid="{00000000-0005-0000-0000-000055060000}"/>
    <cellStyle name="1Outputheader 15 2 3 3 2" xfId="2113" xr:uid="{00000000-0005-0000-0000-000056060000}"/>
    <cellStyle name="1Outputheader 15 2 4" xfId="2114" xr:uid="{00000000-0005-0000-0000-000057060000}"/>
    <cellStyle name="1Outputheader 15 2 4 2" xfId="2115" xr:uid="{00000000-0005-0000-0000-000058060000}"/>
    <cellStyle name="1Outputheader 15 2 5" xfId="2116" xr:uid="{00000000-0005-0000-0000-000059060000}"/>
    <cellStyle name="1Outputheader 15 2 5 2" xfId="2117" xr:uid="{00000000-0005-0000-0000-00005A060000}"/>
    <cellStyle name="1Outputheader 15 3" xfId="2118" xr:uid="{00000000-0005-0000-0000-00005B060000}"/>
    <cellStyle name="1Outputheader 15 3 2" xfId="2119" xr:uid="{00000000-0005-0000-0000-00005C060000}"/>
    <cellStyle name="1Outputheader 15 3 2 2" xfId="2120" xr:uid="{00000000-0005-0000-0000-00005D060000}"/>
    <cellStyle name="1Outputheader 15 3 2 2 2" xfId="2121" xr:uid="{00000000-0005-0000-0000-00005E060000}"/>
    <cellStyle name="1Outputheader 15 3 2 3" xfId="2122" xr:uid="{00000000-0005-0000-0000-00005F060000}"/>
    <cellStyle name="1Outputheader 15 3 2 3 2" xfId="2123" xr:uid="{00000000-0005-0000-0000-000060060000}"/>
    <cellStyle name="1Outputheader 15 3 3" xfId="2124" xr:uid="{00000000-0005-0000-0000-000061060000}"/>
    <cellStyle name="1Outputheader 15 3 3 2" xfId="2125" xr:uid="{00000000-0005-0000-0000-000062060000}"/>
    <cellStyle name="1Outputheader 15 3 3 2 2" xfId="2126" xr:uid="{00000000-0005-0000-0000-000063060000}"/>
    <cellStyle name="1Outputheader 15 3 3 3" xfId="2127" xr:uid="{00000000-0005-0000-0000-000064060000}"/>
    <cellStyle name="1Outputheader 15 3 3 3 2" xfId="2128" xr:uid="{00000000-0005-0000-0000-000065060000}"/>
    <cellStyle name="1Outputheader 15 3 4" xfId="2129" xr:uid="{00000000-0005-0000-0000-000066060000}"/>
    <cellStyle name="1Outputheader 15 3 4 2" xfId="2130" xr:uid="{00000000-0005-0000-0000-000067060000}"/>
    <cellStyle name="1Outputheader 15 3 5" xfId="2131" xr:uid="{00000000-0005-0000-0000-000068060000}"/>
    <cellStyle name="1Outputheader 15 3 5 2" xfId="2132" xr:uid="{00000000-0005-0000-0000-000069060000}"/>
    <cellStyle name="1Outputheader 15 4" xfId="2133" xr:uid="{00000000-0005-0000-0000-00006A060000}"/>
    <cellStyle name="1Outputheader 15 4 2" xfId="2134" xr:uid="{00000000-0005-0000-0000-00006B060000}"/>
    <cellStyle name="1Outputheader 15 4 2 2" xfId="2135" xr:uid="{00000000-0005-0000-0000-00006C060000}"/>
    <cellStyle name="1Outputheader 15 4 2 2 2" xfId="2136" xr:uid="{00000000-0005-0000-0000-00006D060000}"/>
    <cellStyle name="1Outputheader 15 4 2 3" xfId="2137" xr:uid="{00000000-0005-0000-0000-00006E060000}"/>
    <cellStyle name="1Outputheader 15 4 2 3 2" xfId="2138" xr:uid="{00000000-0005-0000-0000-00006F060000}"/>
    <cellStyle name="1Outputheader 15 4 3" xfId="2139" xr:uid="{00000000-0005-0000-0000-000070060000}"/>
    <cellStyle name="1Outputheader 15 4 3 2" xfId="2140" xr:uid="{00000000-0005-0000-0000-000071060000}"/>
    <cellStyle name="1Outputheader 15 4 3 2 2" xfId="2141" xr:uid="{00000000-0005-0000-0000-000072060000}"/>
    <cellStyle name="1Outputheader 15 4 3 3" xfId="2142" xr:uid="{00000000-0005-0000-0000-000073060000}"/>
    <cellStyle name="1Outputheader 15 4 3 3 2" xfId="2143" xr:uid="{00000000-0005-0000-0000-000074060000}"/>
    <cellStyle name="1Outputheader 15 4 4" xfId="2144" xr:uid="{00000000-0005-0000-0000-000075060000}"/>
    <cellStyle name="1Outputheader 15 4 4 2" xfId="2145" xr:uid="{00000000-0005-0000-0000-000076060000}"/>
    <cellStyle name="1Outputheader 15 4 5" xfId="2146" xr:uid="{00000000-0005-0000-0000-000077060000}"/>
    <cellStyle name="1Outputheader 15 4 5 2" xfId="2147" xr:uid="{00000000-0005-0000-0000-000078060000}"/>
    <cellStyle name="1Outputheader 15 5" xfId="2148" xr:uid="{00000000-0005-0000-0000-000079060000}"/>
    <cellStyle name="1Outputheader 15 5 2" xfId="2149" xr:uid="{00000000-0005-0000-0000-00007A060000}"/>
    <cellStyle name="1Outputheader 15 5 2 2" xfId="2150" xr:uid="{00000000-0005-0000-0000-00007B060000}"/>
    <cellStyle name="1Outputheader 15 5 3" xfId="2151" xr:uid="{00000000-0005-0000-0000-00007C060000}"/>
    <cellStyle name="1Outputheader 15 5 3 2" xfId="2152" xr:uid="{00000000-0005-0000-0000-00007D060000}"/>
    <cellStyle name="1Outputheader 15 6" xfId="2153" xr:uid="{00000000-0005-0000-0000-00007E060000}"/>
    <cellStyle name="1Outputheader 15 6 2" xfId="2154" xr:uid="{00000000-0005-0000-0000-00007F060000}"/>
    <cellStyle name="1Outputheader 15 6 2 2" xfId="2155" xr:uid="{00000000-0005-0000-0000-000080060000}"/>
    <cellStyle name="1Outputheader 15 6 3" xfId="2156" xr:uid="{00000000-0005-0000-0000-000081060000}"/>
    <cellStyle name="1Outputheader 15 6 3 2" xfId="2157" xr:uid="{00000000-0005-0000-0000-000082060000}"/>
    <cellStyle name="1Outputheader 15 7" xfId="2158" xr:uid="{00000000-0005-0000-0000-000083060000}"/>
    <cellStyle name="1Outputheader 15 7 2" xfId="2159" xr:uid="{00000000-0005-0000-0000-000084060000}"/>
    <cellStyle name="1Outputheader 15 8" xfId="2160" xr:uid="{00000000-0005-0000-0000-000085060000}"/>
    <cellStyle name="1Outputheader 15 8 2" xfId="2161" xr:uid="{00000000-0005-0000-0000-000086060000}"/>
    <cellStyle name="1Outputheader 16" xfId="2162" xr:uid="{00000000-0005-0000-0000-000087060000}"/>
    <cellStyle name="1Outputheader 16 2" xfId="2163" xr:uid="{00000000-0005-0000-0000-000088060000}"/>
    <cellStyle name="1Outputheader 16 2 2" xfId="2164" xr:uid="{00000000-0005-0000-0000-000089060000}"/>
    <cellStyle name="1Outputheader 16 2 2 2" xfId="2165" xr:uid="{00000000-0005-0000-0000-00008A060000}"/>
    <cellStyle name="1Outputheader 16 2 2 2 2" xfId="2166" xr:uid="{00000000-0005-0000-0000-00008B060000}"/>
    <cellStyle name="1Outputheader 16 2 2 3" xfId="2167" xr:uid="{00000000-0005-0000-0000-00008C060000}"/>
    <cellStyle name="1Outputheader 16 2 2 3 2" xfId="2168" xr:uid="{00000000-0005-0000-0000-00008D060000}"/>
    <cellStyle name="1Outputheader 16 2 3" xfId="2169" xr:uid="{00000000-0005-0000-0000-00008E060000}"/>
    <cellStyle name="1Outputheader 16 2 3 2" xfId="2170" xr:uid="{00000000-0005-0000-0000-00008F060000}"/>
    <cellStyle name="1Outputheader 16 2 3 2 2" xfId="2171" xr:uid="{00000000-0005-0000-0000-000090060000}"/>
    <cellStyle name="1Outputheader 16 2 3 3" xfId="2172" xr:uid="{00000000-0005-0000-0000-000091060000}"/>
    <cellStyle name="1Outputheader 16 2 3 3 2" xfId="2173" xr:uid="{00000000-0005-0000-0000-000092060000}"/>
    <cellStyle name="1Outputheader 16 2 4" xfId="2174" xr:uid="{00000000-0005-0000-0000-000093060000}"/>
    <cellStyle name="1Outputheader 16 2 4 2" xfId="2175" xr:uid="{00000000-0005-0000-0000-000094060000}"/>
    <cellStyle name="1Outputheader 16 2 5" xfId="2176" xr:uid="{00000000-0005-0000-0000-000095060000}"/>
    <cellStyle name="1Outputheader 16 2 5 2" xfId="2177" xr:uid="{00000000-0005-0000-0000-000096060000}"/>
    <cellStyle name="1Outputheader 16 3" xfId="2178" xr:uid="{00000000-0005-0000-0000-000097060000}"/>
    <cellStyle name="1Outputheader 16 3 2" xfId="2179" xr:uid="{00000000-0005-0000-0000-000098060000}"/>
    <cellStyle name="1Outputheader 16 3 2 2" xfId="2180" xr:uid="{00000000-0005-0000-0000-000099060000}"/>
    <cellStyle name="1Outputheader 16 3 2 2 2" xfId="2181" xr:uid="{00000000-0005-0000-0000-00009A060000}"/>
    <cellStyle name="1Outputheader 16 3 2 3" xfId="2182" xr:uid="{00000000-0005-0000-0000-00009B060000}"/>
    <cellStyle name="1Outputheader 16 3 2 3 2" xfId="2183" xr:uid="{00000000-0005-0000-0000-00009C060000}"/>
    <cellStyle name="1Outputheader 16 3 3" xfId="2184" xr:uid="{00000000-0005-0000-0000-00009D060000}"/>
    <cellStyle name="1Outputheader 16 3 3 2" xfId="2185" xr:uid="{00000000-0005-0000-0000-00009E060000}"/>
    <cellStyle name="1Outputheader 16 3 3 2 2" xfId="2186" xr:uid="{00000000-0005-0000-0000-00009F060000}"/>
    <cellStyle name="1Outputheader 16 3 3 3" xfId="2187" xr:uid="{00000000-0005-0000-0000-0000A0060000}"/>
    <cellStyle name="1Outputheader 16 3 3 3 2" xfId="2188" xr:uid="{00000000-0005-0000-0000-0000A1060000}"/>
    <cellStyle name="1Outputheader 16 3 4" xfId="2189" xr:uid="{00000000-0005-0000-0000-0000A2060000}"/>
    <cellStyle name="1Outputheader 16 3 4 2" xfId="2190" xr:uid="{00000000-0005-0000-0000-0000A3060000}"/>
    <cellStyle name="1Outputheader 16 3 5" xfId="2191" xr:uid="{00000000-0005-0000-0000-0000A4060000}"/>
    <cellStyle name="1Outputheader 16 3 5 2" xfId="2192" xr:uid="{00000000-0005-0000-0000-0000A5060000}"/>
    <cellStyle name="1Outputheader 16 4" xfId="2193" xr:uid="{00000000-0005-0000-0000-0000A6060000}"/>
    <cellStyle name="1Outputheader 16 4 2" xfId="2194" xr:uid="{00000000-0005-0000-0000-0000A7060000}"/>
    <cellStyle name="1Outputheader 16 4 2 2" xfId="2195" xr:uid="{00000000-0005-0000-0000-0000A8060000}"/>
    <cellStyle name="1Outputheader 16 4 2 2 2" xfId="2196" xr:uid="{00000000-0005-0000-0000-0000A9060000}"/>
    <cellStyle name="1Outputheader 16 4 2 3" xfId="2197" xr:uid="{00000000-0005-0000-0000-0000AA060000}"/>
    <cellStyle name="1Outputheader 16 4 2 3 2" xfId="2198" xr:uid="{00000000-0005-0000-0000-0000AB060000}"/>
    <cellStyle name="1Outputheader 16 4 3" xfId="2199" xr:uid="{00000000-0005-0000-0000-0000AC060000}"/>
    <cellStyle name="1Outputheader 16 4 3 2" xfId="2200" xr:uid="{00000000-0005-0000-0000-0000AD060000}"/>
    <cellStyle name="1Outputheader 16 4 3 2 2" xfId="2201" xr:uid="{00000000-0005-0000-0000-0000AE060000}"/>
    <cellStyle name="1Outputheader 16 4 3 3" xfId="2202" xr:uid="{00000000-0005-0000-0000-0000AF060000}"/>
    <cellStyle name="1Outputheader 16 4 3 3 2" xfId="2203" xr:uid="{00000000-0005-0000-0000-0000B0060000}"/>
    <cellStyle name="1Outputheader 16 4 4" xfId="2204" xr:uid="{00000000-0005-0000-0000-0000B1060000}"/>
    <cellStyle name="1Outputheader 16 4 4 2" xfId="2205" xr:uid="{00000000-0005-0000-0000-0000B2060000}"/>
    <cellStyle name="1Outputheader 16 4 5" xfId="2206" xr:uid="{00000000-0005-0000-0000-0000B3060000}"/>
    <cellStyle name="1Outputheader 16 4 5 2" xfId="2207" xr:uid="{00000000-0005-0000-0000-0000B4060000}"/>
    <cellStyle name="1Outputheader 16 5" xfId="2208" xr:uid="{00000000-0005-0000-0000-0000B5060000}"/>
    <cellStyle name="1Outputheader 16 5 2" xfId="2209" xr:uid="{00000000-0005-0000-0000-0000B6060000}"/>
    <cellStyle name="1Outputheader 16 5 2 2" xfId="2210" xr:uid="{00000000-0005-0000-0000-0000B7060000}"/>
    <cellStyle name="1Outputheader 16 5 3" xfId="2211" xr:uid="{00000000-0005-0000-0000-0000B8060000}"/>
    <cellStyle name="1Outputheader 16 5 3 2" xfId="2212" xr:uid="{00000000-0005-0000-0000-0000B9060000}"/>
    <cellStyle name="1Outputheader 16 6" xfId="2213" xr:uid="{00000000-0005-0000-0000-0000BA060000}"/>
    <cellStyle name="1Outputheader 16 6 2" xfId="2214" xr:uid="{00000000-0005-0000-0000-0000BB060000}"/>
    <cellStyle name="1Outputheader 16 6 2 2" xfId="2215" xr:uid="{00000000-0005-0000-0000-0000BC060000}"/>
    <cellStyle name="1Outputheader 16 6 3" xfId="2216" xr:uid="{00000000-0005-0000-0000-0000BD060000}"/>
    <cellStyle name="1Outputheader 16 6 3 2" xfId="2217" xr:uid="{00000000-0005-0000-0000-0000BE060000}"/>
    <cellStyle name="1Outputheader 16 7" xfId="2218" xr:uid="{00000000-0005-0000-0000-0000BF060000}"/>
    <cellStyle name="1Outputheader 16 7 2" xfId="2219" xr:uid="{00000000-0005-0000-0000-0000C0060000}"/>
    <cellStyle name="1Outputheader 16 8" xfId="2220" xr:uid="{00000000-0005-0000-0000-0000C1060000}"/>
    <cellStyle name="1Outputheader 16 8 2" xfId="2221" xr:uid="{00000000-0005-0000-0000-0000C2060000}"/>
    <cellStyle name="1Outputheader 17" xfId="2222" xr:uid="{00000000-0005-0000-0000-0000C3060000}"/>
    <cellStyle name="1Outputheader 17 2" xfId="2223" xr:uid="{00000000-0005-0000-0000-0000C4060000}"/>
    <cellStyle name="1Outputheader 17 2 2" xfId="2224" xr:uid="{00000000-0005-0000-0000-0000C5060000}"/>
    <cellStyle name="1Outputheader 17 2 2 2" xfId="2225" xr:uid="{00000000-0005-0000-0000-0000C6060000}"/>
    <cellStyle name="1Outputheader 17 2 3" xfId="2226" xr:uid="{00000000-0005-0000-0000-0000C7060000}"/>
    <cellStyle name="1Outputheader 17 2 3 2" xfId="2227" xr:uid="{00000000-0005-0000-0000-0000C8060000}"/>
    <cellStyle name="1Outputheader 17 3" xfId="2228" xr:uid="{00000000-0005-0000-0000-0000C9060000}"/>
    <cellStyle name="1Outputheader 17 3 2" xfId="2229" xr:uid="{00000000-0005-0000-0000-0000CA060000}"/>
    <cellStyle name="1Outputheader 17 3 2 2" xfId="2230" xr:uid="{00000000-0005-0000-0000-0000CB060000}"/>
    <cellStyle name="1Outputheader 17 3 3" xfId="2231" xr:uid="{00000000-0005-0000-0000-0000CC060000}"/>
    <cellStyle name="1Outputheader 17 3 3 2" xfId="2232" xr:uid="{00000000-0005-0000-0000-0000CD060000}"/>
    <cellStyle name="1Outputheader 17 4" xfId="2233" xr:uid="{00000000-0005-0000-0000-0000CE060000}"/>
    <cellStyle name="1Outputheader 17 4 2" xfId="2234" xr:uid="{00000000-0005-0000-0000-0000CF060000}"/>
    <cellStyle name="1Outputheader 17 5" xfId="2235" xr:uid="{00000000-0005-0000-0000-0000D0060000}"/>
    <cellStyle name="1Outputheader 17 5 2" xfId="2236" xr:uid="{00000000-0005-0000-0000-0000D1060000}"/>
    <cellStyle name="1Outputheader 18" xfId="2237" xr:uid="{00000000-0005-0000-0000-0000D2060000}"/>
    <cellStyle name="1Outputheader 18 2" xfId="2238" xr:uid="{00000000-0005-0000-0000-0000D3060000}"/>
    <cellStyle name="1Outputheader 18 2 2" xfId="2239" xr:uid="{00000000-0005-0000-0000-0000D4060000}"/>
    <cellStyle name="1Outputheader 18 2 2 2" xfId="2240" xr:uid="{00000000-0005-0000-0000-0000D5060000}"/>
    <cellStyle name="1Outputheader 18 2 3" xfId="2241" xr:uid="{00000000-0005-0000-0000-0000D6060000}"/>
    <cellStyle name="1Outputheader 18 2 3 2" xfId="2242" xr:uid="{00000000-0005-0000-0000-0000D7060000}"/>
    <cellStyle name="1Outputheader 18 3" xfId="2243" xr:uid="{00000000-0005-0000-0000-0000D8060000}"/>
    <cellStyle name="1Outputheader 18 3 2" xfId="2244" xr:uid="{00000000-0005-0000-0000-0000D9060000}"/>
    <cellStyle name="1Outputheader 18 3 2 2" xfId="2245" xr:uid="{00000000-0005-0000-0000-0000DA060000}"/>
    <cellStyle name="1Outputheader 18 3 3" xfId="2246" xr:uid="{00000000-0005-0000-0000-0000DB060000}"/>
    <cellStyle name="1Outputheader 18 3 3 2" xfId="2247" xr:uid="{00000000-0005-0000-0000-0000DC060000}"/>
    <cellStyle name="1Outputheader 18 4" xfId="2248" xr:uid="{00000000-0005-0000-0000-0000DD060000}"/>
    <cellStyle name="1Outputheader 18 4 2" xfId="2249" xr:uid="{00000000-0005-0000-0000-0000DE060000}"/>
    <cellStyle name="1Outputheader 18 5" xfId="2250" xr:uid="{00000000-0005-0000-0000-0000DF060000}"/>
    <cellStyle name="1Outputheader 18 5 2" xfId="2251" xr:uid="{00000000-0005-0000-0000-0000E0060000}"/>
    <cellStyle name="1Outputheader 19" xfId="2252" xr:uid="{00000000-0005-0000-0000-0000E1060000}"/>
    <cellStyle name="1Outputheader 19 2" xfId="2253" xr:uid="{00000000-0005-0000-0000-0000E2060000}"/>
    <cellStyle name="1Outputheader 19 2 2" xfId="2254" xr:uid="{00000000-0005-0000-0000-0000E3060000}"/>
    <cellStyle name="1Outputheader 19 2 2 2" xfId="2255" xr:uid="{00000000-0005-0000-0000-0000E4060000}"/>
    <cellStyle name="1Outputheader 19 2 3" xfId="2256" xr:uid="{00000000-0005-0000-0000-0000E5060000}"/>
    <cellStyle name="1Outputheader 19 2 3 2" xfId="2257" xr:uid="{00000000-0005-0000-0000-0000E6060000}"/>
    <cellStyle name="1Outputheader 19 3" xfId="2258" xr:uid="{00000000-0005-0000-0000-0000E7060000}"/>
    <cellStyle name="1Outputheader 19 3 2" xfId="2259" xr:uid="{00000000-0005-0000-0000-0000E8060000}"/>
    <cellStyle name="1Outputheader 19 3 2 2" xfId="2260" xr:uid="{00000000-0005-0000-0000-0000E9060000}"/>
    <cellStyle name="1Outputheader 19 3 3" xfId="2261" xr:uid="{00000000-0005-0000-0000-0000EA060000}"/>
    <cellStyle name="1Outputheader 19 3 3 2" xfId="2262" xr:uid="{00000000-0005-0000-0000-0000EB060000}"/>
    <cellStyle name="1Outputheader 19 4" xfId="2263" xr:uid="{00000000-0005-0000-0000-0000EC060000}"/>
    <cellStyle name="1Outputheader 19 4 2" xfId="2264" xr:uid="{00000000-0005-0000-0000-0000ED060000}"/>
    <cellStyle name="1Outputheader 19 5" xfId="2265" xr:uid="{00000000-0005-0000-0000-0000EE060000}"/>
    <cellStyle name="1Outputheader 19 5 2" xfId="2266" xr:uid="{00000000-0005-0000-0000-0000EF060000}"/>
    <cellStyle name="1Outputheader 2" xfId="2267" xr:uid="{00000000-0005-0000-0000-0000F0060000}"/>
    <cellStyle name="1Outputheader 2 2" xfId="2268" xr:uid="{00000000-0005-0000-0000-0000F1060000}"/>
    <cellStyle name="1Outputheader 2 2 2" xfId="2269" xr:uid="{00000000-0005-0000-0000-0000F2060000}"/>
    <cellStyle name="1Outputheader 2 2 2 2" xfId="2270" xr:uid="{00000000-0005-0000-0000-0000F3060000}"/>
    <cellStyle name="1Outputheader 2 2 2 2 2" xfId="2271" xr:uid="{00000000-0005-0000-0000-0000F4060000}"/>
    <cellStyle name="1Outputheader 2 2 2 3" xfId="2272" xr:uid="{00000000-0005-0000-0000-0000F5060000}"/>
    <cellStyle name="1Outputheader 2 2 2 3 2" xfId="2273" xr:uid="{00000000-0005-0000-0000-0000F6060000}"/>
    <cellStyle name="1Outputheader 2 2 3" xfId="2274" xr:uid="{00000000-0005-0000-0000-0000F7060000}"/>
    <cellStyle name="1Outputheader 2 2 3 2" xfId="2275" xr:uid="{00000000-0005-0000-0000-0000F8060000}"/>
    <cellStyle name="1Outputheader 2 2 3 2 2" xfId="2276" xr:uid="{00000000-0005-0000-0000-0000F9060000}"/>
    <cellStyle name="1Outputheader 2 2 3 3" xfId="2277" xr:uid="{00000000-0005-0000-0000-0000FA060000}"/>
    <cellStyle name="1Outputheader 2 2 3 3 2" xfId="2278" xr:uid="{00000000-0005-0000-0000-0000FB060000}"/>
    <cellStyle name="1Outputheader 2 2 4" xfId="2279" xr:uid="{00000000-0005-0000-0000-0000FC060000}"/>
    <cellStyle name="1Outputheader 2 2 4 2" xfId="2280" xr:uid="{00000000-0005-0000-0000-0000FD060000}"/>
    <cellStyle name="1Outputheader 2 2 5" xfId="2281" xr:uid="{00000000-0005-0000-0000-0000FE060000}"/>
    <cellStyle name="1Outputheader 2 2 5 2" xfId="2282" xr:uid="{00000000-0005-0000-0000-0000FF060000}"/>
    <cellStyle name="1Outputheader 2 3" xfId="2283" xr:uid="{00000000-0005-0000-0000-000000070000}"/>
    <cellStyle name="1Outputheader 2 3 2" xfId="2284" xr:uid="{00000000-0005-0000-0000-000001070000}"/>
    <cellStyle name="1Outputheader 2 3 2 2" xfId="2285" xr:uid="{00000000-0005-0000-0000-000002070000}"/>
    <cellStyle name="1Outputheader 2 3 2 2 2" xfId="2286" xr:uid="{00000000-0005-0000-0000-000003070000}"/>
    <cellStyle name="1Outputheader 2 3 2 3" xfId="2287" xr:uid="{00000000-0005-0000-0000-000004070000}"/>
    <cellStyle name="1Outputheader 2 3 2 3 2" xfId="2288" xr:uid="{00000000-0005-0000-0000-000005070000}"/>
    <cellStyle name="1Outputheader 2 3 3" xfId="2289" xr:uid="{00000000-0005-0000-0000-000006070000}"/>
    <cellStyle name="1Outputheader 2 3 3 2" xfId="2290" xr:uid="{00000000-0005-0000-0000-000007070000}"/>
    <cellStyle name="1Outputheader 2 3 3 2 2" xfId="2291" xr:uid="{00000000-0005-0000-0000-000008070000}"/>
    <cellStyle name="1Outputheader 2 3 3 3" xfId="2292" xr:uid="{00000000-0005-0000-0000-000009070000}"/>
    <cellStyle name="1Outputheader 2 3 3 3 2" xfId="2293" xr:uid="{00000000-0005-0000-0000-00000A070000}"/>
    <cellStyle name="1Outputheader 2 3 4" xfId="2294" xr:uid="{00000000-0005-0000-0000-00000B070000}"/>
    <cellStyle name="1Outputheader 2 3 4 2" xfId="2295" xr:uid="{00000000-0005-0000-0000-00000C070000}"/>
    <cellStyle name="1Outputheader 2 3 5" xfId="2296" xr:uid="{00000000-0005-0000-0000-00000D070000}"/>
    <cellStyle name="1Outputheader 2 3 5 2" xfId="2297" xr:uid="{00000000-0005-0000-0000-00000E070000}"/>
    <cellStyle name="1Outputheader 2 4" xfId="2298" xr:uid="{00000000-0005-0000-0000-00000F070000}"/>
    <cellStyle name="1Outputheader 2 4 2" xfId="2299" xr:uid="{00000000-0005-0000-0000-000010070000}"/>
    <cellStyle name="1Outputheader 2 4 2 2" xfId="2300" xr:uid="{00000000-0005-0000-0000-000011070000}"/>
    <cellStyle name="1Outputheader 2 4 2 2 2" xfId="2301" xr:uid="{00000000-0005-0000-0000-000012070000}"/>
    <cellStyle name="1Outputheader 2 4 2 3" xfId="2302" xr:uid="{00000000-0005-0000-0000-000013070000}"/>
    <cellStyle name="1Outputheader 2 4 2 3 2" xfId="2303" xr:uid="{00000000-0005-0000-0000-000014070000}"/>
    <cellStyle name="1Outputheader 2 4 3" xfId="2304" xr:uid="{00000000-0005-0000-0000-000015070000}"/>
    <cellStyle name="1Outputheader 2 4 3 2" xfId="2305" xr:uid="{00000000-0005-0000-0000-000016070000}"/>
    <cellStyle name="1Outputheader 2 4 3 2 2" xfId="2306" xr:uid="{00000000-0005-0000-0000-000017070000}"/>
    <cellStyle name="1Outputheader 2 4 3 3" xfId="2307" xr:uid="{00000000-0005-0000-0000-000018070000}"/>
    <cellStyle name="1Outputheader 2 4 3 3 2" xfId="2308" xr:uid="{00000000-0005-0000-0000-000019070000}"/>
    <cellStyle name="1Outputheader 2 4 4" xfId="2309" xr:uid="{00000000-0005-0000-0000-00001A070000}"/>
    <cellStyle name="1Outputheader 2 4 4 2" xfId="2310" xr:uid="{00000000-0005-0000-0000-00001B070000}"/>
    <cellStyle name="1Outputheader 2 4 5" xfId="2311" xr:uid="{00000000-0005-0000-0000-00001C070000}"/>
    <cellStyle name="1Outputheader 2 4 5 2" xfId="2312" xr:uid="{00000000-0005-0000-0000-00001D070000}"/>
    <cellStyle name="1Outputheader 2 5" xfId="2313" xr:uid="{00000000-0005-0000-0000-00001E070000}"/>
    <cellStyle name="1Outputheader 2 5 2" xfId="2314" xr:uid="{00000000-0005-0000-0000-00001F070000}"/>
    <cellStyle name="1Outputheader 2 5 2 2" xfId="2315" xr:uid="{00000000-0005-0000-0000-000020070000}"/>
    <cellStyle name="1Outputheader 2 5 3" xfId="2316" xr:uid="{00000000-0005-0000-0000-000021070000}"/>
    <cellStyle name="1Outputheader 2 5 3 2" xfId="2317" xr:uid="{00000000-0005-0000-0000-000022070000}"/>
    <cellStyle name="1Outputheader 2 6" xfId="2318" xr:uid="{00000000-0005-0000-0000-000023070000}"/>
    <cellStyle name="1Outputheader 2 6 2" xfId="2319" xr:uid="{00000000-0005-0000-0000-000024070000}"/>
    <cellStyle name="1Outputheader 2 6 2 2" xfId="2320" xr:uid="{00000000-0005-0000-0000-000025070000}"/>
    <cellStyle name="1Outputheader 2 6 3" xfId="2321" xr:uid="{00000000-0005-0000-0000-000026070000}"/>
    <cellStyle name="1Outputheader 2 6 3 2" xfId="2322" xr:uid="{00000000-0005-0000-0000-000027070000}"/>
    <cellStyle name="1Outputheader 2 7" xfId="2323" xr:uid="{00000000-0005-0000-0000-000028070000}"/>
    <cellStyle name="1Outputheader 2 7 2" xfId="2324" xr:uid="{00000000-0005-0000-0000-000029070000}"/>
    <cellStyle name="1Outputheader 2 8" xfId="2325" xr:uid="{00000000-0005-0000-0000-00002A070000}"/>
    <cellStyle name="1Outputheader 2 8 2" xfId="2326" xr:uid="{00000000-0005-0000-0000-00002B070000}"/>
    <cellStyle name="1Outputheader 20" xfId="2327" xr:uid="{00000000-0005-0000-0000-00002C070000}"/>
    <cellStyle name="1Outputheader 20 2" xfId="2328" xr:uid="{00000000-0005-0000-0000-00002D070000}"/>
    <cellStyle name="1Outputheader 20 2 2" xfId="2329" xr:uid="{00000000-0005-0000-0000-00002E070000}"/>
    <cellStyle name="1Outputheader 20 3" xfId="2330" xr:uid="{00000000-0005-0000-0000-00002F070000}"/>
    <cellStyle name="1Outputheader 20 3 2" xfId="2331" xr:uid="{00000000-0005-0000-0000-000030070000}"/>
    <cellStyle name="1Outputheader 21" xfId="2332" xr:uid="{00000000-0005-0000-0000-000031070000}"/>
    <cellStyle name="1Outputheader 21 2" xfId="2333" xr:uid="{00000000-0005-0000-0000-000032070000}"/>
    <cellStyle name="1Outputheader 21 2 2" xfId="2334" xr:uid="{00000000-0005-0000-0000-000033070000}"/>
    <cellStyle name="1Outputheader 21 3" xfId="2335" xr:uid="{00000000-0005-0000-0000-000034070000}"/>
    <cellStyle name="1Outputheader 21 3 2" xfId="2336" xr:uid="{00000000-0005-0000-0000-000035070000}"/>
    <cellStyle name="1Outputheader 22" xfId="2337" xr:uid="{00000000-0005-0000-0000-000036070000}"/>
    <cellStyle name="1Outputheader 22 2" xfId="2338" xr:uid="{00000000-0005-0000-0000-000037070000}"/>
    <cellStyle name="1Outputheader 23" xfId="2339" xr:uid="{00000000-0005-0000-0000-000038070000}"/>
    <cellStyle name="1Outputheader 23 2" xfId="2340" xr:uid="{00000000-0005-0000-0000-000039070000}"/>
    <cellStyle name="1Outputheader 3" xfId="2341" xr:uid="{00000000-0005-0000-0000-00003A070000}"/>
    <cellStyle name="1Outputheader 3 2" xfId="2342" xr:uid="{00000000-0005-0000-0000-00003B070000}"/>
    <cellStyle name="1Outputheader 3 2 2" xfId="2343" xr:uid="{00000000-0005-0000-0000-00003C070000}"/>
    <cellStyle name="1Outputheader 3 2 2 2" xfId="2344" xr:uid="{00000000-0005-0000-0000-00003D070000}"/>
    <cellStyle name="1Outputheader 3 2 2 2 2" xfId="2345" xr:uid="{00000000-0005-0000-0000-00003E070000}"/>
    <cellStyle name="1Outputheader 3 2 2 3" xfId="2346" xr:uid="{00000000-0005-0000-0000-00003F070000}"/>
    <cellStyle name="1Outputheader 3 2 2 3 2" xfId="2347" xr:uid="{00000000-0005-0000-0000-000040070000}"/>
    <cellStyle name="1Outputheader 3 2 3" xfId="2348" xr:uid="{00000000-0005-0000-0000-000041070000}"/>
    <cellStyle name="1Outputheader 3 2 3 2" xfId="2349" xr:uid="{00000000-0005-0000-0000-000042070000}"/>
    <cellStyle name="1Outputheader 3 2 3 2 2" xfId="2350" xr:uid="{00000000-0005-0000-0000-000043070000}"/>
    <cellStyle name="1Outputheader 3 2 3 3" xfId="2351" xr:uid="{00000000-0005-0000-0000-000044070000}"/>
    <cellStyle name="1Outputheader 3 2 3 3 2" xfId="2352" xr:uid="{00000000-0005-0000-0000-000045070000}"/>
    <cellStyle name="1Outputheader 3 2 4" xfId="2353" xr:uid="{00000000-0005-0000-0000-000046070000}"/>
    <cellStyle name="1Outputheader 3 2 4 2" xfId="2354" xr:uid="{00000000-0005-0000-0000-000047070000}"/>
    <cellStyle name="1Outputheader 3 2 5" xfId="2355" xr:uid="{00000000-0005-0000-0000-000048070000}"/>
    <cellStyle name="1Outputheader 3 2 5 2" xfId="2356" xr:uid="{00000000-0005-0000-0000-000049070000}"/>
    <cellStyle name="1Outputheader 3 3" xfId="2357" xr:uid="{00000000-0005-0000-0000-00004A070000}"/>
    <cellStyle name="1Outputheader 3 3 2" xfId="2358" xr:uid="{00000000-0005-0000-0000-00004B070000}"/>
    <cellStyle name="1Outputheader 3 3 2 2" xfId="2359" xr:uid="{00000000-0005-0000-0000-00004C070000}"/>
    <cellStyle name="1Outputheader 3 3 2 2 2" xfId="2360" xr:uid="{00000000-0005-0000-0000-00004D070000}"/>
    <cellStyle name="1Outputheader 3 3 2 3" xfId="2361" xr:uid="{00000000-0005-0000-0000-00004E070000}"/>
    <cellStyle name="1Outputheader 3 3 2 3 2" xfId="2362" xr:uid="{00000000-0005-0000-0000-00004F070000}"/>
    <cellStyle name="1Outputheader 3 3 3" xfId="2363" xr:uid="{00000000-0005-0000-0000-000050070000}"/>
    <cellStyle name="1Outputheader 3 3 3 2" xfId="2364" xr:uid="{00000000-0005-0000-0000-000051070000}"/>
    <cellStyle name="1Outputheader 3 3 3 2 2" xfId="2365" xr:uid="{00000000-0005-0000-0000-000052070000}"/>
    <cellStyle name="1Outputheader 3 3 3 3" xfId="2366" xr:uid="{00000000-0005-0000-0000-000053070000}"/>
    <cellStyle name="1Outputheader 3 3 3 3 2" xfId="2367" xr:uid="{00000000-0005-0000-0000-000054070000}"/>
    <cellStyle name="1Outputheader 3 3 4" xfId="2368" xr:uid="{00000000-0005-0000-0000-000055070000}"/>
    <cellStyle name="1Outputheader 3 3 4 2" xfId="2369" xr:uid="{00000000-0005-0000-0000-000056070000}"/>
    <cellStyle name="1Outputheader 3 3 5" xfId="2370" xr:uid="{00000000-0005-0000-0000-000057070000}"/>
    <cellStyle name="1Outputheader 3 3 5 2" xfId="2371" xr:uid="{00000000-0005-0000-0000-000058070000}"/>
    <cellStyle name="1Outputheader 3 4" xfId="2372" xr:uid="{00000000-0005-0000-0000-000059070000}"/>
    <cellStyle name="1Outputheader 3 4 2" xfId="2373" xr:uid="{00000000-0005-0000-0000-00005A070000}"/>
    <cellStyle name="1Outputheader 3 4 2 2" xfId="2374" xr:uid="{00000000-0005-0000-0000-00005B070000}"/>
    <cellStyle name="1Outputheader 3 4 2 2 2" xfId="2375" xr:uid="{00000000-0005-0000-0000-00005C070000}"/>
    <cellStyle name="1Outputheader 3 4 2 3" xfId="2376" xr:uid="{00000000-0005-0000-0000-00005D070000}"/>
    <cellStyle name="1Outputheader 3 4 2 3 2" xfId="2377" xr:uid="{00000000-0005-0000-0000-00005E070000}"/>
    <cellStyle name="1Outputheader 3 4 3" xfId="2378" xr:uid="{00000000-0005-0000-0000-00005F070000}"/>
    <cellStyle name="1Outputheader 3 4 3 2" xfId="2379" xr:uid="{00000000-0005-0000-0000-000060070000}"/>
    <cellStyle name="1Outputheader 3 4 3 2 2" xfId="2380" xr:uid="{00000000-0005-0000-0000-000061070000}"/>
    <cellStyle name="1Outputheader 3 4 3 3" xfId="2381" xr:uid="{00000000-0005-0000-0000-000062070000}"/>
    <cellStyle name="1Outputheader 3 4 3 3 2" xfId="2382" xr:uid="{00000000-0005-0000-0000-000063070000}"/>
    <cellStyle name="1Outputheader 3 4 4" xfId="2383" xr:uid="{00000000-0005-0000-0000-000064070000}"/>
    <cellStyle name="1Outputheader 3 4 4 2" xfId="2384" xr:uid="{00000000-0005-0000-0000-000065070000}"/>
    <cellStyle name="1Outputheader 3 4 5" xfId="2385" xr:uid="{00000000-0005-0000-0000-000066070000}"/>
    <cellStyle name="1Outputheader 3 4 5 2" xfId="2386" xr:uid="{00000000-0005-0000-0000-000067070000}"/>
    <cellStyle name="1Outputheader 3 5" xfId="2387" xr:uid="{00000000-0005-0000-0000-000068070000}"/>
    <cellStyle name="1Outputheader 3 5 2" xfId="2388" xr:uid="{00000000-0005-0000-0000-000069070000}"/>
    <cellStyle name="1Outputheader 3 5 2 2" xfId="2389" xr:uid="{00000000-0005-0000-0000-00006A070000}"/>
    <cellStyle name="1Outputheader 3 5 3" xfId="2390" xr:uid="{00000000-0005-0000-0000-00006B070000}"/>
    <cellStyle name="1Outputheader 3 5 3 2" xfId="2391" xr:uid="{00000000-0005-0000-0000-00006C070000}"/>
    <cellStyle name="1Outputheader 3 6" xfId="2392" xr:uid="{00000000-0005-0000-0000-00006D070000}"/>
    <cellStyle name="1Outputheader 3 6 2" xfId="2393" xr:uid="{00000000-0005-0000-0000-00006E070000}"/>
    <cellStyle name="1Outputheader 3 6 2 2" xfId="2394" xr:uid="{00000000-0005-0000-0000-00006F070000}"/>
    <cellStyle name="1Outputheader 3 6 3" xfId="2395" xr:uid="{00000000-0005-0000-0000-000070070000}"/>
    <cellStyle name="1Outputheader 3 6 3 2" xfId="2396" xr:uid="{00000000-0005-0000-0000-000071070000}"/>
    <cellStyle name="1Outputheader 3 7" xfId="2397" xr:uid="{00000000-0005-0000-0000-000072070000}"/>
    <cellStyle name="1Outputheader 3 7 2" xfId="2398" xr:uid="{00000000-0005-0000-0000-000073070000}"/>
    <cellStyle name="1Outputheader 3 8" xfId="2399" xr:uid="{00000000-0005-0000-0000-000074070000}"/>
    <cellStyle name="1Outputheader 3 8 2" xfId="2400" xr:uid="{00000000-0005-0000-0000-000075070000}"/>
    <cellStyle name="1Outputheader 4" xfId="2401" xr:uid="{00000000-0005-0000-0000-000076070000}"/>
    <cellStyle name="1Outputheader 4 2" xfId="2402" xr:uid="{00000000-0005-0000-0000-000077070000}"/>
    <cellStyle name="1Outputheader 4 2 2" xfId="2403" xr:uid="{00000000-0005-0000-0000-000078070000}"/>
    <cellStyle name="1Outputheader 4 2 2 2" xfId="2404" xr:uid="{00000000-0005-0000-0000-000079070000}"/>
    <cellStyle name="1Outputheader 4 2 2 2 2" xfId="2405" xr:uid="{00000000-0005-0000-0000-00007A070000}"/>
    <cellStyle name="1Outputheader 4 2 2 3" xfId="2406" xr:uid="{00000000-0005-0000-0000-00007B070000}"/>
    <cellStyle name="1Outputheader 4 2 2 3 2" xfId="2407" xr:uid="{00000000-0005-0000-0000-00007C070000}"/>
    <cellStyle name="1Outputheader 4 2 3" xfId="2408" xr:uid="{00000000-0005-0000-0000-00007D070000}"/>
    <cellStyle name="1Outputheader 4 2 3 2" xfId="2409" xr:uid="{00000000-0005-0000-0000-00007E070000}"/>
    <cellStyle name="1Outputheader 4 2 3 2 2" xfId="2410" xr:uid="{00000000-0005-0000-0000-00007F070000}"/>
    <cellStyle name="1Outputheader 4 2 3 3" xfId="2411" xr:uid="{00000000-0005-0000-0000-000080070000}"/>
    <cellStyle name="1Outputheader 4 2 3 3 2" xfId="2412" xr:uid="{00000000-0005-0000-0000-000081070000}"/>
    <cellStyle name="1Outputheader 4 2 4" xfId="2413" xr:uid="{00000000-0005-0000-0000-000082070000}"/>
    <cellStyle name="1Outputheader 4 2 4 2" xfId="2414" xr:uid="{00000000-0005-0000-0000-000083070000}"/>
    <cellStyle name="1Outputheader 4 2 5" xfId="2415" xr:uid="{00000000-0005-0000-0000-000084070000}"/>
    <cellStyle name="1Outputheader 4 2 5 2" xfId="2416" xr:uid="{00000000-0005-0000-0000-000085070000}"/>
    <cellStyle name="1Outputheader 4 3" xfId="2417" xr:uid="{00000000-0005-0000-0000-000086070000}"/>
    <cellStyle name="1Outputheader 4 3 2" xfId="2418" xr:uid="{00000000-0005-0000-0000-000087070000}"/>
    <cellStyle name="1Outputheader 4 3 2 2" xfId="2419" xr:uid="{00000000-0005-0000-0000-000088070000}"/>
    <cellStyle name="1Outputheader 4 3 2 2 2" xfId="2420" xr:uid="{00000000-0005-0000-0000-000089070000}"/>
    <cellStyle name="1Outputheader 4 3 2 3" xfId="2421" xr:uid="{00000000-0005-0000-0000-00008A070000}"/>
    <cellStyle name="1Outputheader 4 3 2 3 2" xfId="2422" xr:uid="{00000000-0005-0000-0000-00008B070000}"/>
    <cellStyle name="1Outputheader 4 3 3" xfId="2423" xr:uid="{00000000-0005-0000-0000-00008C070000}"/>
    <cellStyle name="1Outputheader 4 3 3 2" xfId="2424" xr:uid="{00000000-0005-0000-0000-00008D070000}"/>
    <cellStyle name="1Outputheader 4 3 3 2 2" xfId="2425" xr:uid="{00000000-0005-0000-0000-00008E070000}"/>
    <cellStyle name="1Outputheader 4 3 3 3" xfId="2426" xr:uid="{00000000-0005-0000-0000-00008F070000}"/>
    <cellStyle name="1Outputheader 4 3 3 3 2" xfId="2427" xr:uid="{00000000-0005-0000-0000-000090070000}"/>
    <cellStyle name="1Outputheader 4 3 4" xfId="2428" xr:uid="{00000000-0005-0000-0000-000091070000}"/>
    <cellStyle name="1Outputheader 4 3 4 2" xfId="2429" xr:uid="{00000000-0005-0000-0000-000092070000}"/>
    <cellStyle name="1Outputheader 4 3 5" xfId="2430" xr:uid="{00000000-0005-0000-0000-000093070000}"/>
    <cellStyle name="1Outputheader 4 3 5 2" xfId="2431" xr:uid="{00000000-0005-0000-0000-000094070000}"/>
    <cellStyle name="1Outputheader 4 4" xfId="2432" xr:uid="{00000000-0005-0000-0000-000095070000}"/>
    <cellStyle name="1Outputheader 4 4 2" xfId="2433" xr:uid="{00000000-0005-0000-0000-000096070000}"/>
    <cellStyle name="1Outputheader 4 4 2 2" xfId="2434" xr:uid="{00000000-0005-0000-0000-000097070000}"/>
    <cellStyle name="1Outputheader 4 4 2 2 2" xfId="2435" xr:uid="{00000000-0005-0000-0000-000098070000}"/>
    <cellStyle name="1Outputheader 4 4 2 3" xfId="2436" xr:uid="{00000000-0005-0000-0000-000099070000}"/>
    <cellStyle name="1Outputheader 4 4 2 3 2" xfId="2437" xr:uid="{00000000-0005-0000-0000-00009A070000}"/>
    <cellStyle name="1Outputheader 4 4 3" xfId="2438" xr:uid="{00000000-0005-0000-0000-00009B070000}"/>
    <cellStyle name="1Outputheader 4 4 3 2" xfId="2439" xr:uid="{00000000-0005-0000-0000-00009C070000}"/>
    <cellStyle name="1Outputheader 4 4 3 2 2" xfId="2440" xr:uid="{00000000-0005-0000-0000-00009D070000}"/>
    <cellStyle name="1Outputheader 4 4 3 3" xfId="2441" xr:uid="{00000000-0005-0000-0000-00009E070000}"/>
    <cellStyle name="1Outputheader 4 4 3 3 2" xfId="2442" xr:uid="{00000000-0005-0000-0000-00009F070000}"/>
    <cellStyle name="1Outputheader 4 4 4" xfId="2443" xr:uid="{00000000-0005-0000-0000-0000A0070000}"/>
    <cellStyle name="1Outputheader 4 4 4 2" xfId="2444" xr:uid="{00000000-0005-0000-0000-0000A1070000}"/>
    <cellStyle name="1Outputheader 4 4 5" xfId="2445" xr:uid="{00000000-0005-0000-0000-0000A2070000}"/>
    <cellStyle name="1Outputheader 4 4 5 2" xfId="2446" xr:uid="{00000000-0005-0000-0000-0000A3070000}"/>
    <cellStyle name="1Outputheader 4 5" xfId="2447" xr:uid="{00000000-0005-0000-0000-0000A4070000}"/>
    <cellStyle name="1Outputheader 4 5 2" xfId="2448" xr:uid="{00000000-0005-0000-0000-0000A5070000}"/>
    <cellStyle name="1Outputheader 4 5 2 2" xfId="2449" xr:uid="{00000000-0005-0000-0000-0000A6070000}"/>
    <cellStyle name="1Outputheader 4 5 3" xfId="2450" xr:uid="{00000000-0005-0000-0000-0000A7070000}"/>
    <cellStyle name="1Outputheader 4 5 3 2" xfId="2451" xr:uid="{00000000-0005-0000-0000-0000A8070000}"/>
    <cellStyle name="1Outputheader 4 6" xfId="2452" xr:uid="{00000000-0005-0000-0000-0000A9070000}"/>
    <cellStyle name="1Outputheader 4 6 2" xfId="2453" xr:uid="{00000000-0005-0000-0000-0000AA070000}"/>
    <cellStyle name="1Outputheader 4 6 2 2" xfId="2454" xr:uid="{00000000-0005-0000-0000-0000AB070000}"/>
    <cellStyle name="1Outputheader 4 6 3" xfId="2455" xr:uid="{00000000-0005-0000-0000-0000AC070000}"/>
    <cellStyle name="1Outputheader 4 6 3 2" xfId="2456" xr:uid="{00000000-0005-0000-0000-0000AD070000}"/>
    <cellStyle name="1Outputheader 4 7" xfId="2457" xr:uid="{00000000-0005-0000-0000-0000AE070000}"/>
    <cellStyle name="1Outputheader 4 7 2" xfId="2458" xr:uid="{00000000-0005-0000-0000-0000AF070000}"/>
    <cellStyle name="1Outputheader 4 8" xfId="2459" xr:uid="{00000000-0005-0000-0000-0000B0070000}"/>
    <cellStyle name="1Outputheader 4 8 2" xfId="2460" xr:uid="{00000000-0005-0000-0000-0000B1070000}"/>
    <cellStyle name="1Outputheader 5" xfId="2461" xr:uid="{00000000-0005-0000-0000-0000B2070000}"/>
    <cellStyle name="1Outputheader 5 2" xfId="2462" xr:uid="{00000000-0005-0000-0000-0000B3070000}"/>
    <cellStyle name="1Outputheader 5 2 2" xfId="2463" xr:uid="{00000000-0005-0000-0000-0000B4070000}"/>
    <cellStyle name="1Outputheader 5 2 2 2" xfId="2464" xr:uid="{00000000-0005-0000-0000-0000B5070000}"/>
    <cellStyle name="1Outputheader 5 2 2 2 2" xfId="2465" xr:uid="{00000000-0005-0000-0000-0000B6070000}"/>
    <cellStyle name="1Outputheader 5 2 2 3" xfId="2466" xr:uid="{00000000-0005-0000-0000-0000B7070000}"/>
    <cellStyle name="1Outputheader 5 2 2 3 2" xfId="2467" xr:uid="{00000000-0005-0000-0000-0000B8070000}"/>
    <cellStyle name="1Outputheader 5 2 3" xfId="2468" xr:uid="{00000000-0005-0000-0000-0000B9070000}"/>
    <cellStyle name="1Outputheader 5 2 3 2" xfId="2469" xr:uid="{00000000-0005-0000-0000-0000BA070000}"/>
    <cellStyle name="1Outputheader 5 2 3 2 2" xfId="2470" xr:uid="{00000000-0005-0000-0000-0000BB070000}"/>
    <cellStyle name="1Outputheader 5 2 3 3" xfId="2471" xr:uid="{00000000-0005-0000-0000-0000BC070000}"/>
    <cellStyle name="1Outputheader 5 2 3 3 2" xfId="2472" xr:uid="{00000000-0005-0000-0000-0000BD070000}"/>
    <cellStyle name="1Outputheader 5 2 4" xfId="2473" xr:uid="{00000000-0005-0000-0000-0000BE070000}"/>
    <cellStyle name="1Outputheader 5 2 4 2" xfId="2474" xr:uid="{00000000-0005-0000-0000-0000BF070000}"/>
    <cellStyle name="1Outputheader 5 2 5" xfId="2475" xr:uid="{00000000-0005-0000-0000-0000C0070000}"/>
    <cellStyle name="1Outputheader 5 2 5 2" xfId="2476" xr:uid="{00000000-0005-0000-0000-0000C1070000}"/>
    <cellStyle name="1Outputheader 5 3" xfId="2477" xr:uid="{00000000-0005-0000-0000-0000C2070000}"/>
    <cellStyle name="1Outputheader 5 3 2" xfId="2478" xr:uid="{00000000-0005-0000-0000-0000C3070000}"/>
    <cellStyle name="1Outputheader 5 3 2 2" xfId="2479" xr:uid="{00000000-0005-0000-0000-0000C4070000}"/>
    <cellStyle name="1Outputheader 5 3 2 2 2" xfId="2480" xr:uid="{00000000-0005-0000-0000-0000C5070000}"/>
    <cellStyle name="1Outputheader 5 3 2 3" xfId="2481" xr:uid="{00000000-0005-0000-0000-0000C6070000}"/>
    <cellStyle name="1Outputheader 5 3 2 3 2" xfId="2482" xr:uid="{00000000-0005-0000-0000-0000C7070000}"/>
    <cellStyle name="1Outputheader 5 3 3" xfId="2483" xr:uid="{00000000-0005-0000-0000-0000C8070000}"/>
    <cellStyle name="1Outputheader 5 3 3 2" xfId="2484" xr:uid="{00000000-0005-0000-0000-0000C9070000}"/>
    <cellStyle name="1Outputheader 5 3 3 2 2" xfId="2485" xr:uid="{00000000-0005-0000-0000-0000CA070000}"/>
    <cellStyle name="1Outputheader 5 3 3 3" xfId="2486" xr:uid="{00000000-0005-0000-0000-0000CB070000}"/>
    <cellStyle name="1Outputheader 5 3 3 3 2" xfId="2487" xr:uid="{00000000-0005-0000-0000-0000CC070000}"/>
    <cellStyle name="1Outputheader 5 3 4" xfId="2488" xr:uid="{00000000-0005-0000-0000-0000CD070000}"/>
    <cellStyle name="1Outputheader 5 3 4 2" xfId="2489" xr:uid="{00000000-0005-0000-0000-0000CE070000}"/>
    <cellStyle name="1Outputheader 5 3 5" xfId="2490" xr:uid="{00000000-0005-0000-0000-0000CF070000}"/>
    <cellStyle name="1Outputheader 5 3 5 2" xfId="2491" xr:uid="{00000000-0005-0000-0000-0000D0070000}"/>
    <cellStyle name="1Outputheader 5 4" xfId="2492" xr:uid="{00000000-0005-0000-0000-0000D1070000}"/>
    <cellStyle name="1Outputheader 5 4 2" xfId="2493" xr:uid="{00000000-0005-0000-0000-0000D2070000}"/>
    <cellStyle name="1Outputheader 5 4 2 2" xfId="2494" xr:uid="{00000000-0005-0000-0000-0000D3070000}"/>
    <cellStyle name="1Outputheader 5 4 2 2 2" xfId="2495" xr:uid="{00000000-0005-0000-0000-0000D4070000}"/>
    <cellStyle name="1Outputheader 5 4 2 3" xfId="2496" xr:uid="{00000000-0005-0000-0000-0000D5070000}"/>
    <cellStyle name="1Outputheader 5 4 2 3 2" xfId="2497" xr:uid="{00000000-0005-0000-0000-0000D6070000}"/>
    <cellStyle name="1Outputheader 5 4 3" xfId="2498" xr:uid="{00000000-0005-0000-0000-0000D7070000}"/>
    <cellStyle name="1Outputheader 5 4 3 2" xfId="2499" xr:uid="{00000000-0005-0000-0000-0000D8070000}"/>
    <cellStyle name="1Outputheader 5 4 3 2 2" xfId="2500" xr:uid="{00000000-0005-0000-0000-0000D9070000}"/>
    <cellStyle name="1Outputheader 5 4 3 3" xfId="2501" xr:uid="{00000000-0005-0000-0000-0000DA070000}"/>
    <cellStyle name="1Outputheader 5 4 3 3 2" xfId="2502" xr:uid="{00000000-0005-0000-0000-0000DB070000}"/>
    <cellStyle name="1Outputheader 5 4 4" xfId="2503" xr:uid="{00000000-0005-0000-0000-0000DC070000}"/>
    <cellStyle name="1Outputheader 5 4 4 2" xfId="2504" xr:uid="{00000000-0005-0000-0000-0000DD070000}"/>
    <cellStyle name="1Outputheader 5 4 5" xfId="2505" xr:uid="{00000000-0005-0000-0000-0000DE070000}"/>
    <cellStyle name="1Outputheader 5 4 5 2" xfId="2506" xr:uid="{00000000-0005-0000-0000-0000DF070000}"/>
    <cellStyle name="1Outputheader 5 5" xfId="2507" xr:uid="{00000000-0005-0000-0000-0000E0070000}"/>
    <cellStyle name="1Outputheader 5 5 2" xfId="2508" xr:uid="{00000000-0005-0000-0000-0000E1070000}"/>
    <cellStyle name="1Outputheader 5 5 2 2" xfId="2509" xr:uid="{00000000-0005-0000-0000-0000E2070000}"/>
    <cellStyle name="1Outputheader 5 5 3" xfId="2510" xr:uid="{00000000-0005-0000-0000-0000E3070000}"/>
    <cellStyle name="1Outputheader 5 5 3 2" xfId="2511" xr:uid="{00000000-0005-0000-0000-0000E4070000}"/>
    <cellStyle name="1Outputheader 5 6" xfId="2512" xr:uid="{00000000-0005-0000-0000-0000E5070000}"/>
    <cellStyle name="1Outputheader 5 6 2" xfId="2513" xr:uid="{00000000-0005-0000-0000-0000E6070000}"/>
    <cellStyle name="1Outputheader 5 6 2 2" xfId="2514" xr:uid="{00000000-0005-0000-0000-0000E7070000}"/>
    <cellStyle name="1Outputheader 5 6 3" xfId="2515" xr:uid="{00000000-0005-0000-0000-0000E8070000}"/>
    <cellStyle name="1Outputheader 5 6 3 2" xfId="2516" xr:uid="{00000000-0005-0000-0000-0000E9070000}"/>
    <cellStyle name="1Outputheader 5 7" xfId="2517" xr:uid="{00000000-0005-0000-0000-0000EA070000}"/>
    <cellStyle name="1Outputheader 5 7 2" xfId="2518" xr:uid="{00000000-0005-0000-0000-0000EB070000}"/>
    <cellStyle name="1Outputheader 5 8" xfId="2519" xr:uid="{00000000-0005-0000-0000-0000EC070000}"/>
    <cellStyle name="1Outputheader 5 8 2" xfId="2520" xr:uid="{00000000-0005-0000-0000-0000ED070000}"/>
    <cellStyle name="1Outputheader 6" xfId="2521" xr:uid="{00000000-0005-0000-0000-0000EE070000}"/>
    <cellStyle name="1Outputheader 6 2" xfId="2522" xr:uid="{00000000-0005-0000-0000-0000EF070000}"/>
    <cellStyle name="1Outputheader 6 2 2" xfId="2523" xr:uid="{00000000-0005-0000-0000-0000F0070000}"/>
    <cellStyle name="1Outputheader 6 2 2 2" xfId="2524" xr:uid="{00000000-0005-0000-0000-0000F1070000}"/>
    <cellStyle name="1Outputheader 6 2 2 2 2" xfId="2525" xr:uid="{00000000-0005-0000-0000-0000F2070000}"/>
    <cellStyle name="1Outputheader 6 2 2 3" xfId="2526" xr:uid="{00000000-0005-0000-0000-0000F3070000}"/>
    <cellStyle name="1Outputheader 6 2 2 3 2" xfId="2527" xr:uid="{00000000-0005-0000-0000-0000F4070000}"/>
    <cellStyle name="1Outputheader 6 2 3" xfId="2528" xr:uid="{00000000-0005-0000-0000-0000F5070000}"/>
    <cellStyle name="1Outputheader 6 2 3 2" xfId="2529" xr:uid="{00000000-0005-0000-0000-0000F6070000}"/>
    <cellStyle name="1Outputheader 6 2 3 2 2" xfId="2530" xr:uid="{00000000-0005-0000-0000-0000F7070000}"/>
    <cellStyle name="1Outputheader 6 2 3 3" xfId="2531" xr:uid="{00000000-0005-0000-0000-0000F8070000}"/>
    <cellStyle name="1Outputheader 6 2 3 3 2" xfId="2532" xr:uid="{00000000-0005-0000-0000-0000F9070000}"/>
    <cellStyle name="1Outputheader 6 2 4" xfId="2533" xr:uid="{00000000-0005-0000-0000-0000FA070000}"/>
    <cellStyle name="1Outputheader 6 2 4 2" xfId="2534" xr:uid="{00000000-0005-0000-0000-0000FB070000}"/>
    <cellStyle name="1Outputheader 6 2 5" xfId="2535" xr:uid="{00000000-0005-0000-0000-0000FC070000}"/>
    <cellStyle name="1Outputheader 6 2 5 2" xfId="2536" xr:uid="{00000000-0005-0000-0000-0000FD070000}"/>
    <cellStyle name="1Outputheader 6 3" xfId="2537" xr:uid="{00000000-0005-0000-0000-0000FE070000}"/>
    <cellStyle name="1Outputheader 6 3 2" xfId="2538" xr:uid="{00000000-0005-0000-0000-0000FF070000}"/>
    <cellStyle name="1Outputheader 6 3 2 2" xfId="2539" xr:uid="{00000000-0005-0000-0000-000000080000}"/>
    <cellStyle name="1Outputheader 6 3 2 2 2" xfId="2540" xr:uid="{00000000-0005-0000-0000-000001080000}"/>
    <cellStyle name="1Outputheader 6 3 2 3" xfId="2541" xr:uid="{00000000-0005-0000-0000-000002080000}"/>
    <cellStyle name="1Outputheader 6 3 2 3 2" xfId="2542" xr:uid="{00000000-0005-0000-0000-000003080000}"/>
    <cellStyle name="1Outputheader 6 3 3" xfId="2543" xr:uid="{00000000-0005-0000-0000-000004080000}"/>
    <cellStyle name="1Outputheader 6 3 3 2" xfId="2544" xr:uid="{00000000-0005-0000-0000-000005080000}"/>
    <cellStyle name="1Outputheader 6 3 3 2 2" xfId="2545" xr:uid="{00000000-0005-0000-0000-000006080000}"/>
    <cellStyle name="1Outputheader 6 3 3 3" xfId="2546" xr:uid="{00000000-0005-0000-0000-000007080000}"/>
    <cellStyle name="1Outputheader 6 3 3 3 2" xfId="2547" xr:uid="{00000000-0005-0000-0000-000008080000}"/>
    <cellStyle name="1Outputheader 6 3 4" xfId="2548" xr:uid="{00000000-0005-0000-0000-000009080000}"/>
    <cellStyle name="1Outputheader 6 3 4 2" xfId="2549" xr:uid="{00000000-0005-0000-0000-00000A080000}"/>
    <cellStyle name="1Outputheader 6 3 5" xfId="2550" xr:uid="{00000000-0005-0000-0000-00000B080000}"/>
    <cellStyle name="1Outputheader 6 3 5 2" xfId="2551" xr:uid="{00000000-0005-0000-0000-00000C080000}"/>
    <cellStyle name="1Outputheader 6 4" xfId="2552" xr:uid="{00000000-0005-0000-0000-00000D080000}"/>
    <cellStyle name="1Outputheader 6 4 2" xfId="2553" xr:uid="{00000000-0005-0000-0000-00000E080000}"/>
    <cellStyle name="1Outputheader 6 4 2 2" xfId="2554" xr:uid="{00000000-0005-0000-0000-00000F080000}"/>
    <cellStyle name="1Outputheader 6 4 2 2 2" xfId="2555" xr:uid="{00000000-0005-0000-0000-000010080000}"/>
    <cellStyle name="1Outputheader 6 4 2 3" xfId="2556" xr:uid="{00000000-0005-0000-0000-000011080000}"/>
    <cellStyle name="1Outputheader 6 4 2 3 2" xfId="2557" xr:uid="{00000000-0005-0000-0000-000012080000}"/>
    <cellStyle name="1Outputheader 6 4 3" xfId="2558" xr:uid="{00000000-0005-0000-0000-000013080000}"/>
    <cellStyle name="1Outputheader 6 4 3 2" xfId="2559" xr:uid="{00000000-0005-0000-0000-000014080000}"/>
    <cellStyle name="1Outputheader 6 4 3 2 2" xfId="2560" xr:uid="{00000000-0005-0000-0000-000015080000}"/>
    <cellStyle name="1Outputheader 6 4 3 3" xfId="2561" xr:uid="{00000000-0005-0000-0000-000016080000}"/>
    <cellStyle name="1Outputheader 6 4 3 3 2" xfId="2562" xr:uid="{00000000-0005-0000-0000-000017080000}"/>
    <cellStyle name="1Outputheader 6 4 4" xfId="2563" xr:uid="{00000000-0005-0000-0000-000018080000}"/>
    <cellStyle name="1Outputheader 6 4 4 2" xfId="2564" xr:uid="{00000000-0005-0000-0000-000019080000}"/>
    <cellStyle name="1Outputheader 6 4 5" xfId="2565" xr:uid="{00000000-0005-0000-0000-00001A080000}"/>
    <cellStyle name="1Outputheader 6 4 5 2" xfId="2566" xr:uid="{00000000-0005-0000-0000-00001B080000}"/>
    <cellStyle name="1Outputheader 6 5" xfId="2567" xr:uid="{00000000-0005-0000-0000-00001C080000}"/>
    <cellStyle name="1Outputheader 6 5 2" xfId="2568" xr:uid="{00000000-0005-0000-0000-00001D080000}"/>
    <cellStyle name="1Outputheader 6 5 2 2" xfId="2569" xr:uid="{00000000-0005-0000-0000-00001E080000}"/>
    <cellStyle name="1Outputheader 6 5 3" xfId="2570" xr:uid="{00000000-0005-0000-0000-00001F080000}"/>
    <cellStyle name="1Outputheader 6 5 3 2" xfId="2571" xr:uid="{00000000-0005-0000-0000-000020080000}"/>
    <cellStyle name="1Outputheader 6 6" xfId="2572" xr:uid="{00000000-0005-0000-0000-000021080000}"/>
    <cellStyle name="1Outputheader 6 6 2" xfId="2573" xr:uid="{00000000-0005-0000-0000-000022080000}"/>
    <cellStyle name="1Outputheader 6 6 2 2" xfId="2574" xr:uid="{00000000-0005-0000-0000-000023080000}"/>
    <cellStyle name="1Outputheader 6 6 3" xfId="2575" xr:uid="{00000000-0005-0000-0000-000024080000}"/>
    <cellStyle name="1Outputheader 6 6 3 2" xfId="2576" xr:uid="{00000000-0005-0000-0000-000025080000}"/>
    <cellStyle name="1Outputheader 6 7" xfId="2577" xr:uid="{00000000-0005-0000-0000-000026080000}"/>
    <cellStyle name="1Outputheader 6 7 2" xfId="2578" xr:uid="{00000000-0005-0000-0000-000027080000}"/>
    <cellStyle name="1Outputheader 6 8" xfId="2579" xr:uid="{00000000-0005-0000-0000-000028080000}"/>
    <cellStyle name="1Outputheader 6 8 2" xfId="2580" xr:uid="{00000000-0005-0000-0000-000029080000}"/>
    <cellStyle name="1Outputheader 7" xfId="2581" xr:uid="{00000000-0005-0000-0000-00002A080000}"/>
    <cellStyle name="1Outputheader 7 2" xfId="2582" xr:uid="{00000000-0005-0000-0000-00002B080000}"/>
    <cellStyle name="1Outputheader 7 2 2" xfId="2583" xr:uid="{00000000-0005-0000-0000-00002C080000}"/>
    <cellStyle name="1Outputheader 7 2 2 2" xfId="2584" xr:uid="{00000000-0005-0000-0000-00002D080000}"/>
    <cellStyle name="1Outputheader 7 2 2 2 2" xfId="2585" xr:uid="{00000000-0005-0000-0000-00002E080000}"/>
    <cellStyle name="1Outputheader 7 2 2 3" xfId="2586" xr:uid="{00000000-0005-0000-0000-00002F080000}"/>
    <cellStyle name="1Outputheader 7 2 2 3 2" xfId="2587" xr:uid="{00000000-0005-0000-0000-000030080000}"/>
    <cellStyle name="1Outputheader 7 2 3" xfId="2588" xr:uid="{00000000-0005-0000-0000-000031080000}"/>
    <cellStyle name="1Outputheader 7 2 3 2" xfId="2589" xr:uid="{00000000-0005-0000-0000-000032080000}"/>
    <cellStyle name="1Outputheader 7 2 3 2 2" xfId="2590" xr:uid="{00000000-0005-0000-0000-000033080000}"/>
    <cellStyle name="1Outputheader 7 2 3 3" xfId="2591" xr:uid="{00000000-0005-0000-0000-000034080000}"/>
    <cellStyle name="1Outputheader 7 2 3 3 2" xfId="2592" xr:uid="{00000000-0005-0000-0000-000035080000}"/>
    <cellStyle name="1Outputheader 7 2 4" xfId="2593" xr:uid="{00000000-0005-0000-0000-000036080000}"/>
    <cellStyle name="1Outputheader 7 2 4 2" xfId="2594" xr:uid="{00000000-0005-0000-0000-000037080000}"/>
    <cellStyle name="1Outputheader 7 2 5" xfId="2595" xr:uid="{00000000-0005-0000-0000-000038080000}"/>
    <cellStyle name="1Outputheader 7 2 5 2" xfId="2596" xr:uid="{00000000-0005-0000-0000-000039080000}"/>
    <cellStyle name="1Outputheader 7 3" xfId="2597" xr:uid="{00000000-0005-0000-0000-00003A080000}"/>
    <cellStyle name="1Outputheader 7 3 2" xfId="2598" xr:uid="{00000000-0005-0000-0000-00003B080000}"/>
    <cellStyle name="1Outputheader 7 3 2 2" xfId="2599" xr:uid="{00000000-0005-0000-0000-00003C080000}"/>
    <cellStyle name="1Outputheader 7 3 2 2 2" xfId="2600" xr:uid="{00000000-0005-0000-0000-00003D080000}"/>
    <cellStyle name="1Outputheader 7 3 2 3" xfId="2601" xr:uid="{00000000-0005-0000-0000-00003E080000}"/>
    <cellStyle name="1Outputheader 7 3 2 3 2" xfId="2602" xr:uid="{00000000-0005-0000-0000-00003F080000}"/>
    <cellStyle name="1Outputheader 7 3 3" xfId="2603" xr:uid="{00000000-0005-0000-0000-000040080000}"/>
    <cellStyle name="1Outputheader 7 3 3 2" xfId="2604" xr:uid="{00000000-0005-0000-0000-000041080000}"/>
    <cellStyle name="1Outputheader 7 3 3 2 2" xfId="2605" xr:uid="{00000000-0005-0000-0000-000042080000}"/>
    <cellStyle name="1Outputheader 7 3 3 3" xfId="2606" xr:uid="{00000000-0005-0000-0000-000043080000}"/>
    <cellStyle name="1Outputheader 7 3 3 3 2" xfId="2607" xr:uid="{00000000-0005-0000-0000-000044080000}"/>
    <cellStyle name="1Outputheader 7 3 4" xfId="2608" xr:uid="{00000000-0005-0000-0000-000045080000}"/>
    <cellStyle name="1Outputheader 7 3 4 2" xfId="2609" xr:uid="{00000000-0005-0000-0000-000046080000}"/>
    <cellStyle name="1Outputheader 7 3 5" xfId="2610" xr:uid="{00000000-0005-0000-0000-000047080000}"/>
    <cellStyle name="1Outputheader 7 3 5 2" xfId="2611" xr:uid="{00000000-0005-0000-0000-000048080000}"/>
    <cellStyle name="1Outputheader 7 4" xfId="2612" xr:uid="{00000000-0005-0000-0000-000049080000}"/>
    <cellStyle name="1Outputheader 7 4 2" xfId="2613" xr:uid="{00000000-0005-0000-0000-00004A080000}"/>
    <cellStyle name="1Outputheader 7 4 2 2" xfId="2614" xr:uid="{00000000-0005-0000-0000-00004B080000}"/>
    <cellStyle name="1Outputheader 7 4 2 2 2" xfId="2615" xr:uid="{00000000-0005-0000-0000-00004C080000}"/>
    <cellStyle name="1Outputheader 7 4 2 3" xfId="2616" xr:uid="{00000000-0005-0000-0000-00004D080000}"/>
    <cellStyle name="1Outputheader 7 4 2 3 2" xfId="2617" xr:uid="{00000000-0005-0000-0000-00004E080000}"/>
    <cellStyle name="1Outputheader 7 4 3" xfId="2618" xr:uid="{00000000-0005-0000-0000-00004F080000}"/>
    <cellStyle name="1Outputheader 7 4 3 2" xfId="2619" xr:uid="{00000000-0005-0000-0000-000050080000}"/>
    <cellStyle name="1Outputheader 7 4 3 2 2" xfId="2620" xr:uid="{00000000-0005-0000-0000-000051080000}"/>
    <cellStyle name="1Outputheader 7 4 3 3" xfId="2621" xr:uid="{00000000-0005-0000-0000-000052080000}"/>
    <cellStyle name="1Outputheader 7 4 3 3 2" xfId="2622" xr:uid="{00000000-0005-0000-0000-000053080000}"/>
    <cellStyle name="1Outputheader 7 4 4" xfId="2623" xr:uid="{00000000-0005-0000-0000-000054080000}"/>
    <cellStyle name="1Outputheader 7 4 4 2" xfId="2624" xr:uid="{00000000-0005-0000-0000-000055080000}"/>
    <cellStyle name="1Outputheader 7 4 5" xfId="2625" xr:uid="{00000000-0005-0000-0000-000056080000}"/>
    <cellStyle name="1Outputheader 7 4 5 2" xfId="2626" xr:uid="{00000000-0005-0000-0000-000057080000}"/>
    <cellStyle name="1Outputheader 7 5" xfId="2627" xr:uid="{00000000-0005-0000-0000-000058080000}"/>
    <cellStyle name="1Outputheader 7 5 2" xfId="2628" xr:uid="{00000000-0005-0000-0000-000059080000}"/>
    <cellStyle name="1Outputheader 7 5 2 2" xfId="2629" xr:uid="{00000000-0005-0000-0000-00005A080000}"/>
    <cellStyle name="1Outputheader 7 5 3" xfId="2630" xr:uid="{00000000-0005-0000-0000-00005B080000}"/>
    <cellStyle name="1Outputheader 7 5 3 2" xfId="2631" xr:uid="{00000000-0005-0000-0000-00005C080000}"/>
    <cellStyle name="1Outputheader 7 6" xfId="2632" xr:uid="{00000000-0005-0000-0000-00005D080000}"/>
    <cellStyle name="1Outputheader 7 6 2" xfId="2633" xr:uid="{00000000-0005-0000-0000-00005E080000}"/>
    <cellStyle name="1Outputheader 7 6 2 2" xfId="2634" xr:uid="{00000000-0005-0000-0000-00005F080000}"/>
    <cellStyle name="1Outputheader 7 6 3" xfId="2635" xr:uid="{00000000-0005-0000-0000-000060080000}"/>
    <cellStyle name="1Outputheader 7 6 3 2" xfId="2636" xr:uid="{00000000-0005-0000-0000-000061080000}"/>
    <cellStyle name="1Outputheader 7 7" xfId="2637" xr:uid="{00000000-0005-0000-0000-000062080000}"/>
    <cellStyle name="1Outputheader 7 7 2" xfId="2638" xr:uid="{00000000-0005-0000-0000-000063080000}"/>
    <cellStyle name="1Outputheader 7 8" xfId="2639" xr:uid="{00000000-0005-0000-0000-000064080000}"/>
    <cellStyle name="1Outputheader 7 8 2" xfId="2640" xr:uid="{00000000-0005-0000-0000-000065080000}"/>
    <cellStyle name="1Outputheader 8" xfId="2641" xr:uid="{00000000-0005-0000-0000-000066080000}"/>
    <cellStyle name="1Outputheader 8 2" xfId="2642" xr:uid="{00000000-0005-0000-0000-000067080000}"/>
    <cellStyle name="1Outputheader 8 2 2" xfId="2643" xr:uid="{00000000-0005-0000-0000-000068080000}"/>
    <cellStyle name="1Outputheader 8 2 2 2" xfId="2644" xr:uid="{00000000-0005-0000-0000-000069080000}"/>
    <cellStyle name="1Outputheader 8 2 2 2 2" xfId="2645" xr:uid="{00000000-0005-0000-0000-00006A080000}"/>
    <cellStyle name="1Outputheader 8 2 2 3" xfId="2646" xr:uid="{00000000-0005-0000-0000-00006B080000}"/>
    <cellStyle name="1Outputheader 8 2 2 3 2" xfId="2647" xr:uid="{00000000-0005-0000-0000-00006C080000}"/>
    <cellStyle name="1Outputheader 8 2 3" xfId="2648" xr:uid="{00000000-0005-0000-0000-00006D080000}"/>
    <cellStyle name="1Outputheader 8 2 3 2" xfId="2649" xr:uid="{00000000-0005-0000-0000-00006E080000}"/>
    <cellStyle name="1Outputheader 8 2 3 2 2" xfId="2650" xr:uid="{00000000-0005-0000-0000-00006F080000}"/>
    <cellStyle name="1Outputheader 8 2 3 3" xfId="2651" xr:uid="{00000000-0005-0000-0000-000070080000}"/>
    <cellStyle name="1Outputheader 8 2 3 3 2" xfId="2652" xr:uid="{00000000-0005-0000-0000-000071080000}"/>
    <cellStyle name="1Outputheader 8 2 4" xfId="2653" xr:uid="{00000000-0005-0000-0000-000072080000}"/>
    <cellStyle name="1Outputheader 8 2 4 2" xfId="2654" xr:uid="{00000000-0005-0000-0000-000073080000}"/>
    <cellStyle name="1Outputheader 8 2 5" xfId="2655" xr:uid="{00000000-0005-0000-0000-000074080000}"/>
    <cellStyle name="1Outputheader 8 2 5 2" xfId="2656" xr:uid="{00000000-0005-0000-0000-000075080000}"/>
    <cellStyle name="1Outputheader 8 3" xfId="2657" xr:uid="{00000000-0005-0000-0000-000076080000}"/>
    <cellStyle name="1Outputheader 8 3 2" xfId="2658" xr:uid="{00000000-0005-0000-0000-000077080000}"/>
    <cellStyle name="1Outputheader 8 3 2 2" xfId="2659" xr:uid="{00000000-0005-0000-0000-000078080000}"/>
    <cellStyle name="1Outputheader 8 3 2 2 2" xfId="2660" xr:uid="{00000000-0005-0000-0000-000079080000}"/>
    <cellStyle name="1Outputheader 8 3 2 3" xfId="2661" xr:uid="{00000000-0005-0000-0000-00007A080000}"/>
    <cellStyle name="1Outputheader 8 3 2 3 2" xfId="2662" xr:uid="{00000000-0005-0000-0000-00007B080000}"/>
    <cellStyle name="1Outputheader 8 3 3" xfId="2663" xr:uid="{00000000-0005-0000-0000-00007C080000}"/>
    <cellStyle name="1Outputheader 8 3 3 2" xfId="2664" xr:uid="{00000000-0005-0000-0000-00007D080000}"/>
    <cellStyle name="1Outputheader 8 3 3 2 2" xfId="2665" xr:uid="{00000000-0005-0000-0000-00007E080000}"/>
    <cellStyle name="1Outputheader 8 3 3 3" xfId="2666" xr:uid="{00000000-0005-0000-0000-00007F080000}"/>
    <cellStyle name="1Outputheader 8 3 3 3 2" xfId="2667" xr:uid="{00000000-0005-0000-0000-000080080000}"/>
    <cellStyle name="1Outputheader 8 3 4" xfId="2668" xr:uid="{00000000-0005-0000-0000-000081080000}"/>
    <cellStyle name="1Outputheader 8 3 4 2" xfId="2669" xr:uid="{00000000-0005-0000-0000-000082080000}"/>
    <cellStyle name="1Outputheader 8 3 5" xfId="2670" xr:uid="{00000000-0005-0000-0000-000083080000}"/>
    <cellStyle name="1Outputheader 8 3 5 2" xfId="2671" xr:uid="{00000000-0005-0000-0000-000084080000}"/>
    <cellStyle name="1Outputheader 8 4" xfId="2672" xr:uid="{00000000-0005-0000-0000-000085080000}"/>
    <cellStyle name="1Outputheader 8 4 2" xfId="2673" xr:uid="{00000000-0005-0000-0000-000086080000}"/>
    <cellStyle name="1Outputheader 8 4 2 2" xfId="2674" xr:uid="{00000000-0005-0000-0000-000087080000}"/>
    <cellStyle name="1Outputheader 8 4 2 2 2" xfId="2675" xr:uid="{00000000-0005-0000-0000-000088080000}"/>
    <cellStyle name="1Outputheader 8 4 2 3" xfId="2676" xr:uid="{00000000-0005-0000-0000-000089080000}"/>
    <cellStyle name="1Outputheader 8 4 2 3 2" xfId="2677" xr:uid="{00000000-0005-0000-0000-00008A080000}"/>
    <cellStyle name="1Outputheader 8 4 3" xfId="2678" xr:uid="{00000000-0005-0000-0000-00008B080000}"/>
    <cellStyle name="1Outputheader 8 4 3 2" xfId="2679" xr:uid="{00000000-0005-0000-0000-00008C080000}"/>
    <cellStyle name="1Outputheader 8 4 3 2 2" xfId="2680" xr:uid="{00000000-0005-0000-0000-00008D080000}"/>
    <cellStyle name="1Outputheader 8 4 3 3" xfId="2681" xr:uid="{00000000-0005-0000-0000-00008E080000}"/>
    <cellStyle name="1Outputheader 8 4 3 3 2" xfId="2682" xr:uid="{00000000-0005-0000-0000-00008F080000}"/>
    <cellStyle name="1Outputheader 8 4 4" xfId="2683" xr:uid="{00000000-0005-0000-0000-000090080000}"/>
    <cellStyle name="1Outputheader 8 4 4 2" xfId="2684" xr:uid="{00000000-0005-0000-0000-000091080000}"/>
    <cellStyle name="1Outputheader 8 4 5" xfId="2685" xr:uid="{00000000-0005-0000-0000-000092080000}"/>
    <cellStyle name="1Outputheader 8 4 5 2" xfId="2686" xr:uid="{00000000-0005-0000-0000-000093080000}"/>
    <cellStyle name="1Outputheader 8 5" xfId="2687" xr:uid="{00000000-0005-0000-0000-000094080000}"/>
    <cellStyle name="1Outputheader 8 5 2" xfId="2688" xr:uid="{00000000-0005-0000-0000-000095080000}"/>
    <cellStyle name="1Outputheader 8 5 2 2" xfId="2689" xr:uid="{00000000-0005-0000-0000-000096080000}"/>
    <cellStyle name="1Outputheader 8 5 3" xfId="2690" xr:uid="{00000000-0005-0000-0000-000097080000}"/>
    <cellStyle name="1Outputheader 8 5 3 2" xfId="2691" xr:uid="{00000000-0005-0000-0000-000098080000}"/>
    <cellStyle name="1Outputheader 8 6" xfId="2692" xr:uid="{00000000-0005-0000-0000-000099080000}"/>
    <cellStyle name="1Outputheader 8 6 2" xfId="2693" xr:uid="{00000000-0005-0000-0000-00009A080000}"/>
    <cellStyle name="1Outputheader 8 6 2 2" xfId="2694" xr:uid="{00000000-0005-0000-0000-00009B080000}"/>
    <cellStyle name="1Outputheader 8 6 3" xfId="2695" xr:uid="{00000000-0005-0000-0000-00009C080000}"/>
    <cellStyle name="1Outputheader 8 6 3 2" xfId="2696" xr:uid="{00000000-0005-0000-0000-00009D080000}"/>
    <cellStyle name="1Outputheader 8 7" xfId="2697" xr:uid="{00000000-0005-0000-0000-00009E080000}"/>
    <cellStyle name="1Outputheader 8 7 2" xfId="2698" xr:uid="{00000000-0005-0000-0000-00009F080000}"/>
    <cellStyle name="1Outputheader 8 8" xfId="2699" xr:uid="{00000000-0005-0000-0000-0000A0080000}"/>
    <cellStyle name="1Outputheader 8 8 2" xfId="2700" xr:uid="{00000000-0005-0000-0000-0000A1080000}"/>
    <cellStyle name="1Outputheader 9" xfId="2701" xr:uid="{00000000-0005-0000-0000-0000A2080000}"/>
    <cellStyle name="1Outputheader 9 2" xfId="2702" xr:uid="{00000000-0005-0000-0000-0000A3080000}"/>
    <cellStyle name="1Outputheader 9 2 2" xfId="2703" xr:uid="{00000000-0005-0000-0000-0000A4080000}"/>
    <cellStyle name="1Outputheader 9 2 2 2" xfId="2704" xr:uid="{00000000-0005-0000-0000-0000A5080000}"/>
    <cellStyle name="1Outputheader 9 2 2 2 2" xfId="2705" xr:uid="{00000000-0005-0000-0000-0000A6080000}"/>
    <cellStyle name="1Outputheader 9 2 2 3" xfId="2706" xr:uid="{00000000-0005-0000-0000-0000A7080000}"/>
    <cellStyle name="1Outputheader 9 2 2 3 2" xfId="2707" xr:uid="{00000000-0005-0000-0000-0000A8080000}"/>
    <cellStyle name="1Outputheader 9 2 3" xfId="2708" xr:uid="{00000000-0005-0000-0000-0000A9080000}"/>
    <cellStyle name="1Outputheader 9 2 3 2" xfId="2709" xr:uid="{00000000-0005-0000-0000-0000AA080000}"/>
    <cellStyle name="1Outputheader 9 2 3 2 2" xfId="2710" xr:uid="{00000000-0005-0000-0000-0000AB080000}"/>
    <cellStyle name="1Outputheader 9 2 3 3" xfId="2711" xr:uid="{00000000-0005-0000-0000-0000AC080000}"/>
    <cellStyle name="1Outputheader 9 2 3 3 2" xfId="2712" xr:uid="{00000000-0005-0000-0000-0000AD080000}"/>
    <cellStyle name="1Outputheader 9 2 4" xfId="2713" xr:uid="{00000000-0005-0000-0000-0000AE080000}"/>
    <cellStyle name="1Outputheader 9 2 4 2" xfId="2714" xr:uid="{00000000-0005-0000-0000-0000AF080000}"/>
    <cellStyle name="1Outputheader 9 2 5" xfId="2715" xr:uid="{00000000-0005-0000-0000-0000B0080000}"/>
    <cellStyle name="1Outputheader 9 2 5 2" xfId="2716" xr:uid="{00000000-0005-0000-0000-0000B1080000}"/>
    <cellStyle name="1Outputheader 9 3" xfId="2717" xr:uid="{00000000-0005-0000-0000-0000B2080000}"/>
    <cellStyle name="1Outputheader 9 3 2" xfId="2718" xr:uid="{00000000-0005-0000-0000-0000B3080000}"/>
    <cellStyle name="1Outputheader 9 3 2 2" xfId="2719" xr:uid="{00000000-0005-0000-0000-0000B4080000}"/>
    <cellStyle name="1Outputheader 9 3 2 2 2" xfId="2720" xr:uid="{00000000-0005-0000-0000-0000B5080000}"/>
    <cellStyle name="1Outputheader 9 3 2 3" xfId="2721" xr:uid="{00000000-0005-0000-0000-0000B6080000}"/>
    <cellStyle name="1Outputheader 9 3 2 3 2" xfId="2722" xr:uid="{00000000-0005-0000-0000-0000B7080000}"/>
    <cellStyle name="1Outputheader 9 3 3" xfId="2723" xr:uid="{00000000-0005-0000-0000-0000B8080000}"/>
    <cellStyle name="1Outputheader 9 3 3 2" xfId="2724" xr:uid="{00000000-0005-0000-0000-0000B9080000}"/>
    <cellStyle name="1Outputheader 9 3 3 2 2" xfId="2725" xr:uid="{00000000-0005-0000-0000-0000BA080000}"/>
    <cellStyle name="1Outputheader 9 3 3 3" xfId="2726" xr:uid="{00000000-0005-0000-0000-0000BB080000}"/>
    <cellStyle name="1Outputheader 9 3 3 3 2" xfId="2727" xr:uid="{00000000-0005-0000-0000-0000BC080000}"/>
    <cellStyle name="1Outputheader 9 3 4" xfId="2728" xr:uid="{00000000-0005-0000-0000-0000BD080000}"/>
    <cellStyle name="1Outputheader 9 3 4 2" xfId="2729" xr:uid="{00000000-0005-0000-0000-0000BE080000}"/>
    <cellStyle name="1Outputheader 9 3 5" xfId="2730" xr:uid="{00000000-0005-0000-0000-0000BF080000}"/>
    <cellStyle name="1Outputheader 9 3 5 2" xfId="2731" xr:uid="{00000000-0005-0000-0000-0000C0080000}"/>
    <cellStyle name="1Outputheader 9 4" xfId="2732" xr:uid="{00000000-0005-0000-0000-0000C1080000}"/>
    <cellStyle name="1Outputheader 9 4 2" xfId="2733" xr:uid="{00000000-0005-0000-0000-0000C2080000}"/>
    <cellStyle name="1Outputheader 9 4 2 2" xfId="2734" xr:uid="{00000000-0005-0000-0000-0000C3080000}"/>
    <cellStyle name="1Outputheader 9 4 2 2 2" xfId="2735" xr:uid="{00000000-0005-0000-0000-0000C4080000}"/>
    <cellStyle name="1Outputheader 9 4 2 3" xfId="2736" xr:uid="{00000000-0005-0000-0000-0000C5080000}"/>
    <cellStyle name="1Outputheader 9 4 2 3 2" xfId="2737" xr:uid="{00000000-0005-0000-0000-0000C6080000}"/>
    <cellStyle name="1Outputheader 9 4 3" xfId="2738" xr:uid="{00000000-0005-0000-0000-0000C7080000}"/>
    <cellStyle name="1Outputheader 9 4 3 2" xfId="2739" xr:uid="{00000000-0005-0000-0000-0000C8080000}"/>
    <cellStyle name="1Outputheader 9 4 3 2 2" xfId="2740" xr:uid="{00000000-0005-0000-0000-0000C9080000}"/>
    <cellStyle name="1Outputheader 9 4 3 3" xfId="2741" xr:uid="{00000000-0005-0000-0000-0000CA080000}"/>
    <cellStyle name="1Outputheader 9 4 3 3 2" xfId="2742" xr:uid="{00000000-0005-0000-0000-0000CB080000}"/>
    <cellStyle name="1Outputheader 9 4 4" xfId="2743" xr:uid="{00000000-0005-0000-0000-0000CC080000}"/>
    <cellStyle name="1Outputheader 9 4 4 2" xfId="2744" xr:uid="{00000000-0005-0000-0000-0000CD080000}"/>
    <cellStyle name="1Outputheader 9 4 5" xfId="2745" xr:uid="{00000000-0005-0000-0000-0000CE080000}"/>
    <cellStyle name="1Outputheader 9 4 5 2" xfId="2746" xr:uid="{00000000-0005-0000-0000-0000CF080000}"/>
    <cellStyle name="1Outputheader 9 5" xfId="2747" xr:uid="{00000000-0005-0000-0000-0000D0080000}"/>
    <cellStyle name="1Outputheader 9 5 2" xfId="2748" xr:uid="{00000000-0005-0000-0000-0000D1080000}"/>
    <cellStyle name="1Outputheader 9 5 2 2" xfId="2749" xr:uid="{00000000-0005-0000-0000-0000D2080000}"/>
    <cellStyle name="1Outputheader 9 5 3" xfId="2750" xr:uid="{00000000-0005-0000-0000-0000D3080000}"/>
    <cellStyle name="1Outputheader 9 5 3 2" xfId="2751" xr:uid="{00000000-0005-0000-0000-0000D4080000}"/>
    <cellStyle name="1Outputheader 9 6" xfId="2752" xr:uid="{00000000-0005-0000-0000-0000D5080000}"/>
    <cellStyle name="1Outputheader 9 6 2" xfId="2753" xr:uid="{00000000-0005-0000-0000-0000D6080000}"/>
    <cellStyle name="1Outputheader 9 6 2 2" xfId="2754" xr:uid="{00000000-0005-0000-0000-0000D7080000}"/>
    <cellStyle name="1Outputheader 9 6 3" xfId="2755" xr:uid="{00000000-0005-0000-0000-0000D8080000}"/>
    <cellStyle name="1Outputheader 9 6 3 2" xfId="2756" xr:uid="{00000000-0005-0000-0000-0000D9080000}"/>
    <cellStyle name="1Outputheader 9 7" xfId="2757" xr:uid="{00000000-0005-0000-0000-0000DA080000}"/>
    <cellStyle name="1Outputheader 9 7 2" xfId="2758" xr:uid="{00000000-0005-0000-0000-0000DB080000}"/>
    <cellStyle name="1Outputheader 9 8" xfId="2759" xr:uid="{00000000-0005-0000-0000-0000DC080000}"/>
    <cellStyle name="1Outputheader 9 8 2" xfId="2760" xr:uid="{00000000-0005-0000-0000-0000DD080000}"/>
    <cellStyle name="1Outputheader2" xfId="2761" xr:uid="{00000000-0005-0000-0000-0000DE080000}"/>
    <cellStyle name="1Outputheader2 2" xfId="2762" xr:uid="{00000000-0005-0000-0000-0000DF080000}"/>
    <cellStyle name="1Outputheader2 3" xfId="2763" xr:uid="{00000000-0005-0000-0000-0000E0080000}"/>
    <cellStyle name="1Outputheader2 4" xfId="2764" xr:uid="{00000000-0005-0000-0000-0000E1080000}"/>
    <cellStyle name="1Outputsubtitle" xfId="2765" xr:uid="{00000000-0005-0000-0000-0000E2080000}"/>
    <cellStyle name="1Outputsubtitle 2" xfId="2766" xr:uid="{00000000-0005-0000-0000-0000E3080000}"/>
    <cellStyle name="1Outputsubtitle 3" xfId="2767" xr:uid="{00000000-0005-0000-0000-0000E4080000}"/>
    <cellStyle name="1Outputsubtitle 4" xfId="2768" xr:uid="{00000000-0005-0000-0000-0000E5080000}"/>
    <cellStyle name="1Outputtitle" xfId="2769" xr:uid="{00000000-0005-0000-0000-0000E6080000}"/>
    <cellStyle name="1Outputtitle 2" xfId="2770" xr:uid="{00000000-0005-0000-0000-0000E7080000}"/>
    <cellStyle name="1Outputtitle 3" xfId="2771" xr:uid="{00000000-0005-0000-0000-0000E8080000}"/>
    <cellStyle name="1Outputtitle 4" xfId="2772" xr:uid="{00000000-0005-0000-0000-0000E9080000}"/>
    <cellStyle name="1Profileheader" xfId="2773" xr:uid="{00000000-0005-0000-0000-0000EA080000}"/>
    <cellStyle name="1Profileheader 2" xfId="2774" xr:uid="{00000000-0005-0000-0000-0000EB080000}"/>
    <cellStyle name="1Profileheader 3" xfId="2775" xr:uid="{00000000-0005-0000-0000-0000EC080000}"/>
    <cellStyle name="1Profileheader 4" xfId="2776" xr:uid="{00000000-0005-0000-0000-0000ED080000}"/>
    <cellStyle name="1Profilelowerbox" xfId="2777" xr:uid="{00000000-0005-0000-0000-0000EE080000}"/>
    <cellStyle name="1Profilelowerbox 2" xfId="2778" xr:uid="{00000000-0005-0000-0000-0000EF080000}"/>
    <cellStyle name="1Profilelowerbox 3" xfId="2779" xr:uid="{00000000-0005-0000-0000-0000F0080000}"/>
    <cellStyle name="1Profilelowerbox 4" xfId="2780" xr:uid="{00000000-0005-0000-0000-0000F1080000}"/>
    <cellStyle name="1Profilesubheader" xfId="2781" xr:uid="{00000000-0005-0000-0000-0000F2080000}"/>
    <cellStyle name="1Profilesubheader 2" xfId="2782" xr:uid="{00000000-0005-0000-0000-0000F3080000}"/>
    <cellStyle name="1Profilesubheader 3" xfId="2783" xr:uid="{00000000-0005-0000-0000-0000F4080000}"/>
    <cellStyle name="1Profilesubheader 4" xfId="2784" xr:uid="{00000000-0005-0000-0000-0000F5080000}"/>
    <cellStyle name="1Profiletitle" xfId="2785" xr:uid="{00000000-0005-0000-0000-0000F6080000}"/>
    <cellStyle name="1Profiletitle 2" xfId="2786" xr:uid="{00000000-0005-0000-0000-0000F7080000}"/>
    <cellStyle name="1Profiletitle 3" xfId="2787" xr:uid="{00000000-0005-0000-0000-0000F8080000}"/>
    <cellStyle name="1Profiletitle 4" xfId="2788" xr:uid="{00000000-0005-0000-0000-0000F9080000}"/>
    <cellStyle name="1Profiletopbox" xfId="2789" xr:uid="{00000000-0005-0000-0000-0000FA080000}"/>
    <cellStyle name="1Profiletopbox 2" xfId="2790" xr:uid="{00000000-0005-0000-0000-0000FB080000}"/>
    <cellStyle name="1Profiletopbox 3" xfId="2791" xr:uid="{00000000-0005-0000-0000-0000FC080000}"/>
    <cellStyle name="1Profiletopbox 4" xfId="2792" xr:uid="{00000000-0005-0000-0000-0000FD080000}"/>
    <cellStyle name="20% - Accent1" xfId="2793" xr:uid="{00000000-0005-0000-0000-0000FE080000}"/>
    <cellStyle name="20% - Accent1 10" xfId="2794" xr:uid="{00000000-0005-0000-0000-0000FF080000}"/>
    <cellStyle name="20% - Accent1 11" xfId="2795" xr:uid="{00000000-0005-0000-0000-000000090000}"/>
    <cellStyle name="20% - Accent1 12" xfId="2796" xr:uid="{00000000-0005-0000-0000-000001090000}"/>
    <cellStyle name="20% - Accent1 13" xfId="2797" xr:uid="{00000000-0005-0000-0000-000002090000}"/>
    <cellStyle name="20% - Accent1 14" xfId="2798" xr:uid="{00000000-0005-0000-0000-000003090000}"/>
    <cellStyle name="20% - Accent1 15" xfId="2799" xr:uid="{00000000-0005-0000-0000-000004090000}"/>
    <cellStyle name="20% - Accent1 16" xfId="2800" xr:uid="{00000000-0005-0000-0000-000005090000}"/>
    <cellStyle name="20% - Accent1 17" xfId="2801" xr:uid="{00000000-0005-0000-0000-000006090000}"/>
    <cellStyle name="20% - Accent1 18" xfId="2802" xr:uid="{00000000-0005-0000-0000-000007090000}"/>
    <cellStyle name="20% - Accent1 19" xfId="2803" xr:uid="{00000000-0005-0000-0000-000008090000}"/>
    <cellStyle name="20% - Accent1 2" xfId="2804" xr:uid="{00000000-0005-0000-0000-000009090000}"/>
    <cellStyle name="20% - Accent1 20" xfId="2805" xr:uid="{00000000-0005-0000-0000-00000A090000}"/>
    <cellStyle name="20% - Accent1 21" xfId="2806" xr:uid="{00000000-0005-0000-0000-00000B090000}"/>
    <cellStyle name="20% - Accent1 22" xfId="2807" xr:uid="{00000000-0005-0000-0000-00000C090000}"/>
    <cellStyle name="20% - Accent1 23" xfId="2808" xr:uid="{00000000-0005-0000-0000-00000D090000}"/>
    <cellStyle name="20% - Accent1 24" xfId="2809" xr:uid="{00000000-0005-0000-0000-00000E090000}"/>
    <cellStyle name="20% - Accent1 25" xfId="2810" xr:uid="{00000000-0005-0000-0000-00000F090000}"/>
    <cellStyle name="20% - Accent1 26" xfId="2811" xr:uid="{00000000-0005-0000-0000-000010090000}"/>
    <cellStyle name="20% - Accent1 27" xfId="2812" xr:uid="{00000000-0005-0000-0000-000011090000}"/>
    <cellStyle name="20% - Accent1 28" xfId="2813" xr:uid="{00000000-0005-0000-0000-000012090000}"/>
    <cellStyle name="20% - Accent1 29" xfId="2814" xr:uid="{00000000-0005-0000-0000-000013090000}"/>
    <cellStyle name="20% - Accent1 3" xfId="2815" xr:uid="{00000000-0005-0000-0000-000014090000}"/>
    <cellStyle name="20% - Accent1 30" xfId="2816" xr:uid="{00000000-0005-0000-0000-000015090000}"/>
    <cellStyle name="20% - Accent1 31" xfId="2817" xr:uid="{00000000-0005-0000-0000-000016090000}"/>
    <cellStyle name="20% - Accent1 32" xfId="2818" xr:uid="{00000000-0005-0000-0000-000017090000}"/>
    <cellStyle name="20% - Accent1 33" xfId="2819" xr:uid="{00000000-0005-0000-0000-000018090000}"/>
    <cellStyle name="20% - Accent1 34" xfId="2820" xr:uid="{00000000-0005-0000-0000-000019090000}"/>
    <cellStyle name="20% - Accent1 35" xfId="2821" xr:uid="{00000000-0005-0000-0000-00001A090000}"/>
    <cellStyle name="20% - Accent1 36" xfId="2822" xr:uid="{00000000-0005-0000-0000-00001B090000}"/>
    <cellStyle name="20% - Accent1 37" xfId="2823" xr:uid="{00000000-0005-0000-0000-00001C090000}"/>
    <cellStyle name="20% - Accent1 38" xfId="2824" xr:uid="{00000000-0005-0000-0000-00001D090000}"/>
    <cellStyle name="20% - Accent1 4" xfId="2825" xr:uid="{00000000-0005-0000-0000-00001E090000}"/>
    <cellStyle name="20% - Accent1 5" xfId="2826" xr:uid="{00000000-0005-0000-0000-00001F090000}"/>
    <cellStyle name="20% - Accent1 6" xfId="2827" xr:uid="{00000000-0005-0000-0000-000020090000}"/>
    <cellStyle name="20% - Accent1 7" xfId="2828" xr:uid="{00000000-0005-0000-0000-000021090000}"/>
    <cellStyle name="20% - Accent1 8" xfId="2829" xr:uid="{00000000-0005-0000-0000-000022090000}"/>
    <cellStyle name="20% - Accent1 9" xfId="2830" xr:uid="{00000000-0005-0000-0000-000023090000}"/>
    <cellStyle name="20% - Accent2" xfId="2831" xr:uid="{00000000-0005-0000-0000-000024090000}"/>
    <cellStyle name="20% - Accent2 10" xfId="2832" xr:uid="{00000000-0005-0000-0000-000025090000}"/>
    <cellStyle name="20% - Accent2 11" xfId="2833" xr:uid="{00000000-0005-0000-0000-000026090000}"/>
    <cellStyle name="20% - Accent2 12" xfId="2834" xr:uid="{00000000-0005-0000-0000-000027090000}"/>
    <cellStyle name="20% - Accent2 13" xfId="2835" xr:uid="{00000000-0005-0000-0000-000028090000}"/>
    <cellStyle name="20% - Accent2 14" xfId="2836" xr:uid="{00000000-0005-0000-0000-000029090000}"/>
    <cellStyle name="20% - Accent2 15" xfId="2837" xr:uid="{00000000-0005-0000-0000-00002A090000}"/>
    <cellStyle name="20% - Accent2 16" xfId="2838" xr:uid="{00000000-0005-0000-0000-00002B090000}"/>
    <cellStyle name="20% - Accent2 17" xfId="2839" xr:uid="{00000000-0005-0000-0000-00002C090000}"/>
    <cellStyle name="20% - Accent2 18" xfId="2840" xr:uid="{00000000-0005-0000-0000-00002D090000}"/>
    <cellStyle name="20% - Accent2 19" xfId="2841" xr:uid="{00000000-0005-0000-0000-00002E090000}"/>
    <cellStyle name="20% - Accent2 2" xfId="2842" xr:uid="{00000000-0005-0000-0000-00002F090000}"/>
    <cellStyle name="20% - Accent2 20" xfId="2843" xr:uid="{00000000-0005-0000-0000-000030090000}"/>
    <cellStyle name="20% - Accent2 21" xfId="2844" xr:uid="{00000000-0005-0000-0000-000031090000}"/>
    <cellStyle name="20% - Accent2 22" xfId="2845" xr:uid="{00000000-0005-0000-0000-000032090000}"/>
    <cellStyle name="20% - Accent2 23" xfId="2846" xr:uid="{00000000-0005-0000-0000-000033090000}"/>
    <cellStyle name="20% - Accent2 24" xfId="2847" xr:uid="{00000000-0005-0000-0000-000034090000}"/>
    <cellStyle name="20% - Accent2 25" xfId="2848" xr:uid="{00000000-0005-0000-0000-000035090000}"/>
    <cellStyle name="20% - Accent2 26" xfId="2849" xr:uid="{00000000-0005-0000-0000-000036090000}"/>
    <cellStyle name="20% - Accent2 27" xfId="2850" xr:uid="{00000000-0005-0000-0000-000037090000}"/>
    <cellStyle name="20% - Accent2 28" xfId="2851" xr:uid="{00000000-0005-0000-0000-000038090000}"/>
    <cellStyle name="20% - Accent2 29" xfId="2852" xr:uid="{00000000-0005-0000-0000-000039090000}"/>
    <cellStyle name="20% - Accent2 3" xfId="2853" xr:uid="{00000000-0005-0000-0000-00003A090000}"/>
    <cellStyle name="20% - Accent2 30" xfId="2854" xr:uid="{00000000-0005-0000-0000-00003B090000}"/>
    <cellStyle name="20% - Accent2 31" xfId="2855" xr:uid="{00000000-0005-0000-0000-00003C090000}"/>
    <cellStyle name="20% - Accent2 32" xfId="2856" xr:uid="{00000000-0005-0000-0000-00003D090000}"/>
    <cellStyle name="20% - Accent2 33" xfId="2857" xr:uid="{00000000-0005-0000-0000-00003E090000}"/>
    <cellStyle name="20% - Accent2 34" xfId="2858" xr:uid="{00000000-0005-0000-0000-00003F090000}"/>
    <cellStyle name="20% - Accent2 35" xfId="2859" xr:uid="{00000000-0005-0000-0000-000040090000}"/>
    <cellStyle name="20% - Accent2 36" xfId="2860" xr:uid="{00000000-0005-0000-0000-000041090000}"/>
    <cellStyle name="20% - Accent2 37" xfId="2861" xr:uid="{00000000-0005-0000-0000-000042090000}"/>
    <cellStyle name="20% - Accent2 38" xfId="2862" xr:uid="{00000000-0005-0000-0000-000043090000}"/>
    <cellStyle name="20% - Accent2 4" xfId="2863" xr:uid="{00000000-0005-0000-0000-000044090000}"/>
    <cellStyle name="20% - Accent2 5" xfId="2864" xr:uid="{00000000-0005-0000-0000-000045090000}"/>
    <cellStyle name="20% - Accent2 6" xfId="2865" xr:uid="{00000000-0005-0000-0000-000046090000}"/>
    <cellStyle name="20% - Accent2 7" xfId="2866" xr:uid="{00000000-0005-0000-0000-000047090000}"/>
    <cellStyle name="20% - Accent2 8" xfId="2867" xr:uid="{00000000-0005-0000-0000-000048090000}"/>
    <cellStyle name="20% - Accent2 9" xfId="2868" xr:uid="{00000000-0005-0000-0000-000049090000}"/>
    <cellStyle name="20% - Accent3" xfId="2869" xr:uid="{00000000-0005-0000-0000-00004A090000}"/>
    <cellStyle name="20% - Accent3 10" xfId="2870" xr:uid="{00000000-0005-0000-0000-00004B090000}"/>
    <cellStyle name="20% - Accent3 11" xfId="2871" xr:uid="{00000000-0005-0000-0000-00004C090000}"/>
    <cellStyle name="20% - Accent3 12" xfId="2872" xr:uid="{00000000-0005-0000-0000-00004D090000}"/>
    <cellStyle name="20% - Accent3 13" xfId="2873" xr:uid="{00000000-0005-0000-0000-00004E090000}"/>
    <cellStyle name="20% - Accent3 14" xfId="2874" xr:uid="{00000000-0005-0000-0000-00004F090000}"/>
    <cellStyle name="20% - Accent3 15" xfId="2875" xr:uid="{00000000-0005-0000-0000-000050090000}"/>
    <cellStyle name="20% - Accent3 16" xfId="2876" xr:uid="{00000000-0005-0000-0000-000051090000}"/>
    <cellStyle name="20% - Accent3 17" xfId="2877" xr:uid="{00000000-0005-0000-0000-000052090000}"/>
    <cellStyle name="20% - Accent3 18" xfId="2878" xr:uid="{00000000-0005-0000-0000-000053090000}"/>
    <cellStyle name="20% - Accent3 19" xfId="2879" xr:uid="{00000000-0005-0000-0000-000054090000}"/>
    <cellStyle name="20% - Accent3 2" xfId="2880" xr:uid="{00000000-0005-0000-0000-000055090000}"/>
    <cellStyle name="20% - Accent3 20" xfId="2881" xr:uid="{00000000-0005-0000-0000-000056090000}"/>
    <cellStyle name="20% - Accent3 21" xfId="2882" xr:uid="{00000000-0005-0000-0000-000057090000}"/>
    <cellStyle name="20% - Accent3 22" xfId="2883" xr:uid="{00000000-0005-0000-0000-000058090000}"/>
    <cellStyle name="20% - Accent3 23" xfId="2884" xr:uid="{00000000-0005-0000-0000-000059090000}"/>
    <cellStyle name="20% - Accent3 24" xfId="2885" xr:uid="{00000000-0005-0000-0000-00005A090000}"/>
    <cellStyle name="20% - Accent3 25" xfId="2886" xr:uid="{00000000-0005-0000-0000-00005B090000}"/>
    <cellStyle name="20% - Accent3 26" xfId="2887" xr:uid="{00000000-0005-0000-0000-00005C090000}"/>
    <cellStyle name="20% - Accent3 27" xfId="2888" xr:uid="{00000000-0005-0000-0000-00005D090000}"/>
    <cellStyle name="20% - Accent3 28" xfId="2889" xr:uid="{00000000-0005-0000-0000-00005E090000}"/>
    <cellStyle name="20% - Accent3 29" xfId="2890" xr:uid="{00000000-0005-0000-0000-00005F090000}"/>
    <cellStyle name="20% - Accent3 3" xfId="2891" xr:uid="{00000000-0005-0000-0000-000060090000}"/>
    <cellStyle name="20% - Accent3 30" xfId="2892" xr:uid="{00000000-0005-0000-0000-000061090000}"/>
    <cellStyle name="20% - Accent3 31" xfId="2893" xr:uid="{00000000-0005-0000-0000-000062090000}"/>
    <cellStyle name="20% - Accent3 32" xfId="2894" xr:uid="{00000000-0005-0000-0000-000063090000}"/>
    <cellStyle name="20% - Accent3 33" xfId="2895" xr:uid="{00000000-0005-0000-0000-000064090000}"/>
    <cellStyle name="20% - Accent3 34" xfId="2896" xr:uid="{00000000-0005-0000-0000-000065090000}"/>
    <cellStyle name="20% - Accent3 35" xfId="2897" xr:uid="{00000000-0005-0000-0000-000066090000}"/>
    <cellStyle name="20% - Accent3 36" xfId="2898" xr:uid="{00000000-0005-0000-0000-000067090000}"/>
    <cellStyle name="20% - Accent3 37" xfId="2899" xr:uid="{00000000-0005-0000-0000-000068090000}"/>
    <cellStyle name="20% - Accent3 38" xfId="2900" xr:uid="{00000000-0005-0000-0000-000069090000}"/>
    <cellStyle name="20% - Accent3 4" xfId="2901" xr:uid="{00000000-0005-0000-0000-00006A090000}"/>
    <cellStyle name="20% - Accent3 5" xfId="2902" xr:uid="{00000000-0005-0000-0000-00006B090000}"/>
    <cellStyle name="20% - Accent3 6" xfId="2903" xr:uid="{00000000-0005-0000-0000-00006C090000}"/>
    <cellStyle name="20% - Accent3 7" xfId="2904" xr:uid="{00000000-0005-0000-0000-00006D090000}"/>
    <cellStyle name="20% - Accent3 8" xfId="2905" xr:uid="{00000000-0005-0000-0000-00006E090000}"/>
    <cellStyle name="20% - Accent3 9" xfId="2906" xr:uid="{00000000-0005-0000-0000-00006F090000}"/>
    <cellStyle name="20% - Accent4" xfId="2907" xr:uid="{00000000-0005-0000-0000-000070090000}"/>
    <cellStyle name="20% - Accent4 10" xfId="2908" xr:uid="{00000000-0005-0000-0000-000071090000}"/>
    <cellStyle name="20% - Accent4 11" xfId="2909" xr:uid="{00000000-0005-0000-0000-000072090000}"/>
    <cellStyle name="20% - Accent4 12" xfId="2910" xr:uid="{00000000-0005-0000-0000-000073090000}"/>
    <cellStyle name="20% - Accent4 13" xfId="2911" xr:uid="{00000000-0005-0000-0000-000074090000}"/>
    <cellStyle name="20% - Accent4 14" xfId="2912" xr:uid="{00000000-0005-0000-0000-000075090000}"/>
    <cellStyle name="20% - Accent4 15" xfId="2913" xr:uid="{00000000-0005-0000-0000-000076090000}"/>
    <cellStyle name="20% - Accent4 16" xfId="2914" xr:uid="{00000000-0005-0000-0000-000077090000}"/>
    <cellStyle name="20% - Accent4 17" xfId="2915" xr:uid="{00000000-0005-0000-0000-000078090000}"/>
    <cellStyle name="20% - Accent4 18" xfId="2916" xr:uid="{00000000-0005-0000-0000-000079090000}"/>
    <cellStyle name="20% - Accent4 19" xfId="2917" xr:uid="{00000000-0005-0000-0000-00007A090000}"/>
    <cellStyle name="20% - Accent4 2" xfId="2918" xr:uid="{00000000-0005-0000-0000-00007B090000}"/>
    <cellStyle name="20% - Accent4 20" xfId="2919" xr:uid="{00000000-0005-0000-0000-00007C090000}"/>
    <cellStyle name="20% - Accent4 21" xfId="2920" xr:uid="{00000000-0005-0000-0000-00007D090000}"/>
    <cellStyle name="20% - Accent4 22" xfId="2921" xr:uid="{00000000-0005-0000-0000-00007E090000}"/>
    <cellStyle name="20% - Accent4 23" xfId="2922" xr:uid="{00000000-0005-0000-0000-00007F090000}"/>
    <cellStyle name="20% - Accent4 24" xfId="2923" xr:uid="{00000000-0005-0000-0000-000080090000}"/>
    <cellStyle name="20% - Accent4 25" xfId="2924" xr:uid="{00000000-0005-0000-0000-000081090000}"/>
    <cellStyle name="20% - Accent4 26" xfId="2925" xr:uid="{00000000-0005-0000-0000-000082090000}"/>
    <cellStyle name="20% - Accent4 27" xfId="2926" xr:uid="{00000000-0005-0000-0000-000083090000}"/>
    <cellStyle name="20% - Accent4 28" xfId="2927" xr:uid="{00000000-0005-0000-0000-000084090000}"/>
    <cellStyle name="20% - Accent4 29" xfId="2928" xr:uid="{00000000-0005-0000-0000-000085090000}"/>
    <cellStyle name="20% - Accent4 3" xfId="2929" xr:uid="{00000000-0005-0000-0000-000086090000}"/>
    <cellStyle name="20% - Accent4 30" xfId="2930" xr:uid="{00000000-0005-0000-0000-000087090000}"/>
    <cellStyle name="20% - Accent4 31" xfId="2931" xr:uid="{00000000-0005-0000-0000-000088090000}"/>
    <cellStyle name="20% - Accent4 32" xfId="2932" xr:uid="{00000000-0005-0000-0000-000089090000}"/>
    <cellStyle name="20% - Accent4 33" xfId="2933" xr:uid="{00000000-0005-0000-0000-00008A090000}"/>
    <cellStyle name="20% - Accent4 34" xfId="2934" xr:uid="{00000000-0005-0000-0000-00008B090000}"/>
    <cellStyle name="20% - Accent4 35" xfId="2935" xr:uid="{00000000-0005-0000-0000-00008C090000}"/>
    <cellStyle name="20% - Accent4 36" xfId="2936" xr:uid="{00000000-0005-0000-0000-00008D090000}"/>
    <cellStyle name="20% - Accent4 37" xfId="2937" xr:uid="{00000000-0005-0000-0000-00008E090000}"/>
    <cellStyle name="20% - Accent4 38" xfId="2938" xr:uid="{00000000-0005-0000-0000-00008F090000}"/>
    <cellStyle name="20% - Accent4 4" xfId="2939" xr:uid="{00000000-0005-0000-0000-000090090000}"/>
    <cellStyle name="20% - Accent4 5" xfId="2940" xr:uid="{00000000-0005-0000-0000-000091090000}"/>
    <cellStyle name="20% - Accent4 6" xfId="2941" xr:uid="{00000000-0005-0000-0000-000092090000}"/>
    <cellStyle name="20% - Accent4 7" xfId="2942" xr:uid="{00000000-0005-0000-0000-000093090000}"/>
    <cellStyle name="20% - Accent4 8" xfId="2943" xr:uid="{00000000-0005-0000-0000-000094090000}"/>
    <cellStyle name="20% - Accent4 9" xfId="2944" xr:uid="{00000000-0005-0000-0000-000095090000}"/>
    <cellStyle name="20% - Accent5" xfId="2945" xr:uid="{00000000-0005-0000-0000-000096090000}"/>
    <cellStyle name="20% - Accent5 10" xfId="2946" xr:uid="{00000000-0005-0000-0000-000097090000}"/>
    <cellStyle name="20% - Accent5 11" xfId="2947" xr:uid="{00000000-0005-0000-0000-000098090000}"/>
    <cellStyle name="20% - Accent5 12" xfId="2948" xr:uid="{00000000-0005-0000-0000-000099090000}"/>
    <cellStyle name="20% - Accent5 13" xfId="2949" xr:uid="{00000000-0005-0000-0000-00009A090000}"/>
    <cellStyle name="20% - Accent5 14" xfId="2950" xr:uid="{00000000-0005-0000-0000-00009B090000}"/>
    <cellStyle name="20% - Accent5 15" xfId="2951" xr:uid="{00000000-0005-0000-0000-00009C090000}"/>
    <cellStyle name="20% - Accent5 16" xfId="2952" xr:uid="{00000000-0005-0000-0000-00009D090000}"/>
    <cellStyle name="20% - Accent5 17" xfId="2953" xr:uid="{00000000-0005-0000-0000-00009E090000}"/>
    <cellStyle name="20% - Accent5 18" xfId="2954" xr:uid="{00000000-0005-0000-0000-00009F090000}"/>
    <cellStyle name="20% - Accent5 19" xfId="2955" xr:uid="{00000000-0005-0000-0000-0000A0090000}"/>
    <cellStyle name="20% - Accent5 2" xfId="2956" xr:uid="{00000000-0005-0000-0000-0000A1090000}"/>
    <cellStyle name="20% - Accent5 20" xfId="2957" xr:uid="{00000000-0005-0000-0000-0000A2090000}"/>
    <cellStyle name="20% - Accent5 21" xfId="2958" xr:uid="{00000000-0005-0000-0000-0000A3090000}"/>
    <cellStyle name="20% - Accent5 22" xfId="2959" xr:uid="{00000000-0005-0000-0000-0000A4090000}"/>
    <cellStyle name="20% - Accent5 23" xfId="2960" xr:uid="{00000000-0005-0000-0000-0000A5090000}"/>
    <cellStyle name="20% - Accent5 24" xfId="2961" xr:uid="{00000000-0005-0000-0000-0000A6090000}"/>
    <cellStyle name="20% - Accent5 25" xfId="2962" xr:uid="{00000000-0005-0000-0000-0000A7090000}"/>
    <cellStyle name="20% - Accent5 26" xfId="2963" xr:uid="{00000000-0005-0000-0000-0000A8090000}"/>
    <cellStyle name="20% - Accent5 27" xfId="2964" xr:uid="{00000000-0005-0000-0000-0000A9090000}"/>
    <cellStyle name="20% - Accent5 28" xfId="2965" xr:uid="{00000000-0005-0000-0000-0000AA090000}"/>
    <cellStyle name="20% - Accent5 29" xfId="2966" xr:uid="{00000000-0005-0000-0000-0000AB090000}"/>
    <cellStyle name="20% - Accent5 3" xfId="2967" xr:uid="{00000000-0005-0000-0000-0000AC090000}"/>
    <cellStyle name="20% - Accent5 30" xfId="2968" xr:uid="{00000000-0005-0000-0000-0000AD090000}"/>
    <cellStyle name="20% - Accent5 31" xfId="2969" xr:uid="{00000000-0005-0000-0000-0000AE090000}"/>
    <cellStyle name="20% - Accent5 32" xfId="2970" xr:uid="{00000000-0005-0000-0000-0000AF090000}"/>
    <cellStyle name="20% - Accent5 33" xfId="2971" xr:uid="{00000000-0005-0000-0000-0000B0090000}"/>
    <cellStyle name="20% - Accent5 34" xfId="2972" xr:uid="{00000000-0005-0000-0000-0000B1090000}"/>
    <cellStyle name="20% - Accent5 35" xfId="2973" xr:uid="{00000000-0005-0000-0000-0000B2090000}"/>
    <cellStyle name="20% - Accent5 36" xfId="2974" xr:uid="{00000000-0005-0000-0000-0000B3090000}"/>
    <cellStyle name="20% - Accent5 37" xfId="2975" xr:uid="{00000000-0005-0000-0000-0000B4090000}"/>
    <cellStyle name="20% - Accent5 38" xfId="2976" xr:uid="{00000000-0005-0000-0000-0000B5090000}"/>
    <cellStyle name="20% - Accent5 4" xfId="2977" xr:uid="{00000000-0005-0000-0000-0000B6090000}"/>
    <cellStyle name="20% - Accent5 5" xfId="2978" xr:uid="{00000000-0005-0000-0000-0000B7090000}"/>
    <cellStyle name="20% - Accent5 6" xfId="2979" xr:uid="{00000000-0005-0000-0000-0000B8090000}"/>
    <cellStyle name="20% - Accent5 7" xfId="2980" xr:uid="{00000000-0005-0000-0000-0000B9090000}"/>
    <cellStyle name="20% - Accent5 8" xfId="2981" xr:uid="{00000000-0005-0000-0000-0000BA090000}"/>
    <cellStyle name="20% - Accent5 9" xfId="2982" xr:uid="{00000000-0005-0000-0000-0000BB090000}"/>
    <cellStyle name="20% - Accent6" xfId="2983" xr:uid="{00000000-0005-0000-0000-0000BC090000}"/>
    <cellStyle name="20% - Accent6 10" xfId="2984" xr:uid="{00000000-0005-0000-0000-0000BD090000}"/>
    <cellStyle name="20% - Accent6 10 2" xfId="2985" xr:uid="{00000000-0005-0000-0000-0000BE090000}"/>
    <cellStyle name="20% - Accent6 11" xfId="2986" xr:uid="{00000000-0005-0000-0000-0000BF090000}"/>
    <cellStyle name="20% - Accent6 11 2" xfId="2987" xr:uid="{00000000-0005-0000-0000-0000C0090000}"/>
    <cellStyle name="20% - Accent6 12" xfId="2988" xr:uid="{00000000-0005-0000-0000-0000C1090000}"/>
    <cellStyle name="20% - Accent6 13" xfId="2989" xr:uid="{00000000-0005-0000-0000-0000C2090000}"/>
    <cellStyle name="20% - Accent6 14" xfId="2990" xr:uid="{00000000-0005-0000-0000-0000C3090000}"/>
    <cellStyle name="20% - Accent6 15" xfId="2991" xr:uid="{00000000-0005-0000-0000-0000C4090000}"/>
    <cellStyle name="20% - Accent6 16" xfId="2992" xr:uid="{00000000-0005-0000-0000-0000C5090000}"/>
    <cellStyle name="20% - Accent6 17" xfId="2993" xr:uid="{00000000-0005-0000-0000-0000C6090000}"/>
    <cellStyle name="20% - Accent6 18" xfId="2994" xr:uid="{00000000-0005-0000-0000-0000C7090000}"/>
    <cellStyle name="20% - Accent6 19" xfId="2995" xr:uid="{00000000-0005-0000-0000-0000C8090000}"/>
    <cellStyle name="20% - Accent6 2" xfId="2996" xr:uid="{00000000-0005-0000-0000-0000C9090000}"/>
    <cellStyle name="20% - Accent6 2 2" xfId="2997" xr:uid="{00000000-0005-0000-0000-0000CA090000}"/>
    <cellStyle name="20% - Accent6 20" xfId="2998" xr:uid="{00000000-0005-0000-0000-0000CB090000}"/>
    <cellStyle name="20% - Accent6 21" xfId="2999" xr:uid="{00000000-0005-0000-0000-0000CC090000}"/>
    <cellStyle name="20% - Accent6 22" xfId="3000" xr:uid="{00000000-0005-0000-0000-0000CD090000}"/>
    <cellStyle name="20% - Accent6 23" xfId="3001" xr:uid="{00000000-0005-0000-0000-0000CE090000}"/>
    <cellStyle name="20% - Accent6 24" xfId="3002" xr:uid="{00000000-0005-0000-0000-0000CF090000}"/>
    <cellStyle name="20% - Accent6 25" xfId="3003" xr:uid="{00000000-0005-0000-0000-0000D0090000}"/>
    <cellStyle name="20% - Accent6 26" xfId="3004" xr:uid="{00000000-0005-0000-0000-0000D1090000}"/>
    <cellStyle name="20% - Accent6 27" xfId="3005" xr:uid="{00000000-0005-0000-0000-0000D2090000}"/>
    <cellStyle name="20% - Accent6 28" xfId="3006" xr:uid="{00000000-0005-0000-0000-0000D3090000}"/>
    <cellStyle name="20% - Accent6 29" xfId="3007" xr:uid="{00000000-0005-0000-0000-0000D4090000}"/>
    <cellStyle name="20% - Accent6 3" xfId="3008" xr:uid="{00000000-0005-0000-0000-0000D5090000}"/>
    <cellStyle name="20% - Accent6 3 2" xfId="3009" xr:uid="{00000000-0005-0000-0000-0000D6090000}"/>
    <cellStyle name="20% - Accent6 3 2 2" xfId="3010" xr:uid="{00000000-0005-0000-0000-0000D7090000}"/>
    <cellStyle name="20% - Accent6 3 2 2 2" xfId="3011" xr:uid="{00000000-0005-0000-0000-0000D8090000}"/>
    <cellStyle name="20% - Accent6 3 2 3" xfId="3012" xr:uid="{00000000-0005-0000-0000-0000D9090000}"/>
    <cellStyle name="20% - Accent6 3 3" xfId="3013" xr:uid="{00000000-0005-0000-0000-0000DA090000}"/>
    <cellStyle name="20% - Accent6 3 3 2" xfId="3014" xr:uid="{00000000-0005-0000-0000-0000DB090000}"/>
    <cellStyle name="20% - Accent6 3 3 2 2" xfId="3015" xr:uid="{00000000-0005-0000-0000-0000DC090000}"/>
    <cellStyle name="20% - Accent6 3 3 3" xfId="3016" xr:uid="{00000000-0005-0000-0000-0000DD090000}"/>
    <cellStyle name="20% - Accent6 3 4" xfId="3017" xr:uid="{00000000-0005-0000-0000-0000DE090000}"/>
    <cellStyle name="20% - Accent6 30" xfId="3018" xr:uid="{00000000-0005-0000-0000-0000DF090000}"/>
    <cellStyle name="20% - Accent6 31" xfId="3019" xr:uid="{00000000-0005-0000-0000-0000E0090000}"/>
    <cellStyle name="20% - Accent6 32" xfId="3020" xr:uid="{00000000-0005-0000-0000-0000E1090000}"/>
    <cellStyle name="20% - Accent6 33" xfId="3021" xr:uid="{00000000-0005-0000-0000-0000E2090000}"/>
    <cellStyle name="20% - Accent6 34" xfId="3022" xr:uid="{00000000-0005-0000-0000-0000E3090000}"/>
    <cellStyle name="20% - Accent6 35" xfId="3023" xr:uid="{00000000-0005-0000-0000-0000E4090000}"/>
    <cellStyle name="20% - Accent6 36" xfId="3024" xr:uid="{00000000-0005-0000-0000-0000E5090000}"/>
    <cellStyle name="20% - Accent6 37" xfId="3025" xr:uid="{00000000-0005-0000-0000-0000E6090000}"/>
    <cellStyle name="20% - Accent6 38" xfId="3026" xr:uid="{00000000-0005-0000-0000-0000E7090000}"/>
    <cellStyle name="20% - Accent6 39" xfId="3027" xr:uid="{00000000-0005-0000-0000-0000E8090000}"/>
    <cellStyle name="20% - Accent6 4" xfId="3028" xr:uid="{00000000-0005-0000-0000-0000E9090000}"/>
    <cellStyle name="20% - Accent6 4 2" xfId="3029" xr:uid="{00000000-0005-0000-0000-0000EA090000}"/>
    <cellStyle name="20% - Accent6 4 2 2" xfId="3030" xr:uid="{00000000-0005-0000-0000-0000EB090000}"/>
    <cellStyle name="20% - Accent6 4 2 2 2" xfId="3031" xr:uid="{00000000-0005-0000-0000-0000EC090000}"/>
    <cellStyle name="20% - Accent6 4 2 3" xfId="3032" xr:uid="{00000000-0005-0000-0000-0000ED090000}"/>
    <cellStyle name="20% - Accent6 4 3" xfId="3033" xr:uid="{00000000-0005-0000-0000-0000EE090000}"/>
    <cellStyle name="20% - Accent6 4 3 2" xfId="3034" xr:uid="{00000000-0005-0000-0000-0000EF090000}"/>
    <cellStyle name="20% - Accent6 4 4" xfId="3035" xr:uid="{00000000-0005-0000-0000-0000F0090000}"/>
    <cellStyle name="20% - Accent6 4 4 2" xfId="3036" xr:uid="{00000000-0005-0000-0000-0000F1090000}"/>
    <cellStyle name="20% - Accent6 4 5" xfId="3037" xr:uid="{00000000-0005-0000-0000-0000F2090000}"/>
    <cellStyle name="20% - Accent6 4 6" xfId="3038" xr:uid="{00000000-0005-0000-0000-0000F3090000}"/>
    <cellStyle name="20% - Accent6 4 6 2" xfId="3039" xr:uid="{00000000-0005-0000-0000-0000F4090000}"/>
    <cellStyle name="20% - Accent6 40" xfId="3040" xr:uid="{00000000-0005-0000-0000-0000F5090000}"/>
    <cellStyle name="20% - Accent6 41" xfId="3041" xr:uid="{00000000-0005-0000-0000-0000F6090000}"/>
    <cellStyle name="20% - Accent6 41 2" xfId="3042" xr:uid="{00000000-0005-0000-0000-0000F7090000}"/>
    <cellStyle name="20% - Accent6 41 2 2" xfId="3043" xr:uid="{00000000-0005-0000-0000-0000F8090000}"/>
    <cellStyle name="20% - Accent6 42" xfId="3044" xr:uid="{00000000-0005-0000-0000-0000F9090000}"/>
    <cellStyle name="20% - Accent6 5" xfId="3045" xr:uid="{00000000-0005-0000-0000-0000FA090000}"/>
    <cellStyle name="20% - Accent6 5 2" xfId="3046" xr:uid="{00000000-0005-0000-0000-0000FB090000}"/>
    <cellStyle name="20% - Accent6 5 2 2" xfId="3047" xr:uid="{00000000-0005-0000-0000-0000FC090000}"/>
    <cellStyle name="20% - Accent6 5 2 2 2" xfId="3048" xr:uid="{00000000-0005-0000-0000-0000FD090000}"/>
    <cellStyle name="20% - Accent6 5 2 3" xfId="3049" xr:uid="{00000000-0005-0000-0000-0000FE090000}"/>
    <cellStyle name="20% - Accent6 5 3" xfId="3050" xr:uid="{00000000-0005-0000-0000-0000FF090000}"/>
    <cellStyle name="20% - Accent6 5 3 2" xfId="3051" xr:uid="{00000000-0005-0000-0000-0000000A0000}"/>
    <cellStyle name="20% - Accent6 5 3 2 2" xfId="3052" xr:uid="{00000000-0005-0000-0000-0000010A0000}"/>
    <cellStyle name="20% - Accent6 5 3 3" xfId="3053" xr:uid="{00000000-0005-0000-0000-0000020A0000}"/>
    <cellStyle name="20% - Accent6 5 4" xfId="3054" xr:uid="{00000000-0005-0000-0000-0000030A0000}"/>
    <cellStyle name="20% - Accent6 5 4 2" xfId="3055" xr:uid="{00000000-0005-0000-0000-0000040A0000}"/>
    <cellStyle name="20% - Accent6 5 4 2 2" xfId="3056" xr:uid="{00000000-0005-0000-0000-0000050A0000}"/>
    <cellStyle name="20% - Accent6 5 4 3" xfId="3057" xr:uid="{00000000-0005-0000-0000-0000060A0000}"/>
    <cellStyle name="20% - Accent6 5 5" xfId="3058" xr:uid="{00000000-0005-0000-0000-0000070A0000}"/>
    <cellStyle name="20% - Accent6 5 6" xfId="3059" xr:uid="{00000000-0005-0000-0000-0000080A0000}"/>
    <cellStyle name="20% - Accent6 5 7" xfId="3060" xr:uid="{00000000-0005-0000-0000-0000090A0000}"/>
    <cellStyle name="20% - Accent6 6" xfId="3061" xr:uid="{00000000-0005-0000-0000-00000A0A0000}"/>
    <cellStyle name="20% - Accent6 6 2" xfId="3062" xr:uid="{00000000-0005-0000-0000-00000B0A0000}"/>
    <cellStyle name="20% - Accent6 6 2 2" xfId="3063" xr:uid="{00000000-0005-0000-0000-00000C0A0000}"/>
    <cellStyle name="20% - Accent6 6 3" xfId="3064" xr:uid="{00000000-0005-0000-0000-00000D0A0000}"/>
    <cellStyle name="20% - Accent6 6 3 2" xfId="3065" xr:uid="{00000000-0005-0000-0000-00000E0A0000}"/>
    <cellStyle name="20% - Accent6 6 4" xfId="3066" xr:uid="{00000000-0005-0000-0000-00000F0A0000}"/>
    <cellStyle name="20% - Accent6 7" xfId="3067" xr:uid="{00000000-0005-0000-0000-0000100A0000}"/>
    <cellStyle name="20% - Accent6 7 2" xfId="3068" xr:uid="{00000000-0005-0000-0000-0000110A0000}"/>
    <cellStyle name="20% - Accent6 7 2 2" xfId="3069" xr:uid="{00000000-0005-0000-0000-0000120A0000}"/>
    <cellStyle name="20% - Accent6 7 3" xfId="3070" xr:uid="{00000000-0005-0000-0000-0000130A0000}"/>
    <cellStyle name="20% - Accent6 8" xfId="3071" xr:uid="{00000000-0005-0000-0000-0000140A0000}"/>
    <cellStyle name="20% - Accent6 8 2" xfId="3072" xr:uid="{00000000-0005-0000-0000-0000150A0000}"/>
    <cellStyle name="20% - Accent6 8 2 2" xfId="3073" xr:uid="{00000000-0005-0000-0000-0000160A0000}"/>
    <cellStyle name="20% - Accent6 8 3" xfId="3074" xr:uid="{00000000-0005-0000-0000-0000170A0000}"/>
    <cellStyle name="20% - Accent6 9" xfId="3075" xr:uid="{00000000-0005-0000-0000-0000180A0000}"/>
    <cellStyle name="20% - Accent6 9 2" xfId="3076" xr:uid="{00000000-0005-0000-0000-0000190A0000}"/>
    <cellStyle name="20% - Accent6 9 2 2" xfId="3077" xr:uid="{00000000-0005-0000-0000-00001A0A0000}"/>
    <cellStyle name="20% - Accent6 9 3" xfId="3078" xr:uid="{00000000-0005-0000-0000-00001B0A0000}"/>
    <cellStyle name="20% - Акцент1 10" xfId="3079" xr:uid="{00000000-0005-0000-0000-00001C0A0000}"/>
    <cellStyle name="20% - Акцент1 100" xfId="3080" xr:uid="{00000000-0005-0000-0000-00001D0A0000}"/>
    <cellStyle name="20% - Акцент1 100 2" xfId="3081" xr:uid="{00000000-0005-0000-0000-00001E0A0000}"/>
    <cellStyle name="20% - Акцент1 101" xfId="3082" xr:uid="{00000000-0005-0000-0000-00001F0A0000}"/>
    <cellStyle name="20% - Акцент1 101 2" xfId="3083" xr:uid="{00000000-0005-0000-0000-0000200A0000}"/>
    <cellStyle name="20% - Акцент1 102" xfId="3084" xr:uid="{00000000-0005-0000-0000-0000210A0000}"/>
    <cellStyle name="20% - Акцент1 102 2" xfId="3085" xr:uid="{00000000-0005-0000-0000-0000220A0000}"/>
    <cellStyle name="20% - Акцент1 103" xfId="3086" xr:uid="{00000000-0005-0000-0000-0000230A0000}"/>
    <cellStyle name="20% - Акцент1 103 2" xfId="3087" xr:uid="{00000000-0005-0000-0000-0000240A0000}"/>
    <cellStyle name="20% - Акцент1 104" xfId="3088" xr:uid="{00000000-0005-0000-0000-0000250A0000}"/>
    <cellStyle name="20% - Акцент1 104 2" xfId="3089" xr:uid="{00000000-0005-0000-0000-0000260A0000}"/>
    <cellStyle name="20% - Акцент1 105" xfId="3090" xr:uid="{00000000-0005-0000-0000-0000270A0000}"/>
    <cellStyle name="20% - Акцент1 105 2" xfId="3091" xr:uid="{00000000-0005-0000-0000-0000280A0000}"/>
    <cellStyle name="20% - Акцент1 106" xfId="3092" xr:uid="{00000000-0005-0000-0000-0000290A0000}"/>
    <cellStyle name="20% - Акцент1 106 2" xfId="3093" xr:uid="{00000000-0005-0000-0000-00002A0A0000}"/>
    <cellStyle name="20% - Акцент1 107" xfId="3094" xr:uid="{00000000-0005-0000-0000-00002B0A0000}"/>
    <cellStyle name="20% - Акцент1 107 2" xfId="3095" xr:uid="{00000000-0005-0000-0000-00002C0A0000}"/>
    <cellStyle name="20% - Акцент1 108" xfId="3096" xr:uid="{00000000-0005-0000-0000-00002D0A0000}"/>
    <cellStyle name="20% - Акцент1 108 2" xfId="3097" xr:uid="{00000000-0005-0000-0000-00002E0A0000}"/>
    <cellStyle name="20% - Акцент1 109" xfId="3098" xr:uid="{00000000-0005-0000-0000-00002F0A0000}"/>
    <cellStyle name="20% - Акцент1 109 2" xfId="3099" xr:uid="{00000000-0005-0000-0000-0000300A0000}"/>
    <cellStyle name="20% - Акцент1 11" xfId="3100" xr:uid="{00000000-0005-0000-0000-0000310A0000}"/>
    <cellStyle name="20% - Акцент1 110" xfId="3101" xr:uid="{00000000-0005-0000-0000-0000320A0000}"/>
    <cellStyle name="20% - Акцент1 110 2" xfId="3102" xr:uid="{00000000-0005-0000-0000-0000330A0000}"/>
    <cellStyle name="20% - Акцент1 111" xfId="3103" xr:uid="{00000000-0005-0000-0000-0000340A0000}"/>
    <cellStyle name="20% - Акцент1 111 2" xfId="3104" xr:uid="{00000000-0005-0000-0000-0000350A0000}"/>
    <cellStyle name="20% - Акцент1 112" xfId="3105" xr:uid="{00000000-0005-0000-0000-0000360A0000}"/>
    <cellStyle name="20% - Акцент1 112 2" xfId="3106" xr:uid="{00000000-0005-0000-0000-0000370A0000}"/>
    <cellStyle name="20% - Акцент1 113" xfId="3107" xr:uid="{00000000-0005-0000-0000-0000380A0000}"/>
    <cellStyle name="20% - Акцент1 113 2" xfId="3108" xr:uid="{00000000-0005-0000-0000-0000390A0000}"/>
    <cellStyle name="20% - Акцент1 114" xfId="3109" xr:uid="{00000000-0005-0000-0000-00003A0A0000}"/>
    <cellStyle name="20% - Акцент1 114 2" xfId="3110" xr:uid="{00000000-0005-0000-0000-00003B0A0000}"/>
    <cellStyle name="20% - Акцент1 115" xfId="3111" xr:uid="{00000000-0005-0000-0000-00003C0A0000}"/>
    <cellStyle name="20% - Акцент1 115 2" xfId="3112" xr:uid="{00000000-0005-0000-0000-00003D0A0000}"/>
    <cellStyle name="20% - Акцент1 116" xfId="3113" xr:uid="{00000000-0005-0000-0000-00003E0A0000}"/>
    <cellStyle name="20% - Акцент1 116 2" xfId="3114" xr:uid="{00000000-0005-0000-0000-00003F0A0000}"/>
    <cellStyle name="20% - Акцент1 117" xfId="3115" xr:uid="{00000000-0005-0000-0000-0000400A0000}"/>
    <cellStyle name="20% - Акцент1 117 2" xfId="3116" xr:uid="{00000000-0005-0000-0000-0000410A0000}"/>
    <cellStyle name="20% - Акцент1 118" xfId="3117" xr:uid="{00000000-0005-0000-0000-0000420A0000}"/>
    <cellStyle name="20% - Акцент1 118 2" xfId="3118" xr:uid="{00000000-0005-0000-0000-0000430A0000}"/>
    <cellStyle name="20% - Акцент1 119" xfId="3119" xr:uid="{00000000-0005-0000-0000-0000440A0000}"/>
    <cellStyle name="20% - Акцент1 119 2" xfId="3120" xr:uid="{00000000-0005-0000-0000-0000450A0000}"/>
    <cellStyle name="20% - Акцент1 12" xfId="3121" xr:uid="{00000000-0005-0000-0000-0000460A0000}"/>
    <cellStyle name="20% - Акцент1 120" xfId="3122" xr:uid="{00000000-0005-0000-0000-0000470A0000}"/>
    <cellStyle name="20% - Акцент1 120 2" xfId="3123" xr:uid="{00000000-0005-0000-0000-0000480A0000}"/>
    <cellStyle name="20% - Акцент1 121" xfId="3124" xr:uid="{00000000-0005-0000-0000-0000490A0000}"/>
    <cellStyle name="20% - Акцент1 121 2" xfId="3125" xr:uid="{00000000-0005-0000-0000-00004A0A0000}"/>
    <cellStyle name="20% - Акцент1 122" xfId="3126" xr:uid="{00000000-0005-0000-0000-00004B0A0000}"/>
    <cellStyle name="20% - Акцент1 122 2" xfId="3127" xr:uid="{00000000-0005-0000-0000-00004C0A0000}"/>
    <cellStyle name="20% - Акцент1 123" xfId="3128" xr:uid="{00000000-0005-0000-0000-00004D0A0000}"/>
    <cellStyle name="20% - Акцент1 123 2" xfId="3129" xr:uid="{00000000-0005-0000-0000-00004E0A0000}"/>
    <cellStyle name="20% - Акцент1 124" xfId="3130" xr:uid="{00000000-0005-0000-0000-00004F0A0000}"/>
    <cellStyle name="20% - Акцент1 124 2" xfId="3131" xr:uid="{00000000-0005-0000-0000-0000500A0000}"/>
    <cellStyle name="20% - Акцент1 125" xfId="3132" xr:uid="{00000000-0005-0000-0000-0000510A0000}"/>
    <cellStyle name="20% - Акцент1 125 2" xfId="3133" xr:uid="{00000000-0005-0000-0000-0000520A0000}"/>
    <cellStyle name="20% - Акцент1 126" xfId="3134" xr:uid="{00000000-0005-0000-0000-0000530A0000}"/>
    <cellStyle name="20% - Акцент1 126 2" xfId="3135" xr:uid="{00000000-0005-0000-0000-0000540A0000}"/>
    <cellStyle name="20% - Акцент1 127" xfId="3136" xr:uid="{00000000-0005-0000-0000-0000550A0000}"/>
    <cellStyle name="20% - Акцент1 127 2" xfId="3137" xr:uid="{00000000-0005-0000-0000-0000560A0000}"/>
    <cellStyle name="20% - Акцент1 128" xfId="3138" xr:uid="{00000000-0005-0000-0000-0000570A0000}"/>
    <cellStyle name="20% - Акцент1 128 2" xfId="3139" xr:uid="{00000000-0005-0000-0000-0000580A0000}"/>
    <cellStyle name="20% - Акцент1 129" xfId="3140" xr:uid="{00000000-0005-0000-0000-0000590A0000}"/>
    <cellStyle name="20% - Акцент1 129 2" xfId="3141" xr:uid="{00000000-0005-0000-0000-00005A0A0000}"/>
    <cellStyle name="20% - Акцент1 13" xfId="3142" xr:uid="{00000000-0005-0000-0000-00005B0A0000}"/>
    <cellStyle name="20% - Акцент1 130" xfId="3143" xr:uid="{00000000-0005-0000-0000-00005C0A0000}"/>
    <cellStyle name="20% - Акцент1 130 2" xfId="3144" xr:uid="{00000000-0005-0000-0000-00005D0A0000}"/>
    <cellStyle name="20% - Акцент1 131" xfId="3145" xr:uid="{00000000-0005-0000-0000-00005E0A0000}"/>
    <cellStyle name="20% - Акцент1 131 2" xfId="3146" xr:uid="{00000000-0005-0000-0000-00005F0A0000}"/>
    <cellStyle name="20% - Акцент1 132" xfId="3147" xr:uid="{00000000-0005-0000-0000-0000600A0000}"/>
    <cellStyle name="20% - Акцент1 132 2" xfId="3148" xr:uid="{00000000-0005-0000-0000-0000610A0000}"/>
    <cellStyle name="20% - Акцент1 133" xfId="3149" xr:uid="{00000000-0005-0000-0000-0000620A0000}"/>
    <cellStyle name="20% - Акцент1 133 2" xfId="3150" xr:uid="{00000000-0005-0000-0000-0000630A0000}"/>
    <cellStyle name="20% - Акцент1 134" xfId="3151" xr:uid="{00000000-0005-0000-0000-0000640A0000}"/>
    <cellStyle name="20% - Акцент1 134 2" xfId="3152" xr:uid="{00000000-0005-0000-0000-0000650A0000}"/>
    <cellStyle name="20% - Акцент1 135" xfId="3153" xr:uid="{00000000-0005-0000-0000-0000660A0000}"/>
    <cellStyle name="20% - Акцент1 135 2" xfId="3154" xr:uid="{00000000-0005-0000-0000-0000670A0000}"/>
    <cellStyle name="20% - Акцент1 136" xfId="3155" xr:uid="{00000000-0005-0000-0000-0000680A0000}"/>
    <cellStyle name="20% - Акцент1 136 2" xfId="3156" xr:uid="{00000000-0005-0000-0000-0000690A0000}"/>
    <cellStyle name="20% - Акцент1 137" xfId="3157" xr:uid="{00000000-0005-0000-0000-00006A0A0000}"/>
    <cellStyle name="20% - Акцент1 137 2" xfId="3158" xr:uid="{00000000-0005-0000-0000-00006B0A0000}"/>
    <cellStyle name="20% - Акцент1 138" xfId="3159" xr:uid="{00000000-0005-0000-0000-00006C0A0000}"/>
    <cellStyle name="20% - Акцент1 138 2" xfId="3160" xr:uid="{00000000-0005-0000-0000-00006D0A0000}"/>
    <cellStyle name="20% - Акцент1 139" xfId="3161" xr:uid="{00000000-0005-0000-0000-00006E0A0000}"/>
    <cellStyle name="20% - Акцент1 139 2" xfId="3162" xr:uid="{00000000-0005-0000-0000-00006F0A0000}"/>
    <cellStyle name="20% - Акцент1 14" xfId="3163" xr:uid="{00000000-0005-0000-0000-0000700A0000}"/>
    <cellStyle name="20% - Акцент1 140" xfId="3164" xr:uid="{00000000-0005-0000-0000-0000710A0000}"/>
    <cellStyle name="20% - Акцент1 140 2" xfId="3165" xr:uid="{00000000-0005-0000-0000-0000720A0000}"/>
    <cellStyle name="20% - Акцент1 141" xfId="3166" xr:uid="{00000000-0005-0000-0000-0000730A0000}"/>
    <cellStyle name="20% - Акцент1 141 2" xfId="3167" xr:uid="{00000000-0005-0000-0000-0000740A0000}"/>
    <cellStyle name="20% - Акцент1 142" xfId="3168" xr:uid="{00000000-0005-0000-0000-0000750A0000}"/>
    <cellStyle name="20% - Акцент1 142 2" xfId="3169" xr:uid="{00000000-0005-0000-0000-0000760A0000}"/>
    <cellStyle name="20% - Акцент1 143" xfId="3170" xr:uid="{00000000-0005-0000-0000-0000770A0000}"/>
    <cellStyle name="20% - Акцент1 143 2" xfId="3171" xr:uid="{00000000-0005-0000-0000-0000780A0000}"/>
    <cellStyle name="20% - Акцент1 144" xfId="3172" xr:uid="{00000000-0005-0000-0000-0000790A0000}"/>
    <cellStyle name="20% - Акцент1 144 2" xfId="3173" xr:uid="{00000000-0005-0000-0000-00007A0A0000}"/>
    <cellStyle name="20% - Акцент1 145" xfId="3174" xr:uid="{00000000-0005-0000-0000-00007B0A0000}"/>
    <cellStyle name="20% - Акцент1 145 2" xfId="3175" xr:uid="{00000000-0005-0000-0000-00007C0A0000}"/>
    <cellStyle name="20% - Акцент1 146" xfId="3176" xr:uid="{00000000-0005-0000-0000-00007D0A0000}"/>
    <cellStyle name="20% - Акцент1 146 2" xfId="3177" xr:uid="{00000000-0005-0000-0000-00007E0A0000}"/>
    <cellStyle name="20% - Акцент1 147" xfId="3178" xr:uid="{00000000-0005-0000-0000-00007F0A0000}"/>
    <cellStyle name="20% - Акцент1 147 2" xfId="3179" xr:uid="{00000000-0005-0000-0000-0000800A0000}"/>
    <cellStyle name="20% - Акцент1 148" xfId="3180" xr:uid="{00000000-0005-0000-0000-0000810A0000}"/>
    <cellStyle name="20% - Акцент1 148 2" xfId="3181" xr:uid="{00000000-0005-0000-0000-0000820A0000}"/>
    <cellStyle name="20% - Акцент1 149" xfId="3182" xr:uid="{00000000-0005-0000-0000-0000830A0000}"/>
    <cellStyle name="20% - Акцент1 149 2" xfId="3183" xr:uid="{00000000-0005-0000-0000-0000840A0000}"/>
    <cellStyle name="20% - Акцент1 15" xfId="3184" xr:uid="{00000000-0005-0000-0000-0000850A0000}"/>
    <cellStyle name="20% - Акцент1 150" xfId="3185" xr:uid="{00000000-0005-0000-0000-0000860A0000}"/>
    <cellStyle name="20% - Акцент1 150 2" xfId="3186" xr:uid="{00000000-0005-0000-0000-0000870A0000}"/>
    <cellStyle name="20% - Акцент1 151" xfId="3187" xr:uid="{00000000-0005-0000-0000-0000880A0000}"/>
    <cellStyle name="20% - Акцент1 151 2" xfId="3188" xr:uid="{00000000-0005-0000-0000-0000890A0000}"/>
    <cellStyle name="20% - Акцент1 152" xfId="3189" xr:uid="{00000000-0005-0000-0000-00008A0A0000}"/>
    <cellStyle name="20% - Акцент1 152 2" xfId="3190" xr:uid="{00000000-0005-0000-0000-00008B0A0000}"/>
    <cellStyle name="20% - Акцент1 153" xfId="3191" xr:uid="{00000000-0005-0000-0000-00008C0A0000}"/>
    <cellStyle name="20% - Акцент1 153 2" xfId="3192" xr:uid="{00000000-0005-0000-0000-00008D0A0000}"/>
    <cellStyle name="20% - Акцент1 154" xfId="3193" xr:uid="{00000000-0005-0000-0000-00008E0A0000}"/>
    <cellStyle name="20% - Акцент1 154 2" xfId="3194" xr:uid="{00000000-0005-0000-0000-00008F0A0000}"/>
    <cellStyle name="20% - Акцент1 155" xfId="3195" xr:uid="{00000000-0005-0000-0000-0000900A0000}"/>
    <cellStyle name="20% - Акцент1 155 2" xfId="3196" xr:uid="{00000000-0005-0000-0000-0000910A0000}"/>
    <cellStyle name="20% - Акцент1 156" xfId="3197" xr:uid="{00000000-0005-0000-0000-0000920A0000}"/>
    <cellStyle name="20% - Акцент1 156 2" xfId="3198" xr:uid="{00000000-0005-0000-0000-0000930A0000}"/>
    <cellStyle name="20% - Акцент1 157" xfId="3199" xr:uid="{00000000-0005-0000-0000-0000940A0000}"/>
    <cellStyle name="20% - Акцент1 157 2" xfId="3200" xr:uid="{00000000-0005-0000-0000-0000950A0000}"/>
    <cellStyle name="20% - Акцент1 158" xfId="3201" xr:uid="{00000000-0005-0000-0000-0000960A0000}"/>
    <cellStyle name="20% - Акцент1 158 2" xfId="3202" xr:uid="{00000000-0005-0000-0000-0000970A0000}"/>
    <cellStyle name="20% - Акцент1 159" xfId="3203" xr:uid="{00000000-0005-0000-0000-0000980A0000}"/>
    <cellStyle name="20% - Акцент1 159 2" xfId="3204" xr:uid="{00000000-0005-0000-0000-0000990A0000}"/>
    <cellStyle name="20% - Акцент1 16" xfId="3205" xr:uid="{00000000-0005-0000-0000-00009A0A0000}"/>
    <cellStyle name="20% - Акцент1 160" xfId="3206" xr:uid="{00000000-0005-0000-0000-00009B0A0000}"/>
    <cellStyle name="20% - Акцент1 160 2" xfId="3207" xr:uid="{00000000-0005-0000-0000-00009C0A0000}"/>
    <cellStyle name="20% - Акцент1 161" xfId="3208" xr:uid="{00000000-0005-0000-0000-00009D0A0000}"/>
    <cellStyle name="20% - Акцент1 161 2" xfId="3209" xr:uid="{00000000-0005-0000-0000-00009E0A0000}"/>
    <cellStyle name="20% - Акцент1 162" xfId="3210" xr:uid="{00000000-0005-0000-0000-00009F0A0000}"/>
    <cellStyle name="20% - Акцент1 162 2" xfId="3211" xr:uid="{00000000-0005-0000-0000-0000A00A0000}"/>
    <cellStyle name="20% - Акцент1 163" xfId="3212" xr:uid="{00000000-0005-0000-0000-0000A10A0000}"/>
    <cellStyle name="20% - Акцент1 163 2" xfId="3213" xr:uid="{00000000-0005-0000-0000-0000A20A0000}"/>
    <cellStyle name="20% - Акцент1 164" xfId="3214" xr:uid="{00000000-0005-0000-0000-0000A30A0000}"/>
    <cellStyle name="20% - Акцент1 164 2" xfId="3215" xr:uid="{00000000-0005-0000-0000-0000A40A0000}"/>
    <cellStyle name="20% - Акцент1 165" xfId="3216" xr:uid="{00000000-0005-0000-0000-0000A50A0000}"/>
    <cellStyle name="20% - Акцент1 165 2" xfId="3217" xr:uid="{00000000-0005-0000-0000-0000A60A0000}"/>
    <cellStyle name="20% - Акцент1 166" xfId="3218" xr:uid="{00000000-0005-0000-0000-0000A70A0000}"/>
    <cellStyle name="20% - Акцент1 166 2" xfId="3219" xr:uid="{00000000-0005-0000-0000-0000A80A0000}"/>
    <cellStyle name="20% - Акцент1 167" xfId="3220" xr:uid="{00000000-0005-0000-0000-0000A90A0000}"/>
    <cellStyle name="20% - Акцент1 167 2" xfId="3221" xr:uid="{00000000-0005-0000-0000-0000AA0A0000}"/>
    <cellStyle name="20% - Акцент1 168" xfId="3222" xr:uid="{00000000-0005-0000-0000-0000AB0A0000}"/>
    <cellStyle name="20% - Акцент1 168 2" xfId="3223" xr:uid="{00000000-0005-0000-0000-0000AC0A0000}"/>
    <cellStyle name="20% - Акцент1 169" xfId="3224" xr:uid="{00000000-0005-0000-0000-0000AD0A0000}"/>
    <cellStyle name="20% - Акцент1 169 2" xfId="3225" xr:uid="{00000000-0005-0000-0000-0000AE0A0000}"/>
    <cellStyle name="20% - Акцент1 17" xfId="3226" xr:uid="{00000000-0005-0000-0000-0000AF0A0000}"/>
    <cellStyle name="20% - Акцент1 170" xfId="3227" xr:uid="{00000000-0005-0000-0000-0000B00A0000}"/>
    <cellStyle name="20% - Акцент1 170 2" xfId="3228" xr:uid="{00000000-0005-0000-0000-0000B10A0000}"/>
    <cellStyle name="20% - Акцент1 171" xfId="3229" xr:uid="{00000000-0005-0000-0000-0000B20A0000}"/>
    <cellStyle name="20% - Акцент1 171 2" xfId="3230" xr:uid="{00000000-0005-0000-0000-0000B30A0000}"/>
    <cellStyle name="20% - Акцент1 172" xfId="3231" xr:uid="{00000000-0005-0000-0000-0000B40A0000}"/>
    <cellStyle name="20% - Акцент1 172 2" xfId="3232" xr:uid="{00000000-0005-0000-0000-0000B50A0000}"/>
    <cellStyle name="20% - Акцент1 173" xfId="3233" xr:uid="{00000000-0005-0000-0000-0000B60A0000}"/>
    <cellStyle name="20% - Акцент1 173 2" xfId="3234" xr:uid="{00000000-0005-0000-0000-0000B70A0000}"/>
    <cellStyle name="20% - Акцент1 174" xfId="3235" xr:uid="{00000000-0005-0000-0000-0000B80A0000}"/>
    <cellStyle name="20% - Акцент1 174 2" xfId="3236" xr:uid="{00000000-0005-0000-0000-0000B90A0000}"/>
    <cellStyle name="20% - Акцент1 175" xfId="3237" xr:uid="{00000000-0005-0000-0000-0000BA0A0000}"/>
    <cellStyle name="20% - Акцент1 175 2" xfId="3238" xr:uid="{00000000-0005-0000-0000-0000BB0A0000}"/>
    <cellStyle name="20% - Акцент1 176" xfId="3239" xr:uid="{00000000-0005-0000-0000-0000BC0A0000}"/>
    <cellStyle name="20% - Акцент1 176 2" xfId="3240" xr:uid="{00000000-0005-0000-0000-0000BD0A0000}"/>
    <cellStyle name="20% - Акцент1 177" xfId="3241" xr:uid="{00000000-0005-0000-0000-0000BE0A0000}"/>
    <cellStyle name="20% - Акцент1 177 2" xfId="3242" xr:uid="{00000000-0005-0000-0000-0000BF0A0000}"/>
    <cellStyle name="20% - Акцент1 178" xfId="3243" xr:uid="{00000000-0005-0000-0000-0000C00A0000}"/>
    <cellStyle name="20% - Акцент1 178 2" xfId="3244" xr:uid="{00000000-0005-0000-0000-0000C10A0000}"/>
    <cellStyle name="20% - Акцент1 179" xfId="3245" xr:uid="{00000000-0005-0000-0000-0000C20A0000}"/>
    <cellStyle name="20% - Акцент1 179 2" xfId="3246" xr:uid="{00000000-0005-0000-0000-0000C30A0000}"/>
    <cellStyle name="20% - Акцент1 18" xfId="3247" xr:uid="{00000000-0005-0000-0000-0000C40A0000}"/>
    <cellStyle name="20% - Акцент1 180" xfId="3248" xr:uid="{00000000-0005-0000-0000-0000C50A0000}"/>
    <cellStyle name="20% - Акцент1 180 2" xfId="3249" xr:uid="{00000000-0005-0000-0000-0000C60A0000}"/>
    <cellStyle name="20% - Акцент1 181" xfId="3250" xr:uid="{00000000-0005-0000-0000-0000C70A0000}"/>
    <cellStyle name="20% - Акцент1 181 2" xfId="3251" xr:uid="{00000000-0005-0000-0000-0000C80A0000}"/>
    <cellStyle name="20% - Акцент1 182" xfId="3252" xr:uid="{00000000-0005-0000-0000-0000C90A0000}"/>
    <cellStyle name="20% - Акцент1 182 2" xfId="3253" xr:uid="{00000000-0005-0000-0000-0000CA0A0000}"/>
    <cellStyle name="20% - Акцент1 183" xfId="3254" xr:uid="{00000000-0005-0000-0000-0000CB0A0000}"/>
    <cellStyle name="20% - Акцент1 183 2" xfId="3255" xr:uid="{00000000-0005-0000-0000-0000CC0A0000}"/>
    <cellStyle name="20% - Акцент1 184" xfId="3256" xr:uid="{00000000-0005-0000-0000-0000CD0A0000}"/>
    <cellStyle name="20% - Акцент1 184 2" xfId="3257" xr:uid="{00000000-0005-0000-0000-0000CE0A0000}"/>
    <cellStyle name="20% - Акцент1 185" xfId="3258" xr:uid="{00000000-0005-0000-0000-0000CF0A0000}"/>
    <cellStyle name="20% - Акцент1 185 2" xfId="3259" xr:uid="{00000000-0005-0000-0000-0000D00A0000}"/>
    <cellStyle name="20% - Акцент1 186" xfId="3260" xr:uid="{00000000-0005-0000-0000-0000D10A0000}"/>
    <cellStyle name="20% - Акцент1 186 2" xfId="3261" xr:uid="{00000000-0005-0000-0000-0000D20A0000}"/>
    <cellStyle name="20% - Акцент1 187" xfId="3262" xr:uid="{00000000-0005-0000-0000-0000D30A0000}"/>
    <cellStyle name="20% - Акцент1 187 2" xfId="3263" xr:uid="{00000000-0005-0000-0000-0000D40A0000}"/>
    <cellStyle name="20% - Акцент1 188" xfId="3264" xr:uid="{00000000-0005-0000-0000-0000D50A0000}"/>
    <cellStyle name="20% - Акцент1 188 2" xfId="3265" xr:uid="{00000000-0005-0000-0000-0000D60A0000}"/>
    <cellStyle name="20% - Акцент1 189" xfId="3266" xr:uid="{00000000-0005-0000-0000-0000D70A0000}"/>
    <cellStyle name="20% - Акцент1 189 2" xfId="3267" xr:uid="{00000000-0005-0000-0000-0000D80A0000}"/>
    <cellStyle name="20% - Акцент1 19" xfId="3268" xr:uid="{00000000-0005-0000-0000-0000D90A0000}"/>
    <cellStyle name="20% - Акцент1 190" xfId="3269" xr:uid="{00000000-0005-0000-0000-0000DA0A0000}"/>
    <cellStyle name="20% - Акцент1 190 2" xfId="3270" xr:uid="{00000000-0005-0000-0000-0000DB0A0000}"/>
    <cellStyle name="20% - Акцент1 191" xfId="3271" xr:uid="{00000000-0005-0000-0000-0000DC0A0000}"/>
    <cellStyle name="20% - Акцент1 191 2" xfId="3272" xr:uid="{00000000-0005-0000-0000-0000DD0A0000}"/>
    <cellStyle name="20% - Акцент1 192" xfId="3273" xr:uid="{00000000-0005-0000-0000-0000DE0A0000}"/>
    <cellStyle name="20% - Акцент1 192 2" xfId="3274" xr:uid="{00000000-0005-0000-0000-0000DF0A0000}"/>
    <cellStyle name="20% - Акцент1 193" xfId="3275" xr:uid="{00000000-0005-0000-0000-0000E00A0000}"/>
    <cellStyle name="20% - Акцент1 193 2" xfId="3276" xr:uid="{00000000-0005-0000-0000-0000E10A0000}"/>
    <cellStyle name="20% - Акцент1 194" xfId="3277" xr:uid="{00000000-0005-0000-0000-0000E20A0000}"/>
    <cellStyle name="20% - Акцент1 194 2" xfId="3278" xr:uid="{00000000-0005-0000-0000-0000E30A0000}"/>
    <cellStyle name="20% - Акцент1 195" xfId="3279" xr:uid="{00000000-0005-0000-0000-0000E40A0000}"/>
    <cellStyle name="20% - Акцент1 195 2" xfId="3280" xr:uid="{00000000-0005-0000-0000-0000E50A0000}"/>
    <cellStyle name="20% - Акцент1 196" xfId="3281" xr:uid="{00000000-0005-0000-0000-0000E60A0000}"/>
    <cellStyle name="20% - Акцент1 196 2" xfId="3282" xr:uid="{00000000-0005-0000-0000-0000E70A0000}"/>
    <cellStyle name="20% - Акцент1 197" xfId="3283" xr:uid="{00000000-0005-0000-0000-0000E80A0000}"/>
    <cellStyle name="20% - Акцент1 197 2" xfId="3284" xr:uid="{00000000-0005-0000-0000-0000E90A0000}"/>
    <cellStyle name="20% - Акцент1 198" xfId="3285" xr:uid="{00000000-0005-0000-0000-0000EA0A0000}"/>
    <cellStyle name="20% - Акцент1 198 2" xfId="3286" xr:uid="{00000000-0005-0000-0000-0000EB0A0000}"/>
    <cellStyle name="20% - Акцент1 199" xfId="3287" xr:uid="{00000000-0005-0000-0000-0000EC0A0000}"/>
    <cellStyle name="20% - Акцент1 199 2" xfId="3288" xr:uid="{00000000-0005-0000-0000-0000ED0A0000}"/>
    <cellStyle name="20% - Акцент1 2" xfId="3289" xr:uid="{00000000-0005-0000-0000-0000EE0A0000}"/>
    <cellStyle name="20% - Акцент1 2 2" xfId="3290" xr:uid="{00000000-0005-0000-0000-0000EF0A0000}"/>
    <cellStyle name="20% - Акцент1 2 2 2" xfId="3291" xr:uid="{00000000-0005-0000-0000-0000F00A0000}"/>
    <cellStyle name="20% - Акцент1 2 3" xfId="3292" xr:uid="{00000000-0005-0000-0000-0000F10A0000}"/>
    <cellStyle name="20% - Акцент1 2 4" xfId="3293" xr:uid="{00000000-0005-0000-0000-0000F20A0000}"/>
    <cellStyle name="20% - Акцент1 2 5" xfId="3294" xr:uid="{00000000-0005-0000-0000-0000F30A0000}"/>
    <cellStyle name="20% - Акцент1 2 6" xfId="3295" xr:uid="{00000000-0005-0000-0000-0000F40A0000}"/>
    <cellStyle name="20% - Акцент1 2 7" xfId="3296" xr:uid="{00000000-0005-0000-0000-0000F50A0000}"/>
    <cellStyle name="20% - Акцент1 20" xfId="3297" xr:uid="{00000000-0005-0000-0000-0000F60A0000}"/>
    <cellStyle name="20% - Акцент1 20 2" xfId="3298" xr:uid="{00000000-0005-0000-0000-0000F70A0000}"/>
    <cellStyle name="20% - Акцент1 200" xfId="3299" xr:uid="{00000000-0005-0000-0000-0000F80A0000}"/>
    <cellStyle name="20% - Акцент1 200 2" xfId="3300" xr:uid="{00000000-0005-0000-0000-0000F90A0000}"/>
    <cellStyle name="20% - Акцент1 201" xfId="3301" xr:uid="{00000000-0005-0000-0000-0000FA0A0000}"/>
    <cellStyle name="20% - Акцент1 201 2" xfId="3302" xr:uid="{00000000-0005-0000-0000-0000FB0A0000}"/>
    <cellStyle name="20% - Акцент1 202" xfId="3303" xr:uid="{00000000-0005-0000-0000-0000FC0A0000}"/>
    <cellStyle name="20% - Акцент1 202 2" xfId="3304" xr:uid="{00000000-0005-0000-0000-0000FD0A0000}"/>
    <cellStyle name="20% - Акцент1 203" xfId="3305" xr:uid="{00000000-0005-0000-0000-0000FE0A0000}"/>
    <cellStyle name="20% - Акцент1 203 2" xfId="3306" xr:uid="{00000000-0005-0000-0000-0000FF0A0000}"/>
    <cellStyle name="20% - Акцент1 204" xfId="3307" xr:uid="{00000000-0005-0000-0000-0000000B0000}"/>
    <cellStyle name="20% - Акцент1 204 2" xfId="3308" xr:uid="{00000000-0005-0000-0000-0000010B0000}"/>
    <cellStyle name="20% - Акцент1 205" xfId="3309" xr:uid="{00000000-0005-0000-0000-0000020B0000}"/>
    <cellStyle name="20% - Акцент1 205 2" xfId="3310" xr:uid="{00000000-0005-0000-0000-0000030B0000}"/>
    <cellStyle name="20% - Акцент1 206" xfId="3311" xr:uid="{00000000-0005-0000-0000-0000040B0000}"/>
    <cellStyle name="20% - Акцент1 206 2" xfId="3312" xr:uid="{00000000-0005-0000-0000-0000050B0000}"/>
    <cellStyle name="20% - Акцент1 207" xfId="3313" xr:uid="{00000000-0005-0000-0000-0000060B0000}"/>
    <cellStyle name="20% - Акцент1 207 2" xfId="3314" xr:uid="{00000000-0005-0000-0000-0000070B0000}"/>
    <cellStyle name="20% - Акцент1 208" xfId="3315" xr:uid="{00000000-0005-0000-0000-0000080B0000}"/>
    <cellStyle name="20% - Акцент1 208 2" xfId="3316" xr:uid="{00000000-0005-0000-0000-0000090B0000}"/>
    <cellStyle name="20% - Акцент1 209" xfId="3317" xr:uid="{00000000-0005-0000-0000-00000A0B0000}"/>
    <cellStyle name="20% - Акцент1 209 2" xfId="3318" xr:uid="{00000000-0005-0000-0000-00000B0B0000}"/>
    <cellStyle name="20% - Акцент1 21" xfId="3319" xr:uid="{00000000-0005-0000-0000-00000C0B0000}"/>
    <cellStyle name="20% - Акцент1 21 2" xfId="3320" xr:uid="{00000000-0005-0000-0000-00000D0B0000}"/>
    <cellStyle name="20% - Акцент1 210" xfId="3321" xr:uid="{00000000-0005-0000-0000-00000E0B0000}"/>
    <cellStyle name="20% - Акцент1 210 2" xfId="3322" xr:uid="{00000000-0005-0000-0000-00000F0B0000}"/>
    <cellStyle name="20% - Акцент1 211" xfId="3323" xr:uid="{00000000-0005-0000-0000-0000100B0000}"/>
    <cellStyle name="20% - Акцент1 211 2" xfId="3324" xr:uid="{00000000-0005-0000-0000-0000110B0000}"/>
    <cellStyle name="20% - Акцент1 212" xfId="3325" xr:uid="{00000000-0005-0000-0000-0000120B0000}"/>
    <cellStyle name="20% - Акцент1 212 2" xfId="3326" xr:uid="{00000000-0005-0000-0000-0000130B0000}"/>
    <cellStyle name="20% - Акцент1 213" xfId="3327" xr:uid="{00000000-0005-0000-0000-0000140B0000}"/>
    <cellStyle name="20% - Акцент1 213 2" xfId="3328" xr:uid="{00000000-0005-0000-0000-0000150B0000}"/>
    <cellStyle name="20% - Акцент1 214" xfId="3329" xr:uid="{00000000-0005-0000-0000-0000160B0000}"/>
    <cellStyle name="20% - Акцент1 214 2" xfId="3330" xr:uid="{00000000-0005-0000-0000-0000170B0000}"/>
    <cellStyle name="20% - Акцент1 215" xfId="3331" xr:uid="{00000000-0005-0000-0000-0000180B0000}"/>
    <cellStyle name="20% - Акцент1 215 2" xfId="3332" xr:uid="{00000000-0005-0000-0000-0000190B0000}"/>
    <cellStyle name="20% - Акцент1 216" xfId="3333" xr:uid="{00000000-0005-0000-0000-00001A0B0000}"/>
    <cellStyle name="20% - Акцент1 216 2" xfId="3334" xr:uid="{00000000-0005-0000-0000-00001B0B0000}"/>
    <cellStyle name="20% - Акцент1 217" xfId="3335" xr:uid="{00000000-0005-0000-0000-00001C0B0000}"/>
    <cellStyle name="20% - Акцент1 217 2" xfId="3336" xr:uid="{00000000-0005-0000-0000-00001D0B0000}"/>
    <cellStyle name="20% - Акцент1 217 3" xfId="3337" xr:uid="{00000000-0005-0000-0000-00001E0B0000}"/>
    <cellStyle name="20% - Акцент1 218" xfId="3338" xr:uid="{00000000-0005-0000-0000-00001F0B0000}"/>
    <cellStyle name="20% - Акцент1 219" xfId="3339" xr:uid="{00000000-0005-0000-0000-0000200B0000}"/>
    <cellStyle name="20% - Акцент1 22" xfId="3340" xr:uid="{00000000-0005-0000-0000-0000210B0000}"/>
    <cellStyle name="20% - Акцент1 22 2" xfId="3341" xr:uid="{00000000-0005-0000-0000-0000220B0000}"/>
    <cellStyle name="20% - Акцент1 220" xfId="3342" xr:uid="{00000000-0005-0000-0000-0000230B0000}"/>
    <cellStyle name="20% - Акцент1 221" xfId="3343" xr:uid="{00000000-0005-0000-0000-0000240B0000}"/>
    <cellStyle name="20% - Акцент1 222" xfId="3344" xr:uid="{00000000-0005-0000-0000-0000250B0000}"/>
    <cellStyle name="20% - Акцент1 223" xfId="3345" xr:uid="{00000000-0005-0000-0000-0000260B0000}"/>
    <cellStyle name="20% - Акцент1 224" xfId="3346" xr:uid="{00000000-0005-0000-0000-0000270B0000}"/>
    <cellStyle name="20% - Акцент1 225" xfId="3347" xr:uid="{00000000-0005-0000-0000-0000280B0000}"/>
    <cellStyle name="20% - Акцент1 226" xfId="3348" xr:uid="{00000000-0005-0000-0000-0000290B0000}"/>
    <cellStyle name="20% - Акцент1 227" xfId="3349" xr:uid="{00000000-0005-0000-0000-00002A0B0000}"/>
    <cellStyle name="20% - Акцент1 228" xfId="3350" xr:uid="{00000000-0005-0000-0000-00002B0B0000}"/>
    <cellStyle name="20% - Акцент1 229" xfId="3351" xr:uid="{00000000-0005-0000-0000-00002C0B0000}"/>
    <cellStyle name="20% - Акцент1 23" xfId="3352" xr:uid="{00000000-0005-0000-0000-00002D0B0000}"/>
    <cellStyle name="20% - Акцент1 23 2" xfId="3353" xr:uid="{00000000-0005-0000-0000-00002E0B0000}"/>
    <cellStyle name="20% - Акцент1 230" xfId="3354" xr:uid="{00000000-0005-0000-0000-00002F0B0000}"/>
    <cellStyle name="20% - Акцент1 231" xfId="3355" xr:uid="{00000000-0005-0000-0000-0000300B0000}"/>
    <cellStyle name="20% - Акцент1 232" xfId="3356" xr:uid="{00000000-0005-0000-0000-0000310B0000}"/>
    <cellStyle name="20% - Акцент1 233" xfId="3357" xr:uid="{00000000-0005-0000-0000-0000320B0000}"/>
    <cellStyle name="20% - Акцент1 234" xfId="3358" xr:uid="{00000000-0005-0000-0000-0000330B0000}"/>
    <cellStyle name="20% - Акцент1 235" xfId="3359" xr:uid="{00000000-0005-0000-0000-0000340B0000}"/>
    <cellStyle name="20% - Акцент1 236" xfId="3360" xr:uid="{00000000-0005-0000-0000-0000350B0000}"/>
    <cellStyle name="20% - Акцент1 237" xfId="3361" xr:uid="{00000000-0005-0000-0000-0000360B0000}"/>
    <cellStyle name="20% - Акцент1 238" xfId="3362" xr:uid="{00000000-0005-0000-0000-0000370B0000}"/>
    <cellStyle name="20% - Акцент1 239" xfId="3363" xr:uid="{00000000-0005-0000-0000-0000380B0000}"/>
    <cellStyle name="20% - Акцент1 24" xfId="3364" xr:uid="{00000000-0005-0000-0000-0000390B0000}"/>
    <cellStyle name="20% - Акцент1 24 2" xfId="3365" xr:uid="{00000000-0005-0000-0000-00003A0B0000}"/>
    <cellStyle name="20% - Акцент1 240" xfId="3366" xr:uid="{00000000-0005-0000-0000-00003B0B0000}"/>
    <cellStyle name="20% - Акцент1 241" xfId="3367" xr:uid="{00000000-0005-0000-0000-00003C0B0000}"/>
    <cellStyle name="20% - Акцент1 242" xfId="3368" xr:uid="{00000000-0005-0000-0000-00003D0B0000}"/>
    <cellStyle name="20% - Акцент1 243" xfId="3369" xr:uid="{00000000-0005-0000-0000-00003E0B0000}"/>
    <cellStyle name="20% - Акцент1 244" xfId="3370" xr:uid="{00000000-0005-0000-0000-00003F0B0000}"/>
    <cellStyle name="20% - Акцент1 245" xfId="3371" xr:uid="{00000000-0005-0000-0000-0000400B0000}"/>
    <cellStyle name="20% - Акцент1 246" xfId="3372" xr:uid="{00000000-0005-0000-0000-0000410B0000}"/>
    <cellStyle name="20% - Акцент1 247" xfId="3373" xr:uid="{00000000-0005-0000-0000-0000420B0000}"/>
    <cellStyle name="20% - Акцент1 248" xfId="3374" xr:uid="{00000000-0005-0000-0000-0000430B0000}"/>
    <cellStyle name="20% - Акцент1 249" xfId="3375" xr:uid="{00000000-0005-0000-0000-0000440B0000}"/>
    <cellStyle name="20% - Акцент1 25" xfId="3376" xr:uid="{00000000-0005-0000-0000-0000450B0000}"/>
    <cellStyle name="20% - Акцент1 25 2" xfId="3377" xr:uid="{00000000-0005-0000-0000-0000460B0000}"/>
    <cellStyle name="20% - Акцент1 250" xfId="3378" xr:uid="{00000000-0005-0000-0000-0000470B0000}"/>
    <cellStyle name="20% - Акцент1 251" xfId="3379" xr:uid="{00000000-0005-0000-0000-0000480B0000}"/>
    <cellStyle name="20% - Акцент1 252" xfId="3380" xr:uid="{00000000-0005-0000-0000-0000490B0000}"/>
    <cellStyle name="20% - Акцент1 253" xfId="3381" xr:uid="{00000000-0005-0000-0000-00004A0B0000}"/>
    <cellStyle name="20% - Акцент1 254" xfId="3382" xr:uid="{00000000-0005-0000-0000-00004B0B0000}"/>
    <cellStyle name="20% - Акцент1 255" xfId="3383" xr:uid="{00000000-0005-0000-0000-00004C0B0000}"/>
    <cellStyle name="20% - Акцент1 26" xfId="3384" xr:uid="{00000000-0005-0000-0000-00004D0B0000}"/>
    <cellStyle name="20% - Акцент1 26 2" xfId="3385" xr:uid="{00000000-0005-0000-0000-00004E0B0000}"/>
    <cellStyle name="20% - Акцент1 27" xfId="3386" xr:uid="{00000000-0005-0000-0000-00004F0B0000}"/>
    <cellStyle name="20% - Акцент1 27 2" xfId="3387" xr:uid="{00000000-0005-0000-0000-0000500B0000}"/>
    <cellStyle name="20% - Акцент1 28" xfId="3388" xr:uid="{00000000-0005-0000-0000-0000510B0000}"/>
    <cellStyle name="20% - Акцент1 28 2" xfId="3389" xr:uid="{00000000-0005-0000-0000-0000520B0000}"/>
    <cellStyle name="20% - Акцент1 29" xfId="3390" xr:uid="{00000000-0005-0000-0000-0000530B0000}"/>
    <cellStyle name="20% - Акцент1 29 2" xfId="3391" xr:uid="{00000000-0005-0000-0000-0000540B0000}"/>
    <cellStyle name="20% - Акцент1 3" xfId="3392" xr:uid="{00000000-0005-0000-0000-0000550B0000}"/>
    <cellStyle name="20% - Акцент1 30" xfId="3393" xr:uid="{00000000-0005-0000-0000-0000560B0000}"/>
    <cellStyle name="20% - Акцент1 30 2" xfId="3394" xr:uid="{00000000-0005-0000-0000-0000570B0000}"/>
    <cellStyle name="20% - Акцент1 31" xfId="3395" xr:uid="{00000000-0005-0000-0000-0000580B0000}"/>
    <cellStyle name="20% - Акцент1 31 2" xfId="3396" xr:uid="{00000000-0005-0000-0000-0000590B0000}"/>
    <cellStyle name="20% - Акцент1 32" xfId="3397" xr:uid="{00000000-0005-0000-0000-00005A0B0000}"/>
    <cellStyle name="20% - Акцент1 32 2" xfId="3398" xr:uid="{00000000-0005-0000-0000-00005B0B0000}"/>
    <cellStyle name="20% - Акцент1 33" xfId="3399" xr:uid="{00000000-0005-0000-0000-00005C0B0000}"/>
    <cellStyle name="20% - Акцент1 33 2" xfId="3400" xr:uid="{00000000-0005-0000-0000-00005D0B0000}"/>
    <cellStyle name="20% - Акцент1 34" xfId="3401" xr:uid="{00000000-0005-0000-0000-00005E0B0000}"/>
    <cellStyle name="20% - Акцент1 34 2" xfId="3402" xr:uid="{00000000-0005-0000-0000-00005F0B0000}"/>
    <cellStyle name="20% - Акцент1 35" xfId="3403" xr:uid="{00000000-0005-0000-0000-0000600B0000}"/>
    <cellStyle name="20% - Акцент1 35 2" xfId="3404" xr:uid="{00000000-0005-0000-0000-0000610B0000}"/>
    <cellStyle name="20% - Акцент1 36" xfId="3405" xr:uid="{00000000-0005-0000-0000-0000620B0000}"/>
    <cellStyle name="20% - Акцент1 36 2" xfId="3406" xr:uid="{00000000-0005-0000-0000-0000630B0000}"/>
    <cellStyle name="20% - Акцент1 37" xfId="3407" xr:uid="{00000000-0005-0000-0000-0000640B0000}"/>
    <cellStyle name="20% - Акцент1 37 2" xfId="3408" xr:uid="{00000000-0005-0000-0000-0000650B0000}"/>
    <cellStyle name="20% - Акцент1 38" xfId="3409" xr:uid="{00000000-0005-0000-0000-0000660B0000}"/>
    <cellStyle name="20% - Акцент1 38 2" xfId="3410" xr:uid="{00000000-0005-0000-0000-0000670B0000}"/>
    <cellStyle name="20% - Акцент1 39" xfId="3411" xr:uid="{00000000-0005-0000-0000-0000680B0000}"/>
    <cellStyle name="20% - Акцент1 39 2" xfId="3412" xr:uid="{00000000-0005-0000-0000-0000690B0000}"/>
    <cellStyle name="20% - Акцент1 4" xfId="3413" xr:uid="{00000000-0005-0000-0000-00006A0B0000}"/>
    <cellStyle name="20% - Акцент1 40" xfId="3414" xr:uid="{00000000-0005-0000-0000-00006B0B0000}"/>
    <cellStyle name="20% - Акцент1 40 2" xfId="3415" xr:uid="{00000000-0005-0000-0000-00006C0B0000}"/>
    <cellStyle name="20% - Акцент1 41" xfId="3416" xr:uid="{00000000-0005-0000-0000-00006D0B0000}"/>
    <cellStyle name="20% - Акцент1 41 2" xfId="3417" xr:uid="{00000000-0005-0000-0000-00006E0B0000}"/>
    <cellStyle name="20% - Акцент1 42" xfId="3418" xr:uid="{00000000-0005-0000-0000-00006F0B0000}"/>
    <cellStyle name="20% - Акцент1 42 2" xfId="3419" xr:uid="{00000000-0005-0000-0000-0000700B0000}"/>
    <cellStyle name="20% - Акцент1 43" xfId="3420" xr:uid="{00000000-0005-0000-0000-0000710B0000}"/>
    <cellStyle name="20% - Акцент1 43 2" xfId="3421" xr:uid="{00000000-0005-0000-0000-0000720B0000}"/>
    <cellStyle name="20% - Акцент1 44" xfId="3422" xr:uid="{00000000-0005-0000-0000-0000730B0000}"/>
    <cellStyle name="20% - Акцент1 44 2" xfId="3423" xr:uid="{00000000-0005-0000-0000-0000740B0000}"/>
    <cellStyle name="20% - Акцент1 45" xfId="3424" xr:uid="{00000000-0005-0000-0000-0000750B0000}"/>
    <cellStyle name="20% - Акцент1 45 2" xfId="3425" xr:uid="{00000000-0005-0000-0000-0000760B0000}"/>
    <cellStyle name="20% - Акцент1 46" xfId="3426" xr:uid="{00000000-0005-0000-0000-0000770B0000}"/>
    <cellStyle name="20% - Акцент1 46 2" xfId="3427" xr:uid="{00000000-0005-0000-0000-0000780B0000}"/>
    <cellStyle name="20% - Акцент1 47" xfId="3428" xr:uid="{00000000-0005-0000-0000-0000790B0000}"/>
    <cellStyle name="20% - Акцент1 47 2" xfId="3429" xr:uid="{00000000-0005-0000-0000-00007A0B0000}"/>
    <cellStyle name="20% - Акцент1 48" xfId="3430" xr:uid="{00000000-0005-0000-0000-00007B0B0000}"/>
    <cellStyle name="20% - Акцент1 48 2" xfId="3431" xr:uid="{00000000-0005-0000-0000-00007C0B0000}"/>
    <cellStyle name="20% - Акцент1 49" xfId="3432" xr:uid="{00000000-0005-0000-0000-00007D0B0000}"/>
    <cellStyle name="20% - Акцент1 49 2" xfId="3433" xr:uid="{00000000-0005-0000-0000-00007E0B0000}"/>
    <cellStyle name="20% - Акцент1 5" xfId="3434" xr:uid="{00000000-0005-0000-0000-00007F0B0000}"/>
    <cellStyle name="20% - Акцент1 50" xfId="3435" xr:uid="{00000000-0005-0000-0000-0000800B0000}"/>
    <cellStyle name="20% - Акцент1 50 2" xfId="3436" xr:uid="{00000000-0005-0000-0000-0000810B0000}"/>
    <cellStyle name="20% - Акцент1 51" xfId="3437" xr:uid="{00000000-0005-0000-0000-0000820B0000}"/>
    <cellStyle name="20% - Акцент1 51 2" xfId="3438" xr:uid="{00000000-0005-0000-0000-0000830B0000}"/>
    <cellStyle name="20% - Акцент1 52" xfId="3439" xr:uid="{00000000-0005-0000-0000-0000840B0000}"/>
    <cellStyle name="20% - Акцент1 52 2" xfId="3440" xr:uid="{00000000-0005-0000-0000-0000850B0000}"/>
    <cellStyle name="20% - Акцент1 53" xfId="3441" xr:uid="{00000000-0005-0000-0000-0000860B0000}"/>
    <cellStyle name="20% - Акцент1 53 2" xfId="3442" xr:uid="{00000000-0005-0000-0000-0000870B0000}"/>
    <cellStyle name="20% - Акцент1 54" xfId="3443" xr:uid="{00000000-0005-0000-0000-0000880B0000}"/>
    <cellStyle name="20% - Акцент1 54 2" xfId="3444" xr:uid="{00000000-0005-0000-0000-0000890B0000}"/>
    <cellStyle name="20% - Акцент1 55" xfId="3445" xr:uid="{00000000-0005-0000-0000-00008A0B0000}"/>
    <cellStyle name="20% - Акцент1 55 2" xfId="3446" xr:uid="{00000000-0005-0000-0000-00008B0B0000}"/>
    <cellStyle name="20% - Акцент1 56" xfId="3447" xr:uid="{00000000-0005-0000-0000-00008C0B0000}"/>
    <cellStyle name="20% - Акцент1 56 2" xfId="3448" xr:uid="{00000000-0005-0000-0000-00008D0B0000}"/>
    <cellStyle name="20% - Акцент1 57" xfId="3449" xr:uid="{00000000-0005-0000-0000-00008E0B0000}"/>
    <cellStyle name="20% - Акцент1 57 2" xfId="3450" xr:uid="{00000000-0005-0000-0000-00008F0B0000}"/>
    <cellStyle name="20% - Акцент1 58" xfId="3451" xr:uid="{00000000-0005-0000-0000-0000900B0000}"/>
    <cellStyle name="20% - Акцент1 58 2" xfId="3452" xr:uid="{00000000-0005-0000-0000-0000910B0000}"/>
    <cellStyle name="20% - Акцент1 59" xfId="3453" xr:uid="{00000000-0005-0000-0000-0000920B0000}"/>
    <cellStyle name="20% - Акцент1 59 2" xfId="3454" xr:uid="{00000000-0005-0000-0000-0000930B0000}"/>
    <cellStyle name="20% - Акцент1 6" xfId="3455" xr:uid="{00000000-0005-0000-0000-0000940B0000}"/>
    <cellStyle name="20% - Акцент1 60" xfId="3456" xr:uid="{00000000-0005-0000-0000-0000950B0000}"/>
    <cellStyle name="20% - Акцент1 60 2" xfId="3457" xr:uid="{00000000-0005-0000-0000-0000960B0000}"/>
    <cellStyle name="20% - Акцент1 61" xfId="3458" xr:uid="{00000000-0005-0000-0000-0000970B0000}"/>
    <cellStyle name="20% - Акцент1 61 2" xfId="3459" xr:uid="{00000000-0005-0000-0000-0000980B0000}"/>
    <cellStyle name="20% - Акцент1 62" xfId="3460" xr:uid="{00000000-0005-0000-0000-0000990B0000}"/>
    <cellStyle name="20% - Акцент1 62 2" xfId="3461" xr:uid="{00000000-0005-0000-0000-00009A0B0000}"/>
    <cellStyle name="20% - Акцент1 63" xfId="3462" xr:uid="{00000000-0005-0000-0000-00009B0B0000}"/>
    <cellStyle name="20% - Акцент1 63 2" xfId="3463" xr:uid="{00000000-0005-0000-0000-00009C0B0000}"/>
    <cellStyle name="20% - Акцент1 64" xfId="3464" xr:uid="{00000000-0005-0000-0000-00009D0B0000}"/>
    <cellStyle name="20% - Акцент1 64 2" xfId="3465" xr:uid="{00000000-0005-0000-0000-00009E0B0000}"/>
    <cellStyle name="20% - Акцент1 65" xfId="3466" xr:uid="{00000000-0005-0000-0000-00009F0B0000}"/>
    <cellStyle name="20% - Акцент1 65 2" xfId="3467" xr:uid="{00000000-0005-0000-0000-0000A00B0000}"/>
    <cellStyle name="20% - Акцент1 66" xfId="3468" xr:uid="{00000000-0005-0000-0000-0000A10B0000}"/>
    <cellStyle name="20% - Акцент1 66 2" xfId="3469" xr:uid="{00000000-0005-0000-0000-0000A20B0000}"/>
    <cellStyle name="20% - Акцент1 67" xfId="3470" xr:uid="{00000000-0005-0000-0000-0000A30B0000}"/>
    <cellStyle name="20% - Акцент1 67 2" xfId="3471" xr:uid="{00000000-0005-0000-0000-0000A40B0000}"/>
    <cellStyle name="20% - Акцент1 68" xfId="3472" xr:uid="{00000000-0005-0000-0000-0000A50B0000}"/>
    <cellStyle name="20% - Акцент1 68 2" xfId="3473" xr:uid="{00000000-0005-0000-0000-0000A60B0000}"/>
    <cellStyle name="20% - Акцент1 69" xfId="3474" xr:uid="{00000000-0005-0000-0000-0000A70B0000}"/>
    <cellStyle name="20% - Акцент1 69 2" xfId="3475" xr:uid="{00000000-0005-0000-0000-0000A80B0000}"/>
    <cellStyle name="20% - Акцент1 7" xfId="3476" xr:uid="{00000000-0005-0000-0000-0000A90B0000}"/>
    <cellStyle name="20% - Акцент1 70" xfId="3477" xr:uid="{00000000-0005-0000-0000-0000AA0B0000}"/>
    <cellStyle name="20% - Акцент1 70 2" xfId="3478" xr:uid="{00000000-0005-0000-0000-0000AB0B0000}"/>
    <cellStyle name="20% - Акцент1 71" xfId="3479" xr:uid="{00000000-0005-0000-0000-0000AC0B0000}"/>
    <cellStyle name="20% - Акцент1 71 2" xfId="3480" xr:uid="{00000000-0005-0000-0000-0000AD0B0000}"/>
    <cellStyle name="20% - Акцент1 72" xfId="3481" xr:uid="{00000000-0005-0000-0000-0000AE0B0000}"/>
    <cellStyle name="20% - Акцент1 72 2" xfId="3482" xr:uid="{00000000-0005-0000-0000-0000AF0B0000}"/>
    <cellStyle name="20% - Акцент1 73" xfId="3483" xr:uid="{00000000-0005-0000-0000-0000B00B0000}"/>
    <cellStyle name="20% - Акцент1 73 2" xfId="3484" xr:uid="{00000000-0005-0000-0000-0000B10B0000}"/>
    <cellStyle name="20% - Акцент1 74" xfId="3485" xr:uid="{00000000-0005-0000-0000-0000B20B0000}"/>
    <cellStyle name="20% - Акцент1 74 2" xfId="3486" xr:uid="{00000000-0005-0000-0000-0000B30B0000}"/>
    <cellStyle name="20% - Акцент1 75" xfId="3487" xr:uid="{00000000-0005-0000-0000-0000B40B0000}"/>
    <cellStyle name="20% - Акцент1 75 2" xfId="3488" xr:uid="{00000000-0005-0000-0000-0000B50B0000}"/>
    <cellStyle name="20% - Акцент1 76" xfId="3489" xr:uid="{00000000-0005-0000-0000-0000B60B0000}"/>
    <cellStyle name="20% - Акцент1 76 2" xfId="3490" xr:uid="{00000000-0005-0000-0000-0000B70B0000}"/>
    <cellStyle name="20% - Акцент1 77" xfId="3491" xr:uid="{00000000-0005-0000-0000-0000B80B0000}"/>
    <cellStyle name="20% - Акцент1 77 2" xfId="3492" xr:uid="{00000000-0005-0000-0000-0000B90B0000}"/>
    <cellStyle name="20% - Акцент1 78" xfId="3493" xr:uid="{00000000-0005-0000-0000-0000BA0B0000}"/>
    <cellStyle name="20% - Акцент1 78 2" xfId="3494" xr:uid="{00000000-0005-0000-0000-0000BB0B0000}"/>
    <cellStyle name="20% - Акцент1 79" xfId="3495" xr:uid="{00000000-0005-0000-0000-0000BC0B0000}"/>
    <cellStyle name="20% - Акцент1 79 2" xfId="3496" xr:uid="{00000000-0005-0000-0000-0000BD0B0000}"/>
    <cellStyle name="20% - Акцент1 8" xfId="3497" xr:uid="{00000000-0005-0000-0000-0000BE0B0000}"/>
    <cellStyle name="20% - Акцент1 80" xfId="3498" xr:uid="{00000000-0005-0000-0000-0000BF0B0000}"/>
    <cellStyle name="20% - Акцент1 80 2" xfId="3499" xr:uid="{00000000-0005-0000-0000-0000C00B0000}"/>
    <cellStyle name="20% - Акцент1 81" xfId="3500" xr:uid="{00000000-0005-0000-0000-0000C10B0000}"/>
    <cellStyle name="20% - Акцент1 81 2" xfId="3501" xr:uid="{00000000-0005-0000-0000-0000C20B0000}"/>
    <cellStyle name="20% - Акцент1 82" xfId="3502" xr:uid="{00000000-0005-0000-0000-0000C30B0000}"/>
    <cellStyle name="20% - Акцент1 82 2" xfId="3503" xr:uid="{00000000-0005-0000-0000-0000C40B0000}"/>
    <cellStyle name="20% - Акцент1 83" xfId="3504" xr:uid="{00000000-0005-0000-0000-0000C50B0000}"/>
    <cellStyle name="20% - Акцент1 83 2" xfId="3505" xr:uid="{00000000-0005-0000-0000-0000C60B0000}"/>
    <cellStyle name="20% - Акцент1 84" xfId="3506" xr:uid="{00000000-0005-0000-0000-0000C70B0000}"/>
    <cellStyle name="20% - Акцент1 84 2" xfId="3507" xr:uid="{00000000-0005-0000-0000-0000C80B0000}"/>
    <cellStyle name="20% - Акцент1 85" xfId="3508" xr:uid="{00000000-0005-0000-0000-0000C90B0000}"/>
    <cellStyle name="20% - Акцент1 85 2" xfId="3509" xr:uid="{00000000-0005-0000-0000-0000CA0B0000}"/>
    <cellStyle name="20% - Акцент1 86" xfId="3510" xr:uid="{00000000-0005-0000-0000-0000CB0B0000}"/>
    <cellStyle name="20% - Акцент1 86 2" xfId="3511" xr:uid="{00000000-0005-0000-0000-0000CC0B0000}"/>
    <cellStyle name="20% - Акцент1 87" xfId="3512" xr:uid="{00000000-0005-0000-0000-0000CD0B0000}"/>
    <cellStyle name="20% - Акцент1 87 2" xfId="3513" xr:uid="{00000000-0005-0000-0000-0000CE0B0000}"/>
    <cellStyle name="20% - Акцент1 88" xfId="3514" xr:uid="{00000000-0005-0000-0000-0000CF0B0000}"/>
    <cellStyle name="20% - Акцент1 88 2" xfId="3515" xr:uid="{00000000-0005-0000-0000-0000D00B0000}"/>
    <cellStyle name="20% - Акцент1 89" xfId="3516" xr:uid="{00000000-0005-0000-0000-0000D10B0000}"/>
    <cellStyle name="20% - Акцент1 89 2" xfId="3517" xr:uid="{00000000-0005-0000-0000-0000D20B0000}"/>
    <cellStyle name="20% - Акцент1 9" xfId="3518" xr:uid="{00000000-0005-0000-0000-0000D30B0000}"/>
    <cellStyle name="20% - Акцент1 90" xfId="3519" xr:uid="{00000000-0005-0000-0000-0000D40B0000}"/>
    <cellStyle name="20% - Акцент1 90 2" xfId="3520" xr:uid="{00000000-0005-0000-0000-0000D50B0000}"/>
    <cellStyle name="20% - Акцент1 91" xfId="3521" xr:uid="{00000000-0005-0000-0000-0000D60B0000}"/>
    <cellStyle name="20% - Акцент1 91 2" xfId="3522" xr:uid="{00000000-0005-0000-0000-0000D70B0000}"/>
    <cellStyle name="20% - Акцент1 92" xfId="3523" xr:uid="{00000000-0005-0000-0000-0000D80B0000}"/>
    <cellStyle name="20% - Акцент1 92 2" xfId="3524" xr:uid="{00000000-0005-0000-0000-0000D90B0000}"/>
    <cellStyle name="20% - Акцент1 93" xfId="3525" xr:uid="{00000000-0005-0000-0000-0000DA0B0000}"/>
    <cellStyle name="20% - Акцент1 93 2" xfId="3526" xr:uid="{00000000-0005-0000-0000-0000DB0B0000}"/>
    <cellStyle name="20% - Акцент1 94" xfId="3527" xr:uid="{00000000-0005-0000-0000-0000DC0B0000}"/>
    <cellStyle name="20% - Акцент1 94 2" xfId="3528" xr:uid="{00000000-0005-0000-0000-0000DD0B0000}"/>
    <cellStyle name="20% - Акцент1 95" xfId="3529" xr:uid="{00000000-0005-0000-0000-0000DE0B0000}"/>
    <cellStyle name="20% - Акцент1 95 2" xfId="3530" xr:uid="{00000000-0005-0000-0000-0000DF0B0000}"/>
    <cellStyle name="20% - Акцент1 96" xfId="3531" xr:uid="{00000000-0005-0000-0000-0000E00B0000}"/>
    <cellStyle name="20% - Акцент1 96 2" xfId="3532" xr:uid="{00000000-0005-0000-0000-0000E10B0000}"/>
    <cellStyle name="20% - Акцент1 97" xfId="3533" xr:uid="{00000000-0005-0000-0000-0000E20B0000}"/>
    <cellStyle name="20% - Акцент1 97 2" xfId="3534" xr:uid="{00000000-0005-0000-0000-0000E30B0000}"/>
    <cellStyle name="20% - Акцент1 98" xfId="3535" xr:uid="{00000000-0005-0000-0000-0000E40B0000}"/>
    <cellStyle name="20% - Акцент1 98 2" xfId="3536" xr:uid="{00000000-0005-0000-0000-0000E50B0000}"/>
    <cellStyle name="20% - Акцент1 99" xfId="3537" xr:uid="{00000000-0005-0000-0000-0000E60B0000}"/>
    <cellStyle name="20% - Акцент1 99 2" xfId="3538" xr:uid="{00000000-0005-0000-0000-0000E70B0000}"/>
    <cellStyle name="20% - Акцент2 10" xfId="3539" xr:uid="{00000000-0005-0000-0000-0000E80B0000}"/>
    <cellStyle name="20% - Акцент2 100" xfId="3540" xr:uid="{00000000-0005-0000-0000-0000E90B0000}"/>
    <cellStyle name="20% - Акцент2 100 2" xfId="3541" xr:uid="{00000000-0005-0000-0000-0000EA0B0000}"/>
    <cellStyle name="20% - Акцент2 101" xfId="3542" xr:uid="{00000000-0005-0000-0000-0000EB0B0000}"/>
    <cellStyle name="20% - Акцент2 101 2" xfId="3543" xr:uid="{00000000-0005-0000-0000-0000EC0B0000}"/>
    <cellStyle name="20% - Акцент2 102" xfId="3544" xr:uid="{00000000-0005-0000-0000-0000ED0B0000}"/>
    <cellStyle name="20% - Акцент2 102 2" xfId="3545" xr:uid="{00000000-0005-0000-0000-0000EE0B0000}"/>
    <cellStyle name="20% - Акцент2 103" xfId="3546" xr:uid="{00000000-0005-0000-0000-0000EF0B0000}"/>
    <cellStyle name="20% - Акцент2 103 2" xfId="3547" xr:uid="{00000000-0005-0000-0000-0000F00B0000}"/>
    <cellStyle name="20% - Акцент2 104" xfId="3548" xr:uid="{00000000-0005-0000-0000-0000F10B0000}"/>
    <cellStyle name="20% - Акцент2 104 2" xfId="3549" xr:uid="{00000000-0005-0000-0000-0000F20B0000}"/>
    <cellStyle name="20% - Акцент2 105" xfId="3550" xr:uid="{00000000-0005-0000-0000-0000F30B0000}"/>
    <cellStyle name="20% - Акцент2 105 2" xfId="3551" xr:uid="{00000000-0005-0000-0000-0000F40B0000}"/>
    <cellStyle name="20% - Акцент2 106" xfId="3552" xr:uid="{00000000-0005-0000-0000-0000F50B0000}"/>
    <cellStyle name="20% - Акцент2 106 2" xfId="3553" xr:uid="{00000000-0005-0000-0000-0000F60B0000}"/>
    <cellStyle name="20% - Акцент2 107" xfId="3554" xr:uid="{00000000-0005-0000-0000-0000F70B0000}"/>
    <cellStyle name="20% - Акцент2 107 2" xfId="3555" xr:uid="{00000000-0005-0000-0000-0000F80B0000}"/>
    <cellStyle name="20% - Акцент2 108" xfId="3556" xr:uid="{00000000-0005-0000-0000-0000F90B0000}"/>
    <cellStyle name="20% - Акцент2 108 2" xfId="3557" xr:uid="{00000000-0005-0000-0000-0000FA0B0000}"/>
    <cellStyle name="20% - Акцент2 109" xfId="3558" xr:uid="{00000000-0005-0000-0000-0000FB0B0000}"/>
    <cellStyle name="20% - Акцент2 109 2" xfId="3559" xr:uid="{00000000-0005-0000-0000-0000FC0B0000}"/>
    <cellStyle name="20% - Акцент2 11" xfId="3560" xr:uid="{00000000-0005-0000-0000-0000FD0B0000}"/>
    <cellStyle name="20% - Акцент2 110" xfId="3561" xr:uid="{00000000-0005-0000-0000-0000FE0B0000}"/>
    <cellStyle name="20% - Акцент2 110 2" xfId="3562" xr:uid="{00000000-0005-0000-0000-0000FF0B0000}"/>
    <cellStyle name="20% - Акцент2 111" xfId="3563" xr:uid="{00000000-0005-0000-0000-0000000C0000}"/>
    <cellStyle name="20% - Акцент2 111 2" xfId="3564" xr:uid="{00000000-0005-0000-0000-0000010C0000}"/>
    <cellStyle name="20% - Акцент2 112" xfId="3565" xr:uid="{00000000-0005-0000-0000-0000020C0000}"/>
    <cellStyle name="20% - Акцент2 112 2" xfId="3566" xr:uid="{00000000-0005-0000-0000-0000030C0000}"/>
    <cellStyle name="20% - Акцент2 113" xfId="3567" xr:uid="{00000000-0005-0000-0000-0000040C0000}"/>
    <cellStyle name="20% - Акцент2 113 2" xfId="3568" xr:uid="{00000000-0005-0000-0000-0000050C0000}"/>
    <cellStyle name="20% - Акцент2 114" xfId="3569" xr:uid="{00000000-0005-0000-0000-0000060C0000}"/>
    <cellStyle name="20% - Акцент2 114 2" xfId="3570" xr:uid="{00000000-0005-0000-0000-0000070C0000}"/>
    <cellStyle name="20% - Акцент2 115" xfId="3571" xr:uid="{00000000-0005-0000-0000-0000080C0000}"/>
    <cellStyle name="20% - Акцент2 115 2" xfId="3572" xr:uid="{00000000-0005-0000-0000-0000090C0000}"/>
    <cellStyle name="20% - Акцент2 116" xfId="3573" xr:uid="{00000000-0005-0000-0000-00000A0C0000}"/>
    <cellStyle name="20% - Акцент2 116 2" xfId="3574" xr:uid="{00000000-0005-0000-0000-00000B0C0000}"/>
    <cellStyle name="20% - Акцент2 117" xfId="3575" xr:uid="{00000000-0005-0000-0000-00000C0C0000}"/>
    <cellStyle name="20% - Акцент2 117 2" xfId="3576" xr:uid="{00000000-0005-0000-0000-00000D0C0000}"/>
    <cellStyle name="20% - Акцент2 118" xfId="3577" xr:uid="{00000000-0005-0000-0000-00000E0C0000}"/>
    <cellStyle name="20% - Акцент2 118 2" xfId="3578" xr:uid="{00000000-0005-0000-0000-00000F0C0000}"/>
    <cellStyle name="20% - Акцент2 119" xfId="3579" xr:uid="{00000000-0005-0000-0000-0000100C0000}"/>
    <cellStyle name="20% - Акцент2 119 2" xfId="3580" xr:uid="{00000000-0005-0000-0000-0000110C0000}"/>
    <cellStyle name="20% - Акцент2 12" xfId="3581" xr:uid="{00000000-0005-0000-0000-0000120C0000}"/>
    <cellStyle name="20% - Акцент2 120" xfId="3582" xr:uid="{00000000-0005-0000-0000-0000130C0000}"/>
    <cellStyle name="20% - Акцент2 120 2" xfId="3583" xr:uid="{00000000-0005-0000-0000-0000140C0000}"/>
    <cellStyle name="20% - Акцент2 121" xfId="3584" xr:uid="{00000000-0005-0000-0000-0000150C0000}"/>
    <cellStyle name="20% - Акцент2 121 2" xfId="3585" xr:uid="{00000000-0005-0000-0000-0000160C0000}"/>
    <cellStyle name="20% - Акцент2 122" xfId="3586" xr:uid="{00000000-0005-0000-0000-0000170C0000}"/>
    <cellStyle name="20% - Акцент2 122 2" xfId="3587" xr:uid="{00000000-0005-0000-0000-0000180C0000}"/>
    <cellStyle name="20% - Акцент2 123" xfId="3588" xr:uid="{00000000-0005-0000-0000-0000190C0000}"/>
    <cellStyle name="20% - Акцент2 123 2" xfId="3589" xr:uid="{00000000-0005-0000-0000-00001A0C0000}"/>
    <cellStyle name="20% - Акцент2 124" xfId="3590" xr:uid="{00000000-0005-0000-0000-00001B0C0000}"/>
    <cellStyle name="20% - Акцент2 124 2" xfId="3591" xr:uid="{00000000-0005-0000-0000-00001C0C0000}"/>
    <cellStyle name="20% - Акцент2 125" xfId="3592" xr:uid="{00000000-0005-0000-0000-00001D0C0000}"/>
    <cellStyle name="20% - Акцент2 125 2" xfId="3593" xr:uid="{00000000-0005-0000-0000-00001E0C0000}"/>
    <cellStyle name="20% - Акцент2 126" xfId="3594" xr:uid="{00000000-0005-0000-0000-00001F0C0000}"/>
    <cellStyle name="20% - Акцент2 126 2" xfId="3595" xr:uid="{00000000-0005-0000-0000-0000200C0000}"/>
    <cellStyle name="20% - Акцент2 127" xfId="3596" xr:uid="{00000000-0005-0000-0000-0000210C0000}"/>
    <cellStyle name="20% - Акцент2 127 2" xfId="3597" xr:uid="{00000000-0005-0000-0000-0000220C0000}"/>
    <cellStyle name="20% - Акцент2 128" xfId="3598" xr:uid="{00000000-0005-0000-0000-0000230C0000}"/>
    <cellStyle name="20% - Акцент2 128 2" xfId="3599" xr:uid="{00000000-0005-0000-0000-0000240C0000}"/>
    <cellStyle name="20% - Акцент2 129" xfId="3600" xr:uid="{00000000-0005-0000-0000-0000250C0000}"/>
    <cellStyle name="20% - Акцент2 129 2" xfId="3601" xr:uid="{00000000-0005-0000-0000-0000260C0000}"/>
    <cellStyle name="20% - Акцент2 13" xfId="3602" xr:uid="{00000000-0005-0000-0000-0000270C0000}"/>
    <cellStyle name="20% - Акцент2 130" xfId="3603" xr:uid="{00000000-0005-0000-0000-0000280C0000}"/>
    <cellStyle name="20% - Акцент2 130 2" xfId="3604" xr:uid="{00000000-0005-0000-0000-0000290C0000}"/>
    <cellStyle name="20% - Акцент2 131" xfId="3605" xr:uid="{00000000-0005-0000-0000-00002A0C0000}"/>
    <cellStyle name="20% - Акцент2 131 2" xfId="3606" xr:uid="{00000000-0005-0000-0000-00002B0C0000}"/>
    <cellStyle name="20% - Акцент2 132" xfId="3607" xr:uid="{00000000-0005-0000-0000-00002C0C0000}"/>
    <cellStyle name="20% - Акцент2 132 2" xfId="3608" xr:uid="{00000000-0005-0000-0000-00002D0C0000}"/>
    <cellStyle name="20% - Акцент2 133" xfId="3609" xr:uid="{00000000-0005-0000-0000-00002E0C0000}"/>
    <cellStyle name="20% - Акцент2 133 2" xfId="3610" xr:uid="{00000000-0005-0000-0000-00002F0C0000}"/>
    <cellStyle name="20% - Акцент2 134" xfId="3611" xr:uid="{00000000-0005-0000-0000-0000300C0000}"/>
    <cellStyle name="20% - Акцент2 134 2" xfId="3612" xr:uid="{00000000-0005-0000-0000-0000310C0000}"/>
    <cellStyle name="20% - Акцент2 135" xfId="3613" xr:uid="{00000000-0005-0000-0000-0000320C0000}"/>
    <cellStyle name="20% - Акцент2 135 2" xfId="3614" xr:uid="{00000000-0005-0000-0000-0000330C0000}"/>
    <cellStyle name="20% - Акцент2 136" xfId="3615" xr:uid="{00000000-0005-0000-0000-0000340C0000}"/>
    <cellStyle name="20% - Акцент2 136 2" xfId="3616" xr:uid="{00000000-0005-0000-0000-0000350C0000}"/>
    <cellStyle name="20% - Акцент2 137" xfId="3617" xr:uid="{00000000-0005-0000-0000-0000360C0000}"/>
    <cellStyle name="20% - Акцент2 137 2" xfId="3618" xr:uid="{00000000-0005-0000-0000-0000370C0000}"/>
    <cellStyle name="20% - Акцент2 138" xfId="3619" xr:uid="{00000000-0005-0000-0000-0000380C0000}"/>
    <cellStyle name="20% - Акцент2 138 2" xfId="3620" xr:uid="{00000000-0005-0000-0000-0000390C0000}"/>
    <cellStyle name="20% - Акцент2 139" xfId="3621" xr:uid="{00000000-0005-0000-0000-00003A0C0000}"/>
    <cellStyle name="20% - Акцент2 139 2" xfId="3622" xr:uid="{00000000-0005-0000-0000-00003B0C0000}"/>
    <cellStyle name="20% - Акцент2 14" xfId="3623" xr:uid="{00000000-0005-0000-0000-00003C0C0000}"/>
    <cellStyle name="20% - Акцент2 140" xfId="3624" xr:uid="{00000000-0005-0000-0000-00003D0C0000}"/>
    <cellStyle name="20% - Акцент2 140 2" xfId="3625" xr:uid="{00000000-0005-0000-0000-00003E0C0000}"/>
    <cellStyle name="20% - Акцент2 141" xfId="3626" xr:uid="{00000000-0005-0000-0000-00003F0C0000}"/>
    <cellStyle name="20% - Акцент2 141 2" xfId="3627" xr:uid="{00000000-0005-0000-0000-0000400C0000}"/>
    <cellStyle name="20% - Акцент2 142" xfId="3628" xr:uid="{00000000-0005-0000-0000-0000410C0000}"/>
    <cellStyle name="20% - Акцент2 142 2" xfId="3629" xr:uid="{00000000-0005-0000-0000-0000420C0000}"/>
    <cellStyle name="20% - Акцент2 143" xfId="3630" xr:uid="{00000000-0005-0000-0000-0000430C0000}"/>
    <cellStyle name="20% - Акцент2 143 2" xfId="3631" xr:uid="{00000000-0005-0000-0000-0000440C0000}"/>
    <cellStyle name="20% - Акцент2 144" xfId="3632" xr:uid="{00000000-0005-0000-0000-0000450C0000}"/>
    <cellStyle name="20% - Акцент2 144 2" xfId="3633" xr:uid="{00000000-0005-0000-0000-0000460C0000}"/>
    <cellStyle name="20% - Акцент2 145" xfId="3634" xr:uid="{00000000-0005-0000-0000-0000470C0000}"/>
    <cellStyle name="20% - Акцент2 145 2" xfId="3635" xr:uid="{00000000-0005-0000-0000-0000480C0000}"/>
    <cellStyle name="20% - Акцент2 146" xfId="3636" xr:uid="{00000000-0005-0000-0000-0000490C0000}"/>
    <cellStyle name="20% - Акцент2 146 2" xfId="3637" xr:uid="{00000000-0005-0000-0000-00004A0C0000}"/>
    <cellStyle name="20% - Акцент2 147" xfId="3638" xr:uid="{00000000-0005-0000-0000-00004B0C0000}"/>
    <cellStyle name="20% - Акцент2 147 2" xfId="3639" xr:uid="{00000000-0005-0000-0000-00004C0C0000}"/>
    <cellStyle name="20% - Акцент2 148" xfId="3640" xr:uid="{00000000-0005-0000-0000-00004D0C0000}"/>
    <cellStyle name="20% - Акцент2 148 2" xfId="3641" xr:uid="{00000000-0005-0000-0000-00004E0C0000}"/>
    <cellStyle name="20% - Акцент2 149" xfId="3642" xr:uid="{00000000-0005-0000-0000-00004F0C0000}"/>
    <cellStyle name="20% - Акцент2 149 2" xfId="3643" xr:uid="{00000000-0005-0000-0000-0000500C0000}"/>
    <cellStyle name="20% - Акцент2 15" xfId="3644" xr:uid="{00000000-0005-0000-0000-0000510C0000}"/>
    <cellStyle name="20% - Акцент2 150" xfId="3645" xr:uid="{00000000-0005-0000-0000-0000520C0000}"/>
    <cellStyle name="20% - Акцент2 150 2" xfId="3646" xr:uid="{00000000-0005-0000-0000-0000530C0000}"/>
    <cellStyle name="20% - Акцент2 151" xfId="3647" xr:uid="{00000000-0005-0000-0000-0000540C0000}"/>
    <cellStyle name="20% - Акцент2 151 2" xfId="3648" xr:uid="{00000000-0005-0000-0000-0000550C0000}"/>
    <cellStyle name="20% - Акцент2 152" xfId="3649" xr:uid="{00000000-0005-0000-0000-0000560C0000}"/>
    <cellStyle name="20% - Акцент2 152 2" xfId="3650" xr:uid="{00000000-0005-0000-0000-0000570C0000}"/>
    <cellStyle name="20% - Акцент2 153" xfId="3651" xr:uid="{00000000-0005-0000-0000-0000580C0000}"/>
    <cellStyle name="20% - Акцент2 153 2" xfId="3652" xr:uid="{00000000-0005-0000-0000-0000590C0000}"/>
    <cellStyle name="20% - Акцент2 154" xfId="3653" xr:uid="{00000000-0005-0000-0000-00005A0C0000}"/>
    <cellStyle name="20% - Акцент2 154 2" xfId="3654" xr:uid="{00000000-0005-0000-0000-00005B0C0000}"/>
    <cellStyle name="20% - Акцент2 155" xfId="3655" xr:uid="{00000000-0005-0000-0000-00005C0C0000}"/>
    <cellStyle name="20% - Акцент2 155 2" xfId="3656" xr:uid="{00000000-0005-0000-0000-00005D0C0000}"/>
    <cellStyle name="20% - Акцент2 156" xfId="3657" xr:uid="{00000000-0005-0000-0000-00005E0C0000}"/>
    <cellStyle name="20% - Акцент2 156 2" xfId="3658" xr:uid="{00000000-0005-0000-0000-00005F0C0000}"/>
    <cellStyle name="20% - Акцент2 157" xfId="3659" xr:uid="{00000000-0005-0000-0000-0000600C0000}"/>
    <cellStyle name="20% - Акцент2 157 2" xfId="3660" xr:uid="{00000000-0005-0000-0000-0000610C0000}"/>
    <cellStyle name="20% - Акцент2 158" xfId="3661" xr:uid="{00000000-0005-0000-0000-0000620C0000}"/>
    <cellStyle name="20% - Акцент2 158 2" xfId="3662" xr:uid="{00000000-0005-0000-0000-0000630C0000}"/>
    <cellStyle name="20% - Акцент2 159" xfId="3663" xr:uid="{00000000-0005-0000-0000-0000640C0000}"/>
    <cellStyle name="20% - Акцент2 159 2" xfId="3664" xr:uid="{00000000-0005-0000-0000-0000650C0000}"/>
    <cellStyle name="20% - Акцент2 16" xfId="3665" xr:uid="{00000000-0005-0000-0000-0000660C0000}"/>
    <cellStyle name="20% - Акцент2 160" xfId="3666" xr:uid="{00000000-0005-0000-0000-0000670C0000}"/>
    <cellStyle name="20% - Акцент2 160 2" xfId="3667" xr:uid="{00000000-0005-0000-0000-0000680C0000}"/>
    <cellStyle name="20% - Акцент2 161" xfId="3668" xr:uid="{00000000-0005-0000-0000-0000690C0000}"/>
    <cellStyle name="20% - Акцент2 161 2" xfId="3669" xr:uid="{00000000-0005-0000-0000-00006A0C0000}"/>
    <cellStyle name="20% - Акцент2 162" xfId="3670" xr:uid="{00000000-0005-0000-0000-00006B0C0000}"/>
    <cellStyle name="20% - Акцент2 162 2" xfId="3671" xr:uid="{00000000-0005-0000-0000-00006C0C0000}"/>
    <cellStyle name="20% - Акцент2 163" xfId="3672" xr:uid="{00000000-0005-0000-0000-00006D0C0000}"/>
    <cellStyle name="20% - Акцент2 163 2" xfId="3673" xr:uid="{00000000-0005-0000-0000-00006E0C0000}"/>
    <cellStyle name="20% - Акцент2 164" xfId="3674" xr:uid="{00000000-0005-0000-0000-00006F0C0000}"/>
    <cellStyle name="20% - Акцент2 164 2" xfId="3675" xr:uid="{00000000-0005-0000-0000-0000700C0000}"/>
    <cellStyle name="20% - Акцент2 165" xfId="3676" xr:uid="{00000000-0005-0000-0000-0000710C0000}"/>
    <cellStyle name="20% - Акцент2 165 2" xfId="3677" xr:uid="{00000000-0005-0000-0000-0000720C0000}"/>
    <cellStyle name="20% - Акцент2 166" xfId="3678" xr:uid="{00000000-0005-0000-0000-0000730C0000}"/>
    <cellStyle name="20% - Акцент2 166 2" xfId="3679" xr:uid="{00000000-0005-0000-0000-0000740C0000}"/>
    <cellStyle name="20% - Акцент2 167" xfId="3680" xr:uid="{00000000-0005-0000-0000-0000750C0000}"/>
    <cellStyle name="20% - Акцент2 167 2" xfId="3681" xr:uid="{00000000-0005-0000-0000-0000760C0000}"/>
    <cellStyle name="20% - Акцент2 168" xfId="3682" xr:uid="{00000000-0005-0000-0000-0000770C0000}"/>
    <cellStyle name="20% - Акцент2 168 2" xfId="3683" xr:uid="{00000000-0005-0000-0000-0000780C0000}"/>
    <cellStyle name="20% - Акцент2 169" xfId="3684" xr:uid="{00000000-0005-0000-0000-0000790C0000}"/>
    <cellStyle name="20% - Акцент2 169 2" xfId="3685" xr:uid="{00000000-0005-0000-0000-00007A0C0000}"/>
    <cellStyle name="20% - Акцент2 17" xfId="3686" xr:uid="{00000000-0005-0000-0000-00007B0C0000}"/>
    <cellStyle name="20% - Акцент2 170" xfId="3687" xr:uid="{00000000-0005-0000-0000-00007C0C0000}"/>
    <cellStyle name="20% - Акцент2 170 2" xfId="3688" xr:uid="{00000000-0005-0000-0000-00007D0C0000}"/>
    <cellStyle name="20% - Акцент2 171" xfId="3689" xr:uid="{00000000-0005-0000-0000-00007E0C0000}"/>
    <cellStyle name="20% - Акцент2 171 2" xfId="3690" xr:uid="{00000000-0005-0000-0000-00007F0C0000}"/>
    <cellStyle name="20% - Акцент2 172" xfId="3691" xr:uid="{00000000-0005-0000-0000-0000800C0000}"/>
    <cellStyle name="20% - Акцент2 172 2" xfId="3692" xr:uid="{00000000-0005-0000-0000-0000810C0000}"/>
    <cellStyle name="20% - Акцент2 173" xfId="3693" xr:uid="{00000000-0005-0000-0000-0000820C0000}"/>
    <cellStyle name="20% - Акцент2 173 2" xfId="3694" xr:uid="{00000000-0005-0000-0000-0000830C0000}"/>
    <cellStyle name="20% - Акцент2 174" xfId="3695" xr:uid="{00000000-0005-0000-0000-0000840C0000}"/>
    <cellStyle name="20% - Акцент2 174 2" xfId="3696" xr:uid="{00000000-0005-0000-0000-0000850C0000}"/>
    <cellStyle name="20% - Акцент2 175" xfId="3697" xr:uid="{00000000-0005-0000-0000-0000860C0000}"/>
    <cellStyle name="20% - Акцент2 175 2" xfId="3698" xr:uid="{00000000-0005-0000-0000-0000870C0000}"/>
    <cellStyle name="20% - Акцент2 176" xfId="3699" xr:uid="{00000000-0005-0000-0000-0000880C0000}"/>
    <cellStyle name="20% - Акцент2 176 2" xfId="3700" xr:uid="{00000000-0005-0000-0000-0000890C0000}"/>
    <cellStyle name="20% - Акцент2 177" xfId="3701" xr:uid="{00000000-0005-0000-0000-00008A0C0000}"/>
    <cellStyle name="20% - Акцент2 177 2" xfId="3702" xr:uid="{00000000-0005-0000-0000-00008B0C0000}"/>
    <cellStyle name="20% - Акцент2 178" xfId="3703" xr:uid="{00000000-0005-0000-0000-00008C0C0000}"/>
    <cellStyle name="20% - Акцент2 178 2" xfId="3704" xr:uid="{00000000-0005-0000-0000-00008D0C0000}"/>
    <cellStyle name="20% - Акцент2 179" xfId="3705" xr:uid="{00000000-0005-0000-0000-00008E0C0000}"/>
    <cellStyle name="20% - Акцент2 179 2" xfId="3706" xr:uid="{00000000-0005-0000-0000-00008F0C0000}"/>
    <cellStyle name="20% - Акцент2 18" xfId="3707" xr:uid="{00000000-0005-0000-0000-0000900C0000}"/>
    <cellStyle name="20% - Акцент2 180" xfId="3708" xr:uid="{00000000-0005-0000-0000-0000910C0000}"/>
    <cellStyle name="20% - Акцент2 180 2" xfId="3709" xr:uid="{00000000-0005-0000-0000-0000920C0000}"/>
    <cellStyle name="20% - Акцент2 181" xfId="3710" xr:uid="{00000000-0005-0000-0000-0000930C0000}"/>
    <cellStyle name="20% - Акцент2 181 2" xfId="3711" xr:uid="{00000000-0005-0000-0000-0000940C0000}"/>
    <cellStyle name="20% - Акцент2 182" xfId="3712" xr:uid="{00000000-0005-0000-0000-0000950C0000}"/>
    <cellStyle name="20% - Акцент2 182 2" xfId="3713" xr:uid="{00000000-0005-0000-0000-0000960C0000}"/>
    <cellStyle name="20% - Акцент2 183" xfId="3714" xr:uid="{00000000-0005-0000-0000-0000970C0000}"/>
    <cellStyle name="20% - Акцент2 183 2" xfId="3715" xr:uid="{00000000-0005-0000-0000-0000980C0000}"/>
    <cellStyle name="20% - Акцент2 184" xfId="3716" xr:uid="{00000000-0005-0000-0000-0000990C0000}"/>
    <cellStyle name="20% - Акцент2 184 2" xfId="3717" xr:uid="{00000000-0005-0000-0000-00009A0C0000}"/>
    <cellStyle name="20% - Акцент2 185" xfId="3718" xr:uid="{00000000-0005-0000-0000-00009B0C0000}"/>
    <cellStyle name="20% - Акцент2 185 2" xfId="3719" xr:uid="{00000000-0005-0000-0000-00009C0C0000}"/>
    <cellStyle name="20% - Акцент2 186" xfId="3720" xr:uid="{00000000-0005-0000-0000-00009D0C0000}"/>
    <cellStyle name="20% - Акцент2 186 2" xfId="3721" xr:uid="{00000000-0005-0000-0000-00009E0C0000}"/>
    <cellStyle name="20% - Акцент2 187" xfId="3722" xr:uid="{00000000-0005-0000-0000-00009F0C0000}"/>
    <cellStyle name="20% - Акцент2 187 2" xfId="3723" xr:uid="{00000000-0005-0000-0000-0000A00C0000}"/>
    <cellStyle name="20% - Акцент2 188" xfId="3724" xr:uid="{00000000-0005-0000-0000-0000A10C0000}"/>
    <cellStyle name="20% - Акцент2 188 2" xfId="3725" xr:uid="{00000000-0005-0000-0000-0000A20C0000}"/>
    <cellStyle name="20% - Акцент2 189" xfId="3726" xr:uid="{00000000-0005-0000-0000-0000A30C0000}"/>
    <cellStyle name="20% - Акцент2 189 2" xfId="3727" xr:uid="{00000000-0005-0000-0000-0000A40C0000}"/>
    <cellStyle name="20% - Акцент2 19" xfId="3728" xr:uid="{00000000-0005-0000-0000-0000A50C0000}"/>
    <cellStyle name="20% - Акцент2 190" xfId="3729" xr:uid="{00000000-0005-0000-0000-0000A60C0000}"/>
    <cellStyle name="20% - Акцент2 190 2" xfId="3730" xr:uid="{00000000-0005-0000-0000-0000A70C0000}"/>
    <cellStyle name="20% - Акцент2 191" xfId="3731" xr:uid="{00000000-0005-0000-0000-0000A80C0000}"/>
    <cellStyle name="20% - Акцент2 191 2" xfId="3732" xr:uid="{00000000-0005-0000-0000-0000A90C0000}"/>
    <cellStyle name="20% - Акцент2 192" xfId="3733" xr:uid="{00000000-0005-0000-0000-0000AA0C0000}"/>
    <cellStyle name="20% - Акцент2 192 2" xfId="3734" xr:uid="{00000000-0005-0000-0000-0000AB0C0000}"/>
    <cellStyle name="20% - Акцент2 193" xfId="3735" xr:uid="{00000000-0005-0000-0000-0000AC0C0000}"/>
    <cellStyle name="20% - Акцент2 193 2" xfId="3736" xr:uid="{00000000-0005-0000-0000-0000AD0C0000}"/>
    <cellStyle name="20% - Акцент2 194" xfId="3737" xr:uid="{00000000-0005-0000-0000-0000AE0C0000}"/>
    <cellStyle name="20% - Акцент2 194 2" xfId="3738" xr:uid="{00000000-0005-0000-0000-0000AF0C0000}"/>
    <cellStyle name="20% - Акцент2 195" xfId="3739" xr:uid="{00000000-0005-0000-0000-0000B00C0000}"/>
    <cellStyle name="20% - Акцент2 195 2" xfId="3740" xr:uid="{00000000-0005-0000-0000-0000B10C0000}"/>
    <cellStyle name="20% - Акцент2 196" xfId="3741" xr:uid="{00000000-0005-0000-0000-0000B20C0000}"/>
    <cellStyle name="20% - Акцент2 196 2" xfId="3742" xr:uid="{00000000-0005-0000-0000-0000B30C0000}"/>
    <cellStyle name="20% - Акцент2 197" xfId="3743" xr:uid="{00000000-0005-0000-0000-0000B40C0000}"/>
    <cellStyle name="20% - Акцент2 197 2" xfId="3744" xr:uid="{00000000-0005-0000-0000-0000B50C0000}"/>
    <cellStyle name="20% - Акцент2 198" xfId="3745" xr:uid="{00000000-0005-0000-0000-0000B60C0000}"/>
    <cellStyle name="20% - Акцент2 198 2" xfId="3746" xr:uid="{00000000-0005-0000-0000-0000B70C0000}"/>
    <cellStyle name="20% - Акцент2 199" xfId="3747" xr:uid="{00000000-0005-0000-0000-0000B80C0000}"/>
    <cellStyle name="20% - Акцент2 199 2" xfId="3748" xr:uid="{00000000-0005-0000-0000-0000B90C0000}"/>
    <cellStyle name="20% - Акцент2 2" xfId="3749" xr:uid="{00000000-0005-0000-0000-0000BA0C0000}"/>
    <cellStyle name="20% - Акцент2 2 2" xfId="3750" xr:uid="{00000000-0005-0000-0000-0000BB0C0000}"/>
    <cellStyle name="20% - Акцент2 2 2 2" xfId="3751" xr:uid="{00000000-0005-0000-0000-0000BC0C0000}"/>
    <cellStyle name="20% - Акцент2 2 3" xfId="3752" xr:uid="{00000000-0005-0000-0000-0000BD0C0000}"/>
    <cellStyle name="20% - Акцент2 2 4" xfId="3753" xr:uid="{00000000-0005-0000-0000-0000BE0C0000}"/>
    <cellStyle name="20% - Акцент2 2 5" xfId="3754" xr:uid="{00000000-0005-0000-0000-0000BF0C0000}"/>
    <cellStyle name="20% - Акцент2 2 6" xfId="3755" xr:uid="{00000000-0005-0000-0000-0000C00C0000}"/>
    <cellStyle name="20% - Акцент2 2 7" xfId="3756" xr:uid="{00000000-0005-0000-0000-0000C10C0000}"/>
    <cellStyle name="20% - Акцент2 20" xfId="3757" xr:uid="{00000000-0005-0000-0000-0000C20C0000}"/>
    <cellStyle name="20% - Акцент2 20 2" xfId="3758" xr:uid="{00000000-0005-0000-0000-0000C30C0000}"/>
    <cellStyle name="20% - Акцент2 200" xfId="3759" xr:uid="{00000000-0005-0000-0000-0000C40C0000}"/>
    <cellStyle name="20% - Акцент2 200 2" xfId="3760" xr:uid="{00000000-0005-0000-0000-0000C50C0000}"/>
    <cellStyle name="20% - Акцент2 201" xfId="3761" xr:uid="{00000000-0005-0000-0000-0000C60C0000}"/>
    <cellStyle name="20% - Акцент2 201 2" xfId="3762" xr:uid="{00000000-0005-0000-0000-0000C70C0000}"/>
    <cellStyle name="20% - Акцент2 202" xfId="3763" xr:uid="{00000000-0005-0000-0000-0000C80C0000}"/>
    <cellStyle name="20% - Акцент2 202 2" xfId="3764" xr:uid="{00000000-0005-0000-0000-0000C90C0000}"/>
    <cellStyle name="20% - Акцент2 203" xfId="3765" xr:uid="{00000000-0005-0000-0000-0000CA0C0000}"/>
    <cellStyle name="20% - Акцент2 203 2" xfId="3766" xr:uid="{00000000-0005-0000-0000-0000CB0C0000}"/>
    <cellStyle name="20% - Акцент2 204" xfId="3767" xr:uid="{00000000-0005-0000-0000-0000CC0C0000}"/>
    <cellStyle name="20% - Акцент2 204 2" xfId="3768" xr:uid="{00000000-0005-0000-0000-0000CD0C0000}"/>
    <cellStyle name="20% - Акцент2 205" xfId="3769" xr:uid="{00000000-0005-0000-0000-0000CE0C0000}"/>
    <cellStyle name="20% - Акцент2 205 2" xfId="3770" xr:uid="{00000000-0005-0000-0000-0000CF0C0000}"/>
    <cellStyle name="20% - Акцент2 206" xfId="3771" xr:uid="{00000000-0005-0000-0000-0000D00C0000}"/>
    <cellStyle name="20% - Акцент2 206 2" xfId="3772" xr:uid="{00000000-0005-0000-0000-0000D10C0000}"/>
    <cellStyle name="20% - Акцент2 207" xfId="3773" xr:uid="{00000000-0005-0000-0000-0000D20C0000}"/>
    <cellStyle name="20% - Акцент2 207 2" xfId="3774" xr:uid="{00000000-0005-0000-0000-0000D30C0000}"/>
    <cellStyle name="20% - Акцент2 208" xfId="3775" xr:uid="{00000000-0005-0000-0000-0000D40C0000}"/>
    <cellStyle name="20% - Акцент2 208 2" xfId="3776" xr:uid="{00000000-0005-0000-0000-0000D50C0000}"/>
    <cellStyle name="20% - Акцент2 209" xfId="3777" xr:uid="{00000000-0005-0000-0000-0000D60C0000}"/>
    <cellStyle name="20% - Акцент2 209 2" xfId="3778" xr:uid="{00000000-0005-0000-0000-0000D70C0000}"/>
    <cellStyle name="20% - Акцент2 21" xfId="3779" xr:uid="{00000000-0005-0000-0000-0000D80C0000}"/>
    <cellStyle name="20% - Акцент2 21 2" xfId="3780" xr:uid="{00000000-0005-0000-0000-0000D90C0000}"/>
    <cellStyle name="20% - Акцент2 210" xfId="3781" xr:uid="{00000000-0005-0000-0000-0000DA0C0000}"/>
    <cellStyle name="20% - Акцент2 210 2" xfId="3782" xr:uid="{00000000-0005-0000-0000-0000DB0C0000}"/>
    <cellStyle name="20% - Акцент2 211" xfId="3783" xr:uid="{00000000-0005-0000-0000-0000DC0C0000}"/>
    <cellStyle name="20% - Акцент2 211 2" xfId="3784" xr:uid="{00000000-0005-0000-0000-0000DD0C0000}"/>
    <cellStyle name="20% - Акцент2 212" xfId="3785" xr:uid="{00000000-0005-0000-0000-0000DE0C0000}"/>
    <cellStyle name="20% - Акцент2 212 2" xfId="3786" xr:uid="{00000000-0005-0000-0000-0000DF0C0000}"/>
    <cellStyle name="20% - Акцент2 213" xfId="3787" xr:uid="{00000000-0005-0000-0000-0000E00C0000}"/>
    <cellStyle name="20% - Акцент2 213 2" xfId="3788" xr:uid="{00000000-0005-0000-0000-0000E10C0000}"/>
    <cellStyle name="20% - Акцент2 214" xfId="3789" xr:uid="{00000000-0005-0000-0000-0000E20C0000}"/>
    <cellStyle name="20% - Акцент2 214 2" xfId="3790" xr:uid="{00000000-0005-0000-0000-0000E30C0000}"/>
    <cellStyle name="20% - Акцент2 215" xfId="3791" xr:uid="{00000000-0005-0000-0000-0000E40C0000}"/>
    <cellStyle name="20% - Акцент2 215 2" xfId="3792" xr:uid="{00000000-0005-0000-0000-0000E50C0000}"/>
    <cellStyle name="20% - Акцент2 216" xfId="3793" xr:uid="{00000000-0005-0000-0000-0000E60C0000}"/>
    <cellStyle name="20% - Акцент2 216 2" xfId="3794" xr:uid="{00000000-0005-0000-0000-0000E70C0000}"/>
    <cellStyle name="20% - Акцент2 217" xfId="3795" xr:uid="{00000000-0005-0000-0000-0000E80C0000}"/>
    <cellStyle name="20% - Акцент2 217 2" xfId="3796" xr:uid="{00000000-0005-0000-0000-0000E90C0000}"/>
    <cellStyle name="20% - Акцент2 217 3" xfId="3797" xr:uid="{00000000-0005-0000-0000-0000EA0C0000}"/>
    <cellStyle name="20% - Акцент2 218" xfId="3798" xr:uid="{00000000-0005-0000-0000-0000EB0C0000}"/>
    <cellStyle name="20% - Акцент2 219" xfId="3799" xr:uid="{00000000-0005-0000-0000-0000EC0C0000}"/>
    <cellStyle name="20% - Акцент2 22" xfId="3800" xr:uid="{00000000-0005-0000-0000-0000ED0C0000}"/>
    <cellStyle name="20% - Акцент2 22 2" xfId="3801" xr:uid="{00000000-0005-0000-0000-0000EE0C0000}"/>
    <cellStyle name="20% - Акцент2 220" xfId="3802" xr:uid="{00000000-0005-0000-0000-0000EF0C0000}"/>
    <cellStyle name="20% - Акцент2 221" xfId="3803" xr:uid="{00000000-0005-0000-0000-0000F00C0000}"/>
    <cellStyle name="20% - Акцент2 222" xfId="3804" xr:uid="{00000000-0005-0000-0000-0000F10C0000}"/>
    <cellStyle name="20% - Акцент2 223" xfId="3805" xr:uid="{00000000-0005-0000-0000-0000F20C0000}"/>
    <cellStyle name="20% - Акцент2 224" xfId="3806" xr:uid="{00000000-0005-0000-0000-0000F30C0000}"/>
    <cellStyle name="20% - Акцент2 225" xfId="3807" xr:uid="{00000000-0005-0000-0000-0000F40C0000}"/>
    <cellStyle name="20% - Акцент2 226" xfId="3808" xr:uid="{00000000-0005-0000-0000-0000F50C0000}"/>
    <cellStyle name="20% - Акцент2 227" xfId="3809" xr:uid="{00000000-0005-0000-0000-0000F60C0000}"/>
    <cellStyle name="20% - Акцент2 228" xfId="3810" xr:uid="{00000000-0005-0000-0000-0000F70C0000}"/>
    <cellStyle name="20% - Акцент2 229" xfId="3811" xr:uid="{00000000-0005-0000-0000-0000F80C0000}"/>
    <cellStyle name="20% - Акцент2 23" xfId="3812" xr:uid="{00000000-0005-0000-0000-0000F90C0000}"/>
    <cellStyle name="20% - Акцент2 23 2" xfId="3813" xr:uid="{00000000-0005-0000-0000-0000FA0C0000}"/>
    <cellStyle name="20% - Акцент2 230" xfId="3814" xr:uid="{00000000-0005-0000-0000-0000FB0C0000}"/>
    <cellStyle name="20% - Акцент2 231" xfId="3815" xr:uid="{00000000-0005-0000-0000-0000FC0C0000}"/>
    <cellStyle name="20% - Акцент2 232" xfId="3816" xr:uid="{00000000-0005-0000-0000-0000FD0C0000}"/>
    <cellStyle name="20% - Акцент2 233" xfId="3817" xr:uid="{00000000-0005-0000-0000-0000FE0C0000}"/>
    <cellStyle name="20% - Акцент2 234" xfId="3818" xr:uid="{00000000-0005-0000-0000-0000FF0C0000}"/>
    <cellStyle name="20% - Акцент2 235" xfId="3819" xr:uid="{00000000-0005-0000-0000-0000000D0000}"/>
    <cellStyle name="20% - Акцент2 236" xfId="3820" xr:uid="{00000000-0005-0000-0000-0000010D0000}"/>
    <cellStyle name="20% - Акцент2 237" xfId="3821" xr:uid="{00000000-0005-0000-0000-0000020D0000}"/>
    <cellStyle name="20% - Акцент2 238" xfId="3822" xr:uid="{00000000-0005-0000-0000-0000030D0000}"/>
    <cellStyle name="20% - Акцент2 239" xfId="3823" xr:uid="{00000000-0005-0000-0000-0000040D0000}"/>
    <cellStyle name="20% - Акцент2 24" xfId="3824" xr:uid="{00000000-0005-0000-0000-0000050D0000}"/>
    <cellStyle name="20% - Акцент2 24 2" xfId="3825" xr:uid="{00000000-0005-0000-0000-0000060D0000}"/>
    <cellStyle name="20% - Акцент2 240" xfId="3826" xr:uid="{00000000-0005-0000-0000-0000070D0000}"/>
    <cellStyle name="20% - Акцент2 241" xfId="3827" xr:uid="{00000000-0005-0000-0000-0000080D0000}"/>
    <cellStyle name="20% - Акцент2 242" xfId="3828" xr:uid="{00000000-0005-0000-0000-0000090D0000}"/>
    <cellStyle name="20% - Акцент2 243" xfId="3829" xr:uid="{00000000-0005-0000-0000-00000A0D0000}"/>
    <cellStyle name="20% - Акцент2 244" xfId="3830" xr:uid="{00000000-0005-0000-0000-00000B0D0000}"/>
    <cellStyle name="20% - Акцент2 245" xfId="3831" xr:uid="{00000000-0005-0000-0000-00000C0D0000}"/>
    <cellStyle name="20% - Акцент2 246" xfId="3832" xr:uid="{00000000-0005-0000-0000-00000D0D0000}"/>
    <cellStyle name="20% - Акцент2 247" xfId="3833" xr:uid="{00000000-0005-0000-0000-00000E0D0000}"/>
    <cellStyle name="20% - Акцент2 248" xfId="3834" xr:uid="{00000000-0005-0000-0000-00000F0D0000}"/>
    <cellStyle name="20% - Акцент2 249" xfId="3835" xr:uid="{00000000-0005-0000-0000-0000100D0000}"/>
    <cellStyle name="20% - Акцент2 25" xfId="3836" xr:uid="{00000000-0005-0000-0000-0000110D0000}"/>
    <cellStyle name="20% - Акцент2 25 2" xfId="3837" xr:uid="{00000000-0005-0000-0000-0000120D0000}"/>
    <cellStyle name="20% - Акцент2 250" xfId="3838" xr:uid="{00000000-0005-0000-0000-0000130D0000}"/>
    <cellStyle name="20% - Акцент2 251" xfId="3839" xr:uid="{00000000-0005-0000-0000-0000140D0000}"/>
    <cellStyle name="20% - Акцент2 252" xfId="3840" xr:uid="{00000000-0005-0000-0000-0000150D0000}"/>
    <cellStyle name="20% - Акцент2 253" xfId="3841" xr:uid="{00000000-0005-0000-0000-0000160D0000}"/>
    <cellStyle name="20% - Акцент2 254" xfId="3842" xr:uid="{00000000-0005-0000-0000-0000170D0000}"/>
    <cellStyle name="20% - Акцент2 255" xfId="3843" xr:uid="{00000000-0005-0000-0000-0000180D0000}"/>
    <cellStyle name="20% - Акцент2 26" xfId="3844" xr:uid="{00000000-0005-0000-0000-0000190D0000}"/>
    <cellStyle name="20% - Акцент2 26 2" xfId="3845" xr:uid="{00000000-0005-0000-0000-00001A0D0000}"/>
    <cellStyle name="20% - Акцент2 27" xfId="3846" xr:uid="{00000000-0005-0000-0000-00001B0D0000}"/>
    <cellStyle name="20% - Акцент2 27 2" xfId="3847" xr:uid="{00000000-0005-0000-0000-00001C0D0000}"/>
    <cellStyle name="20% - Акцент2 28" xfId="3848" xr:uid="{00000000-0005-0000-0000-00001D0D0000}"/>
    <cellStyle name="20% - Акцент2 28 2" xfId="3849" xr:uid="{00000000-0005-0000-0000-00001E0D0000}"/>
    <cellStyle name="20% - Акцент2 29" xfId="3850" xr:uid="{00000000-0005-0000-0000-00001F0D0000}"/>
    <cellStyle name="20% - Акцент2 29 2" xfId="3851" xr:uid="{00000000-0005-0000-0000-0000200D0000}"/>
    <cellStyle name="20% - Акцент2 3" xfId="3852" xr:uid="{00000000-0005-0000-0000-0000210D0000}"/>
    <cellStyle name="20% - Акцент2 30" xfId="3853" xr:uid="{00000000-0005-0000-0000-0000220D0000}"/>
    <cellStyle name="20% - Акцент2 30 2" xfId="3854" xr:uid="{00000000-0005-0000-0000-0000230D0000}"/>
    <cellStyle name="20% - Акцент2 31" xfId="3855" xr:uid="{00000000-0005-0000-0000-0000240D0000}"/>
    <cellStyle name="20% - Акцент2 31 2" xfId="3856" xr:uid="{00000000-0005-0000-0000-0000250D0000}"/>
    <cellStyle name="20% - Акцент2 32" xfId="3857" xr:uid="{00000000-0005-0000-0000-0000260D0000}"/>
    <cellStyle name="20% - Акцент2 32 2" xfId="3858" xr:uid="{00000000-0005-0000-0000-0000270D0000}"/>
    <cellStyle name="20% - Акцент2 33" xfId="3859" xr:uid="{00000000-0005-0000-0000-0000280D0000}"/>
    <cellStyle name="20% - Акцент2 33 2" xfId="3860" xr:uid="{00000000-0005-0000-0000-0000290D0000}"/>
    <cellStyle name="20% - Акцент2 34" xfId="3861" xr:uid="{00000000-0005-0000-0000-00002A0D0000}"/>
    <cellStyle name="20% - Акцент2 34 2" xfId="3862" xr:uid="{00000000-0005-0000-0000-00002B0D0000}"/>
    <cellStyle name="20% - Акцент2 35" xfId="3863" xr:uid="{00000000-0005-0000-0000-00002C0D0000}"/>
    <cellStyle name="20% - Акцент2 35 2" xfId="3864" xr:uid="{00000000-0005-0000-0000-00002D0D0000}"/>
    <cellStyle name="20% - Акцент2 36" xfId="3865" xr:uid="{00000000-0005-0000-0000-00002E0D0000}"/>
    <cellStyle name="20% - Акцент2 36 2" xfId="3866" xr:uid="{00000000-0005-0000-0000-00002F0D0000}"/>
    <cellStyle name="20% - Акцент2 37" xfId="3867" xr:uid="{00000000-0005-0000-0000-0000300D0000}"/>
    <cellStyle name="20% - Акцент2 37 2" xfId="3868" xr:uid="{00000000-0005-0000-0000-0000310D0000}"/>
    <cellStyle name="20% - Акцент2 38" xfId="3869" xr:uid="{00000000-0005-0000-0000-0000320D0000}"/>
    <cellStyle name="20% - Акцент2 38 2" xfId="3870" xr:uid="{00000000-0005-0000-0000-0000330D0000}"/>
    <cellStyle name="20% - Акцент2 39" xfId="3871" xr:uid="{00000000-0005-0000-0000-0000340D0000}"/>
    <cellStyle name="20% - Акцент2 39 2" xfId="3872" xr:uid="{00000000-0005-0000-0000-0000350D0000}"/>
    <cellStyle name="20% - Акцент2 4" xfId="3873" xr:uid="{00000000-0005-0000-0000-0000360D0000}"/>
    <cellStyle name="20% - Акцент2 40" xfId="3874" xr:uid="{00000000-0005-0000-0000-0000370D0000}"/>
    <cellStyle name="20% - Акцент2 40 2" xfId="3875" xr:uid="{00000000-0005-0000-0000-0000380D0000}"/>
    <cellStyle name="20% - Акцент2 41" xfId="3876" xr:uid="{00000000-0005-0000-0000-0000390D0000}"/>
    <cellStyle name="20% - Акцент2 41 2" xfId="3877" xr:uid="{00000000-0005-0000-0000-00003A0D0000}"/>
    <cellStyle name="20% - Акцент2 42" xfId="3878" xr:uid="{00000000-0005-0000-0000-00003B0D0000}"/>
    <cellStyle name="20% - Акцент2 42 2" xfId="3879" xr:uid="{00000000-0005-0000-0000-00003C0D0000}"/>
    <cellStyle name="20% - Акцент2 43" xfId="3880" xr:uid="{00000000-0005-0000-0000-00003D0D0000}"/>
    <cellStyle name="20% - Акцент2 43 2" xfId="3881" xr:uid="{00000000-0005-0000-0000-00003E0D0000}"/>
    <cellStyle name="20% - Акцент2 44" xfId="3882" xr:uid="{00000000-0005-0000-0000-00003F0D0000}"/>
    <cellStyle name="20% - Акцент2 44 2" xfId="3883" xr:uid="{00000000-0005-0000-0000-0000400D0000}"/>
    <cellStyle name="20% - Акцент2 45" xfId="3884" xr:uid="{00000000-0005-0000-0000-0000410D0000}"/>
    <cellStyle name="20% - Акцент2 45 2" xfId="3885" xr:uid="{00000000-0005-0000-0000-0000420D0000}"/>
    <cellStyle name="20% - Акцент2 46" xfId="3886" xr:uid="{00000000-0005-0000-0000-0000430D0000}"/>
    <cellStyle name="20% - Акцент2 46 2" xfId="3887" xr:uid="{00000000-0005-0000-0000-0000440D0000}"/>
    <cellStyle name="20% - Акцент2 47" xfId="3888" xr:uid="{00000000-0005-0000-0000-0000450D0000}"/>
    <cellStyle name="20% - Акцент2 47 2" xfId="3889" xr:uid="{00000000-0005-0000-0000-0000460D0000}"/>
    <cellStyle name="20% - Акцент2 48" xfId="3890" xr:uid="{00000000-0005-0000-0000-0000470D0000}"/>
    <cellStyle name="20% - Акцент2 48 2" xfId="3891" xr:uid="{00000000-0005-0000-0000-0000480D0000}"/>
    <cellStyle name="20% - Акцент2 49" xfId="3892" xr:uid="{00000000-0005-0000-0000-0000490D0000}"/>
    <cellStyle name="20% - Акцент2 49 2" xfId="3893" xr:uid="{00000000-0005-0000-0000-00004A0D0000}"/>
    <cellStyle name="20% - Акцент2 5" xfId="3894" xr:uid="{00000000-0005-0000-0000-00004B0D0000}"/>
    <cellStyle name="20% - Акцент2 50" xfId="3895" xr:uid="{00000000-0005-0000-0000-00004C0D0000}"/>
    <cellStyle name="20% - Акцент2 50 2" xfId="3896" xr:uid="{00000000-0005-0000-0000-00004D0D0000}"/>
    <cellStyle name="20% - Акцент2 51" xfId="3897" xr:uid="{00000000-0005-0000-0000-00004E0D0000}"/>
    <cellStyle name="20% - Акцент2 51 2" xfId="3898" xr:uid="{00000000-0005-0000-0000-00004F0D0000}"/>
    <cellStyle name="20% - Акцент2 52" xfId="3899" xr:uid="{00000000-0005-0000-0000-0000500D0000}"/>
    <cellStyle name="20% - Акцент2 52 2" xfId="3900" xr:uid="{00000000-0005-0000-0000-0000510D0000}"/>
    <cellStyle name="20% - Акцент2 53" xfId="3901" xr:uid="{00000000-0005-0000-0000-0000520D0000}"/>
    <cellStyle name="20% - Акцент2 53 2" xfId="3902" xr:uid="{00000000-0005-0000-0000-0000530D0000}"/>
    <cellStyle name="20% - Акцент2 54" xfId="3903" xr:uid="{00000000-0005-0000-0000-0000540D0000}"/>
    <cellStyle name="20% - Акцент2 54 2" xfId="3904" xr:uid="{00000000-0005-0000-0000-0000550D0000}"/>
    <cellStyle name="20% - Акцент2 55" xfId="3905" xr:uid="{00000000-0005-0000-0000-0000560D0000}"/>
    <cellStyle name="20% - Акцент2 55 2" xfId="3906" xr:uid="{00000000-0005-0000-0000-0000570D0000}"/>
    <cellStyle name="20% - Акцент2 56" xfId="3907" xr:uid="{00000000-0005-0000-0000-0000580D0000}"/>
    <cellStyle name="20% - Акцент2 56 2" xfId="3908" xr:uid="{00000000-0005-0000-0000-0000590D0000}"/>
    <cellStyle name="20% - Акцент2 57" xfId="3909" xr:uid="{00000000-0005-0000-0000-00005A0D0000}"/>
    <cellStyle name="20% - Акцент2 57 2" xfId="3910" xr:uid="{00000000-0005-0000-0000-00005B0D0000}"/>
    <cellStyle name="20% - Акцент2 58" xfId="3911" xr:uid="{00000000-0005-0000-0000-00005C0D0000}"/>
    <cellStyle name="20% - Акцент2 58 2" xfId="3912" xr:uid="{00000000-0005-0000-0000-00005D0D0000}"/>
    <cellStyle name="20% - Акцент2 59" xfId="3913" xr:uid="{00000000-0005-0000-0000-00005E0D0000}"/>
    <cellStyle name="20% - Акцент2 59 2" xfId="3914" xr:uid="{00000000-0005-0000-0000-00005F0D0000}"/>
    <cellStyle name="20% - Акцент2 6" xfId="3915" xr:uid="{00000000-0005-0000-0000-0000600D0000}"/>
    <cellStyle name="20% - Акцент2 60" xfId="3916" xr:uid="{00000000-0005-0000-0000-0000610D0000}"/>
    <cellStyle name="20% - Акцент2 60 2" xfId="3917" xr:uid="{00000000-0005-0000-0000-0000620D0000}"/>
    <cellStyle name="20% - Акцент2 61" xfId="3918" xr:uid="{00000000-0005-0000-0000-0000630D0000}"/>
    <cellStyle name="20% - Акцент2 61 2" xfId="3919" xr:uid="{00000000-0005-0000-0000-0000640D0000}"/>
    <cellStyle name="20% - Акцент2 62" xfId="3920" xr:uid="{00000000-0005-0000-0000-0000650D0000}"/>
    <cellStyle name="20% - Акцент2 62 2" xfId="3921" xr:uid="{00000000-0005-0000-0000-0000660D0000}"/>
    <cellStyle name="20% - Акцент2 63" xfId="3922" xr:uid="{00000000-0005-0000-0000-0000670D0000}"/>
    <cellStyle name="20% - Акцент2 63 2" xfId="3923" xr:uid="{00000000-0005-0000-0000-0000680D0000}"/>
    <cellStyle name="20% - Акцент2 64" xfId="3924" xr:uid="{00000000-0005-0000-0000-0000690D0000}"/>
    <cellStyle name="20% - Акцент2 64 2" xfId="3925" xr:uid="{00000000-0005-0000-0000-00006A0D0000}"/>
    <cellStyle name="20% - Акцент2 65" xfId="3926" xr:uid="{00000000-0005-0000-0000-00006B0D0000}"/>
    <cellStyle name="20% - Акцент2 65 2" xfId="3927" xr:uid="{00000000-0005-0000-0000-00006C0D0000}"/>
    <cellStyle name="20% - Акцент2 66" xfId="3928" xr:uid="{00000000-0005-0000-0000-00006D0D0000}"/>
    <cellStyle name="20% - Акцент2 66 2" xfId="3929" xr:uid="{00000000-0005-0000-0000-00006E0D0000}"/>
    <cellStyle name="20% - Акцент2 67" xfId="3930" xr:uid="{00000000-0005-0000-0000-00006F0D0000}"/>
    <cellStyle name="20% - Акцент2 67 2" xfId="3931" xr:uid="{00000000-0005-0000-0000-0000700D0000}"/>
    <cellStyle name="20% - Акцент2 68" xfId="3932" xr:uid="{00000000-0005-0000-0000-0000710D0000}"/>
    <cellStyle name="20% - Акцент2 68 2" xfId="3933" xr:uid="{00000000-0005-0000-0000-0000720D0000}"/>
    <cellStyle name="20% - Акцент2 69" xfId="3934" xr:uid="{00000000-0005-0000-0000-0000730D0000}"/>
    <cellStyle name="20% - Акцент2 69 2" xfId="3935" xr:uid="{00000000-0005-0000-0000-0000740D0000}"/>
    <cellStyle name="20% - Акцент2 7" xfId="3936" xr:uid="{00000000-0005-0000-0000-0000750D0000}"/>
    <cellStyle name="20% - Акцент2 70" xfId="3937" xr:uid="{00000000-0005-0000-0000-0000760D0000}"/>
    <cellStyle name="20% - Акцент2 70 2" xfId="3938" xr:uid="{00000000-0005-0000-0000-0000770D0000}"/>
    <cellStyle name="20% - Акцент2 71" xfId="3939" xr:uid="{00000000-0005-0000-0000-0000780D0000}"/>
    <cellStyle name="20% - Акцент2 71 2" xfId="3940" xr:uid="{00000000-0005-0000-0000-0000790D0000}"/>
    <cellStyle name="20% - Акцент2 72" xfId="3941" xr:uid="{00000000-0005-0000-0000-00007A0D0000}"/>
    <cellStyle name="20% - Акцент2 72 2" xfId="3942" xr:uid="{00000000-0005-0000-0000-00007B0D0000}"/>
    <cellStyle name="20% - Акцент2 73" xfId="3943" xr:uid="{00000000-0005-0000-0000-00007C0D0000}"/>
    <cellStyle name="20% - Акцент2 73 2" xfId="3944" xr:uid="{00000000-0005-0000-0000-00007D0D0000}"/>
    <cellStyle name="20% - Акцент2 74" xfId="3945" xr:uid="{00000000-0005-0000-0000-00007E0D0000}"/>
    <cellStyle name="20% - Акцент2 74 2" xfId="3946" xr:uid="{00000000-0005-0000-0000-00007F0D0000}"/>
    <cellStyle name="20% - Акцент2 75" xfId="3947" xr:uid="{00000000-0005-0000-0000-0000800D0000}"/>
    <cellStyle name="20% - Акцент2 75 2" xfId="3948" xr:uid="{00000000-0005-0000-0000-0000810D0000}"/>
    <cellStyle name="20% - Акцент2 76" xfId="3949" xr:uid="{00000000-0005-0000-0000-0000820D0000}"/>
    <cellStyle name="20% - Акцент2 76 2" xfId="3950" xr:uid="{00000000-0005-0000-0000-0000830D0000}"/>
    <cellStyle name="20% - Акцент2 77" xfId="3951" xr:uid="{00000000-0005-0000-0000-0000840D0000}"/>
    <cellStyle name="20% - Акцент2 77 2" xfId="3952" xr:uid="{00000000-0005-0000-0000-0000850D0000}"/>
    <cellStyle name="20% - Акцент2 78" xfId="3953" xr:uid="{00000000-0005-0000-0000-0000860D0000}"/>
    <cellStyle name="20% - Акцент2 78 2" xfId="3954" xr:uid="{00000000-0005-0000-0000-0000870D0000}"/>
    <cellStyle name="20% - Акцент2 79" xfId="3955" xr:uid="{00000000-0005-0000-0000-0000880D0000}"/>
    <cellStyle name="20% - Акцент2 79 2" xfId="3956" xr:uid="{00000000-0005-0000-0000-0000890D0000}"/>
    <cellStyle name="20% - Акцент2 8" xfId="3957" xr:uid="{00000000-0005-0000-0000-00008A0D0000}"/>
    <cellStyle name="20% - Акцент2 80" xfId="3958" xr:uid="{00000000-0005-0000-0000-00008B0D0000}"/>
    <cellStyle name="20% - Акцент2 80 2" xfId="3959" xr:uid="{00000000-0005-0000-0000-00008C0D0000}"/>
    <cellStyle name="20% - Акцент2 81" xfId="3960" xr:uid="{00000000-0005-0000-0000-00008D0D0000}"/>
    <cellStyle name="20% - Акцент2 81 2" xfId="3961" xr:uid="{00000000-0005-0000-0000-00008E0D0000}"/>
    <cellStyle name="20% - Акцент2 82" xfId="3962" xr:uid="{00000000-0005-0000-0000-00008F0D0000}"/>
    <cellStyle name="20% - Акцент2 82 2" xfId="3963" xr:uid="{00000000-0005-0000-0000-0000900D0000}"/>
    <cellStyle name="20% - Акцент2 83" xfId="3964" xr:uid="{00000000-0005-0000-0000-0000910D0000}"/>
    <cellStyle name="20% - Акцент2 83 2" xfId="3965" xr:uid="{00000000-0005-0000-0000-0000920D0000}"/>
    <cellStyle name="20% - Акцент2 84" xfId="3966" xr:uid="{00000000-0005-0000-0000-0000930D0000}"/>
    <cellStyle name="20% - Акцент2 84 2" xfId="3967" xr:uid="{00000000-0005-0000-0000-0000940D0000}"/>
    <cellStyle name="20% - Акцент2 85" xfId="3968" xr:uid="{00000000-0005-0000-0000-0000950D0000}"/>
    <cellStyle name="20% - Акцент2 85 2" xfId="3969" xr:uid="{00000000-0005-0000-0000-0000960D0000}"/>
    <cellStyle name="20% - Акцент2 86" xfId="3970" xr:uid="{00000000-0005-0000-0000-0000970D0000}"/>
    <cellStyle name="20% - Акцент2 86 2" xfId="3971" xr:uid="{00000000-0005-0000-0000-0000980D0000}"/>
    <cellStyle name="20% - Акцент2 87" xfId="3972" xr:uid="{00000000-0005-0000-0000-0000990D0000}"/>
    <cellStyle name="20% - Акцент2 87 2" xfId="3973" xr:uid="{00000000-0005-0000-0000-00009A0D0000}"/>
    <cellStyle name="20% - Акцент2 88" xfId="3974" xr:uid="{00000000-0005-0000-0000-00009B0D0000}"/>
    <cellStyle name="20% - Акцент2 88 2" xfId="3975" xr:uid="{00000000-0005-0000-0000-00009C0D0000}"/>
    <cellStyle name="20% - Акцент2 89" xfId="3976" xr:uid="{00000000-0005-0000-0000-00009D0D0000}"/>
    <cellStyle name="20% - Акцент2 89 2" xfId="3977" xr:uid="{00000000-0005-0000-0000-00009E0D0000}"/>
    <cellStyle name="20% - Акцент2 9" xfId="3978" xr:uid="{00000000-0005-0000-0000-00009F0D0000}"/>
    <cellStyle name="20% - Акцент2 90" xfId="3979" xr:uid="{00000000-0005-0000-0000-0000A00D0000}"/>
    <cellStyle name="20% - Акцент2 90 2" xfId="3980" xr:uid="{00000000-0005-0000-0000-0000A10D0000}"/>
    <cellStyle name="20% - Акцент2 91" xfId="3981" xr:uid="{00000000-0005-0000-0000-0000A20D0000}"/>
    <cellStyle name="20% - Акцент2 91 2" xfId="3982" xr:uid="{00000000-0005-0000-0000-0000A30D0000}"/>
    <cellStyle name="20% - Акцент2 92" xfId="3983" xr:uid="{00000000-0005-0000-0000-0000A40D0000}"/>
    <cellStyle name="20% - Акцент2 92 2" xfId="3984" xr:uid="{00000000-0005-0000-0000-0000A50D0000}"/>
    <cellStyle name="20% - Акцент2 93" xfId="3985" xr:uid="{00000000-0005-0000-0000-0000A60D0000}"/>
    <cellStyle name="20% - Акцент2 93 2" xfId="3986" xr:uid="{00000000-0005-0000-0000-0000A70D0000}"/>
    <cellStyle name="20% - Акцент2 94" xfId="3987" xr:uid="{00000000-0005-0000-0000-0000A80D0000}"/>
    <cellStyle name="20% - Акцент2 94 2" xfId="3988" xr:uid="{00000000-0005-0000-0000-0000A90D0000}"/>
    <cellStyle name="20% - Акцент2 95" xfId="3989" xr:uid="{00000000-0005-0000-0000-0000AA0D0000}"/>
    <cellStyle name="20% - Акцент2 95 2" xfId="3990" xr:uid="{00000000-0005-0000-0000-0000AB0D0000}"/>
    <cellStyle name="20% - Акцент2 96" xfId="3991" xr:uid="{00000000-0005-0000-0000-0000AC0D0000}"/>
    <cellStyle name="20% - Акцент2 96 2" xfId="3992" xr:uid="{00000000-0005-0000-0000-0000AD0D0000}"/>
    <cellStyle name="20% - Акцент2 97" xfId="3993" xr:uid="{00000000-0005-0000-0000-0000AE0D0000}"/>
    <cellStyle name="20% - Акцент2 97 2" xfId="3994" xr:uid="{00000000-0005-0000-0000-0000AF0D0000}"/>
    <cellStyle name="20% - Акцент2 98" xfId="3995" xr:uid="{00000000-0005-0000-0000-0000B00D0000}"/>
    <cellStyle name="20% - Акцент2 98 2" xfId="3996" xr:uid="{00000000-0005-0000-0000-0000B10D0000}"/>
    <cellStyle name="20% - Акцент2 99" xfId="3997" xr:uid="{00000000-0005-0000-0000-0000B20D0000}"/>
    <cellStyle name="20% - Акцент2 99 2" xfId="3998" xr:uid="{00000000-0005-0000-0000-0000B30D0000}"/>
    <cellStyle name="20% - Акцент3 10" xfId="3999" xr:uid="{00000000-0005-0000-0000-0000B40D0000}"/>
    <cellStyle name="20% - Акцент3 100" xfId="4000" xr:uid="{00000000-0005-0000-0000-0000B50D0000}"/>
    <cellStyle name="20% - Акцент3 100 2" xfId="4001" xr:uid="{00000000-0005-0000-0000-0000B60D0000}"/>
    <cellStyle name="20% - Акцент3 101" xfId="4002" xr:uid="{00000000-0005-0000-0000-0000B70D0000}"/>
    <cellStyle name="20% - Акцент3 101 2" xfId="4003" xr:uid="{00000000-0005-0000-0000-0000B80D0000}"/>
    <cellStyle name="20% - Акцент3 102" xfId="4004" xr:uid="{00000000-0005-0000-0000-0000B90D0000}"/>
    <cellStyle name="20% - Акцент3 102 2" xfId="4005" xr:uid="{00000000-0005-0000-0000-0000BA0D0000}"/>
    <cellStyle name="20% - Акцент3 103" xfId="4006" xr:uid="{00000000-0005-0000-0000-0000BB0D0000}"/>
    <cellStyle name="20% - Акцент3 103 2" xfId="4007" xr:uid="{00000000-0005-0000-0000-0000BC0D0000}"/>
    <cellStyle name="20% - Акцент3 104" xfId="4008" xr:uid="{00000000-0005-0000-0000-0000BD0D0000}"/>
    <cellStyle name="20% - Акцент3 104 2" xfId="4009" xr:uid="{00000000-0005-0000-0000-0000BE0D0000}"/>
    <cellStyle name="20% - Акцент3 105" xfId="4010" xr:uid="{00000000-0005-0000-0000-0000BF0D0000}"/>
    <cellStyle name="20% - Акцент3 105 2" xfId="4011" xr:uid="{00000000-0005-0000-0000-0000C00D0000}"/>
    <cellStyle name="20% - Акцент3 106" xfId="4012" xr:uid="{00000000-0005-0000-0000-0000C10D0000}"/>
    <cellStyle name="20% - Акцент3 106 2" xfId="4013" xr:uid="{00000000-0005-0000-0000-0000C20D0000}"/>
    <cellStyle name="20% - Акцент3 107" xfId="4014" xr:uid="{00000000-0005-0000-0000-0000C30D0000}"/>
    <cellStyle name="20% - Акцент3 107 2" xfId="4015" xr:uid="{00000000-0005-0000-0000-0000C40D0000}"/>
    <cellStyle name="20% - Акцент3 108" xfId="4016" xr:uid="{00000000-0005-0000-0000-0000C50D0000}"/>
    <cellStyle name="20% - Акцент3 108 2" xfId="4017" xr:uid="{00000000-0005-0000-0000-0000C60D0000}"/>
    <cellStyle name="20% - Акцент3 109" xfId="4018" xr:uid="{00000000-0005-0000-0000-0000C70D0000}"/>
    <cellStyle name="20% - Акцент3 109 2" xfId="4019" xr:uid="{00000000-0005-0000-0000-0000C80D0000}"/>
    <cellStyle name="20% - Акцент3 11" xfId="4020" xr:uid="{00000000-0005-0000-0000-0000C90D0000}"/>
    <cellStyle name="20% - Акцент3 110" xfId="4021" xr:uid="{00000000-0005-0000-0000-0000CA0D0000}"/>
    <cellStyle name="20% - Акцент3 110 2" xfId="4022" xr:uid="{00000000-0005-0000-0000-0000CB0D0000}"/>
    <cellStyle name="20% - Акцент3 111" xfId="4023" xr:uid="{00000000-0005-0000-0000-0000CC0D0000}"/>
    <cellStyle name="20% - Акцент3 111 2" xfId="4024" xr:uid="{00000000-0005-0000-0000-0000CD0D0000}"/>
    <cellStyle name="20% - Акцент3 112" xfId="4025" xr:uid="{00000000-0005-0000-0000-0000CE0D0000}"/>
    <cellStyle name="20% - Акцент3 112 2" xfId="4026" xr:uid="{00000000-0005-0000-0000-0000CF0D0000}"/>
    <cellStyle name="20% - Акцент3 113" xfId="4027" xr:uid="{00000000-0005-0000-0000-0000D00D0000}"/>
    <cellStyle name="20% - Акцент3 113 2" xfId="4028" xr:uid="{00000000-0005-0000-0000-0000D10D0000}"/>
    <cellStyle name="20% - Акцент3 114" xfId="4029" xr:uid="{00000000-0005-0000-0000-0000D20D0000}"/>
    <cellStyle name="20% - Акцент3 114 2" xfId="4030" xr:uid="{00000000-0005-0000-0000-0000D30D0000}"/>
    <cellStyle name="20% - Акцент3 115" xfId="4031" xr:uid="{00000000-0005-0000-0000-0000D40D0000}"/>
    <cellStyle name="20% - Акцент3 115 2" xfId="4032" xr:uid="{00000000-0005-0000-0000-0000D50D0000}"/>
    <cellStyle name="20% - Акцент3 116" xfId="4033" xr:uid="{00000000-0005-0000-0000-0000D60D0000}"/>
    <cellStyle name="20% - Акцент3 116 2" xfId="4034" xr:uid="{00000000-0005-0000-0000-0000D70D0000}"/>
    <cellStyle name="20% - Акцент3 117" xfId="4035" xr:uid="{00000000-0005-0000-0000-0000D80D0000}"/>
    <cellStyle name="20% - Акцент3 117 2" xfId="4036" xr:uid="{00000000-0005-0000-0000-0000D90D0000}"/>
    <cellStyle name="20% - Акцент3 118" xfId="4037" xr:uid="{00000000-0005-0000-0000-0000DA0D0000}"/>
    <cellStyle name="20% - Акцент3 118 2" xfId="4038" xr:uid="{00000000-0005-0000-0000-0000DB0D0000}"/>
    <cellStyle name="20% - Акцент3 119" xfId="4039" xr:uid="{00000000-0005-0000-0000-0000DC0D0000}"/>
    <cellStyle name="20% - Акцент3 119 2" xfId="4040" xr:uid="{00000000-0005-0000-0000-0000DD0D0000}"/>
    <cellStyle name="20% - Акцент3 12" xfId="4041" xr:uid="{00000000-0005-0000-0000-0000DE0D0000}"/>
    <cellStyle name="20% - Акцент3 120" xfId="4042" xr:uid="{00000000-0005-0000-0000-0000DF0D0000}"/>
    <cellStyle name="20% - Акцент3 120 2" xfId="4043" xr:uid="{00000000-0005-0000-0000-0000E00D0000}"/>
    <cellStyle name="20% - Акцент3 121" xfId="4044" xr:uid="{00000000-0005-0000-0000-0000E10D0000}"/>
    <cellStyle name="20% - Акцент3 121 2" xfId="4045" xr:uid="{00000000-0005-0000-0000-0000E20D0000}"/>
    <cellStyle name="20% - Акцент3 122" xfId="4046" xr:uid="{00000000-0005-0000-0000-0000E30D0000}"/>
    <cellStyle name="20% - Акцент3 122 2" xfId="4047" xr:uid="{00000000-0005-0000-0000-0000E40D0000}"/>
    <cellStyle name="20% - Акцент3 123" xfId="4048" xr:uid="{00000000-0005-0000-0000-0000E50D0000}"/>
    <cellStyle name="20% - Акцент3 123 2" xfId="4049" xr:uid="{00000000-0005-0000-0000-0000E60D0000}"/>
    <cellStyle name="20% - Акцент3 124" xfId="4050" xr:uid="{00000000-0005-0000-0000-0000E70D0000}"/>
    <cellStyle name="20% - Акцент3 124 2" xfId="4051" xr:uid="{00000000-0005-0000-0000-0000E80D0000}"/>
    <cellStyle name="20% - Акцент3 125" xfId="4052" xr:uid="{00000000-0005-0000-0000-0000E90D0000}"/>
    <cellStyle name="20% - Акцент3 125 2" xfId="4053" xr:uid="{00000000-0005-0000-0000-0000EA0D0000}"/>
    <cellStyle name="20% - Акцент3 126" xfId="4054" xr:uid="{00000000-0005-0000-0000-0000EB0D0000}"/>
    <cellStyle name="20% - Акцент3 126 2" xfId="4055" xr:uid="{00000000-0005-0000-0000-0000EC0D0000}"/>
    <cellStyle name="20% - Акцент3 127" xfId="4056" xr:uid="{00000000-0005-0000-0000-0000ED0D0000}"/>
    <cellStyle name="20% - Акцент3 127 2" xfId="4057" xr:uid="{00000000-0005-0000-0000-0000EE0D0000}"/>
    <cellStyle name="20% - Акцент3 128" xfId="4058" xr:uid="{00000000-0005-0000-0000-0000EF0D0000}"/>
    <cellStyle name="20% - Акцент3 128 2" xfId="4059" xr:uid="{00000000-0005-0000-0000-0000F00D0000}"/>
    <cellStyle name="20% - Акцент3 129" xfId="4060" xr:uid="{00000000-0005-0000-0000-0000F10D0000}"/>
    <cellStyle name="20% - Акцент3 129 2" xfId="4061" xr:uid="{00000000-0005-0000-0000-0000F20D0000}"/>
    <cellStyle name="20% - Акцент3 13" xfId="4062" xr:uid="{00000000-0005-0000-0000-0000F30D0000}"/>
    <cellStyle name="20% - Акцент3 130" xfId="4063" xr:uid="{00000000-0005-0000-0000-0000F40D0000}"/>
    <cellStyle name="20% - Акцент3 130 2" xfId="4064" xr:uid="{00000000-0005-0000-0000-0000F50D0000}"/>
    <cellStyle name="20% - Акцент3 131" xfId="4065" xr:uid="{00000000-0005-0000-0000-0000F60D0000}"/>
    <cellStyle name="20% - Акцент3 131 2" xfId="4066" xr:uid="{00000000-0005-0000-0000-0000F70D0000}"/>
    <cellStyle name="20% - Акцент3 132" xfId="4067" xr:uid="{00000000-0005-0000-0000-0000F80D0000}"/>
    <cellStyle name="20% - Акцент3 132 2" xfId="4068" xr:uid="{00000000-0005-0000-0000-0000F90D0000}"/>
    <cellStyle name="20% - Акцент3 133" xfId="4069" xr:uid="{00000000-0005-0000-0000-0000FA0D0000}"/>
    <cellStyle name="20% - Акцент3 133 2" xfId="4070" xr:uid="{00000000-0005-0000-0000-0000FB0D0000}"/>
    <cellStyle name="20% - Акцент3 134" xfId="4071" xr:uid="{00000000-0005-0000-0000-0000FC0D0000}"/>
    <cellStyle name="20% - Акцент3 134 2" xfId="4072" xr:uid="{00000000-0005-0000-0000-0000FD0D0000}"/>
    <cellStyle name="20% - Акцент3 135" xfId="4073" xr:uid="{00000000-0005-0000-0000-0000FE0D0000}"/>
    <cellStyle name="20% - Акцент3 135 2" xfId="4074" xr:uid="{00000000-0005-0000-0000-0000FF0D0000}"/>
    <cellStyle name="20% - Акцент3 136" xfId="4075" xr:uid="{00000000-0005-0000-0000-0000000E0000}"/>
    <cellStyle name="20% - Акцент3 136 2" xfId="4076" xr:uid="{00000000-0005-0000-0000-0000010E0000}"/>
    <cellStyle name="20% - Акцент3 137" xfId="4077" xr:uid="{00000000-0005-0000-0000-0000020E0000}"/>
    <cellStyle name="20% - Акцент3 137 2" xfId="4078" xr:uid="{00000000-0005-0000-0000-0000030E0000}"/>
    <cellStyle name="20% - Акцент3 138" xfId="4079" xr:uid="{00000000-0005-0000-0000-0000040E0000}"/>
    <cellStyle name="20% - Акцент3 138 2" xfId="4080" xr:uid="{00000000-0005-0000-0000-0000050E0000}"/>
    <cellStyle name="20% - Акцент3 139" xfId="4081" xr:uid="{00000000-0005-0000-0000-0000060E0000}"/>
    <cellStyle name="20% - Акцент3 139 2" xfId="4082" xr:uid="{00000000-0005-0000-0000-0000070E0000}"/>
    <cellStyle name="20% - Акцент3 14" xfId="4083" xr:uid="{00000000-0005-0000-0000-0000080E0000}"/>
    <cellStyle name="20% - Акцент3 140" xfId="4084" xr:uid="{00000000-0005-0000-0000-0000090E0000}"/>
    <cellStyle name="20% - Акцент3 140 2" xfId="4085" xr:uid="{00000000-0005-0000-0000-00000A0E0000}"/>
    <cellStyle name="20% - Акцент3 141" xfId="4086" xr:uid="{00000000-0005-0000-0000-00000B0E0000}"/>
    <cellStyle name="20% - Акцент3 141 2" xfId="4087" xr:uid="{00000000-0005-0000-0000-00000C0E0000}"/>
    <cellStyle name="20% - Акцент3 142" xfId="4088" xr:uid="{00000000-0005-0000-0000-00000D0E0000}"/>
    <cellStyle name="20% - Акцент3 142 2" xfId="4089" xr:uid="{00000000-0005-0000-0000-00000E0E0000}"/>
    <cellStyle name="20% - Акцент3 143" xfId="4090" xr:uid="{00000000-0005-0000-0000-00000F0E0000}"/>
    <cellStyle name="20% - Акцент3 143 2" xfId="4091" xr:uid="{00000000-0005-0000-0000-0000100E0000}"/>
    <cellStyle name="20% - Акцент3 144" xfId="4092" xr:uid="{00000000-0005-0000-0000-0000110E0000}"/>
    <cellStyle name="20% - Акцент3 144 2" xfId="4093" xr:uid="{00000000-0005-0000-0000-0000120E0000}"/>
    <cellStyle name="20% - Акцент3 145" xfId="4094" xr:uid="{00000000-0005-0000-0000-0000130E0000}"/>
    <cellStyle name="20% - Акцент3 145 2" xfId="4095" xr:uid="{00000000-0005-0000-0000-0000140E0000}"/>
    <cellStyle name="20% - Акцент3 146" xfId="4096" xr:uid="{00000000-0005-0000-0000-0000150E0000}"/>
    <cellStyle name="20% - Акцент3 146 2" xfId="4097" xr:uid="{00000000-0005-0000-0000-0000160E0000}"/>
    <cellStyle name="20% - Акцент3 147" xfId="4098" xr:uid="{00000000-0005-0000-0000-0000170E0000}"/>
    <cellStyle name="20% - Акцент3 147 2" xfId="4099" xr:uid="{00000000-0005-0000-0000-0000180E0000}"/>
    <cellStyle name="20% - Акцент3 148" xfId="4100" xr:uid="{00000000-0005-0000-0000-0000190E0000}"/>
    <cellStyle name="20% - Акцент3 148 2" xfId="4101" xr:uid="{00000000-0005-0000-0000-00001A0E0000}"/>
    <cellStyle name="20% - Акцент3 149" xfId="4102" xr:uid="{00000000-0005-0000-0000-00001B0E0000}"/>
    <cellStyle name="20% - Акцент3 149 2" xfId="4103" xr:uid="{00000000-0005-0000-0000-00001C0E0000}"/>
    <cellStyle name="20% - Акцент3 15" xfId="4104" xr:uid="{00000000-0005-0000-0000-00001D0E0000}"/>
    <cellStyle name="20% - Акцент3 150" xfId="4105" xr:uid="{00000000-0005-0000-0000-00001E0E0000}"/>
    <cellStyle name="20% - Акцент3 150 2" xfId="4106" xr:uid="{00000000-0005-0000-0000-00001F0E0000}"/>
    <cellStyle name="20% - Акцент3 151" xfId="4107" xr:uid="{00000000-0005-0000-0000-0000200E0000}"/>
    <cellStyle name="20% - Акцент3 151 2" xfId="4108" xr:uid="{00000000-0005-0000-0000-0000210E0000}"/>
    <cellStyle name="20% - Акцент3 152" xfId="4109" xr:uid="{00000000-0005-0000-0000-0000220E0000}"/>
    <cellStyle name="20% - Акцент3 152 2" xfId="4110" xr:uid="{00000000-0005-0000-0000-0000230E0000}"/>
    <cellStyle name="20% - Акцент3 153" xfId="4111" xr:uid="{00000000-0005-0000-0000-0000240E0000}"/>
    <cellStyle name="20% - Акцент3 153 2" xfId="4112" xr:uid="{00000000-0005-0000-0000-0000250E0000}"/>
    <cellStyle name="20% - Акцент3 154" xfId="4113" xr:uid="{00000000-0005-0000-0000-0000260E0000}"/>
    <cellStyle name="20% - Акцент3 154 2" xfId="4114" xr:uid="{00000000-0005-0000-0000-0000270E0000}"/>
    <cellStyle name="20% - Акцент3 155" xfId="4115" xr:uid="{00000000-0005-0000-0000-0000280E0000}"/>
    <cellStyle name="20% - Акцент3 155 2" xfId="4116" xr:uid="{00000000-0005-0000-0000-0000290E0000}"/>
    <cellStyle name="20% - Акцент3 156" xfId="4117" xr:uid="{00000000-0005-0000-0000-00002A0E0000}"/>
    <cellStyle name="20% - Акцент3 156 2" xfId="4118" xr:uid="{00000000-0005-0000-0000-00002B0E0000}"/>
    <cellStyle name="20% - Акцент3 157" xfId="4119" xr:uid="{00000000-0005-0000-0000-00002C0E0000}"/>
    <cellStyle name="20% - Акцент3 157 2" xfId="4120" xr:uid="{00000000-0005-0000-0000-00002D0E0000}"/>
    <cellStyle name="20% - Акцент3 158" xfId="4121" xr:uid="{00000000-0005-0000-0000-00002E0E0000}"/>
    <cellStyle name="20% - Акцент3 158 2" xfId="4122" xr:uid="{00000000-0005-0000-0000-00002F0E0000}"/>
    <cellStyle name="20% - Акцент3 159" xfId="4123" xr:uid="{00000000-0005-0000-0000-0000300E0000}"/>
    <cellStyle name="20% - Акцент3 159 2" xfId="4124" xr:uid="{00000000-0005-0000-0000-0000310E0000}"/>
    <cellStyle name="20% - Акцент3 16" xfId="4125" xr:uid="{00000000-0005-0000-0000-0000320E0000}"/>
    <cellStyle name="20% - Акцент3 160" xfId="4126" xr:uid="{00000000-0005-0000-0000-0000330E0000}"/>
    <cellStyle name="20% - Акцент3 160 2" xfId="4127" xr:uid="{00000000-0005-0000-0000-0000340E0000}"/>
    <cellStyle name="20% - Акцент3 161" xfId="4128" xr:uid="{00000000-0005-0000-0000-0000350E0000}"/>
    <cellStyle name="20% - Акцент3 161 2" xfId="4129" xr:uid="{00000000-0005-0000-0000-0000360E0000}"/>
    <cellStyle name="20% - Акцент3 162" xfId="4130" xr:uid="{00000000-0005-0000-0000-0000370E0000}"/>
    <cellStyle name="20% - Акцент3 162 2" xfId="4131" xr:uid="{00000000-0005-0000-0000-0000380E0000}"/>
    <cellStyle name="20% - Акцент3 163" xfId="4132" xr:uid="{00000000-0005-0000-0000-0000390E0000}"/>
    <cellStyle name="20% - Акцент3 163 2" xfId="4133" xr:uid="{00000000-0005-0000-0000-00003A0E0000}"/>
    <cellStyle name="20% - Акцент3 164" xfId="4134" xr:uid="{00000000-0005-0000-0000-00003B0E0000}"/>
    <cellStyle name="20% - Акцент3 164 2" xfId="4135" xr:uid="{00000000-0005-0000-0000-00003C0E0000}"/>
    <cellStyle name="20% - Акцент3 165" xfId="4136" xr:uid="{00000000-0005-0000-0000-00003D0E0000}"/>
    <cellStyle name="20% - Акцент3 165 2" xfId="4137" xr:uid="{00000000-0005-0000-0000-00003E0E0000}"/>
    <cellStyle name="20% - Акцент3 166" xfId="4138" xr:uid="{00000000-0005-0000-0000-00003F0E0000}"/>
    <cellStyle name="20% - Акцент3 166 2" xfId="4139" xr:uid="{00000000-0005-0000-0000-0000400E0000}"/>
    <cellStyle name="20% - Акцент3 167" xfId="4140" xr:uid="{00000000-0005-0000-0000-0000410E0000}"/>
    <cellStyle name="20% - Акцент3 167 2" xfId="4141" xr:uid="{00000000-0005-0000-0000-0000420E0000}"/>
    <cellStyle name="20% - Акцент3 168" xfId="4142" xr:uid="{00000000-0005-0000-0000-0000430E0000}"/>
    <cellStyle name="20% - Акцент3 168 2" xfId="4143" xr:uid="{00000000-0005-0000-0000-0000440E0000}"/>
    <cellStyle name="20% - Акцент3 169" xfId="4144" xr:uid="{00000000-0005-0000-0000-0000450E0000}"/>
    <cellStyle name="20% - Акцент3 169 2" xfId="4145" xr:uid="{00000000-0005-0000-0000-0000460E0000}"/>
    <cellStyle name="20% - Акцент3 17" xfId="4146" xr:uid="{00000000-0005-0000-0000-0000470E0000}"/>
    <cellStyle name="20% - Акцент3 170" xfId="4147" xr:uid="{00000000-0005-0000-0000-0000480E0000}"/>
    <cellStyle name="20% - Акцент3 170 2" xfId="4148" xr:uid="{00000000-0005-0000-0000-0000490E0000}"/>
    <cellStyle name="20% - Акцент3 171" xfId="4149" xr:uid="{00000000-0005-0000-0000-00004A0E0000}"/>
    <cellStyle name="20% - Акцент3 171 2" xfId="4150" xr:uid="{00000000-0005-0000-0000-00004B0E0000}"/>
    <cellStyle name="20% - Акцент3 172" xfId="4151" xr:uid="{00000000-0005-0000-0000-00004C0E0000}"/>
    <cellStyle name="20% - Акцент3 172 2" xfId="4152" xr:uid="{00000000-0005-0000-0000-00004D0E0000}"/>
    <cellStyle name="20% - Акцент3 173" xfId="4153" xr:uid="{00000000-0005-0000-0000-00004E0E0000}"/>
    <cellStyle name="20% - Акцент3 173 2" xfId="4154" xr:uid="{00000000-0005-0000-0000-00004F0E0000}"/>
    <cellStyle name="20% - Акцент3 174" xfId="4155" xr:uid="{00000000-0005-0000-0000-0000500E0000}"/>
    <cellStyle name="20% - Акцент3 174 2" xfId="4156" xr:uid="{00000000-0005-0000-0000-0000510E0000}"/>
    <cellStyle name="20% - Акцент3 175" xfId="4157" xr:uid="{00000000-0005-0000-0000-0000520E0000}"/>
    <cellStyle name="20% - Акцент3 175 2" xfId="4158" xr:uid="{00000000-0005-0000-0000-0000530E0000}"/>
    <cellStyle name="20% - Акцент3 176" xfId="4159" xr:uid="{00000000-0005-0000-0000-0000540E0000}"/>
    <cellStyle name="20% - Акцент3 176 2" xfId="4160" xr:uid="{00000000-0005-0000-0000-0000550E0000}"/>
    <cellStyle name="20% - Акцент3 177" xfId="4161" xr:uid="{00000000-0005-0000-0000-0000560E0000}"/>
    <cellStyle name="20% - Акцент3 177 2" xfId="4162" xr:uid="{00000000-0005-0000-0000-0000570E0000}"/>
    <cellStyle name="20% - Акцент3 178" xfId="4163" xr:uid="{00000000-0005-0000-0000-0000580E0000}"/>
    <cellStyle name="20% - Акцент3 178 2" xfId="4164" xr:uid="{00000000-0005-0000-0000-0000590E0000}"/>
    <cellStyle name="20% - Акцент3 179" xfId="4165" xr:uid="{00000000-0005-0000-0000-00005A0E0000}"/>
    <cellStyle name="20% - Акцент3 179 2" xfId="4166" xr:uid="{00000000-0005-0000-0000-00005B0E0000}"/>
    <cellStyle name="20% - Акцент3 18" xfId="4167" xr:uid="{00000000-0005-0000-0000-00005C0E0000}"/>
    <cellStyle name="20% - Акцент3 180" xfId="4168" xr:uid="{00000000-0005-0000-0000-00005D0E0000}"/>
    <cellStyle name="20% - Акцент3 180 2" xfId="4169" xr:uid="{00000000-0005-0000-0000-00005E0E0000}"/>
    <cellStyle name="20% - Акцент3 181" xfId="4170" xr:uid="{00000000-0005-0000-0000-00005F0E0000}"/>
    <cellStyle name="20% - Акцент3 181 2" xfId="4171" xr:uid="{00000000-0005-0000-0000-0000600E0000}"/>
    <cellStyle name="20% - Акцент3 182" xfId="4172" xr:uid="{00000000-0005-0000-0000-0000610E0000}"/>
    <cellStyle name="20% - Акцент3 182 2" xfId="4173" xr:uid="{00000000-0005-0000-0000-0000620E0000}"/>
    <cellStyle name="20% - Акцент3 183" xfId="4174" xr:uid="{00000000-0005-0000-0000-0000630E0000}"/>
    <cellStyle name="20% - Акцент3 183 2" xfId="4175" xr:uid="{00000000-0005-0000-0000-0000640E0000}"/>
    <cellStyle name="20% - Акцент3 184" xfId="4176" xr:uid="{00000000-0005-0000-0000-0000650E0000}"/>
    <cellStyle name="20% - Акцент3 184 2" xfId="4177" xr:uid="{00000000-0005-0000-0000-0000660E0000}"/>
    <cellStyle name="20% - Акцент3 185" xfId="4178" xr:uid="{00000000-0005-0000-0000-0000670E0000}"/>
    <cellStyle name="20% - Акцент3 185 2" xfId="4179" xr:uid="{00000000-0005-0000-0000-0000680E0000}"/>
    <cellStyle name="20% - Акцент3 186" xfId="4180" xr:uid="{00000000-0005-0000-0000-0000690E0000}"/>
    <cellStyle name="20% - Акцент3 186 2" xfId="4181" xr:uid="{00000000-0005-0000-0000-00006A0E0000}"/>
    <cellStyle name="20% - Акцент3 187" xfId="4182" xr:uid="{00000000-0005-0000-0000-00006B0E0000}"/>
    <cellStyle name="20% - Акцент3 187 2" xfId="4183" xr:uid="{00000000-0005-0000-0000-00006C0E0000}"/>
    <cellStyle name="20% - Акцент3 188" xfId="4184" xr:uid="{00000000-0005-0000-0000-00006D0E0000}"/>
    <cellStyle name="20% - Акцент3 188 2" xfId="4185" xr:uid="{00000000-0005-0000-0000-00006E0E0000}"/>
    <cellStyle name="20% - Акцент3 189" xfId="4186" xr:uid="{00000000-0005-0000-0000-00006F0E0000}"/>
    <cellStyle name="20% - Акцент3 189 2" xfId="4187" xr:uid="{00000000-0005-0000-0000-0000700E0000}"/>
    <cellStyle name="20% - Акцент3 19" xfId="4188" xr:uid="{00000000-0005-0000-0000-0000710E0000}"/>
    <cellStyle name="20% - Акцент3 190" xfId="4189" xr:uid="{00000000-0005-0000-0000-0000720E0000}"/>
    <cellStyle name="20% - Акцент3 190 2" xfId="4190" xr:uid="{00000000-0005-0000-0000-0000730E0000}"/>
    <cellStyle name="20% - Акцент3 191" xfId="4191" xr:uid="{00000000-0005-0000-0000-0000740E0000}"/>
    <cellStyle name="20% - Акцент3 191 2" xfId="4192" xr:uid="{00000000-0005-0000-0000-0000750E0000}"/>
    <cellStyle name="20% - Акцент3 192" xfId="4193" xr:uid="{00000000-0005-0000-0000-0000760E0000}"/>
    <cellStyle name="20% - Акцент3 192 2" xfId="4194" xr:uid="{00000000-0005-0000-0000-0000770E0000}"/>
    <cellStyle name="20% - Акцент3 193" xfId="4195" xr:uid="{00000000-0005-0000-0000-0000780E0000}"/>
    <cellStyle name="20% - Акцент3 193 2" xfId="4196" xr:uid="{00000000-0005-0000-0000-0000790E0000}"/>
    <cellStyle name="20% - Акцент3 194" xfId="4197" xr:uid="{00000000-0005-0000-0000-00007A0E0000}"/>
    <cellStyle name="20% - Акцент3 194 2" xfId="4198" xr:uid="{00000000-0005-0000-0000-00007B0E0000}"/>
    <cellStyle name="20% - Акцент3 195" xfId="4199" xr:uid="{00000000-0005-0000-0000-00007C0E0000}"/>
    <cellStyle name="20% - Акцент3 195 2" xfId="4200" xr:uid="{00000000-0005-0000-0000-00007D0E0000}"/>
    <cellStyle name="20% - Акцент3 196" xfId="4201" xr:uid="{00000000-0005-0000-0000-00007E0E0000}"/>
    <cellStyle name="20% - Акцент3 196 2" xfId="4202" xr:uid="{00000000-0005-0000-0000-00007F0E0000}"/>
    <cellStyle name="20% - Акцент3 197" xfId="4203" xr:uid="{00000000-0005-0000-0000-0000800E0000}"/>
    <cellStyle name="20% - Акцент3 197 2" xfId="4204" xr:uid="{00000000-0005-0000-0000-0000810E0000}"/>
    <cellStyle name="20% - Акцент3 198" xfId="4205" xr:uid="{00000000-0005-0000-0000-0000820E0000}"/>
    <cellStyle name="20% - Акцент3 198 2" xfId="4206" xr:uid="{00000000-0005-0000-0000-0000830E0000}"/>
    <cellStyle name="20% - Акцент3 199" xfId="4207" xr:uid="{00000000-0005-0000-0000-0000840E0000}"/>
    <cellStyle name="20% - Акцент3 199 2" xfId="4208" xr:uid="{00000000-0005-0000-0000-0000850E0000}"/>
    <cellStyle name="20% - Акцент3 2" xfId="4209" xr:uid="{00000000-0005-0000-0000-0000860E0000}"/>
    <cellStyle name="20% - Акцент3 2 2" xfId="4210" xr:uid="{00000000-0005-0000-0000-0000870E0000}"/>
    <cellStyle name="20% - Акцент3 2 2 2" xfId="4211" xr:uid="{00000000-0005-0000-0000-0000880E0000}"/>
    <cellStyle name="20% - Акцент3 2 3" xfId="4212" xr:uid="{00000000-0005-0000-0000-0000890E0000}"/>
    <cellStyle name="20% - Акцент3 2 4" xfId="4213" xr:uid="{00000000-0005-0000-0000-00008A0E0000}"/>
    <cellStyle name="20% - Акцент3 2 5" xfId="4214" xr:uid="{00000000-0005-0000-0000-00008B0E0000}"/>
    <cellStyle name="20% - Акцент3 2 6" xfId="4215" xr:uid="{00000000-0005-0000-0000-00008C0E0000}"/>
    <cellStyle name="20% - Акцент3 2 7" xfId="4216" xr:uid="{00000000-0005-0000-0000-00008D0E0000}"/>
    <cellStyle name="20% - Акцент3 20" xfId="4217" xr:uid="{00000000-0005-0000-0000-00008E0E0000}"/>
    <cellStyle name="20% - Акцент3 20 2" xfId="4218" xr:uid="{00000000-0005-0000-0000-00008F0E0000}"/>
    <cellStyle name="20% - Акцент3 200" xfId="4219" xr:uid="{00000000-0005-0000-0000-0000900E0000}"/>
    <cellStyle name="20% - Акцент3 200 2" xfId="4220" xr:uid="{00000000-0005-0000-0000-0000910E0000}"/>
    <cellStyle name="20% - Акцент3 201" xfId="4221" xr:uid="{00000000-0005-0000-0000-0000920E0000}"/>
    <cellStyle name="20% - Акцент3 201 2" xfId="4222" xr:uid="{00000000-0005-0000-0000-0000930E0000}"/>
    <cellStyle name="20% - Акцент3 202" xfId="4223" xr:uid="{00000000-0005-0000-0000-0000940E0000}"/>
    <cellStyle name="20% - Акцент3 202 2" xfId="4224" xr:uid="{00000000-0005-0000-0000-0000950E0000}"/>
    <cellStyle name="20% - Акцент3 203" xfId="4225" xr:uid="{00000000-0005-0000-0000-0000960E0000}"/>
    <cellStyle name="20% - Акцент3 203 2" xfId="4226" xr:uid="{00000000-0005-0000-0000-0000970E0000}"/>
    <cellStyle name="20% - Акцент3 204" xfId="4227" xr:uid="{00000000-0005-0000-0000-0000980E0000}"/>
    <cellStyle name="20% - Акцент3 204 2" xfId="4228" xr:uid="{00000000-0005-0000-0000-0000990E0000}"/>
    <cellStyle name="20% - Акцент3 205" xfId="4229" xr:uid="{00000000-0005-0000-0000-00009A0E0000}"/>
    <cellStyle name="20% - Акцент3 205 2" xfId="4230" xr:uid="{00000000-0005-0000-0000-00009B0E0000}"/>
    <cellStyle name="20% - Акцент3 206" xfId="4231" xr:uid="{00000000-0005-0000-0000-00009C0E0000}"/>
    <cellStyle name="20% - Акцент3 206 2" xfId="4232" xr:uid="{00000000-0005-0000-0000-00009D0E0000}"/>
    <cellStyle name="20% - Акцент3 207" xfId="4233" xr:uid="{00000000-0005-0000-0000-00009E0E0000}"/>
    <cellStyle name="20% - Акцент3 207 2" xfId="4234" xr:uid="{00000000-0005-0000-0000-00009F0E0000}"/>
    <cellStyle name="20% - Акцент3 208" xfId="4235" xr:uid="{00000000-0005-0000-0000-0000A00E0000}"/>
    <cellStyle name="20% - Акцент3 208 2" xfId="4236" xr:uid="{00000000-0005-0000-0000-0000A10E0000}"/>
    <cellStyle name="20% - Акцент3 209" xfId="4237" xr:uid="{00000000-0005-0000-0000-0000A20E0000}"/>
    <cellStyle name="20% - Акцент3 209 2" xfId="4238" xr:uid="{00000000-0005-0000-0000-0000A30E0000}"/>
    <cellStyle name="20% - Акцент3 21" xfId="4239" xr:uid="{00000000-0005-0000-0000-0000A40E0000}"/>
    <cellStyle name="20% - Акцент3 21 2" xfId="4240" xr:uid="{00000000-0005-0000-0000-0000A50E0000}"/>
    <cellStyle name="20% - Акцент3 210" xfId="4241" xr:uid="{00000000-0005-0000-0000-0000A60E0000}"/>
    <cellStyle name="20% - Акцент3 210 2" xfId="4242" xr:uid="{00000000-0005-0000-0000-0000A70E0000}"/>
    <cellStyle name="20% - Акцент3 211" xfId="4243" xr:uid="{00000000-0005-0000-0000-0000A80E0000}"/>
    <cellStyle name="20% - Акцент3 211 2" xfId="4244" xr:uid="{00000000-0005-0000-0000-0000A90E0000}"/>
    <cellStyle name="20% - Акцент3 212" xfId="4245" xr:uid="{00000000-0005-0000-0000-0000AA0E0000}"/>
    <cellStyle name="20% - Акцент3 212 2" xfId="4246" xr:uid="{00000000-0005-0000-0000-0000AB0E0000}"/>
    <cellStyle name="20% - Акцент3 213" xfId="4247" xr:uid="{00000000-0005-0000-0000-0000AC0E0000}"/>
    <cellStyle name="20% - Акцент3 213 2" xfId="4248" xr:uid="{00000000-0005-0000-0000-0000AD0E0000}"/>
    <cellStyle name="20% - Акцент3 214" xfId="4249" xr:uid="{00000000-0005-0000-0000-0000AE0E0000}"/>
    <cellStyle name="20% - Акцент3 214 2" xfId="4250" xr:uid="{00000000-0005-0000-0000-0000AF0E0000}"/>
    <cellStyle name="20% - Акцент3 215" xfId="4251" xr:uid="{00000000-0005-0000-0000-0000B00E0000}"/>
    <cellStyle name="20% - Акцент3 215 2" xfId="4252" xr:uid="{00000000-0005-0000-0000-0000B10E0000}"/>
    <cellStyle name="20% - Акцент3 216" xfId="4253" xr:uid="{00000000-0005-0000-0000-0000B20E0000}"/>
    <cellStyle name="20% - Акцент3 216 2" xfId="4254" xr:uid="{00000000-0005-0000-0000-0000B30E0000}"/>
    <cellStyle name="20% - Акцент3 217" xfId="4255" xr:uid="{00000000-0005-0000-0000-0000B40E0000}"/>
    <cellStyle name="20% - Акцент3 217 2" xfId="4256" xr:uid="{00000000-0005-0000-0000-0000B50E0000}"/>
    <cellStyle name="20% - Акцент3 217 3" xfId="4257" xr:uid="{00000000-0005-0000-0000-0000B60E0000}"/>
    <cellStyle name="20% - Акцент3 218" xfId="4258" xr:uid="{00000000-0005-0000-0000-0000B70E0000}"/>
    <cellStyle name="20% - Акцент3 219" xfId="4259" xr:uid="{00000000-0005-0000-0000-0000B80E0000}"/>
    <cellStyle name="20% - Акцент3 22" xfId="4260" xr:uid="{00000000-0005-0000-0000-0000B90E0000}"/>
    <cellStyle name="20% - Акцент3 22 2" xfId="4261" xr:uid="{00000000-0005-0000-0000-0000BA0E0000}"/>
    <cellStyle name="20% - Акцент3 220" xfId="4262" xr:uid="{00000000-0005-0000-0000-0000BB0E0000}"/>
    <cellStyle name="20% - Акцент3 221" xfId="4263" xr:uid="{00000000-0005-0000-0000-0000BC0E0000}"/>
    <cellStyle name="20% - Акцент3 222" xfId="4264" xr:uid="{00000000-0005-0000-0000-0000BD0E0000}"/>
    <cellStyle name="20% - Акцент3 223" xfId="4265" xr:uid="{00000000-0005-0000-0000-0000BE0E0000}"/>
    <cellStyle name="20% - Акцент3 224" xfId="4266" xr:uid="{00000000-0005-0000-0000-0000BF0E0000}"/>
    <cellStyle name="20% - Акцент3 225" xfId="4267" xr:uid="{00000000-0005-0000-0000-0000C00E0000}"/>
    <cellStyle name="20% - Акцент3 226" xfId="4268" xr:uid="{00000000-0005-0000-0000-0000C10E0000}"/>
    <cellStyle name="20% - Акцент3 227" xfId="4269" xr:uid="{00000000-0005-0000-0000-0000C20E0000}"/>
    <cellStyle name="20% - Акцент3 228" xfId="4270" xr:uid="{00000000-0005-0000-0000-0000C30E0000}"/>
    <cellStyle name="20% - Акцент3 229" xfId="4271" xr:uid="{00000000-0005-0000-0000-0000C40E0000}"/>
    <cellStyle name="20% - Акцент3 23" xfId="4272" xr:uid="{00000000-0005-0000-0000-0000C50E0000}"/>
    <cellStyle name="20% - Акцент3 23 2" xfId="4273" xr:uid="{00000000-0005-0000-0000-0000C60E0000}"/>
    <cellStyle name="20% - Акцент3 230" xfId="4274" xr:uid="{00000000-0005-0000-0000-0000C70E0000}"/>
    <cellStyle name="20% - Акцент3 231" xfId="4275" xr:uid="{00000000-0005-0000-0000-0000C80E0000}"/>
    <cellStyle name="20% - Акцент3 232" xfId="4276" xr:uid="{00000000-0005-0000-0000-0000C90E0000}"/>
    <cellStyle name="20% - Акцент3 233" xfId="4277" xr:uid="{00000000-0005-0000-0000-0000CA0E0000}"/>
    <cellStyle name="20% - Акцент3 234" xfId="4278" xr:uid="{00000000-0005-0000-0000-0000CB0E0000}"/>
    <cellStyle name="20% - Акцент3 235" xfId="4279" xr:uid="{00000000-0005-0000-0000-0000CC0E0000}"/>
    <cellStyle name="20% - Акцент3 236" xfId="4280" xr:uid="{00000000-0005-0000-0000-0000CD0E0000}"/>
    <cellStyle name="20% - Акцент3 237" xfId="4281" xr:uid="{00000000-0005-0000-0000-0000CE0E0000}"/>
    <cellStyle name="20% - Акцент3 238" xfId="4282" xr:uid="{00000000-0005-0000-0000-0000CF0E0000}"/>
    <cellStyle name="20% - Акцент3 239" xfId="4283" xr:uid="{00000000-0005-0000-0000-0000D00E0000}"/>
    <cellStyle name="20% - Акцент3 24" xfId="4284" xr:uid="{00000000-0005-0000-0000-0000D10E0000}"/>
    <cellStyle name="20% - Акцент3 24 2" xfId="4285" xr:uid="{00000000-0005-0000-0000-0000D20E0000}"/>
    <cellStyle name="20% - Акцент3 240" xfId="4286" xr:uid="{00000000-0005-0000-0000-0000D30E0000}"/>
    <cellStyle name="20% - Акцент3 241" xfId="4287" xr:uid="{00000000-0005-0000-0000-0000D40E0000}"/>
    <cellStyle name="20% - Акцент3 242" xfId="4288" xr:uid="{00000000-0005-0000-0000-0000D50E0000}"/>
    <cellStyle name="20% - Акцент3 243" xfId="4289" xr:uid="{00000000-0005-0000-0000-0000D60E0000}"/>
    <cellStyle name="20% - Акцент3 244" xfId="4290" xr:uid="{00000000-0005-0000-0000-0000D70E0000}"/>
    <cellStyle name="20% - Акцент3 245" xfId="4291" xr:uid="{00000000-0005-0000-0000-0000D80E0000}"/>
    <cellStyle name="20% - Акцент3 246" xfId="4292" xr:uid="{00000000-0005-0000-0000-0000D90E0000}"/>
    <cellStyle name="20% - Акцент3 247" xfId="4293" xr:uid="{00000000-0005-0000-0000-0000DA0E0000}"/>
    <cellStyle name="20% - Акцент3 248" xfId="4294" xr:uid="{00000000-0005-0000-0000-0000DB0E0000}"/>
    <cellStyle name="20% - Акцент3 249" xfId="4295" xr:uid="{00000000-0005-0000-0000-0000DC0E0000}"/>
    <cellStyle name="20% - Акцент3 25" xfId="4296" xr:uid="{00000000-0005-0000-0000-0000DD0E0000}"/>
    <cellStyle name="20% - Акцент3 25 2" xfId="4297" xr:uid="{00000000-0005-0000-0000-0000DE0E0000}"/>
    <cellStyle name="20% - Акцент3 250" xfId="4298" xr:uid="{00000000-0005-0000-0000-0000DF0E0000}"/>
    <cellStyle name="20% - Акцент3 251" xfId="4299" xr:uid="{00000000-0005-0000-0000-0000E00E0000}"/>
    <cellStyle name="20% - Акцент3 252" xfId="4300" xr:uid="{00000000-0005-0000-0000-0000E10E0000}"/>
    <cellStyle name="20% - Акцент3 253" xfId="4301" xr:uid="{00000000-0005-0000-0000-0000E20E0000}"/>
    <cellStyle name="20% - Акцент3 254" xfId="4302" xr:uid="{00000000-0005-0000-0000-0000E30E0000}"/>
    <cellStyle name="20% - Акцент3 255" xfId="4303" xr:uid="{00000000-0005-0000-0000-0000E40E0000}"/>
    <cellStyle name="20% - Акцент3 26" xfId="4304" xr:uid="{00000000-0005-0000-0000-0000E50E0000}"/>
    <cellStyle name="20% - Акцент3 26 2" xfId="4305" xr:uid="{00000000-0005-0000-0000-0000E60E0000}"/>
    <cellStyle name="20% - Акцент3 27" xfId="4306" xr:uid="{00000000-0005-0000-0000-0000E70E0000}"/>
    <cellStyle name="20% - Акцент3 27 2" xfId="4307" xr:uid="{00000000-0005-0000-0000-0000E80E0000}"/>
    <cellStyle name="20% - Акцент3 28" xfId="4308" xr:uid="{00000000-0005-0000-0000-0000E90E0000}"/>
    <cellStyle name="20% - Акцент3 28 2" xfId="4309" xr:uid="{00000000-0005-0000-0000-0000EA0E0000}"/>
    <cellStyle name="20% - Акцент3 29" xfId="4310" xr:uid="{00000000-0005-0000-0000-0000EB0E0000}"/>
    <cellStyle name="20% - Акцент3 29 2" xfId="4311" xr:uid="{00000000-0005-0000-0000-0000EC0E0000}"/>
    <cellStyle name="20% - Акцент3 3" xfId="4312" xr:uid="{00000000-0005-0000-0000-0000ED0E0000}"/>
    <cellStyle name="20% - Акцент3 30" xfId="4313" xr:uid="{00000000-0005-0000-0000-0000EE0E0000}"/>
    <cellStyle name="20% - Акцент3 30 2" xfId="4314" xr:uid="{00000000-0005-0000-0000-0000EF0E0000}"/>
    <cellStyle name="20% - Акцент3 31" xfId="4315" xr:uid="{00000000-0005-0000-0000-0000F00E0000}"/>
    <cellStyle name="20% - Акцент3 31 2" xfId="4316" xr:uid="{00000000-0005-0000-0000-0000F10E0000}"/>
    <cellStyle name="20% - Акцент3 32" xfId="4317" xr:uid="{00000000-0005-0000-0000-0000F20E0000}"/>
    <cellStyle name="20% - Акцент3 32 2" xfId="4318" xr:uid="{00000000-0005-0000-0000-0000F30E0000}"/>
    <cellStyle name="20% - Акцент3 33" xfId="4319" xr:uid="{00000000-0005-0000-0000-0000F40E0000}"/>
    <cellStyle name="20% - Акцент3 33 2" xfId="4320" xr:uid="{00000000-0005-0000-0000-0000F50E0000}"/>
    <cellStyle name="20% - Акцент3 34" xfId="4321" xr:uid="{00000000-0005-0000-0000-0000F60E0000}"/>
    <cellStyle name="20% - Акцент3 34 2" xfId="4322" xr:uid="{00000000-0005-0000-0000-0000F70E0000}"/>
    <cellStyle name="20% - Акцент3 35" xfId="4323" xr:uid="{00000000-0005-0000-0000-0000F80E0000}"/>
    <cellStyle name="20% - Акцент3 35 2" xfId="4324" xr:uid="{00000000-0005-0000-0000-0000F90E0000}"/>
    <cellStyle name="20% - Акцент3 36" xfId="4325" xr:uid="{00000000-0005-0000-0000-0000FA0E0000}"/>
    <cellStyle name="20% - Акцент3 36 2" xfId="4326" xr:uid="{00000000-0005-0000-0000-0000FB0E0000}"/>
    <cellStyle name="20% - Акцент3 37" xfId="4327" xr:uid="{00000000-0005-0000-0000-0000FC0E0000}"/>
    <cellStyle name="20% - Акцент3 37 2" xfId="4328" xr:uid="{00000000-0005-0000-0000-0000FD0E0000}"/>
    <cellStyle name="20% - Акцент3 38" xfId="4329" xr:uid="{00000000-0005-0000-0000-0000FE0E0000}"/>
    <cellStyle name="20% - Акцент3 38 2" xfId="4330" xr:uid="{00000000-0005-0000-0000-0000FF0E0000}"/>
    <cellStyle name="20% - Акцент3 39" xfId="4331" xr:uid="{00000000-0005-0000-0000-0000000F0000}"/>
    <cellStyle name="20% - Акцент3 39 2" xfId="4332" xr:uid="{00000000-0005-0000-0000-0000010F0000}"/>
    <cellStyle name="20% - Акцент3 4" xfId="4333" xr:uid="{00000000-0005-0000-0000-0000020F0000}"/>
    <cellStyle name="20% - Акцент3 40" xfId="4334" xr:uid="{00000000-0005-0000-0000-0000030F0000}"/>
    <cellStyle name="20% - Акцент3 40 2" xfId="4335" xr:uid="{00000000-0005-0000-0000-0000040F0000}"/>
    <cellStyle name="20% - Акцент3 41" xfId="4336" xr:uid="{00000000-0005-0000-0000-0000050F0000}"/>
    <cellStyle name="20% - Акцент3 41 2" xfId="4337" xr:uid="{00000000-0005-0000-0000-0000060F0000}"/>
    <cellStyle name="20% - Акцент3 42" xfId="4338" xr:uid="{00000000-0005-0000-0000-0000070F0000}"/>
    <cellStyle name="20% - Акцент3 42 2" xfId="4339" xr:uid="{00000000-0005-0000-0000-0000080F0000}"/>
    <cellStyle name="20% - Акцент3 43" xfId="4340" xr:uid="{00000000-0005-0000-0000-0000090F0000}"/>
    <cellStyle name="20% - Акцент3 43 2" xfId="4341" xr:uid="{00000000-0005-0000-0000-00000A0F0000}"/>
    <cellStyle name="20% - Акцент3 44" xfId="4342" xr:uid="{00000000-0005-0000-0000-00000B0F0000}"/>
    <cellStyle name="20% - Акцент3 44 2" xfId="4343" xr:uid="{00000000-0005-0000-0000-00000C0F0000}"/>
    <cellStyle name="20% - Акцент3 45" xfId="4344" xr:uid="{00000000-0005-0000-0000-00000D0F0000}"/>
    <cellStyle name="20% - Акцент3 45 2" xfId="4345" xr:uid="{00000000-0005-0000-0000-00000E0F0000}"/>
    <cellStyle name="20% - Акцент3 46" xfId="4346" xr:uid="{00000000-0005-0000-0000-00000F0F0000}"/>
    <cellStyle name="20% - Акцент3 46 2" xfId="4347" xr:uid="{00000000-0005-0000-0000-0000100F0000}"/>
    <cellStyle name="20% - Акцент3 47" xfId="4348" xr:uid="{00000000-0005-0000-0000-0000110F0000}"/>
    <cellStyle name="20% - Акцент3 47 2" xfId="4349" xr:uid="{00000000-0005-0000-0000-0000120F0000}"/>
    <cellStyle name="20% - Акцент3 48" xfId="4350" xr:uid="{00000000-0005-0000-0000-0000130F0000}"/>
    <cellStyle name="20% - Акцент3 48 2" xfId="4351" xr:uid="{00000000-0005-0000-0000-0000140F0000}"/>
    <cellStyle name="20% - Акцент3 49" xfId="4352" xr:uid="{00000000-0005-0000-0000-0000150F0000}"/>
    <cellStyle name="20% - Акцент3 49 2" xfId="4353" xr:uid="{00000000-0005-0000-0000-0000160F0000}"/>
    <cellStyle name="20% - Акцент3 5" xfId="4354" xr:uid="{00000000-0005-0000-0000-0000170F0000}"/>
    <cellStyle name="20% - Акцент3 50" xfId="4355" xr:uid="{00000000-0005-0000-0000-0000180F0000}"/>
    <cellStyle name="20% - Акцент3 50 2" xfId="4356" xr:uid="{00000000-0005-0000-0000-0000190F0000}"/>
    <cellStyle name="20% - Акцент3 51" xfId="4357" xr:uid="{00000000-0005-0000-0000-00001A0F0000}"/>
    <cellStyle name="20% - Акцент3 51 2" xfId="4358" xr:uid="{00000000-0005-0000-0000-00001B0F0000}"/>
    <cellStyle name="20% - Акцент3 52" xfId="4359" xr:uid="{00000000-0005-0000-0000-00001C0F0000}"/>
    <cellStyle name="20% - Акцент3 52 2" xfId="4360" xr:uid="{00000000-0005-0000-0000-00001D0F0000}"/>
    <cellStyle name="20% - Акцент3 53" xfId="4361" xr:uid="{00000000-0005-0000-0000-00001E0F0000}"/>
    <cellStyle name="20% - Акцент3 53 2" xfId="4362" xr:uid="{00000000-0005-0000-0000-00001F0F0000}"/>
    <cellStyle name="20% - Акцент3 54" xfId="4363" xr:uid="{00000000-0005-0000-0000-0000200F0000}"/>
    <cellStyle name="20% - Акцент3 54 2" xfId="4364" xr:uid="{00000000-0005-0000-0000-0000210F0000}"/>
    <cellStyle name="20% - Акцент3 55" xfId="4365" xr:uid="{00000000-0005-0000-0000-0000220F0000}"/>
    <cellStyle name="20% - Акцент3 55 2" xfId="4366" xr:uid="{00000000-0005-0000-0000-0000230F0000}"/>
    <cellStyle name="20% - Акцент3 56" xfId="4367" xr:uid="{00000000-0005-0000-0000-0000240F0000}"/>
    <cellStyle name="20% - Акцент3 56 2" xfId="4368" xr:uid="{00000000-0005-0000-0000-0000250F0000}"/>
    <cellStyle name="20% - Акцент3 57" xfId="4369" xr:uid="{00000000-0005-0000-0000-0000260F0000}"/>
    <cellStyle name="20% - Акцент3 57 2" xfId="4370" xr:uid="{00000000-0005-0000-0000-0000270F0000}"/>
    <cellStyle name="20% - Акцент3 58" xfId="4371" xr:uid="{00000000-0005-0000-0000-0000280F0000}"/>
    <cellStyle name="20% - Акцент3 58 2" xfId="4372" xr:uid="{00000000-0005-0000-0000-0000290F0000}"/>
    <cellStyle name="20% - Акцент3 59" xfId="4373" xr:uid="{00000000-0005-0000-0000-00002A0F0000}"/>
    <cellStyle name="20% - Акцент3 59 2" xfId="4374" xr:uid="{00000000-0005-0000-0000-00002B0F0000}"/>
    <cellStyle name="20% - Акцент3 6" xfId="4375" xr:uid="{00000000-0005-0000-0000-00002C0F0000}"/>
    <cellStyle name="20% - Акцент3 60" xfId="4376" xr:uid="{00000000-0005-0000-0000-00002D0F0000}"/>
    <cellStyle name="20% - Акцент3 60 2" xfId="4377" xr:uid="{00000000-0005-0000-0000-00002E0F0000}"/>
    <cellStyle name="20% - Акцент3 61" xfId="4378" xr:uid="{00000000-0005-0000-0000-00002F0F0000}"/>
    <cellStyle name="20% - Акцент3 61 2" xfId="4379" xr:uid="{00000000-0005-0000-0000-0000300F0000}"/>
    <cellStyle name="20% - Акцент3 62" xfId="4380" xr:uid="{00000000-0005-0000-0000-0000310F0000}"/>
    <cellStyle name="20% - Акцент3 62 2" xfId="4381" xr:uid="{00000000-0005-0000-0000-0000320F0000}"/>
    <cellStyle name="20% - Акцент3 63" xfId="4382" xr:uid="{00000000-0005-0000-0000-0000330F0000}"/>
    <cellStyle name="20% - Акцент3 63 2" xfId="4383" xr:uid="{00000000-0005-0000-0000-0000340F0000}"/>
    <cellStyle name="20% - Акцент3 64" xfId="4384" xr:uid="{00000000-0005-0000-0000-0000350F0000}"/>
    <cellStyle name="20% - Акцент3 64 2" xfId="4385" xr:uid="{00000000-0005-0000-0000-0000360F0000}"/>
    <cellStyle name="20% - Акцент3 65" xfId="4386" xr:uid="{00000000-0005-0000-0000-0000370F0000}"/>
    <cellStyle name="20% - Акцент3 65 2" xfId="4387" xr:uid="{00000000-0005-0000-0000-0000380F0000}"/>
    <cellStyle name="20% - Акцент3 66" xfId="4388" xr:uid="{00000000-0005-0000-0000-0000390F0000}"/>
    <cellStyle name="20% - Акцент3 66 2" xfId="4389" xr:uid="{00000000-0005-0000-0000-00003A0F0000}"/>
    <cellStyle name="20% - Акцент3 67" xfId="4390" xr:uid="{00000000-0005-0000-0000-00003B0F0000}"/>
    <cellStyle name="20% - Акцент3 67 2" xfId="4391" xr:uid="{00000000-0005-0000-0000-00003C0F0000}"/>
    <cellStyle name="20% - Акцент3 68" xfId="4392" xr:uid="{00000000-0005-0000-0000-00003D0F0000}"/>
    <cellStyle name="20% - Акцент3 68 2" xfId="4393" xr:uid="{00000000-0005-0000-0000-00003E0F0000}"/>
    <cellStyle name="20% - Акцент3 69" xfId="4394" xr:uid="{00000000-0005-0000-0000-00003F0F0000}"/>
    <cellStyle name="20% - Акцент3 69 2" xfId="4395" xr:uid="{00000000-0005-0000-0000-0000400F0000}"/>
    <cellStyle name="20% - Акцент3 7" xfId="4396" xr:uid="{00000000-0005-0000-0000-0000410F0000}"/>
    <cellStyle name="20% - Акцент3 70" xfId="4397" xr:uid="{00000000-0005-0000-0000-0000420F0000}"/>
    <cellStyle name="20% - Акцент3 70 2" xfId="4398" xr:uid="{00000000-0005-0000-0000-0000430F0000}"/>
    <cellStyle name="20% - Акцент3 71" xfId="4399" xr:uid="{00000000-0005-0000-0000-0000440F0000}"/>
    <cellStyle name="20% - Акцент3 71 2" xfId="4400" xr:uid="{00000000-0005-0000-0000-0000450F0000}"/>
    <cellStyle name="20% - Акцент3 72" xfId="4401" xr:uid="{00000000-0005-0000-0000-0000460F0000}"/>
    <cellStyle name="20% - Акцент3 72 2" xfId="4402" xr:uid="{00000000-0005-0000-0000-0000470F0000}"/>
    <cellStyle name="20% - Акцент3 73" xfId="4403" xr:uid="{00000000-0005-0000-0000-0000480F0000}"/>
    <cellStyle name="20% - Акцент3 73 2" xfId="4404" xr:uid="{00000000-0005-0000-0000-0000490F0000}"/>
    <cellStyle name="20% - Акцент3 74" xfId="4405" xr:uid="{00000000-0005-0000-0000-00004A0F0000}"/>
    <cellStyle name="20% - Акцент3 74 2" xfId="4406" xr:uid="{00000000-0005-0000-0000-00004B0F0000}"/>
    <cellStyle name="20% - Акцент3 75" xfId="4407" xr:uid="{00000000-0005-0000-0000-00004C0F0000}"/>
    <cellStyle name="20% - Акцент3 75 2" xfId="4408" xr:uid="{00000000-0005-0000-0000-00004D0F0000}"/>
    <cellStyle name="20% - Акцент3 76" xfId="4409" xr:uid="{00000000-0005-0000-0000-00004E0F0000}"/>
    <cellStyle name="20% - Акцент3 76 2" xfId="4410" xr:uid="{00000000-0005-0000-0000-00004F0F0000}"/>
    <cellStyle name="20% - Акцент3 77" xfId="4411" xr:uid="{00000000-0005-0000-0000-0000500F0000}"/>
    <cellStyle name="20% - Акцент3 77 2" xfId="4412" xr:uid="{00000000-0005-0000-0000-0000510F0000}"/>
    <cellStyle name="20% - Акцент3 78" xfId="4413" xr:uid="{00000000-0005-0000-0000-0000520F0000}"/>
    <cellStyle name="20% - Акцент3 78 2" xfId="4414" xr:uid="{00000000-0005-0000-0000-0000530F0000}"/>
    <cellStyle name="20% - Акцент3 79" xfId="4415" xr:uid="{00000000-0005-0000-0000-0000540F0000}"/>
    <cellStyle name="20% - Акцент3 79 2" xfId="4416" xr:uid="{00000000-0005-0000-0000-0000550F0000}"/>
    <cellStyle name="20% - Акцент3 8" xfId="4417" xr:uid="{00000000-0005-0000-0000-0000560F0000}"/>
    <cellStyle name="20% - Акцент3 80" xfId="4418" xr:uid="{00000000-0005-0000-0000-0000570F0000}"/>
    <cellStyle name="20% - Акцент3 80 2" xfId="4419" xr:uid="{00000000-0005-0000-0000-0000580F0000}"/>
    <cellStyle name="20% - Акцент3 81" xfId="4420" xr:uid="{00000000-0005-0000-0000-0000590F0000}"/>
    <cellStyle name="20% - Акцент3 81 2" xfId="4421" xr:uid="{00000000-0005-0000-0000-00005A0F0000}"/>
    <cellStyle name="20% - Акцент3 82" xfId="4422" xr:uid="{00000000-0005-0000-0000-00005B0F0000}"/>
    <cellStyle name="20% - Акцент3 82 2" xfId="4423" xr:uid="{00000000-0005-0000-0000-00005C0F0000}"/>
    <cellStyle name="20% - Акцент3 83" xfId="4424" xr:uid="{00000000-0005-0000-0000-00005D0F0000}"/>
    <cellStyle name="20% - Акцент3 83 2" xfId="4425" xr:uid="{00000000-0005-0000-0000-00005E0F0000}"/>
    <cellStyle name="20% - Акцент3 84" xfId="4426" xr:uid="{00000000-0005-0000-0000-00005F0F0000}"/>
    <cellStyle name="20% - Акцент3 84 2" xfId="4427" xr:uid="{00000000-0005-0000-0000-0000600F0000}"/>
    <cellStyle name="20% - Акцент3 85" xfId="4428" xr:uid="{00000000-0005-0000-0000-0000610F0000}"/>
    <cellStyle name="20% - Акцент3 85 2" xfId="4429" xr:uid="{00000000-0005-0000-0000-0000620F0000}"/>
    <cellStyle name="20% - Акцент3 86" xfId="4430" xr:uid="{00000000-0005-0000-0000-0000630F0000}"/>
    <cellStyle name="20% - Акцент3 86 2" xfId="4431" xr:uid="{00000000-0005-0000-0000-0000640F0000}"/>
    <cellStyle name="20% - Акцент3 87" xfId="4432" xr:uid="{00000000-0005-0000-0000-0000650F0000}"/>
    <cellStyle name="20% - Акцент3 87 2" xfId="4433" xr:uid="{00000000-0005-0000-0000-0000660F0000}"/>
    <cellStyle name="20% - Акцент3 88" xfId="4434" xr:uid="{00000000-0005-0000-0000-0000670F0000}"/>
    <cellStyle name="20% - Акцент3 88 2" xfId="4435" xr:uid="{00000000-0005-0000-0000-0000680F0000}"/>
    <cellStyle name="20% - Акцент3 89" xfId="4436" xr:uid="{00000000-0005-0000-0000-0000690F0000}"/>
    <cellStyle name="20% - Акцент3 89 2" xfId="4437" xr:uid="{00000000-0005-0000-0000-00006A0F0000}"/>
    <cellStyle name="20% - Акцент3 9" xfId="4438" xr:uid="{00000000-0005-0000-0000-00006B0F0000}"/>
    <cellStyle name="20% - Акцент3 90" xfId="4439" xr:uid="{00000000-0005-0000-0000-00006C0F0000}"/>
    <cellStyle name="20% - Акцент3 90 2" xfId="4440" xr:uid="{00000000-0005-0000-0000-00006D0F0000}"/>
    <cellStyle name="20% - Акцент3 91" xfId="4441" xr:uid="{00000000-0005-0000-0000-00006E0F0000}"/>
    <cellStyle name="20% - Акцент3 91 2" xfId="4442" xr:uid="{00000000-0005-0000-0000-00006F0F0000}"/>
    <cellStyle name="20% - Акцент3 92" xfId="4443" xr:uid="{00000000-0005-0000-0000-0000700F0000}"/>
    <cellStyle name="20% - Акцент3 92 2" xfId="4444" xr:uid="{00000000-0005-0000-0000-0000710F0000}"/>
    <cellStyle name="20% - Акцент3 93" xfId="4445" xr:uid="{00000000-0005-0000-0000-0000720F0000}"/>
    <cellStyle name="20% - Акцент3 93 2" xfId="4446" xr:uid="{00000000-0005-0000-0000-0000730F0000}"/>
    <cellStyle name="20% - Акцент3 94" xfId="4447" xr:uid="{00000000-0005-0000-0000-0000740F0000}"/>
    <cellStyle name="20% - Акцент3 94 2" xfId="4448" xr:uid="{00000000-0005-0000-0000-0000750F0000}"/>
    <cellStyle name="20% - Акцент3 95" xfId="4449" xr:uid="{00000000-0005-0000-0000-0000760F0000}"/>
    <cellStyle name="20% - Акцент3 95 2" xfId="4450" xr:uid="{00000000-0005-0000-0000-0000770F0000}"/>
    <cellStyle name="20% - Акцент3 96" xfId="4451" xr:uid="{00000000-0005-0000-0000-0000780F0000}"/>
    <cellStyle name="20% - Акцент3 96 2" xfId="4452" xr:uid="{00000000-0005-0000-0000-0000790F0000}"/>
    <cellStyle name="20% - Акцент3 97" xfId="4453" xr:uid="{00000000-0005-0000-0000-00007A0F0000}"/>
    <cellStyle name="20% - Акцент3 97 2" xfId="4454" xr:uid="{00000000-0005-0000-0000-00007B0F0000}"/>
    <cellStyle name="20% - Акцент3 98" xfId="4455" xr:uid="{00000000-0005-0000-0000-00007C0F0000}"/>
    <cellStyle name="20% - Акцент3 98 2" xfId="4456" xr:uid="{00000000-0005-0000-0000-00007D0F0000}"/>
    <cellStyle name="20% - Акцент3 99" xfId="4457" xr:uid="{00000000-0005-0000-0000-00007E0F0000}"/>
    <cellStyle name="20% - Акцент3 99 2" xfId="4458" xr:uid="{00000000-0005-0000-0000-00007F0F0000}"/>
    <cellStyle name="20% - Акцент4 10" xfId="4459" xr:uid="{00000000-0005-0000-0000-0000800F0000}"/>
    <cellStyle name="20% - Акцент4 100" xfId="4460" xr:uid="{00000000-0005-0000-0000-0000810F0000}"/>
    <cellStyle name="20% - Акцент4 100 2" xfId="4461" xr:uid="{00000000-0005-0000-0000-0000820F0000}"/>
    <cellStyle name="20% - Акцент4 101" xfId="4462" xr:uid="{00000000-0005-0000-0000-0000830F0000}"/>
    <cellStyle name="20% - Акцент4 101 2" xfId="4463" xr:uid="{00000000-0005-0000-0000-0000840F0000}"/>
    <cellStyle name="20% - Акцент4 102" xfId="4464" xr:uid="{00000000-0005-0000-0000-0000850F0000}"/>
    <cellStyle name="20% - Акцент4 102 2" xfId="4465" xr:uid="{00000000-0005-0000-0000-0000860F0000}"/>
    <cellStyle name="20% - Акцент4 103" xfId="4466" xr:uid="{00000000-0005-0000-0000-0000870F0000}"/>
    <cellStyle name="20% - Акцент4 103 2" xfId="4467" xr:uid="{00000000-0005-0000-0000-0000880F0000}"/>
    <cellStyle name="20% - Акцент4 104" xfId="4468" xr:uid="{00000000-0005-0000-0000-0000890F0000}"/>
    <cellStyle name="20% - Акцент4 104 2" xfId="4469" xr:uid="{00000000-0005-0000-0000-00008A0F0000}"/>
    <cellStyle name="20% - Акцент4 105" xfId="4470" xr:uid="{00000000-0005-0000-0000-00008B0F0000}"/>
    <cellStyle name="20% - Акцент4 105 2" xfId="4471" xr:uid="{00000000-0005-0000-0000-00008C0F0000}"/>
    <cellStyle name="20% - Акцент4 106" xfId="4472" xr:uid="{00000000-0005-0000-0000-00008D0F0000}"/>
    <cellStyle name="20% - Акцент4 106 2" xfId="4473" xr:uid="{00000000-0005-0000-0000-00008E0F0000}"/>
    <cellStyle name="20% - Акцент4 107" xfId="4474" xr:uid="{00000000-0005-0000-0000-00008F0F0000}"/>
    <cellStyle name="20% - Акцент4 107 2" xfId="4475" xr:uid="{00000000-0005-0000-0000-0000900F0000}"/>
    <cellStyle name="20% - Акцент4 108" xfId="4476" xr:uid="{00000000-0005-0000-0000-0000910F0000}"/>
    <cellStyle name="20% - Акцент4 108 2" xfId="4477" xr:uid="{00000000-0005-0000-0000-0000920F0000}"/>
    <cellStyle name="20% - Акцент4 109" xfId="4478" xr:uid="{00000000-0005-0000-0000-0000930F0000}"/>
    <cellStyle name="20% - Акцент4 109 2" xfId="4479" xr:uid="{00000000-0005-0000-0000-0000940F0000}"/>
    <cellStyle name="20% - Акцент4 11" xfId="4480" xr:uid="{00000000-0005-0000-0000-0000950F0000}"/>
    <cellStyle name="20% - Акцент4 110" xfId="4481" xr:uid="{00000000-0005-0000-0000-0000960F0000}"/>
    <cellStyle name="20% - Акцент4 110 2" xfId="4482" xr:uid="{00000000-0005-0000-0000-0000970F0000}"/>
    <cellStyle name="20% - Акцент4 111" xfId="4483" xr:uid="{00000000-0005-0000-0000-0000980F0000}"/>
    <cellStyle name="20% - Акцент4 111 2" xfId="4484" xr:uid="{00000000-0005-0000-0000-0000990F0000}"/>
    <cellStyle name="20% - Акцент4 112" xfId="4485" xr:uid="{00000000-0005-0000-0000-00009A0F0000}"/>
    <cellStyle name="20% - Акцент4 112 2" xfId="4486" xr:uid="{00000000-0005-0000-0000-00009B0F0000}"/>
    <cellStyle name="20% - Акцент4 113" xfId="4487" xr:uid="{00000000-0005-0000-0000-00009C0F0000}"/>
    <cellStyle name="20% - Акцент4 113 2" xfId="4488" xr:uid="{00000000-0005-0000-0000-00009D0F0000}"/>
    <cellStyle name="20% - Акцент4 114" xfId="4489" xr:uid="{00000000-0005-0000-0000-00009E0F0000}"/>
    <cellStyle name="20% - Акцент4 114 2" xfId="4490" xr:uid="{00000000-0005-0000-0000-00009F0F0000}"/>
    <cellStyle name="20% - Акцент4 115" xfId="4491" xr:uid="{00000000-0005-0000-0000-0000A00F0000}"/>
    <cellStyle name="20% - Акцент4 115 2" xfId="4492" xr:uid="{00000000-0005-0000-0000-0000A10F0000}"/>
    <cellStyle name="20% - Акцент4 116" xfId="4493" xr:uid="{00000000-0005-0000-0000-0000A20F0000}"/>
    <cellStyle name="20% - Акцент4 116 2" xfId="4494" xr:uid="{00000000-0005-0000-0000-0000A30F0000}"/>
    <cellStyle name="20% - Акцент4 117" xfId="4495" xr:uid="{00000000-0005-0000-0000-0000A40F0000}"/>
    <cellStyle name="20% - Акцент4 117 2" xfId="4496" xr:uid="{00000000-0005-0000-0000-0000A50F0000}"/>
    <cellStyle name="20% - Акцент4 118" xfId="4497" xr:uid="{00000000-0005-0000-0000-0000A60F0000}"/>
    <cellStyle name="20% - Акцент4 118 2" xfId="4498" xr:uid="{00000000-0005-0000-0000-0000A70F0000}"/>
    <cellStyle name="20% - Акцент4 119" xfId="4499" xr:uid="{00000000-0005-0000-0000-0000A80F0000}"/>
    <cellStyle name="20% - Акцент4 119 2" xfId="4500" xr:uid="{00000000-0005-0000-0000-0000A90F0000}"/>
    <cellStyle name="20% - Акцент4 12" xfId="4501" xr:uid="{00000000-0005-0000-0000-0000AA0F0000}"/>
    <cellStyle name="20% - Акцент4 120" xfId="4502" xr:uid="{00000000-0005-0000-0000-0000AB0F0000}"/>
    <cellStyle name="20% - Акцент4 120 2" xfId="4503" xr:uid="{00000000-0005-0000-0000-0000AC0F0000}"/>
    <cellStyle name="20% - Акцент4 121" xfId="4504" xr:uid="{00000000-0005-0000-0000-0000AD0F0000}"/>
    <cellStyle name="20% - Акцент4 121 2" xfId="4505" xr:uid="{00000000-0005-0000-0000-0000AE0F0000}"/>
    <cellStyle name="20% - Акцент4 122" xfId="4506" xr:uid="{00000000-0005-0000-0000-0000AF0F0000}"/>
    <cellStyle name="20% - Акцент4 122 2" xfId="4507" xr:uid="{00000000-0005-0000-0000-0000B00F0000}"/>
    <cellStyle name="20% - Акцент4 123" xfId="4508" xr:uid="{00000000-0005-0000-0000-0000B10F0000}"/>
    <cellStyle name="20% - Акцент4 123 2" xfId="4509" xr:uid="{00000000-0005-0000-0000-0000B20F0000}"/>
    <cellStyle name="20% - Акцент4 124" xfId="4510" xr:uid="{00000000-0005-0000-0000-0000B30F0000}"/>
    <cellStyle name="20% - Акцент4 124 2" xfId="4511" xr:uid="{00000000-0005-0000-0000-0000B40F0000}"/>
    <cellStyle name="20% - Акцент4 125" xfId="4512" xr:uid="{00000000-0005-0000-0000-0000B50F0000}"/>
    <cellStyle name="20% - Акцент4 125 2" xfId="4513" xr:uid="{00000000-0005-0000-0000-0000B60F0000}"/>
    <cellStyle name="20% - Акцент4 126" xfId="4514" xr:uid="{00000000-0005-0000-0000-0000B70F0000}"/>
    <cellStyle name="20% - Акцент4 126 2" xfId="4515" xr:uid="{00000000-0005-0000-0000-0000B80F0000}"/>
    <cellStyle name="20% - Акцент4 127" xfId="4516" xr:uid="{00000000-0005-0000-0000-0000B90F0000}"/>
    <cellStyle name="20% - Акцент4 127 2" xfId="4517" xr:uid="{00000000-0005-0000-0000-0000BA0F0000}"/>
    <cellStyle name="20% - Акцент4 128" xfId="4518" xr:uid="{00000000-0005-0000-0000-0000BB0F0000}"/>
    <cellStyle name="20% - Акцент4 128 2" xfId="4519" xr:uid="{00000000-0005-0000-0000-0000BC0F0000}"/>
    <cellStyle name="20% - Акцент4 129" xfId="4520" xr:uid="{00000000-0005-0000-0000-0000BD0F0000}"/>
    <cellStyle name="20% - Акцент4 129 2" xfId="4521" xr:uid="{00000000-0005-0000-0000-0000BE0F0000}"/>
    <cellStyle name="20% - Акцент4 13" xfId="4522" xr:uid="{00000000-0005-0000-0000-0000BF0F0000}"/>
    <cellStyle name="20% - Акцент4 130" xfId="4523" xr:uid="{00000000-0005-0000-0000-0000C00F0000}"/>
    <cellStyle name="20% - Акцент4 130 2" xfId="4524" xr:uid="{00000000-0005-0000-0000-0000C10F0000}"/>
    <cellStyle name="20% - Акцент4 131" xfId="4525" xr:uid="{00000000-0005-0000-0000-0000C20F0000}"/>
    <cellStyle name="20% - Акцент4 131 2" xfId="4526" xr:uid="{00000000-0005-0000-0000-0000C30F0000}"/>
    <cellStyle name="20% - Акцент4 132" xfId="4527" xr:uid="{00000000-0005-0000-0000-0000C40F0000}"/>
    <cellStyle name="20% - Акцент4 132 2" xfId="4528" xr:uid="{00000000-0005-0000-0000-0000C50F0000}"/>
    <cellStyle name="20% - Акцент4 133" xfId="4529" xr:uid="{00000000-0005-0000-0000-0000C60F0000}"/>
    <cellStyle name="20% - Акцент4 133 2" xfId="4530" xr:uid="{00000000-0005-0000-0000-0000C70F0000}"/>
    <cellStyle name="20% - Акцент4 134" xfId="4531" xr:uid="{00000000-0005-0000-0000-0000C80F0000}"/>
    <cellStyle name="20% - Акцент4 134 2" xfId="4532" xr:uid="{00000000-0005-0000-0000-0000C90F0000}"/>
    <cellStyle name="20% - Акцент4 135" xfId="4533" xr:uid="{00000000-0005-0000-0000-0000CA0F0000}"/>
    <cellStyle name="20% - Акцент4 135 2" xfId="4534" xr:uid="{00000000-0005-0000-0000-0000CB0F0000}"/>
    <cellStyle name="20% - Акцент4 136" xfId="4535" xr:uid="{00000000-0005-0000-0000-0000CC0F0000}"/>
    <cellStyle name="20% - Акцент4 136 2" xfId="4536" xr:uid="{00000000-0005-0000-0000-0000CD0F0000}"/>
    <cellStyle name="20% - Акцент4 137" xfId="4537" xr:uid="{00000000-0005-0000-0000-0000CE0F0000}"/>
    <cellStyle name="20% - Акцент4 137 2" xfId="4538" xr:uid="{00000000-0005-0000-0000-0000CF0F0000}"/>
    <cellStyle name="20% - Акцент4 138" xfId="4539" xr:uid="{00000000-0005-0000-0000-0000D00F0000}"/>
    <cellStyle name="20% - Акцент4 138 2" xfId="4540" xr:uid="{00000000-0005-0000-0000-0000D10F0000}"/>
    <cellStyle name="20% - Акцент4 139" xfId="4541" xr:uid="{00000000-0005-0000-0000-0000D20F0000}"/>
    <cellStyle name="20% - Акцент4 139 2" xfId="4542" xr:uid="{00000000-0005-0000-0000-0000D30F0000}"/>
    <cellStyle name="20% - Акцент4 14" xfId="4543" xr:uid="{00000000-0005-0000-0000-0000D40F0000}"/>
    <cellStyle name="20% - Акцент4 140" xfId="4544" xr:uid="{00000000-0005-0000-0000-0000D50F0000}"/>
    <cellStyle name="20% - Акцент4 140 2" xfId="4545" xr:uid="{00000000-0005-0000-0000-0000D60F0000}"/>
    <cellStyle name="20% - Акцент4 141" xfId="4546" xr:uid="{00000000-0005-0000-0000-0000D70F0000}"/>
    <cellStyle name="20% - Акцент4 141 2" xfId="4547" xr:uid="{00000000-0005-0000-0000-0000D80F0000}"/>
    <cellStyle name="20% - Акцент4 142" xfId="4548" xr:uid="{00000000-0005-0000-0000-0000D90F0000}"/>
    <cellStyle name="20% - Акцент4 142 2" xfId="4549" xr:uid="{00000000-0005-0000-0000-0000DA0F0000}"/>
    <cellStyle name="20% - Акцент4 143" xfId="4550" xr:uid="{00000000-0005-0000-0000-0000DB0F0000}"/>
    <cellStyle name="20% - Акцент4 143 2" xfId="4551" xr:uid="{00000000-0005-0000-0000-0000DC0F0000}"/>
    <cellStyle name="20% - Акцент4 144" xfId="4552" xr:uid="{00000000-0005-0000-0000-0000DD0F0000}"/>
    <cellStyle name="20% - Акцент4 144 2" xfId="4553" xr:uid="{00000000-0005-0000-0000-0000DE0F0000}"/>
    <cellStyle name="20% - Акцент4 145" xfId="4554" xr:uid="{00000000-0005-0000-0000-0000DF0F0000}"/>
    <cellStyle name="20% - Акцент4 145 2" xfId="4555" xr:uid="{00000000-0005-0000-0000-0000E00F0000}"/>
    <cellStyle name="20% - Акцент4 146" xfId="4556" xr:uid="{00000000-0005-0000-0000-0000E10F0000}"/>
    <cellStyle name="20% - Акцент4 146 2" xfId="4557" xr:uid="{00000000-0005-0000-0000-0000E20F0000}"/>
    <cellStyle name="20% - Акцент4 147" xfId="4558" xr:uid="{00000000-0005-0000-0000-0000E30F0000}"/>
    <cellStyle name="20% - Акцент4 147 2" xfId="4559" xr:uid="{00000000-0005-0000-0000-0000E40F0000}"/>
    <cellStyle name="20% - Акцент4 148" xfId="4560" xr:uid="{00000000-0005-0000-0000-0000E50F0000}"/>
    <cellStyle name="20% - Акцент4 148 2" xfId="4561" xr:uid="{00000000-0005-0000-0000-0000E60F0000}"/>
    <cellStyle name="20% - Акцент4 149" xfId="4562" xr:uid="{00000000-0005-0000-0000-0000E70F0000}"/>
    <cellStyle name="20% - Акцент4 149 2" xfId="4563" xr:uid="{00000000-0005-0000-0000-0000E80F0000}"/>
    <cellStyle name="20% - Акцент4 15" xfId="4564" xr:uid="{00000000-0005-0000-0000-0000E90F0000}"/>
    <cellStyle name="20% - Акцент4 150" xfId="4565" xr:uid="{00000000-0005-0000-0000-0000EA0F0000}"/>
    <cellStyle name="20% - Акцент4 150 2" xfId="4566" xr:uid="{00000000-0005-0000-0000-0000EB0F0000}"/>
    <cellStyle name="20% - Акцент4 151" xfId="4567" xr:uid="{00000000-0005-0000-0000-0000EC0F0000}"/>
    <cellStyle name="20% - Акцент4 151 2" xfId="4568" xr:uid="{00000000-0005-0000-0000-0000ED0F0000}"/>
    <cellStyle name="20% - Акцент4 152" xfId="4569" xr:uid="{00000000-0005-0000-0000-0000EE0F0000}"/>
    <cellStyle name="20% - Акцент4 152 2" xfId="4570" xr:uid="{00000000-0005-0000-0000-0000EF0F0000}"/>
    <cellStyle name="20% - Акцент4 153" xfId="4571" xr:uid="{00000000-0005-0000-0000-0000F00F0000}"/>
    <cellStyle name="20% - Акцент4 153 2" xfId="4572" xr:uid="{00000000-0005-0000-0000-0000F10F0000}"/>
    <cellStyle name="20% - Акцент4 154" xfId="4573" xr:uid="{00000000-0005-0000-0000-0000F20F0000}"/>
    <cellStyle name="20% - Акцент4 154 2" xfId="4574" xr:uid="{00000000-0005-0000-0000-0000F30F0000}"/>
    <cellStyle name="20% - Акцент4 155" xfId="4575" xr:uid="{00000000-0005-0000-0000-0000F40F0000}"/>
    <cellStyle name="20% - Акцент4 155 2" xfId="4576" xr:uid="{00000000-0005-0000-0000-0000F50F0000}"/>
    <cellStyle name="20% - Акцент4 156" xfId="4577" xr:uid="{00000000-0005-0000-0000-0000F60F0000}"/>
    <cellStyle name="20% - Акцент4 156 2" xfId="4578" xr:uid="{00000000-0005-0000-0000-0000F70F0000}"/>
    <cellStyle name="20% - Акцент4 157" xfId="4579" xr:uid="{00000000-0005-0000-0000-0000F80F0000}"/>
    <cellStyle name="20% - Акцент4 157 2" xfId="4580" xr:uid="{00000000-0005-0000-0000-0000F90F0000}"/>
    <cellStyle name="20% - Акцент4 158" xfId="4581" xr:uid="{00000000-0005-0000-0000-0000FA0F0000}"/>
    <cellStyle name="20% - Акцент4 158 2" xfId="4582" xr:uid="{00000000-0005-0000-0000-0000FB0F0000}"/>
    <cellStyle name="20% - Акцент4 159" xfId="4583" xr:uid="{00000000-0005-0000-0000-0000FC0F0000}"/>
    <cellStyle name="20% - Акцент4 159 2" xfId="4584" xr:uid="{00000000-0005-0000-0000-0000FD0F0000}"/>
    <cellStyle name="20% - Акцент4 16" xfId="4585" xr:uid="{00000000-0005-0000-0000-0000FE0F0000}"/>
    <cellStyle name="20% - Акцент4 160" xfId="4586" xr:uid="{00000000-0005-0000-0000-0000FF0F0000}"/>
    <cellStyle name="20% - Акцент4 160 2" xfId="4587" xr:uid="{00000000-0005-0000-0000-000000100000}"/>
    <cellStyle name="20% - Акцент4 161" xfId="4588" xr:uid="{00000000-0005-0000-0000-000001100000}"/>
    <cellStyle name="20% - Акцент4 161 2" xfId="4589" xr:uid="{00000000-0005-0000-0000-000002100000}"/>
    <cellStyle name="20% - Акцент4 162" xfId="4590" xr:uid="{00000000-0005-0000-0000-000003100000}"/>
    <cellStyle name="20% - Акцент4 162 2" xfId="4591" xr:uid="{00000000-0005-0000-0000-000004100000}"/>
    <cellStyle name="20% - Акцент4 163" xfId="4592" xr:uid="{00000000-0005-0000-0000-000005100000}"/>
    <cellStyle name="20% - Акцент4 163 2" xfId="4593" xr:uid="{00000000-0005-0000-0000-000006100000}"/>
    <cellStyle name="20% - Акцент4 164" xfId="4594" xr:uid="{00000000-0005-0000-0000-000007100000}"/>
    <cellStyle name="20% - Акцент4 164 2" xfId="4595" xr:uid="{00000000-0005-0000-0000-000008100000}"/>
    <cellStyle name="20% - Акцент4 165" xfId="4596" xr:uid="{00000000-0005-0000-0000-000009100000}"/>
    <cellStyle name="20% - Акцент4 165 2" xfId="4597" xr:uid="{00000000-0005-0000-0000-00000A100000}"/>
    <cellStyle name="20% - Акцент4 166" xfId="4598" xr:uid="{00000000-0005-0000-0000-00000B100000}"/>
    <cellStyle name="20% - Акцент4 166 2" xfId="4599" xr:uid="{00000000-0005-0000-0000-00000C100000}"/>
    <cellStyle name="20% - Акцент4 167" xfId="4600" xr:uid="{00000000-0005-0000-0000-00000D100000}"/>
    <cellStyle name="20% - Акцент4 167 2" xfId="4601" xr:uid="{00000000-0005-0000-0000-00000E100000}"/>
    <cellStyle name="20% - Акцент4 168" xfId="4602" xr:uid="{00000000-0005-0000-0000-00000F100000}"/>
    <cellStyle name="20% - Акцент4 168 2" xfId="4603" xr:uid="{00000000-0005-0000-0000-000010100000}"/>
    <cellStyle name="20% - Акцент4 169" xfId="4604" xr:uid="{00000000-0005-0000-0000-000011100000}"/>
    <cellStyle name="20% - Акцент4 169 2" xfId="4605" xr:uid="{00000000-0005-0000-0000-000012100000}"/>
    <cellStyle name="20% - Акцент4 17" xfId="4606" xr:uid="{00000000-0005-0000-0000-000013100000}"/>
    <cellStyle name="20% - Акцент4 170" xfId="4607" xr:uid="{00000000-0005-0000-0000-000014100000}"/>
    <cellStyle name="20% - Акцент4 170 2" xfId="4608" xr:uid="{00000000-0005-0000-0000-000015100000}"/>
    <cellStyle name="20% - Акцент4 171" xfId="4609" xr:uid="{00000000-0005-0000-0000-000016100000}"/>
    <cellStyle name="20% - Акцент4 171 2" xfId="4610" xr:uid="{00000000-0005-0000-0000-000017100000}"/>
    <cellStyle name="20% - Акцент4 172" xfId="4611" xr:uid="{00000000-0005-0000-0000-000018100000}"/>
    <cellStyle name="20% - Акцент4 172 2" xfId="4612" xr:uid="{00000000-0005-0000-0000-000019100000}"/>
    <cellStyle name="20% - Акцент4 173" xfId="4613" xr:uid="{00000000-0005-0000-0000-00001A100000}"/>
    <cellStyle name="20% - Акцент4 173 2" xfId="4614" xr:uid="{00000000-0005-0000-0000-00001B100000}"/>
    <cellStyle name="20% - Акцент4 174" xfId="4615" xr:uid="{00000000-0005-0000-0000-00001C100000}"/>
    <cellStyle name="20% - Акцент4 174 2" xfId="4616" xr:uid="{00000000-0005-0000-0000-00001D100000}"/>
    <cellStyle name="20% - Акцент4 175" xfId="4617" xr:uid="{00000000-0005-0000-0000-00001E100000}"/>
    <cellStyle name="20% - Акцент4 175 2" xfId="4618" xr:uid="{00000000-0005-0000-0000-00001F100000}"/>
    <cellStyle name="20% - Акцент4 176" xfId="4619" xr:uid="{00000000-0005-0000-0000-000020100000}"/>
    <cellStyle name="20% - Акцент4 176 2" xfId="4620" xr:uid="{00000000-0005-0000-0000-000021100000}"/>
    <cellStyle name="20% - Акцент4 177" xfId="4621" xr:uid="{00000000-0005-0000-0000-000022100000}"/>
    <cellStyle name="20% - Акцент4 177 2" xfId="4622" xr:uid="{00000000-0005-0000-0000-000023100000}"/>
    <cellStyle name="20% - Акцент4 178" xfId="4623" xr:uid="{00000000-0005-0000-0000-000024100000}"/>
    <cellStyle name="20% - Акцент4 178 2" xfId="4624" xr:uid="{00000000-0005-0000-0000-000025100000}"/>
    <cellStyle name="20% - Акцент4 179" xfId="4625" xr:uid="{00000000-0005-0000-0000-000026100000}"/>
    <cellStyle name="20% - Акцент4 179 2" xfId="4626" xr:uid="{00000000-0005-0000-0000-000027100000}"/>
    <cellStyle name="20% - Акцент4 18" xfId="4627" xr:uid="{00000000-0005-0000-0000-000028100000}"/>
    <cellStyle name="20% - Акцент4 180" xfId="4628" xr:uid="{00000000-0005-0000-0000-000029100000}"/>
    <cellStyle name="20% - Акцент4 180 2" xfId="4629" xr:uid="{00000000-0005-0000-0000-00002A100000}"/>
    <cellStyle name="20% - Акцент4 181" xfId="4630" xr:uid="{00000000-0005-0000-0000-00002B100000}"/>
    <cellStyle name="20% - Акцент4 181 2" xfId="4631" xr:uid="{00000000-0005-0000-0000-00002C100000}"/>
    <cellStyle name="20% - Акцент4 182" xfId="4632" xr:uid="{00000000-0005-0000-0000-00002D100000}"/>
    <cellStyle name="20% - Акцент4 182 2" xfId="4633" xr:uid="{00000000-0005-0000-0000-00002E100000}"/>
    <cellStyle name="20% - Акцент4 183" xfId="4634" xr:uid="{00000000-0005-0000-0000-00002F100000}"/>
    <cellStyle name="20% - Акцент4 183 2" xfId="4635" xr:uid="{00000000-0005-0000-0000-000030100000}"/>
    <cellStyle name="20% - Акцент4 184" xfId="4636" xr:uid="{00000000-0005-0000-0000-000031100000}"/>
    <cellStyle name="20% - Акцент4 184 2" xfId="4637" xr:uid="{00000000-0005-0000-0000-000032100000}"/>
    <cellStyle name="20% - Акцент4 185" xfId="4638" xr:uid="{00000000-0005-0000-0000-000033100000}"/>
    <cellStyle name="20% - Акцент4 185 2" xfId="4639" xr:uid="{00000000-0005-0000-0000-000034100000}"/>
    <cellStyle name="20% - Акцент4 186" xfId="4640" xr:uid="{00000000-0005-0000-0000-000035100000}"/>
    <cellStyle name="20% - Акцент4 186 2" xfId="4641" xr:uid="{00000000-0005-0000-0000-000036100000}"/>
    <cellStyle name="20% - Акцент4 187" xfId="4642" xr:uid="{00000000-0005-0000-0000-000037100000}"/>
    <cellStyle name="20% - Акцент4 187 2" xfId="4643" xr:uid="{00000000-0005-0000-0000-000038100000}"/>
    <cellStyle name="20% - Акцент4 188" xfId="4644" xr:uid="{00000000-0005-0000-0000-000039100000}"/>
    <cellStyle name="20% - Акцент4 188 2" xfId="4645" xr:uid="{00000000-0005-0000-0000-00003A100000}"/>
    <cellStyle name="20% - Акцент4 189" xfId="4646" xr:uid="{00000000-0005-0000-0000-00003B100000}"/>
    <cellStyle name="20% - Акцент4 189 2" xfId="4647" xr:uid="{00000000-0005-0000-0000-00003C100000}"/>
    <cellStyle name="20% - Акцент4 19" xfId="4648" xr:uid="{00000000-0005-0000-0000-00003D100000}"/>
    <cellStyle name="20% - Акцент4 190" xfId="4649" xr:uid="{00000000-0005-0000-0000-00003E100000}"/>
    <cellStyle name="20% - Акцент4 190 2" xfId="4650" xr:uid="{00000000-0005-0000-0000-00003F100000}"/>
    <cellStyle name="20% - Акцент4 191" xfId="4651" xr:uid="{00000000-0005-0000-0000-000040100000}"/>
    <cellStyle name="20% - Акцент4 191 2" xfId="4652" xr:uid="{00000000-0005-0000-0000-000041100000}"/>
    <cellStyle name="20% - Акцент4 192" xfId="4653" xr:uid="{00000000-0005-0000-0000-000042100000}"/>
    <cellStyle name="20% - Акцент4 192 2" xfId="4654" xr:uid="{00000000-0005-0000-0000-000043100000}"/>
    <cellStyle name="20% - Акцент4 193" xfId="4655" xr:uid="{00000000-0005-0000-0000-000044100000}"/>
    <cellStyle name="20% - Акцент4 193 2" xfId="4656" xr:uid="{00000000-0005-0000-0000-000045100000}"/>
    <cellStyle name="20% - Акцент4 194" xfId="4657" xr:uid="{00000000-0005-0000-0000-000046100000}"/>
    <cellStyle name="20% - Акцент4 194 2" xfId="4658" xr:uid="{00000000-0005-0000-0000-000047100000}"/>
    <cellStyle name="20% - Акцент4 195" xfId="4659" xr:uid="{00000000-0005-0000-0000-000048100000}"/>
    <cellStyle name="20% - Акцент4 195 2" xfId="4660" xr:uid="{00000000-0005-0000-0000-000049100000}"/>
    <cellStyle name="20% - Акцент4 196" xfId="4661" xr:uid="{00000000-0005-0000-0000-00004A100000}"/>
    <cellStyle name="20% - Акцент4 196 2" xfId="4662" xr:uid="{00000000-0005-0000-0000-00004B100000}"/>
    <cellStyle name="20% - Акцент4 197" xfId="4663" xr:uid="{00000000-0005-0000-0000-00004C100000}"/>
    <cellStyle name="20% - Акцент4 197 2" xfId="4664" xr:uid="{00000000-0005-0000-0000-00004D100000}"/>
    <cellStyle name="20% - Акцент4 198" xfId="4665" xr:uid="{00000000-0005-0000-0000-00004E100000}"/>
    <cellStyle name="20% - Акцент4 198 2" xfId="4666" xr:uid="{00000000-0005-0000-0000-00004F100000}"/>
    <cellStyle name="20% - Акцент4 199" xfId="4667" xr:uid="{00000000-0005-0000-0000-000050100000}"/>
    <cellStyle name="20% - Акцент4 199 2" xfId="4668" xr:uid="{00000000-0005-0000-0000-000051100000}"/>
    <cellStyle name="20% - Акцент4 2" xfId="4669" xr:uid="{00000000-0005-0000-0000-000052100000}"/>
    <cellStyle name="20% - Акцент4 2 2" xfId="4670" xr:uid="{00000000-0005-0000-0000-000053100000}"/>
    <cellStyle name="20% - Акцент4 2 2 2" xfId="4671" xr:uid="{00000000-0005-0000-0000-000054100000}"/>
    <cellStyle name="20% - Акцент4 2 3" xfId="4672" xr:uid="{00000000-0005-0000-0000-000055100000}"/>
    <cellStyle name="20% - Акцент4 2 4" xfId="4673" xr:uid="{00000000-0005-0000-0000-000056100000}"/>
    <cellStyle name="20% - Акцент4 2 5" xfId="4674" xr:uid="{00000000-0005-0000-0000-000057100000}"/>
    <cellStyle name="20% - Акцент4 2 6" xfId="4675" xr:uid="{00000000-0005-0000-0000-000058100000}"/>
    <cellStyle name="20% - Акцент4 2 7" xfId="4676" xr:uid="{00000000-0005-0000-0000-000059100000}"/>
    <cellStyle name="20% - Акцент4 20" xfId="4677" xr:uid="{00000000-0005-0000-0000-00005A100000}"/>
    <cellStyle name="20% - Акцент4 20 2" xfId="4678" xr:uid="{00000000-0005-0000-0000-00005B100000}"/>
    <cellStyle name="20% - Акцент4 200" xfId="4679" xr:uid="{00000000-0005-0000-0000-00005C100000}"/>
    <cellStyle name="20% - Акцент4 200 2" xfId="4680" xr:uid="{00000000-0005-0000-0000-00005D100000}"/>
    <cellStyle name="20% - Акцент4 201" xfId="4681" xr:uid="{00000000-0005-0000-0000-00005E100000}"/>
    <cellStyle name="20% - Акцент4 201 2" xfId="4682" xr:uid="{00000000-0005-0000-0000-00005F100000}"/>
    <cellStyle name="20% - Акцент4 202" xfId="4683" xr:uid="{00000000-0005-0000-0000-000060100000}"/>
    <cellStyle name="20% - Акцент4 202 2" xfId="4684" xr:uid="{00000000-0005-0000-0000-000061100000}"/>
    <cellStyle name="20% - Акцент4 203" xfId="4685" xr:uid="{00000000-0005-0000-0000-000062100000}"/>
    <cellStyle name="20% - Акцент4 203 2" xfId="4686" xr:uid="{00000000-0005-0000-0000-000063100000}"/>
    <cellStyle name="20% - Акцент4 204" xfId="4687" xr:uid="{00000000-0005-0000-0000-000064100000}"/>
    <cellStyle name="20% - Акцент4 204 2" xfId="4688" xr:uid="{00000000-0005-0000-0000-000065100000}"/>
    <cellStyle name="20% - Акцент4 205" xfId="4689" xr:uid="{00000000-0005-0000-0000-000066100000}"/>
    <cellStyle name="20% - Акцент4 205 2" xfId="4690" xr:uid="{00000000-0005-0000-0000-000067100000}"/>
    <cellStyle name="20% - Акцент4 206" xfId="4691" xr:uid="{00000000-0005-0000-0000-000068100000}"/>
    <cellStyle name="20% - Акцент4 206 2" xfId="4692" xr:uid="{00000000-0005-0000-0000-000069100000}"/>
    <cellStyle name="20% - Акцент4 207" xfId="4693" xr:uid="{00000000-0005-0000-0000-00006A100000}"/>
    <cellStyle name="20% - Акцент4 207 2" xfId="4694" xr:uid="{00000000-0005-0000-0000-00006B100000}"/>
    <cellStyle name="20% - Акцент4 208" xfId="4695" xr:uid="{00000000-0005-0000-0000-00006C100000}"/>
    <cellStyle name="20% - Акцент4 208 2" xfId="4696" xr:uid="{00000000-0005-0000-0000-00006D100000}"/>
    <cellStyle name="20% - Акцент4 209" xfId="4697" xr:uid="{00000000-0005-0000-0000-00006E100000}"/>
    <cellStyle name="20% - Акцент4 209 2" xfId="4698" xr:uid="{00000000-0005-0000-0000-00006F100000}"/>
    <cellStyle name="20% - Акцент4 21" xfId="4699" xr:uid="{00000000-0005-0000-0000-000070100000}"/>
    <cellStyle name="20% - Акцент4 21 2" xfId="4700" xr:uid="{00000000-0005-0000-0000-000071100000}"/>
    <cellStyle name="20% - Акцент4 210" xfId="4701" xr:uid="{00000000-0005-0000-0000-000072100000}"/>
    <cellStyle name="20% - Акцент4 210 2" xfId="4702" xr:uid="{00000000-0005-0000-0000-000073100000}"/>
    <cellStyle name="20% - Акцент4 211" xfId="4703" xr:uid="{00000000-0005-0000-0000-000074100000}"/>
    <cellStyle name="20% - Акцент4 211 2" xfId="4704" xr:uid="{00000000-0005-0000-0000-000075100000}"/>
    <cellStyle name="20% - Акцент4 212" xfId="4705" xr:uid="{00000000-0005-0000-0000-000076100000}"/>
    <cellStyle name="20% - Акцент4 212 2" xfId="4706" xr:uid="{00000000-0005-0000-0000-000077100000}"/>
    <cellStyle name="20% - Акцент4 213" xfId="4707" xr:uid="{00000000-0005-0000-0000-000078100000}"/>
    <cellStyle name="20% - Акцент4 213 2" xfId="4708" xr:uid="{00000000-0005-0000-0000-000079100000}"/>
    <cellStyle name="20% - Акцент4 214" xfId="4709" xr:uid="{00000000-0005-0000-0000-00007A100000}"/>
    <cellStyle name="20% - Акцент4 214 2" xfId="4710" xr:uid="{00000000-0005-0000-0000-00007B100000}"/>
    <cellStyle name="20% - Акцент4 215" xfId="4711" xr:uid="{00000000-0005-0000-0000-00007C100000}"/>
    <cellStyle name="20% - Акцент4 215 2" xfId="4712" xr:uid="{00000000-0005-0000-0000-00007D100000}"/>
    <cellStyle name="20% - Акцент4 216" xfId="4713" xr:uid="{00000000-0005-0000-0000-00007E100000}"/>
    <cellStyle name="20% - Акцент4 216 2" xfId="4714" xr:uid="{00000000-0005-0000-0000-00007F100000}"/>
    <cellStyle name="20% - Акцент4 217" xfId="4715" xr:uid="{00000000-0005-0000-0000-000080100000}"/>
    <cellStyle name="20% - Акцент4 217 2" xfId="4716" xr:uid="{00000000-0005-0000-0000-000081100000}"/>
    <cellStyle name="20% - Акцент4 217 3" xfId="4717" xr:uid="{00000000-0005-0000-0000-000082100000}"/>
    <cellStyle name="20% - Акцент4 218" xfId="4718" xr:uid="{00000000-0005-0000-0000-000083100000}"/>
    <cellStyle name="20% - Акцент4 219" xfId="4719" xr:uid="{00000000-0005-0000-0000-000084100000}"/>
    <cellStyle name="20% - Акцент4 22" xfId="4720" xr:uid="{00000000-0005-0000-0000-000085100000}"/>
    <cellStyle name="20% - Акцент4 22 2" xfId="4721" xr:uid="{00000000-0005-0000-0000-000086100000}"/>
    <cellStyle name="20% - Акцент4 220" xfId="4722" xr:uid="{00000000-0005-0000-0000-000087100000}"/>
    <cellStyle name="20% - Акцент4 221" xfId="4723" xr:uid="{00000000-0005-0000-0000-000088100000}"/>
    <cellStyle name="20% - Акцент4 222" xfId="4724" xr:uid="{00000000-0005-0000-0000-000089100000}"/>
    <cellStyle name="20% - Акцент4 223" xfId="4725" xr:uid="{00000000-0005-0000-0000-00008A100000}"/>
    <cellStyle name="20% - Акцент4 224" xfId="4726" xr:uid="{00000000-0005-0000-0000-00008B100000}"/>
    <cellStyle name="20% - Акцент4 225" xfId="4727" xr:uid="{00000000-0005-0000-0000-00008C100000}"/>
    <cellStyle name="20% - Акцент4 226" xfId="4728" xr:uid="{00000000-0005-0000-0000-00008D100000}"/>
    <cellStyle name="20% - Акцент4 227" xfId="4729" xr:uid="{00000000-0005-0000-0000-00008E100000}"/>
    <cellStyle name="20% - Акцент4 228" xfId="4730" xr:uid="{00000000-0005-0000-0000-00008F100000}"/>
    <cellStyle name="20% - Акцент4 229" xfId="4731" xr:uid="{00000000-0005-0000-0000-000090100000}"/>
    <cellStyle name="20% - Акцент4 23" xfId="4732" xr:uid="{00000000-0005-0000-0000-000091100000}"/>
    <cellStyle name="20% - Акцент4 23 2" xfId="4733" xr:uid="{00000000-0005-0000-0000-000092100000}"/>
    <cellStyle name="20% - Акцент4 230" xfId="4734" xr:uid="{00000000-0005-0000-0000-000093100000}"/>
    <cellStyle name="20% - Акцент4 231" xfId="4735" xr:uid="{00000000-0005-0000-0000-000094100000}"/>
    <cellStyle name="20% - Акцент4 232" xfId="4736" xr:uid="{00000000-0005-0000-0000-000095100000}"/>
    <cellStyle name="20% - Акцент4 233" xfId="4737" xr:uid="{00000000-0005-0000-0000-000096100000}"/>
    <cellStyle name="20% - Акцент4 234" xfId="4738" xr:uid="{00000000-0005-0000-0000-000097100000}"/>
    <cellStyle name="20% - Акцент4 235" xfId="4739" xr:uid="{00000000-0005-0000-0000-000098100000}"/>
    <cellStyle name="20% - Акцент4 236" xfId="4740" xr:uid="{00000000-0005-0000-0000-000099100000}"/>
    <cellStyle name="20% - Акцент4 237" xfId="4741" xr:uid="{00000000-0005-0000-0000-00009A100000}"/>
    <cellStyle name="20% - Акцент4 238" xfId="4742" xr:uid="{00000000-0005-0000-0000-00009B100000}"/>
    <cellStyle name="20% - Акцент4 239" xfId="4743" xr:uid="{00000000-0005-0000-0000-00009C100000}"/>
    <cellStyle name="20% - Акцент4 24" xfId="4744" xr:uid="{00000000-0005-0000-0000-00009D100000}"/>
    <cellStyle name="20% - Акцент4 24 2" xfId="4745" xr:uid="{00000000-0005-0000-0000-00009E100000}"/>
    <cellStyle name="20% - Акцент4 240" xfId="4746" xr:uid="{00000000-0005-0000-0000-00009F100000}"/>
    <cellStyle name="20% - Акцент4 241" xfId="4747" xr:uid="{00000000-0005-0000-0000-0000A0100000}"/>
    <cellStyle name="20% - Акцент4 242" xfId="4748" xr:uid="{00000000-0005-0000-0000-0000A1100000}"/>
    <cellStyle name="20% - Акцент4 243" xfId="4749" xr:uid="{00000000-0005-0000-0000-0000A2100000}"/>
    <cellStyle name="20% - Акцент4 244" xfId="4750" xr:uid="{00000000-0005-0000-0000-0000A3100000}"/>
    <cellStyle name="20% - Акцент4 245" xfId="4751" xr:uid="{00000000-0005-0000-0000-0000A4100000}"/>
    <cellStyle name="20% - Акцент4 246" xfId="4752" xr:uid="{00000000-0005-0000-0000-0000A5100000}"/>
    <cellStyle name="20% - Акцент4 247" xfId="4753" xr:uid="{00000000-0005-0000-0000-0000A6100000}"/>
    <cellStyle name="20% - Акцент4 248" xfId="4754" xr:uid="{00000000-0005-0000-0000-0000A7100000}"/>
    <cellStyle name="20% - Акцент4 249" xfId="4755" xr:uid="{00000000-0005-0000-0000-0000A8100000}"/>
    <cellStyle name="20% - Акцент4 25" xfId="4756" xr:uid="{00000000-0005-0000-0000-0000A9100000}"/>
    <cellStyle name="20% - Акцент4 25 2" xfId="4757" xr:uid="{00000000-0005-0000-0000-0000AA100000}"/>
    <cellStyle name="20% - Акцент4 250" xfId="4758" xr:uid="{00000000-0005-0000-0000-0000AB100000}"/>
    <cellStyle name="20% - Акцент4 251" xfId="4759" xr:uid="{00000000-0005-0000-0000-0000AC100000}"/>
    <cellStyle name="20% - Акцент4 252" xfId="4760" xr:uid="{00000000-0005-0000-0000-0000AD100000}"/>
    <cellStyle name="20% - Акцент4 253" xfId="4761" xr:uid="{00000000-0005-0000-0000-0000AE100000}"/>
    <cellStyle name="20% - Акцент4 254" xfId="4762" xr:uid="{00000000-0005-0000-0000-0000AF100000}"/>
    <cellStyle name="20% - Акцент4 255" xfId="4763" xr:uid="{00000000-0005-0000-0000-0000B0100000}"/>
    <cellStyle name="20% - Акцент4 26" xfId="4764" xr:uid="{00000000-0005-0000-0000-0000B1100000}"/>
    <cellStyle name="20% - Акцент4 26 2" xfId="4765" xr:uid="{00000000-0005-0000-0000-0000B2100000}"/>
    <cellStyle name="20% - Акцент4 27" xfId="4766" xr:uid="{00000000-0005-0000-0000-0000B3100000}"/>
    <cellStyle name="20% - Акцент4 27 2" xfId="4767" xr:uid="{00000000-0005-0000-0000-0000B4100000}"/>
    <cellStyle name="20% - Акцент4 28" xfId="4768" xr:uid="{00000000-0005-0000-0000-0000B5100000}"/>
    <cellStyle name="20% - Акцент4 28 2" xfId="4769" xr:uid="{00000000-0005-0000-0000-0000B6100000}"/>
    <cellStyle name="20% - Акцент4 29" xfId="4770" xr:uid="{00000000-0005-0000-0000-0000B7100000}"/>
    <cellStyle name="20% - Акцент4 29 2" xfId="4771" xr:uid="{00000000-0005-0000-0000-0000B8100000}"/>
    <cellStyle name="20% - Акцент4 3" xfId="4772" xr:uid="{00000000-0005-0000-0000-0000B9100000}"/>
    <cellStyle name="20% - Акцент4 30" xfId="4773" xr:uid="{00000000-0005-0000-0000-0000BA100000}"/>
    <cellStyle name="20% - Акцент4 30 2" xfId="4774" xr:uid="{00000000-0005-0000-0000-0000BB100000}"/>
    <cellStyle name="20% - Акцент4 31" xfId="4775" xr:uid="{00000000-0005-0000-0000-0000BC100000}"/>
    <cellStyle name="20% - Акцент4 31 2" xfId="4776" xr:uid="{00000000-0005-0000-0000-0000BD100000}"/>
    <cellStyle name="20% - Акцент4 32" xfId="4777" xr:uid="{00000000-0005-0000-0000-0000BE100000}"/>
    <cellStyle name="20% - Акцент4 32 2" xfId="4778" xr:uid="{00000000-0005-0000-0000-0000BF100000}"/>
    <cellStyle name="20% - Акцент4 33" xfId="4779" xr:uid="{00000000-0005-0000-0000-0000C0100000}"/>
    <cellStyle name="20% - Акцент4 33 2" xfId="4780" xr:uid="{00000000-0005-0000-0000-0000C1100000}"/>
    <cellStyle name="20% - Акцент4 34" xfId="4781" xr:uid="{00000000-0005-0000-0000-0000C2100000}"/>
    <cellStyle name="20% - Акцент4 34 2" xfId="4782" xr:uid="{00000000-0005-0000-0000-0000C3100000}"/>
    <cellStyle name="20% - Акцент4 35" xfId="4783" xr:uid="{00000000-0005-0000-0000-0000C4100000}"/>
    <cellStyle name="20% - Акцент4 35 2" xfId="4784" xr:uid="{00000000-0005-0000-0000-0000C5100000}"/>
    <cellStyle name="20% - Акцент4 36" xfId="4785" xr:uid="{00000000-0005-0000-0000-0000C6100000}"/>
    <cellStyle name="20% - Акцент4 36 2" xfId="4786" xr:uid="{00000000-0005-0000-0000-0000C7100000}"/>
    <cellStyle name="20% - Акцент4 37" xfId="4787" xr:uid="{00000000-0005-0000-0000-0000C8100000}"/>
    <cellStyle name="20% - Акцент4 37 2" xfId="4788" xr:uid="{00000000-0005-0000-0000-0000C9100000}"/>
    <cellStyle name="20% - Акцент4 38" xfId="4789" xr:uid="{00000000-0005-0000-0000-0000CA100000}"/>
    <cellStyle name="20% - Акцент4 38 2" xfId="4790" xr:uid="{00000000-0005-0000-0000-0000CB100000}"/>
    <cellStyle name="20% - Акцент4 39" xfId="4791" xr:uid="{00000000-0005-0000-0000-0000CC100000}"/>
    <cellStyle name="20% - Акцент4 39 2" xfId="4792" xr:uid="{00000000-0005-0000-0000-0000CD100000}"/>
    <cellStyle name="20% - Акцент4 4" xfId="4793" xr:uid="{00000000-0005-0000-0000-0000CE100000}"/>
    <cellStyle name="20% - Акцент4 40" xfId="4794" xr:uid="{00000000-0005-0000-0000-0000CF100000}"/>
    <cellStyle name="20% - Акцент4 40 2" xfId="4795" xr:uid="{00000000-0005-0000-0000-0000D0100000}"/>
    <cellStyle name="20% - Акцент4 41" xfId="4796" xr:uid="{00000000-0005-0000-0000-0000D1100000}"/>
    <cellStyle name="20% - Акцент4 41 2" xfId="4797" xr:uid="{00000000-0005-0000-0000-0000D2100000}"/>
    <cellStyle name="20% - Акцент4 42" xfId="4798" xr:uid="{00000000-0005-0000-0000-0000D3100000}"/>
    <cellStyle name="20% - Акцент4 42 2" xfId="4799" xr:uid="{00000000-0005-0000-0000-0000D4100000}"/>
    <cellStyle name="20% - Акцент4 43" xfId="4800" xr:uid="{00000000-0005-0000-0000-0000D5100000}"/>
    <cellStyle name="20% - Акцент4 43 2" xfId="4801" xr:uid="{00000000-0005-0000-0000-0000D6100000}"/>
    <cellStyle name="20% - Акцент4 44" xfId="4802" xr:uid="{00000000-0005-0000-0000-0000D7100000}"/>
    <cellStyle name="20% - Акцент4 44 2" xfId="4803" xr:uid="{00000000-0005-0000-0000-0000D8100000}"/>
    <cellStyle name="20% - Акцент4 45" xfId="4804" xr:uid="{00000000-0005-0000-0000-0000D9100000}"/>
    <cellStyle name="20% - Акцент4 45 2" xfId="4805" xr:uid="{00000000-0005-0000-0000-0000DA100000}"/>
    <cellStyle name="20% - Акцент4 46" xfId="4806" xr:uid="{00000000-0005-0000-0000-0000DB100000}"/>
    <cellStyle name="20% - Акцент4 46 2" xfId="4807" xr:uid="{00000000-0005-0000-0000-0000DC100000}"/>
    <cellStyle name="20% - Акцент4 47" xfId="4808" xr:uid="{00000000-0005-0000-0000-0000DD100000}"/>
    <cellStyle name="20% - Акцент4 47 2" xfId="4809" xr:uid="{00000000-0005-0000-0000-0000DE100000}"/>
    <cellStyle name="20% - Акцент4 48" xfId="4810" xr:uid="{00000000-0005-0000-0000-0000DF100000}"/>
    <cellStyle name="20% - Акцент4 48 2" xfId="4811" xr:uid="{00000000-0005-0000-0000-0000E0100000}"/>
    <cellStyle name="20% - Акцент4 49" xfId="4812" xr:uid="{00000000-0005-0000-0000-0000E1100000}"/>
    <cellStyle name="20% - Акцент4 49 2" xfId="4813" xr:uid="{00000000-0005-0000-0000-0000E2100000}"/>
    <cellStyle name="20% - Акцент4 5" xfId="4814" xr:uid="{00000000-0005-0000-0000-0000E3100000}"/>
    <cellStyle name="20% - Акцент4 50" xfId="4815" xr:uid="{00000000-0005-0000-0000-0000E4100000}"/>
    <cellStyle name="20% - Акцент4 50 2" xfId="4816" xr:uid="{00000000-0005-0000-0000-0000E5100000}"/>
    <cellStyle name="20% - Акцент4 51" xfId="4817" xr:uid="{00000000-0005-0000-0000-0000E6100000}"/>
    <cellStyle name="20% - Акцент4 51 2" xfId="4818" xr:uid="{00000000-0005-0000-0000-0000E7100000}"/>
    <cellStyle name="20% - Акцент4 52" xfId="4819" xr:uid="{00000000-0005-0000-0000-0000E8100000}"/>
    <cellStyle name="20% - Акцент4 52 2" xfId="4820" xr:uid="{00000000-0005-0000-0000-0000E9100000}"/>
    <cellStyle name="20% - Акцент4 53" xfId="4821" xr:uid="{00000000-0005-0000-0000-0000EA100000}"/>
    <cellStyle name="20% - Акцент4 53 2" xfId="4822" xr:uid="{00000000-0005-0000-0000-0000EB100000}"/>
    <cellStyle name="20% - Акцент4 54" xfId="4823" xr:uid="{00000000-0005-0000-0000-0000EC100000}"/>
    <cellStyle name="20% - Акцент4 54 2" xfId="4824" xr:uid="{00000000-0005-0000-0000-0000ED100000}"/>
    <cellStyle name="20% - Акцент4 55" xfId="4825" xr:uid="{00000000-0005-0000-0000-0000EE100000}"/>
    <cellStyle name="20% - Акцент4 55 2" xfId="4826" xr:uid="{00000000-0005-0000-0000-0000EF100000}"/>
    <cellStyle name="20% - Акцент4 56" xfId="4827" xr:uid="{00000000-0005-0000-0000-0000F0100000}"/>
    <cellStyle name="20% - Акцент4 56 2" xfId="4828" xr:uid="{00000000-0005-0000-0000-0000F1100000}"/>
    <cellStyle name="20% - Акцент4 57" xfId="4829" xr:uid="{00000000-0005-0000-0000-0000F2100000}"/>
    <cellStyle name="20% - Акцент4 57 2" xfId="4830" xr:uid="{00000000-0005-0000-0000-0000F3100000}"/>
    <cellStyle name="20% - Акцент4 58" xfId="4831" xr:uid="{00000000-0005-0000-0000-0000F4100000}"/>
    <cellStyle name="20% - Акцент4 58 2" xfId="4832" xr:uid="{00000000-0005-0000-0000-0000F5100000}"/>
    <cellStyle name="20% - Акцент4 59" xfId="4833" xr:uid="{00000000-0005-0000-0000-0000F6100000}"/>
    <cellStyle name="20% - Акцент4 59 2" xfId="4834" xr:uid="{00000000-0005-0000-0000-0000F7100000}"/>
    <cellStyle name="20% - Акцент4 6" xfId="4835" xr:uid="{00000000-0005-0000-0000-0000F8100000}"/>
    <cellStyle name="20% - Акцент4 60" xfId="4836" xr:uid="{00000000-0005-0000-0000-0000F9100000}"/>
    <cellStyle name="20% - Акцент4 60 2" xfId="4837" xr:uid="{00000000-0005-0000-0000-0000FA100000}"/>
    <cellStyle name="20% - Акцент4 61" xfId="4838" xr:uid="{00000000-0005-0000-0000-0000FB100000}"/>
    <cellStyle name="20% - Акцент4 61 2" xfId="4839" xr:uid="{00000000-0005-0000-0000-0000FC100000}"/>
    <cellStyle name="20% - Акцент4 62" xfId="4840" xr:uid="{00000000-0005-0000-0000-0000FD100000}"/>
    <cellStyle name="20% - Акцент4 62 2" xfId="4841" xr:uid="{00000000-0005-0000-0000-0000FE100000}"/>
    <cellStyle name="20% - Акцент4 63" xfId="4842" xr:uid="{00000000-0005-0000-0000-0000FF100000}"/>
    <cellStyle name="20% - Акцент4 63 2" xfId="4843" xr:uid="{00000000-0005-0000-0000-000000110000}"/>
    <cellStyle name="20% - Акцент4 64" xfId="4844" xr:uid="{00000000-0005-0000-0000-000001110000}"/>
    <cellStyle name="20% - Акцент4 64 2" xfId="4845" xr:uid="{00000000-0005-0000-0000-000002110000}"/>
    <cellStyle name="20% - Акцент4 65" xfId="4846" xr:uid="{00000000-0005-0000-0000-000003110000}"/>
    <cellStyle name="20% - Акцент4 65 2" xfId="4847" xr:uid="{00000000-0005-0000-0000-000004110000}"/>
    <cellStyle name="20% - Акцент4 66" xfId="4848" xr:uid="{00000000-0005-0000-0000-000005110000}"/>
    <cellStyle name="20% - Акцент4 66 2" xfId="4849" xr:uid="{00000000-0005-0000-0000-000006110000}"/>
    <cellStyle name="20% - Акцент4 67" xfId="4850" xr:uid="{00000000-0005-0000-0000-000007110000}"/>
    <cellStyle name="20% - Акцент4 67 2" xfId="4851" xr:uid="{00000000-0005-0000-0000-000008110000}"/>
    <cellStyle name="20% - Акцент4 68" xfId="4852" xr:uid="{00000000-0005-0000-0000-000009110000}"/>
    <cellStyle name="20% - Акцент4 68 2" xfId="4853" xr:uid="{00000000-0005-0000-0000-00000A110000}"/>
    <cellStyle name="20% - Акцент4 69" xfId="4854" xr:uid="{00000000-0005-0000-0000-00000B110000}"/>
    <cellStyle name="20% - Акцент4 69 2" xfId="4855" xr:uid="{00000000-0005-0000-0000-00000C110000}"/>
    <cellStyle name="20% - Акцент4 7" xfId="4856" xr:uid="{00000000-0005-0000-0000-00000D110000}"/>
    <cellStyle name="20% - Акцент4 70" xfId="4857" xr:uid="{00000000-0005-0000-0000-00000E110000}"/>
    <cellStyle name="20% - Акцент4 70 2" xfId="4858" xr:uid="{00000000-0005-0000-0000-00000F110000}"/>
    <cellStyle name="20% - Акцент4 71" xfId="4859" xr:uid="{00000000-0005-0000-0000-000010110000}"/>
    <cellStyle name="20% - Акцент4 71 2" xfId="4860" xr:uid="{00000000-0005-0000-0000-000011110000}"/>
    <cellStyle name="20% - Акцент4 72" xfId="4861" xr:uid="{00000000-0005-0000-0000-000012110000}"/>
    <cellStyle name="20% - Акцент4 72 2" xfId="4862" xr:uid="{00000000-0005-0000-0000-000013110000}"/>
    <cellStyle name="20% - Акцент4 73" xfId="4863" xr:uid="{00000000-0005-0000-0000-000014110000}"/>
    <cellStyle name="20% - Акцент4 73 2" xfId="4864" xr:uid="{00000000-0005-0000-0000-000015110000}"/>
    <cellStyle name="20% - Акцент4 74" xfId="4865" xr:uid="{00000000-0005-0000-0000-000016110000}"/>
    <cellStyle name="20% - Акцент4 74 2" xfId="4866" xr:uid="{00000000-0005-0000-0000-000017110000}"/>
    <cellStyle name="20% - Акцент4 75" xfId="4867" xr:uid="{00000000-0005-0000-0000-000018110000}"/>
    <cellStyle name="20% - Акцент4 75 2" xfId="4868" xr:uid="{00000000-0005-0000-0000-000019110000}"/>
    <cellStyle name="20% - Акцент4 76" xfId="4869" xr:uid="{00000000-0005-0000-0000-00001A110000}"/>
    <cellStyle name="20% - Акцент4 76 2" xfId="4870" xr:uid="{00000000-0005-0000-0000-00001B110000}"/>
    <cellStyle name="20% - Акцент4 77" xfId="4871" xr:uid="{00000000-0005-0000-0000-00001C110000}"/>
    <cellStyle name="20% - Акцент4 77 2" xfId="4872" xr:uid="{00000000-0005-0000-0000-00001D110000}"/>
    <cellStyle name="20% - Акцент4 78" xfId="4873" xr:uid="{00000000-0005-0000-0000-00001E110000}"/>
    <cellStyle name="20% - Акцент4 78 2" xfId="4874" xr:uid="{00000000-0005-0000-0000-00001F110000}"/>
    <cellStyle name="20% - Акцент4 79" xfId="4875" xr:uid="{00000000-0005-0000-0000-000020110000}"/>
    <cellStyle name="20% - Акцент4 79 2" xfId="4876" xr:uid="{00000000-0005-0000-0000-000021110000}"/>
    <cellStyle name="20% - Акцент4 8" xfId="4877" xr:uid="{00000000-0005-0000-0000-000022110000}"/>
    <cellStyle name="20% - Акцент4 80" xfId="4878" xr:uid="{00000000-0005-0000-0000-000023110000}"/>
    <cellStyle name="20% - Акцент4 80 2" xfId="4879" xr:uid="{00000000-0005-0000-0000-000024110000}"/>
    <cellStyle name="20% - Акцент4 81" xfId="4880" xr:uid="{00000000-0005-0000-0000-000025110000}"/>
    <cellStyle name="20% - Акцент4 81 2" xfId="4881" xr:uid="{00000000-0005-0000-0000-000026110000}"/>
    <cellStyle name="20% - Акцент4 82" xfId="4882" xr:uid="{00000000-0005-0000-0000-000027110000}"/>
    <cellStyle name="20% - Акцент4 82 2" xfId="4883" xr:uid="{00000000-0005-0000-0000-000028110000}"/>
    <cellStyle name="20% - Акцент4 83" xfId="4884" xr:uid="{00000000-0005-0000-0000-000029110000}"/>
    <cellStyle name="20% - Акцент4 83 2" xfId="4885" xr:uid="{00000000-0005-0000-0000-00002A110000}"/>
    <cellStyle name="20% - Акцент4 84" xfId="4886" xr:uid="{00000000-0005-0000-0000-00002B110000}"/>
    <cellStyle name="20% - Акцент4 84 2" xfId="4887" xr:uid="{00000000-0005-0000-0000-00002C110000}"/>
    <cellStyle name="20% - Акцент4 85" xfId="4888" xr:uid="{00000000-0005-0000-0000-00002D110000}"/>
    <cellStyle name="20% - Акцент4 85 2" xfId="4889" xr:uid="{00000000-0005-0000-0000-00002E110000}"/>
    <cellStyle name="20% - Акцент4 86" xfId="4890" xr:uid="{00000000-0005-0000-0000-00002F110000}"/>
    <cellStyle name="20% - Акцент4 86 2" xfId="4891" xr:uid="{00000000-0005-0000-0000-000030110000}"/>
    <cellStyle name="20% - Акцент4 87" xfId="4892" xr:uid="{00000000-0005-0000-0000-000031110000}"/>
    <cellStyle name="20% - Акцент4 87 2" xfId="4893" xr:uid="{00000000-0005-0000-0000-000032110000}"/>
    <cellStyle name="20% - Акцент4 88" xfId="4894" xr:uid="{00000000-0005-0000-0000-000033110000}"/>
    <cellStyle name="20% - Акцент4 88 2" xfId="4895" xr:uid="{00000000-0005-0000-0000-000034110000}"/>
    <cellStyle name="20% - Акцент4 89" xfId="4896" xr:uid="{00000000-0005-0000-0000-000035110000}"/>
    <cellStyle name="20% - Акцент4 89 2" xfId="4897" xr:uid="{00000000-0005-0000-0000-000036110000}"/>
    <cellStyle name="20% - Акцент4 9" xfId="4898" xr:uid="{00000000-0005-0000-0000-000037110000}"/>
    <cellStyle name="20% - Акцент4 90" xfId="4899" xr:uid="{00000000-0005-0000-0000-000038110000}"/>
    <cellStyle name="20% - Акцент4 90 2" xfId="4900" xr:uid="{00000000-0005-0000-0000-000039110000}"/>
    <cellStyle name="20% - Акцент4 91" xfId="4901" xr:uid="{00000000-0005-0000-0000-00003A110000}"/>
    <cellStyle name="20% - Акцент4 91 2" xfId="4902" xr:uid="{00000000-0005-0000-0000-00003B110000}"/>
    <cellStyle name="20% - Акцент4 92" xfId="4903" xr:uid="{00000000-0005-0000-0000-00003C110000}"/>
    <cellStyle name="20% - Акцент4 92 2" xfId="4904" xr:uid="{00000000-0005-0000-0000-00003D110000}"/>
    <cellStyle name="20% - Акцент4 93" xfId="4905" xr:uid="{00000000-0005-0000-0000-00003E110000}"/>
    <cellStyle name="20% - Акцент4 93 2" xfId="4906" xr:uid="{00000000-0005-0000-0000-00003F110000}"/>
    <cellStyle name="20% - Акцент4 94" xfId="4907" xr:uid="{00000000-0005-0000-0000-000040110000}"/>
    <cellStyle name="20% - Акцент4 94 2" xfId="4908" xr:uid="{00000000-0005-0000-0000-000041110000}"/>
    <cellStyle name="20% - Акцент4 95" xfId="4909" xr:uid="{00000000-0005-0000-0000-000042110000}"/>
    <cellStyle name="20% - Акцент4 95 2" xfId="4910" xr:uid="{00000000-0005-0000-0000-000043110000}"/>
    <cellStyle name="20% - Акцент4 96" xfId="4911" xr:uid="{00000000-0005-0000-0000-000044110000}"/>
    <cellStyle name="20% - Акцент4 96 2" xfId="4912" xr:uid="{00000000-0005-0000-0000-000045110000}"/>
    <cellStyle name="20% - Акцент4 97" xfId="4913" xr:uid="{00000000-0005-0000-0000-000046110000}"/>
    <cellStyle name="20% - Акцент4 97 2" xfId="4914" xr:uid="{00000000-0005-0000-0000-000047110000}"/>
    <cellStyle name="20% - Акцент4 98" xfId="4915" xr:uid="{00000000-0005-0000-0000-000048110000}"/>
    <cellStyle name="20% - Акцент4 98 2" xfId="4916" xr:uid="{00000000-0005-0000-0000-000049110000}"/>
    <cellStyle name="20% - Акцент4 99" xfId="4917" xr:uid="{00000000-0005-0000-0000-00004A110000}"/>
    <cellStyle name="20% - Акцент4 99 2" xfId="4918" xr:uid="{00000000-0005-0000-0000-00004B110000}"/>
    <cellStyle name="20% - Акцент5 10" xfId="4919" xr:uid="{00000000-0005-0000-0000-00004C110000}"/>
    <cellStyle name="20% - Акцент5 100" xfId="4920" xr:uid="{00000000-0005-0000-0000-00004D110000}"/>
    <cellStyle name="20% - Акцент5 100 2" xfId="4921" xr:uid="{00000000-0005-0000-0000-00004E110000}"/>
    <cellStyle name="20% - Акцент5 101" xfId="4922" xr:uid="{00000000-0005-0000-0000-00004F110000}"/>
    <cellStyle name="20% - Акцент5 101 2" xfId="4923" xr:uid="{00000000-0005-0000-0000-000050110000}"/>
    <cellStyle name="20% - Акцент5 102" xfId="4924" xr:uid="{00000000-0005-0000-0000-000051110000}"/>
    <cellStyle name="20% - Акцент5 102 2" xfId="4925" xr:uid="{00000000-0005-0000-0000-000052110000}"/>
    <cellStyle name="20% - Акцент5 103" xfId="4926" xr:uid="{00000000-0005-0000-0000-000053110000}"/>
    <cellStyle name="20% - Акцент5 103 2" xfId="4927" xr:uid="{00000000-0005-0000-0000-000054110000}"/>
    <cellStyle name="20% - Акцент5 104" xfId="4928" xr:uid="{00000000-0005-0000-0000-000055110000}"/>
    <cellStyle name="20% - Акцент5 104 2" xfId="4929" xr:uid="{00000000-0005-0000-0000-000056110000}"/>
    <cellStyle name="20% - Акцент5 105" xfId="4930" xr:uid="{00000000-0005-0000-0000-000057110000}"/>
    <cellStyle name="20% - Акцент5 105 2" xfId="4931" xr:uid="{00000000-0005-0000-0000-000058110000}"/>
    <cellStyle name="20% - Акцент5 106" xfId="4932" xr:uid="{00000000-0005-0000-0000-000059110000}"/>
    <cellStyle name="20% - Акцент5 106 2" xfId="4933" xr:uid="{00000000-0005-0000-0000-00005A110000}"/>
    <cellStyle name="20% - Акцент5 107" xfId="4934" xr:uid="{00000000-0005-0000-0000-00005B110000}"/>
    <cellStyle name="20% - Акцент5 107 2" xfId="4935" xr:uid="{00000000-0005-0000-0000-00005C110000}"/>
    <cellStyle name="20% - Акцент5 108" xfId="4936" xr:uid="{00000000-0005-0000-0000-00005D110000}"/>
    <cellStyle name="20% - Акцент5 108 2" xfId="4937" xr:uid="{00000000-0005-0000-0000-00005E110000}"/>
    <cellStyle name="20% - Акцент5 109" xfId="4938" xr:uid="{00000000-0005-0000-0000-00005F110000}"/>
    <cellStyle name="20% - Акцент5 109 2" xfId="4939" xr:uid="{00000000-0005-0000-0000-000060110000}"/>
    <cellStyle name="20% - Акцент5 11" xfId="4940" xr:uid="{00000000-0005-0000-0000-000061110000}"/>
    <cellStyle name="20% - Акцент5 110" xfId="4941" xr:uid="{00000000-0005-0000-0000-000062110000}"/>
    <cellStyle name="20% - Акцент5 110 2" xfId="4942" xr:uid="{00000000-0005-0000-0000-000063110000}"/>
    <cellStyle name="20% - Акцент5 111" xfId="4943" xr:uid="{00000000-0005-0000-0000-000064110000}"/>
    <cellStyle name="20% - Акцент5 111 2" xfId="4944" xr:uid="{00000000-0005-0000-0000-000065110000}"/>
    <cellStyle name="20% - Акцент5 112" xfId="4945" xr:uid="{00000000-0005-0000-0000-000066110000}"/>
    <cellStyle name="20% - Акцент5 112 2" xfId="4946" xr:uid="{00000000-0005-0000-0000-000067110000}"/>
    <cellStyle name="20% - Акцент5 113" xfId="4947" xr:uid="{00000000-0005-0000-0000-000068110000}"/>
    <cellStyle name="20% - Акцент5 113 2" xfId="4948" xr:uid="{00000000-0005-0000-0000-000069110000}"/>
    <cellStyle name="20% - Акцент5 114" xfId="4949" xr:uid="{00000000-0005-0000-0000-00006A110000}"/>
    <cellStyle name="20% - Акцент5 114 2" xfId="4950" xr:uid="{00000000-0005-0000-0000-00006B110000}"/>
    <cellStyle name="20% - Акцент5 115" xfId="4951" xr:uid="{00000000-0005-0000-0000-00006C110000}"/>
    <cellStyle name="20% - Акцент5 115 2" xfId="4952" xr:uid="{00000000-0005-0000-0000-00006D110000}"/>
    <cellStyle name="20% - Акцент5 116" xfId="4953" xr:uid="{00000000-0005-0000-0000-00006E110000}"/>
    <cellStyle name="20% - Акцент5 116 2" xfId="4954" xr:uid="{00000000-0005-0000-0000-00006F110000}"/>
    <cellStyle name="20% - Акцент5 117" xfId="4955" xr:uid="{00000000-0005-0000-0000-000070110000}"/>
    <cellStyle name="20% - Акцент5 117 2" xfId="4956" xr:uid="{00000000-0005-0000-0000-000071110000}"/>
    <cellStyle name="20% - Акцент5 118" xfId="4957" xr:uid="{00000000-0005-0000-0000-000072110000}"/>
    <cellStyle name="20% - Акцент5 118 2" xfId="4958" xr:uid="{00000000-0005-0000-0000-000073110000}"/>
    <cellStyle name="20% - Акцент5 119" xfId="4959" xr:uid="{00000000-0005-0000-0000-000074110000}"/>
    <cellStyle name="20% - Акцент5 119 2" xfId="4960" xr:uid="{00000000-0005-0000-0000-000075110000}"/>
    <cellStyle name="20% - Акцент5 12" xfId="4961" xr:uid="{00000000-0005-0000-0000-000076110000}"/>
    <cellStyle name="20% - Акцент5 120" xfId="4962" xr:uid="{00000000-0005-0000-0000-000077110000}"/>
    <cellStyle name="20% - Акцент5 120 2" xfId="4963" xr:uid="{00000000-0005-0000-0000-000078110000}"/>
    <cellStyle name="20% - Акцент5 121" xfId="4964" xr:uid="{00000000-0005-0000-0000-000079110000}"/>
    <cellStyle name="20% - Акцент5 121 2" xfId="4965" xr:uid="{00000000-0005-0000-0000-00007A110000}"/>
    <cellStyle name="20% - Акцент5 122" xfId="4966" xr:uid="{00000000-0005-0000-0000-00007B110000}"/>
    <cellStyle name="20% - Акцент5 122 2" xfId="4967" xr:uid="{00000000-0005-0000-0000-00007C110000}"/>
    <cellStyle name="20% - Акцент5 123" xfId="4968" xr:uid="{00000000-0005-0000-0000-00007D110000}"/>
    <cellStyle name="20% - Акцент5 123 2" xfId="4969" xr:uid="{00000000-0005-0000-0000-00007E110000}"/>
    <cellStyle name="20% - Акцент5 124" xfId="4970" xr:uid="{00000000-0005-0000-0000-00007F110000}"/>
    <cellStyle name="20% - Акцент5 124 2" xfId="4971" xr:uid="{00000000-0005-0000-0000-000080110000}"/>
    <cellStyle name="20% - Акцент5 125" xfId="4972" xr:uid="{00000000-0005-0000-0000-000081110000}"/>
    <cellStyle name="20% - Акцент5 125 2" xfId="4973" xr:uid="{00000000-0005-0000-0000-000082110000}"/>
    <cellStyle name="20% - Акцент5 126" xfId="4974" xr:uid="{00000000-0005-0000-0000-000083110000}"/>
    <cellStyle name="20% - Акцент5 126 2" xfId="4975" xr:uid="{00000000-0005-0000-0000-000084110000}"/>
    <cellStyle name="20% - Акцент5 127" xfId="4976" xr:uid="{00000000-0005-0000-0000-000085110000}"/>
    <cellStyle name="20% - Акцент5 127 2" xfId="4977" xr:uid="{00000000-0005-0000-0000-000086110000}"/>
    <cellStyle name="20% - Акцент5 128" xfId="4978" xr:uid="{00000000-0005-0000-0000-000087110000}"/>
    <cellStyle name="20% - Акцент5 128 2" xfId="4979" xr:uid="{00000000-0005-0000-0000-000088110000}"/>
    <cellStyle name="20% - Акцент5 129" xfId="4980" xr:uid="{00000000-0005-0000-0000-000089110000}"/>
    <cellStyle name="20% - Акцент5 129 2" xfId="4981" xr:uid="{00000000-0005-0000-0000-00008A110000}"/>
    <cellStyle name="20% - Акцент5 13" xfId="4982" xr:uid="{00000000-0005-0000-0000-00008B110000}"/>
    <cellStyle name="20% - Акцент5 130" xfId="4983" xr:uid="{00000000-0005-0000-0000-00008C110000}"/>
    <cellStyle name="20% - Акцент5 130 2" xfId="4984" xr:uid="{00000000-0005-0000-0000-00008D110000}"/>
    <cellStyle name="20% - Акцент5 131" xfId="4985" xr:uid="{00000000-0005-0000-0000-00008E110000}"/>
    <cellStyle name="20% - Акцент5 131 2" xfId="4986" xr:uid="{00000000-0005-0000-0000-00008F110000}"/>
    <cellStyle name="20% - Акцент5 132" xfId="4987" xr:uid="{00000000-0005-0000-0000-000090110000}"/>
    <cellStyle name="20% - Акцент5 132 2" xfId="4988" xr:uid="{00000000-0005-0000-0000-000091110000}"/>
    <cellStyle name="20% - Акцент5 133" xfId="4989" xr:uid="{00000000-0005-0000-0000-000092110000}"/>
    <cellStyle name="20% - Акцент5 133 2" xfId="4990" xr:uid="{00000000-0005-0000-0000-000093110000}"/>
    <cellStyle name="20% - Акцент5 134" xfId="4991" xr:uid="{00000000-0005-0000-0000-000094110000}"/>
    <cellStyle name="20% - Акцент5 134 2" xfId="4992" xr:uid="{00000000-0005-0000-0000-000095110000}"/>
    <cellStyle name="20% - Акцент5 135" xfId="4993" xr:uid="{00000000-0005-0000-0000-000096110000}"/>
    <cellStyle name="20% - Акцент5 135 2" xfId="4994" xr:uid="{00000000-0005-0000-0000-000097110000}"/>
    <cellStyle name="20% - Акцент5 136" xfId="4995" xr:uid="{00000000-0005-0000-0000-000098110000}"/>
    <cellStyle name="20% - Акцент5 136 2" xfId="4996" xr:uid="{00000000-0005-0000-0000-000099110000}"/>
    <cellStyle name="20% - Акцент5 137" xfId="4997" xr:uid="{00000000-0005-0000-0000-00009A110000}"/>
    <cellStyle name="20% - Акцент5 137 2" xfId="4998" xr:uid="{00000000-0005-0000-0000-00009B110000}"/>
    <cellStyle name="20% - Акцент5 138" xfId="4999" xr:uid="{00000000-0005-0000-0000-00009C110000}"/>
    <cellStyle name="20% - Акцент5 138 2" xfId="5000" xr:uid="{00000000-0005-0000-0000-00009D110000}"/>
    <cellStyle name="20% - Акцент5 139" xfId="5001" xr:uid="{00000000-0005-0000-0000-00009E110000}"/>
    <cellStyle name="20% - Акцент5 139 2" xfId="5002" xr:uid="{00000000-0005-0000-0000-00009F110000}"/>
    <cellStyle name="20% - Акцент5 14" xfId="5003" xr:uid="{00000000-0005-0000-0000-0000A0110000}"/>
    <cellStyle name="20% - Акцент5 140" xfId="5004" xr:uid="{00000000-0005-0000-0000-0000A1110000}"/>
    <cellStyle name="20% - Акцент5 140 2" xfId="5005" xr:uid="{00000000-0005-0000-0000-0000A2110000}"/>
    <cellStyle name="20% - Акцент5 141" xfId="5006" xr:uid="{00000000-0005-0000-0000-0000A3110000}"/>
    <cellStyle name="20% - Акцент5 141 2" xfId="5007" xr:uid="{00000000-0005-0000-0000-0000A4110000}"/>
    <cellStyle name="20% - Акцент5 142" xfId="5008" xr:uid="{00000000-0005-0000-0000-0000A5110000}"/>
    <cellStyle name="20% - Акцент5 142 2" xfId="5009" xr:uid="{00000000-0005-0000-0000-0000A6110000}"/>
    <cellStyle name="20% - Акцент5 143" xfId="5010" xr:uid="{00000000-0005-0000-0000-0000A7110000}"/>
    <cellStyle name="20% - Акцент5 143 2" xfId="5011" xr:uid="{00000000-0005-0000-0000-0000A8110000}"/>
    <cellStyle name="20% - Акцент5 144" xfId="5012" xr:uid="{00000000-0005-0000-0000-0000A9110000}"/>
    <cellStyle name="20% - Акцент5 144 2" xfId="5013" xr:uid="{00000000-0005-0000-0000-0000AA110000}"/>
    <cellStyle name="20% - Акцент5 145" xfId="5014" xr:uid="{00000000-0005-0000-0000-0000AB110000}"/>
    <cellStyle name="20% - Акцент5 145 2" xfId="5015" xr:uid="{00000000-0005-0000-0000-0000AC110000}"/>
    <cellStyle name="20% - Акцент5 146" xfId="5016" xr:uid="{00000000-0005-0000-0000-0000AD110000}"/>
    <cellStyle name="20% - Акцент5 146 2" xfId="5017" xr:uid="{00000000-0005-0000-0000-0000AE110000}"/>
    <cellStyle name="20% - Акцент5 147" xfId="5018" xr:uid="{00000000-0005-0000-0000-0000AF110000}"/>
    <cellStyle name="20% - Акцент5 147 2" xfId="5019" xr:uid="{00000000-0005-0000-0000-0000B0110000}"/>
    <cellStyle name="20% - Акцент5 148" xfId="5020" xr:uid="{00000000-0005-0000-0000-0000B1110000}"/>
    <cellStyle name="20% - Акцент5 148 2" xfId="5021" xr:uid="{00000000-0005-0000-0000-0000B2110000}"/>
    <cellStyle name="20% - Акцент5 149" xfId="5022" xr:uid="{00000000-0005-0000-0000-0000B3110000}"/>
    <cellStyle name="20% - Акцент5 149 2" xfId="5023" xr:uid="{00000000-0005-0000-0000-0000B4110000}"/>
    <cellStyle name="20% - Акцент5 15" xfId="5024" xr:uid="{00000000-0005-0000-0000-0000B5110000}"/>
    <cellStyle name="20% - Акцент5 150" xfId="5025" xr:uid="{00000000-0005-0000-0000-0000B6110000}"/>
    <cellStyle name="20% - Акцент5 150 2" xfId="5026" xr:uid="{00000000-0005-0000-0000-0000B7110000}"/>
    <cellStyle name="20% - Акцент5 151" xfId="5027" xr:uid="{00000000-0005-0000-0000-0000B8110000}"/>
    <cellStyle name="20% - Акцент5 151 2" xfId="5028" xr:uid="{00000000-0005-0000-0000-0000B9110000}"/>
    <cellStyle name="20% - Акцент5 152" xfId="5029" xr:uid="{00000000-0005-0000-0000-0000BA110000}"/>
    <cellStyle name="20% - Акцент5 152 2" xfId="5030" xr:uid="{00000000-0005-0000-0000-0000BB110000}"/>
    <cellStyle name="20% - Акцент5 153" xfId="5031" xr:uid="{00000000-0005-0000-0000-0000BC110000}"/>
    <cellStyle name="20% - Акцент5 153 2" xfId="5032" xr:uid="{00000000-0005-0000-0000-0000BD110000}"/>
    <cellStyle name="20% - Акцент5 154" xfId="5033" xr:uid="{00000000-0005-0000-0000-0000BE110000}"/>
    <cellStyle name="20% - Акцент5 154 2" xfId="5034" xr:uid="{00000000-0005-0000-0000-0000BF110000}"/>
    <cellStyle name="20% - Акцент5 155" xfId="5035" xr:uid="{00000000-0005-0000-0000-0000C0110000}"/>
    <cellStyle name="20% - Акцент5 155 2" xfId="5036" xr:uid="{00000000-0005-0000-0000-0000C1110000}"/>
    <cellStyle name="20% - Акцент5 156" xfId="5037" xr:uid="{00000000-0005-0000-0000-0000C2110000}"/>
    <cellStyle name="20% - Акцент5 156 2" xfId="5038" xr:uid="{00000000-0005-0000-0000-0000C3110000}"/>
    <cellStyle name="20% - Акцент5 157" xfId="5039" xr:uid="{00000000-0005-0000-0000-0000C4110000}"/>
    <cellStyle name="20% - Акцент5 157 2" xfId="5040" xr:uid="{00000000-0005-0000-0000-0000C5110000}"/>
    <cellStyle name="20% - Акцент5 158" xfId="5041" xr:uid="{00000000-0005-0000-0000-0000C6110000}"/>
    <cellStyle name="20% - Акцент5 158 2" xfId="5042" xr:uid="{00000000-0005-0000-0000-0000C7110000}"/>
    <cellStyle name="20% - Акцент5 159" xfId="5043" xr:uid="{00000000-0005-0000-0000-0000C8110000}"/>
    <cellStyle name="20% - Акцент5 159 2" xfId="5044" xr:uid="{00000000-0005-0000-0000-0000C9110000}"/>
    <cellStyle name="20% - Акцент5 16" xfId="5045" xr:uid="{00000000-0005-0000-0000-0000CA110000}"/>
    <cellStyle name="20% - Акцент5 160" xfId="5046" xr:uid="{00000000-0005-0000-0000-0000CB110000}"/>
    <cellStyle name="20% - Акцент5 160 2" xfId="5047" xr:uid="{00000000-0005-0000-0000-0000CC110000}"/>
    <cellStyle name="20% - Акцент5 161" xfId="5048" xr:uid="{00000000-0005-0000-0000-0000CD110000}"/>
    <cellStyle name="20% - Акцент5 161 2" xfId="5049" xr:uid="{00000000-0005-0000-0000-0000CE110000}"/>
    <cellStyle name="20% - Акцент5 162" xfId="5050" xr:uid="{00000000-0005-0000-0000-0000CF110000}"/>
    <cellStyle name="20% - Акцент5 162 2" xfId="5051" xr:uid="{00000000-0005-0000-0000-0000D0110000}"/>
    <cellStyle name="20% - Акцент5 163" xfId="5052" xr:uid="{00000000-0005-0000-0000-0000D1110000}"/>
    <cellStyle name="20% - Акцент5 163 2" xfId="5053" xr:uid="{00000000-0005-0000-0000-0000D2110000}"/>
    <cellStyle name="20% - Акцент5 164" xfId="5054" xr:uid="{00000000-0005-0000-0000-0000D3110000}"/>
    <cellStyle name="20% - Акцент5 164 2" xfId="5055" xr:uid="{00000000-0005-0000-0000-0000D4110000}"/>
    <cellStyle name="20% - Акцент5 165" xfId="5056" xr:uid="{00000000-0005-0000-0000-0000D5110000}"/>
    <cellStyle name="20% - Акцент5 165 2" xfId="5057" xr:uid="{00000000-0005-0000-0000-0000D6110000}"/>
    <cellStyle name="20% - Акцент5 166" xfId="5058" xr:uid="{00000000-0005-0000-0000-0000D7110000}"/>
    <cellStyle name="20% - Акцент5 166 2" xfId="5059" xr:uid="{00000000-0005-0000-0000-0000D8110000}"/>
    <cellStyle name="20% - Акцент5 167" xfId="5060" xr:uid="{00000000-0005-0000-0000-0000D9110000}"/>
    <cellStyle name="20% - Акцент5 167 2" xfId="5061" xr:uid="{00000000-0005-0000-0000-0000DA110000}"/>
    <cellStyle name="20% - Акцент5 168" xfId="5062" xr:uid="{00000000-0005-0000-0000-0000DB110000}"/>
    <cellStyle name="20% - Акцент5 168 2" xfId="5063" xr:uid="{00000000-0005-0000-0000-0000DC110000}"/>
    <cellStyle name="20% - Акцент5 169" xfId="5064" xr:uid="{00000000-0005-0000-0000-0000DD110000}"/>
    <cellStyle name="20% - Акцент5 169 2" xfId="5065" xr:uid="{00000000-0005-0000-0000-0000DE110000}"/>
    <cellStyle name="20% - Акцент5 17" xfId="5066" xr:uid="{00000000-0005-0000-0000-0000DF110000}"/>
    <cellStyle name="20% - Акцент5 170" xfId="5067" xr:uid="{00000000-0005-0000-0000-0000E0110000}"/>
    <cellStyle name="20% - Акцент5 170 2" xfId="5068" xr:uid="{00000000-0005-0000-0000-0000E1110000}"/>
    <cellStyle name="20% - Акцент5 171" xfId="5069" xr:uid="{00000000-0005-0000-0000-0000E2110000}"/>
    <cellStyle name="20% - Акцент5 171 2" xfId="5070" xr:uid="{00000000-0005-0000-0000-0000E3110000}"/>
    <cellStyle name="20% - Акцент5 172" xfId="5071" xr:uid="{00000000-0005-0000-0000-0000E4110000}"/>
    <cellStyle name="20% - Акцент5 172 2" xfId="5072" xr:uid="{00000000-0005-0000-0000-0000E5110000}"/>
    <cellStyle name="20% - Акцент5 173" xfId="5073" xr:uid="{00000000-0005-0000-0000-0000E6110000}"/>
    <cellStyle name="20% - Акцент5 173 2" xfId="5074" xr:uid="{00000000-0005-0000-0000-0000E7110000}"/>
    <cellStyle name="20% - Акцент5 174" xfId="5075" xr:uid="{00000000-0005-0000-0000-0000E8110000}"/>
    <cellStyle name="20% - Акцент5 174 2" xfId="5076" xr:uid="{00000000-0005-0000-0000-0000E9110000}"/>
    <cellStyle name="20% - Акцент5 175" xfId="5077" xr:uid="{00000000-0005-0000-0000-0000EA110000}"/>
    <cellStyle name="20% - Акцент5 175 2" xfId="5078" xr:uid="{00000000-0005-0000-0000-0000EB110000}"/>
    <cellStyle name="20% - Акцент5 176" xfId="5079" xr:uid="{00000000-0005-0000-0000-0000EC110000}"/>
    <cellStyle name="20% - Акцент5 176 2" xfId="5080" xr:uid="{00000000-0005-0000-0000-0000ED110000}"/>
    <cellStyle name="20% - Акцент5 177" xfId="5081" xr:uid="{00000000-0005-0000-0000-0000EE110000}"/>
    <cellStyle name="20% - Акцент5 177 2" xfId="5082" xr:uid="{00000000-0005-0000-0000-0000EF110000}"/>
    <cellStyle name="20% - Акцент5 178" xfId="5083" xr:uid="{00000000-0005-0000-0000-0000F0110000}"/>
    <cellStyle name="20% - Акцент5 178 2" xfId="5084" xr:uid="{00000000-0005-0000-0000-0000F1110000}"/>
    <cellStyle name="20% - Акцент5 179" xfId="5085" xr:uid="{00000000-0005-0000-0000-0000F2110000}"/>
    <cellStyle name="20% - Акцент5 179 2" xfId="5086" xr:uid="{00000000-0005-0000-0000-0000F3110000}"/>
    <cellStyle name="20% - Акцент5 18" xfId="5087" xr:uid="{00000000-0005-0000-0000-0000F4110000}"/>
    <cellStyle name="20% - Акцент5 180" xfId="5088" xr:uid="{00000000-0005-0000-0000-0000F5110000}"/>
    <cellStyle name="20% - Акцент5 180 2" xfId="5089" xr:uid="{00000000-0005-0000-0000-0000F6110000}"/>
    <cellStyle name="20% - Акцент5 181" xfId="5090" xr:uid="{00000000-0005-0000-0000-0000F7110000}"/>
    <cellStyle name="20% - Акцент5 181 2" xfId="5091" xr:uid="{00000000-0005-0000-0000-0000F8110000}"/>
    <cellStyle name="20% - Акцент5 182" xfId="5092" xr:uid="{00000000-0005-0000-0000-0000F9110000}"/>
    <cellStyle name="20% - Акцент5 182 2" xfId="5093" xr:uid="{00000000-0005-0000-0000-0000FA110000}"/>
    <cellStyle name="20% - Акцент5 183" xfId="5094" xr:uid="{00000000-0005-0000-0000-0000FB110000}"/>
    <cellStyle name="20% - Акцент5 183 2" xfId="5095" xr:uid="{00000000-0005-0000-0000-0000FC110000}"/>
    <cellStyle name="20% - Акцент5 184" xfId="5096" xr:uid="{00000000-0005-0000-0000-0000FD110000}"/>
    <cellStyle name="20% - Акцент5 184 2" xfId="5097" xr:uid="{00000000-0005-0000-0000-0000FE110000}"/>
    <cellStyle name="20% - Акцент5 185" xfId="5098" xr:uid="{00000000-0005-0000-0000-0000FF110000}"/>
    <cellStyle name="20% - Акцент5 185 2" xfId="5099" xr:uid="{00000000-0005-0000-0000-000000120000}"/>
    <cellStyle name="20% - Акцент5 186" xfId="5100" xr:uid="{00000000-0005-0000-0000-000001120000}"/>
    <cellStyle name="20% - Акцент5 186 2" xfId="5101" xr:uid="{00000000-0005-0000-0000-000002120000}"/>
    <cellStyle name="20% - Акцент5 187" xfId="5102" xr:uid="{00000000-0005-0000-0000-000003120000}"/>
    <cellStyle name="20% - Акцент5 187 2" xfId="5103" xr:uid="{00000000-0005-0000-0000-000004120000}"/>
    <cellStyle name="20% - Акцент5 188" xfId="5104" xr:uid="{00000000-0005-0000-0000-000005120000}"/>
    <cellStyle name="20% - Акцент5 188 2" xfId="5105" xr:uid="{00000000-0005-0000-0000-000006120000}"/>
    <cellStyle name="20% - Акцент5 189" xfId="5106" xr:uid="{00000000-0005-0000-0000-000007120000}"/>
    <cellStyle name="20% - Акцент5 189 2" xfId="5107" xr:uid="{00000000-0005-0000-0000-000008120000}"/>
    <cellStyle name="20% - Акцент5 19" xfId="5108" xr:uid="{00000000-0005-0000-0000-000009120000}"/>
    <cellStyle name="20% - Акцент5 190" xfId="5109" xr:uid="{00000000-0005-0000-0000-00000A120000}"/>
    <cellStyle name="20% - Акцент5 190 2" xfId="5110" xr:uid="{00000000-0005-0000-0000-00000B120000}"/>
    <cellStyle name="20% - Акцент5 191" xfId="5111" xr:uid="{00000000-0005-0000-0000-00000C120000}"/>
    <cellStyle name="20% - Акцент5 191 2" xfId="5112" xr:uid="{00000000-0005-0000-0000-00000D120000}"/>
    <cellStyle name="20% - Акцент5 192" xfId="5113" xr:uid="{00000000-0005-0000-0000-00000E120000}"/>
    <cellStyle name="20% - Акцент5 192 2" xfId="5114" xr:uid="{00000000-0005-0000-0000-00000F120000}"/>
    <cellStyle name="20% - Акцент5 193" xfId="5115" xr:uid="{00000000-0005-0000-0000-000010120000}"/>
    <cellStyle name="20% - Акцент5 193 2" xfId="5116" xr:uid="{00000000-0005-0000-0000-000011120000}"/>
    <cellStyle name="20% - Акцент5 194" xfId="5117" xr:uid="{00000000-0005-0000-0000-000012120000}"/>
    <cellStyle name="20% - Акцент5 194 2" xfId="5118" xr:uid="{00000000-0005-0000-0000-000013120000}"/>
    <cellStyle name="20% - Акцент5 195" xfId="5119" xr:uid="{00000000-0005-0000-0000-000014120000}"/>
    <cellStyle name="20% - Акцент5 195 2" xfId="5120" xr:uid="{00000000-0005-0000-0000-000015120000}"/>
    <cellStyle name="20% - Акцент5 196" xfId="5121" xr:uid="{00000000-0005-0000-0000-000016120000}"/>
    <cellStyle name="20% - Акцент5 196 2" xfId="5122" xr:uid="{00000000-0005-0000-0000-000017120000}"/>
    <cellStyle name="20% - Акцент5 197" xfId="5123" xr:uid="{00000000-0005-0000-0000-000018120000}"/>
    <cellStyle name="20% - Акцент5 197 2" xfId="5124" xr:uid="{00000000-0005-0000-0000-000019120000}"/>
    <cellStyle name="20% - Акцент5 198" xfId="5125" xr:uid="{00000000-0005-0000-0000-00001A120000}"/>
    <cellStyle name="20% - Акцент5 198 2" xfId="5126" xr:uid="{00000000-0005-0000-0000-00001B120000}"/>
    <cellStyle name="20% - Акцент5 199" xfId="5127" xr:uid="{00000000-0005-0000-0000-00001C120000}"/>
    <cellStyle name="20% - Акцент5 199 2" xfId="5128" xr:uid="{00000000-0005-0000-0000-00001D120000}"/>
    <cellStyle name="20% - Акцент5 2" xfId="5129" xr:uid="{00000000-0005-0000-0000-00001E120000}"/>
    <cellStyle name="20% - Акцент5 2 2" xfId="5130" xr:uid="{00000000-0005-0000-0000-00001F120000}"/>
    <cellStyle name="20% - Акцент5 2 2 2" xfId="5131" xr:uid="{00000000-0005-0000-0000-000020120000}"/>
    <cellStyle name="20% - Акцент5 2 3" xfId="5132" xr:uid="{00000000-0005-0000-0000-000021120000}"/>
    <cellStyle name="20% - Акцент5 2 4" xfId="5133" xr:uid="{00000000-0005-0000-0000-000022120000}"/>
    <cellStyle name="20% - Акцент5 2 5" xfId="5134" xr:uid="{00000000-0005-0000-0000-000023120000}"/>
    <cellStyle name="20% - Акцент5 2 6" xfId="5135" xr:uid="{00000000-0005-0000-0000-000024120000}"/>
    <cellStyle name="20% - Акцент5 2 7" xfId="5136" xr:uid="{00000000-0005-0000-0000-000025120000}"/>
    <cellStyle name="20% - Акцент5 20" xfId="5137" xr:uid="{00000000-0005-0000-0000-000026120000}"/>
    <cellStyle name="20% - Акцент5 20 2" xfId="5138" xr:uid="{00000000-0005-0000-0000-000027120000}"/>
    <cellStyle name="20% - Акцент5 200" xfId="5139" xr:uid="{00000000-0005-0000-0000-000028120000}"/>
    <cellStyle name="20% - Акцент5 200 2" xfId="5140" xr:uid="{00000000-0005-0000-0000-000029120000}"/>
    <cellStyle name="20% - Акцент5 201" xfId="5141" xr:uid="{00000000-0005-0000-0000-00002A120000}"/>
    <cellStyle name="20% - Акцент5 201 2" xfId="5142" xr:uid="{00000000-0005-0000-0000-00002B120000}"/>
    <cellStyle name="20% - Акцент5 202" xfId="5143" xr:uid="{00000000-0005-0000-0000-00002C120000}"/>
    <cellStyle name="20% - Акцент5 202 2" xfId="5144" xr:uid="{00000000-0005-0000-0000-00002D120000}"/>
    <cellStyle name="20% - Акцент5 203" xfId="5145" xr:uid="{00000000-0005-0000-0000-00002E120000}"/>
    <cellStyle name="20% - Акцент5 203 2" xfId="5146" xr:uid="{00000000-0005-0000-0000-00002F120000}"/>
    <cellStyle name="20% - Акцент5 204" xfId="5147" xr:uid="{00000000-0005-0000-0000-000030120000}"/>
    <cellStyle name="20% - Акцент5 204 2" xfId="5148" xr:uid="{00000000-0005-0000-0000-000031120000}"/>
    <cellStyle name="20% - Акцент5 205" xfId="5149" xr:uid="{00000000-0005-0000-0000-000032120000}"/>
    <cellStyle name="20% - Акцент5 205 2" xfId="5150" xr:uid="{00000000-0005-0000-0000-000033120000}"/>
    <cellStyle name="20% - Акцент5 206" xfId="5151" xr:uid="{00000000-0005-0000-0000-000034120000}"/>
    <cellStyle name="20% - Акцент5 206 2" xfId="5152" xr:uid="{00000000-0005-0000-0000-000035120000}"/>
    <cellStyle name="20% - Акцент5 207" xfId="5153" xr:uid="{00000000-0005-0000-0000-000036120000}"/>
    <cellStyle name="20% - Акцент5 207 2" xfId="5154" xr:uid="{00000000-0005-0000-0000-000037120000}"/>
    <cellStyle name="20% - Акцент5 208" xfId="5155" xr:uid="{00000000-0005-0000-0000-000038120000}"/>
    <cellStyle name="20% - Акцент5 208 2" xfId="5156" xr:uid="{00000000-0005-0000-0000-000039120000}"/>
    <cellStyle name="20% - Акцент5 209" xfId="5157" xr:uid="{00000000-0005-0000-0000-00003A120000}"/>
    <cellStyle name="20% - Акцент5 209 2" xfId="5158" xr:uid="{00000000-0005-0000-0000-00003B120000}"/>
    <cellStyle name="20% - Акцент5 21" xfId="5159" xr:uid="{00000000-0005-0000-0000-00003C120000}"/>
    <cellStyle name="20% - Акцент5 21 2" xfId="5160" xr:uid="{00000000-0005-0000-0000-00003D120000}"/>
    <cellStyle name="20% - Акцент5 210" xfId="5161" xr:uid="{00000000-0005-0000-0000-00003E120000}"/>
    <cellStyle name="20% - Акцент5 210 2" xfId="5162" xr:uid="{00000000-0005-0000-0000-00003F120000}"/>
    <cellStyle name="20% - Акцент5 211" xfId="5163" xr:uid="{00000000-0005-0000-0000-000040120000}"/>
    <cellStyle name="20% - Акцент5 211 2" xfId="5164" xr:uid="{00000000-0005-0000-0000-000041120000}"/>
    <cellStyle name="20% - Акцент5 212" xfId="5165" xr:uid="{00000000-0005-0000-0000-000042120000}"/>
    <cellStyle name="20% - Акцент5 212 2" xfId="5166" xr:uid="{00000000-0005-0000-0000-000043120000}"/>
    <cellStyle name="20% - Акцент5 213" xfId="5167" xr:uid="{00000000-0005-0000-0000-000044120000}"/>
    <cellStyle name="20% - Акцент5 213 2" xfId="5168" xr:uid="{00000000-0005-0000-0000-000045120000}"/>
    <cellStyle name="20% - Акцент5 214" xfId="5169" xr:uid="{00000000-0005-0000-0000-000046120000}"/>
    <cellStyle name="20% - Акцент5 214 2" xfId="5170" xr:uid="{00000000-0005-0000-0000-000047120000}"/>
    <cellStyle name="20% - Акцент5 215" xfId="5171" xr:uid="{00000000-0005-0000-0000-000048120000}"/>
    <cellStyle name="20% - Акцент5 215 2" xfId="5172" xr:uid="{00000000-0005-0000-0000-000049120000}"/>
    <cellStyle name="20% - Акцент5 216" xfId="5173" xr:uid="{00000000-0005-0000-0000-00004A120000}"/>
    <cellStyle name="20% - Акцент5 216 2" xfId="5174" xr:uid="{00000000-0005-0000-0000-00004B120000}"/>
    <cellStyle name="20% - Акцент5 217" xfId="5175" xr:uid="{00000000-0005-0000-0000-00004C120000}"/>
    <cellStyle name="20% - Акцент5 217 2" xfId="5176" xr:uid="{00000000-0005-0000-0000-00004D120000}"/>
    <cellStyle name="20% - Акцент5 217 3" xfId="5177" xr:uid="{00000000-0005-0000-0000-00004E120000}"/>
    <cellStyle name="20% - Акцент5 218" xfId="5178" xr:uid="{00000000-0005-0000-0000-00004F120000}"/>
    <cellStyle name="20% - Акцент5 219" xfId="5179" xr:uid="{00000000-0005-0000-0000-000050120000}"/>
    <cellStyle name="20% - Акцент5 22" xfId="5180" xr:uid="{00000000-0005-0000-0000-000051120000}"/>
    <cellStyle name="20% - Акцент5 22 2" xfId="5181" xr:uid="{00000000-0005-0000-0000-000052120000}"/>
    <cellStyle name="20% - Акцент5 220" xfId="5182" xr:uid="{00000000-0005-0000-0000-000053120000}"/>
    <cellStyle name="20% - Акцент5 221" xfId="5183" xr:uid="{00000000-0005-0000-0000-000054120000}"/>
    <cellStyle name="20% - Акцент5 222" xfId="5184" xr:uid="{00000000-0005-0000-0000-000055120000}"/>
    <cellStyle name="20% - Акцент5 223" xfId="5185" xr:uid="{00000000-0005-0000-0000-000056120000}"/>
    <cellStyle name="20% - Акцент5 224" xfId="5186" xr:uid="{00000000-0005-0000-0000-000057120000}"/>
    <cellStyle name="20% - Акцент5 225" xfId="5187" xr:uid="{00000000-0005-0000-0000-000058120000}"/>
    <cellStyle name="20% - Акцент5 226" xfId="5188" xr:uid="{00000000-0005-0000-0000-000059120000}"/>
    <cellStyle name="20% - Акцент5 227" xfId="5189" xr:uid="{00000000-0005-0000-0000-00005A120000}"/>
    <cellStyle name="20% - Акцент5 228" xfId="5190" xr:uid="{00000000-0005-0000-0000-00005B120000}"/>
    <cellStyle name="20% - Акцент5 229" xfId="5191" xr:uid="{00000000-0005-0000-0000-00005C120000}"/>
    <cellStyle name="20% - Акцент5 23" xfId="5192" xr:uid="{00000000-0005-0000-0000-00005D120000}"/>
    <cellStyle name="20% - Акцент5 23 2" xfId="5193" xr:uid="{00000000-0005-0000-0000-00005E120000}"/>
    <cellStyle name="20% - Акцент5 230" xfId="5194" xr:uid="{00000000-0005-0000-0000-00005F120000}"/>
    <cellStyle name="20% - Акцент5 231" xfId="5195" xr:uid="{00000000-0005-0000-0000-000060120000}"/>
    <cellStyle name="20% - Акцент5 232" xfId="5196" xr:uid="{00000000-0005-0000-0000-000061120000}"/>
    <cellStyle name="20% - Акцент5 233" xfId="5197" xr:uid="{00000000-0005-0000-0000-000062120000}"/>
    <cellStyle name="20% - Акцент5 234" xfId="5198" xr:uid="{00000000-0005-0000-0000-000063120000}"/>
    <cellStyle name="20% - Акцент5 235" xfId="5199" xr:uid="{00000000-0005-0000-0000-000064120000}"/>
    <cellStyle name="20% - Акцент5 236" xfId="5200" xr:uid="{00000000-0005-0000-0000-000065120000}"/>
    <cellStyle name="20% - Акцент5 237" xfId="5201" xr:uid="{00000000-0005-0000-0000-000066120000}"/>
    <cellStyle name="20% - Акцент5 238" xfId="5202" xr:uid="{00000000-0005-0000-0000-000067120000}"/>
    <cellStyle name="20% - Акцент5 239" xfId="5203" xr:uid="{00000000-0005-0000-0000-000068120000}"/>
    <cellStyle name="20% - Акцент5 24" xfId="5204" xr:uid="{00000000-0005-0000-0000-000069120000}"/>
    <cellStyle name="20% - Акцент5 24 2" xfId="5205" xr:uid="{00000000-0005-0000-0000-00006A120000}"/>
    <cellStyle name="20% - Акцент5 240" xfId="5206" xr:uid="{00000000-0005-0000-0000-00006B120000}"/>
    <cellStyle name="20% - Акцент5 241" xfId="5207" xr:uid="{00000000-0005-0000-0000-00006C120000}"/>
    <cellStyle name="20% - Акцент5 242" xfId="5208" xr:uid="{00000000-0005-0000-0000-00006D120000}"/>
    <cellStyle name="20% - Акцент5 243" xfId="5209" xr:uid="{00000000-0005-0000-0000-00006E120000}"/>
    <cellStyle name="20% - Акцент5 244" xfId="5210" xr:uid="{00000000-0005-0000-0000-00006F120000}"/>
    <cellStyle name="20% - Акцент5 245" xfId="5211" xr:uid="{00000000-0005-0000-0000-000070120000}"/>
    <cellStyle name="20% - Акцент5 246" xfId="5212" xr:uid="{00000000-0005-0000-0000-000071120000}"/>
    <cellStyle name="20% - Акцент5 247" xfId="5213" xr:uid="{00000000-0005-0000-0000-000072120000}"/>
    <cellStyle name="20% - Акцент5 248" xfId="5214" xr:uid="{00000000-0005-0000-0000-000073120000}"/>
    <cellStyle name="20% - Акцент5 249" xfId="5215" xr:uid="{00000000-0005-0000-0000-000074120000}"/>
    <cellStyle name="20% - Акцент5 25" xfId="5216" xr:uid="{00000000-0005-0000-0000-000075120000}"/>
    <cellStyle name="20% - Акцент5 25 2" xfId="5217" xr:uid="{00000000-0005-0000-0000-000076120000}"/>
    <cellStyle name="20% - Акцент5 250" xfId="5218" xr:uid="{00000000-0005-0000-0000-000077120000}"/>
    <cellStyle name="20% - Акцент5 251" xfId="5219" xr:uid="{00000000-0005-0000-0000-000078120000}"/>
    <cellStyle name="20% - Акцент5 252" xfId="5220" xr:uid="{00000000-0005-0000-0000-000079120000}"/>
    <cellStyle name="20% - Акцент5 253" xfId="5221" xr:uid="{00000000-0005-0000-0000-00007A120000}"/>
    <cellStyle name="20% - Акцент5 254" xfId="5222" xr:uid="{00000000-0005-0000-0000-00007B120000}"/>
    <cellStyle name="20% - Акцент5 255" xfId="5223" xr:uid="{00000000-0005-0000-0000-00007C120000}"/>
    <cellStyle name="20% - Акцент5 26" xfId="5224" xr:uid="{00000000-0005-0000-0000-00007D120000}"/>
    <cellStyle name="20% - Акцент5 26 2" xfId="5225" xr:uid="{00000000-0005-0000-0000-00007E120000}"/>
    <cellStyle name="20% - Акцент5 27" xfId="5226" xr:uid="{00000000-0005-0000-0000-00007F120000}"/>
    <cellStyle name="20% - Акцент5 27 2" xfId="5227" xr:uid="{00000000-0005-0000-0000-000080120000}"/>
    <cellStyle name="20% - Акцент5 28" xfId="5228" xr:uid="{00000000-0005-0000-0000-000081120000}"/>
    <cellStyle name="20% - Акцент5 28 2" xfId="5229" xr:uid="{00000000-0005-0000-0000-000082120000}"/>
    <cellStyle name="20% - Акцент5 29" xfId="5230" xr:uid="{00000000-0005-0000-0000-000083120000}"/>
    <cellStyle name="20% - Акцент5 29 2" xfId="5231" xr:uid="{00000000-0005-0000-0000-000084120000}"/>
    <cellStyle name="20% - Акцент5 3" xfId="5232" xr:uid="{00000000-0005-0000-0000-000085120000}"/>
    <cellStyle name="20% - Акцент5 30" xfId="5233" xr:uid="{00000000-0005-0000-0000-000086120000}"/>
    <cellStyle name="20% - Акцент5 30 2" xfId="5234" xr:uid="{00000000-0005-0000-0000-000087120000}"/>
    <cellStyle name="20% - Акцент5 31" xfId="5235" xr:uid="{00000000-0005-0000-0000-000088120000}"/>
    <cellStyle name="20% - Акцент5 31 2" xfId="5236" xr:uid="{00000000-0005-0000-0000-000089120000}"/>
    <cellStyle name="20% - Акцент5 32" xfId="5237" xr:uid="{00000000-0005-0000-0000-00008A120000}"/>
    <cellStyle name="20% - Акцент5 32 2" xfId="5238" xr:uid="{00000000-0005-0000-0000-00008B120000}"/>
    <cellStyle name="20% - Акцент5 33" xfId="5239" xr:uid="{00000000-0005-0000-0000-00008C120000}"/>
    <cellStyle name="20% - Акцент5 33 2" xfId="5240" xr:uid="{00000000-0005-0000-0000-00008D120000}"/>
    <cellStyle name="20% - Акцент5 34" xfId="5241" xr:uid="{00000000-0005-0000-0000-00008E120000}"/>
    <cellStyle name="20% - Акцент5 34 2" xfId="5242" xr:uid="{00000000-0005-0000-0000-00008F120000}"/>
    <cellStyle name="20% - Акцент5 35" xfId="5243" xr:uid="{00000000-0005-0000-0000-000090120000}"/>
    <cellStyle name="20% - Акцент5 35 2" xfId="5244" xr:uid="{00000000-0005-0000-0000-000091120000}"/>
    <cellStyle name="20% - Акцент5 36" xfId="5245" xr:uid="{00000000-0005-0000-0000-000092120000}"/>
    <cellStyle name="20% - Акцент5 36 2" xfId="5246" xr:uid="{00000000-0005-0000-0000-000093120000}"/>
    <cellStyle name="20% - Акцент5 37" xfId="5247" xr:uid="{00000000-0005-0000-0000-000094120000}"/>
    <cellStyle name="20% - Акцент5 37 2" xfId="5248" xr:uid="{00000000-0005-0000-0000-000095120000}"/>
    <cellStyle name="20% - Акцент5 38" xfId="5249" xr:uid="{00000000-0005-0000-0000-000096120000}"/>
    <cellStyle name="20% - Акцент5 38 2" xfId="5250" xr:uid="{00000000-0005-0000-0000-000097120000}"/>
    <cellStyle name="20% - Акцент5 39" xfId="5251" xr:uid="{00000000-0005-0000-0000-000098120000}"/>
    <cellStyle name="20% - Акцент5 39 2" xfId="5252" xr:uid="{00000000-0005-0000-0000-000099120000}"/>
    <cellStyle name="20% - Акцент5 4" xfId="5253" xr:uid="{00000000-0005-0000-0000-00009A120000}"/>
    <cellStyle name="20% - Акцент5 40" xfId="5254" xr:uid="{00000000-0005-0000-0000-00009B120000}"/>
    <cellStyle name="20% - Акцент5 40 2" xfId="5255" xr:uid="{00000000-0005-0000-0000-00009C120000}"/>
    <cellStyle name="20% - Акцент5 41" xfId="5256" xr:uid="{00000000-0005-0000-0000-00009D120000}"/>
    <cellStyle name="20% - Акцент5 41 2" xfId="5257" xr:uid="{00000000-0005-0000-0000-00009E120000}"/>
    <cellStyle name="20% - Акцент5 42" xfId="5258" xr:uid="{00000000-0005-0000-0000-00009F120000}"/>
    <cellStyle name="20% - Акцент5 42 2" xfId="5259" xr:uid="{00000000-0005-0000-0000-0000A0120000}"/>
    <cellStyle name="20% - Акцент5 43" xfId="5260" xr:uid="{00000000-0005-0000-0000-0000A1120000}"/>
    <cellStyle name="20% - Акцент5 43 2" xfId="5261" xr:uid="{00000000-0005-0000-0000-0000A2120000}"/>
    <cellStyle name="20% - Акцент5 44" xfId="5262" xr:uid="{00000000-0005-0000-0000-0000A3120000}"/>
    <cellStyle name="20% - Акцент5 44 2" xfId="5263" xr:uid="{00000000-0005-0000-0000-0000A4120000}"/>
    <cellStyle name="20% - Акцент5 45" xfId="5264" xr:uid="{00000000-0005-0000-0000-0000A5120000}"/>
    <cellStyle name="20% - Акцент5 45 2" xfId="5265" xr:uid="{00000000-0005-0000-0000-0000A6120000}"/>
    <cellStyle name="20% - Акцент5 46" xfId="5266" xr:uid="{00000000-0005-0000-0000-0000A7120000}"/>
    <cellStyle name="20% - Акцент5 46 2" xfId="5267" xr:uid="{00000000-0005-0000-0000-0000A8120000}"/>
    <cellStyle name="20% - Акцент5 47" xfId="5268" xr:uid="{00000000-0005-0000-0000-0000A9120000}"/>
    <cellStyle name="20% - Акцент5 47 2" xfId="5269" xr:uid="{00000000-0005-0000-0000-0000AA120000}"/>
    <cellStyle name="20% - Акцент5 48" xfId="5270" xr:uid="{00000000-0005-0000-0000-0000AB120000}"/>
    <cellStyle name="20% - Акцент5 48 2" xfId="5271" xr:uid="{00000000-0005-0000-0000-0000AC120000}"/>
    <cellStyle name="20% - Акцент5 49" xfId="5272" xr:uid="{00000000-0005-0000-0000-0000AD120000}"/>
    <cellStyle name="20% - Акцент5 49 2" xfId="5273" xr:uid="{00000000-0005-0000-0000-0000AE120000}"/>
    <cellStyle name="20% - Акцент5 5" xfId="5274" xr:uid="{00000000-0005-0000-0000-0000AF120000}"/>
    <cellStyle name="20% - Акцент5 50" xfId="5275" xr:uid="{00000000-0005-0000-0000-0000B0120000}"/>
    <cellStyle name="20% - Акцент5 50 2" xfId="5276" xr:uid="{00000000-0005-0000-0000-0000B1120000}"/>
    <cellStyle name="20% - Акцент5 51" xfId="5277" xr:uid="{00000000-0005-0000-0000-0000B2120000}"/>
    <cellStyle name="20% - Акцент5 51 2" xfId="5278" xr:uid="{00000000-0005-0000-0000-0000B3120000}"/>
    <cellStyle name="20% - Акцент5 52" xfId="5279" xr:uid="{00000000-0005-0000-0000-0000B4120000}"/>
    <cellStyle name="20% - Акцент5 52 2" xfId="5280" xr:uid="{00000000-0005-0000-0000-0000B5120000}"/>
    <cellStyle name="20% - Акцент5 53" xfId="5281" xr:uid="{00000000-0005-0000-0000-0000B6120000}"/>
    <cellStyle name="20% - Акцент5 53 2" xfId="5282" xr:uid="{00000000-0005-0000-0000-0000B7120000}"/>
    <cellStyle name="20% - Акцент5 54" xfId="5283" xr:uid="{00000000-0005-0000-0000-0000B8120000}"/>
    <cellStyle name="20% - Акцент5 54 2" xfId="5284" xr:uid="{00000000-0005-0000-0000-0000B9120000}"/>
    <cellStyle name="20% - Акцент5 55" xfId="5285" xr:uid="{00000000-0005-0000-0000-0000BA120000}"/>
    <cellStyle name="20% - Акцент5 55 2" xfId="5286" xr:uid="{00000000-0005-0000-0000-0000BB120000}"/>
    <cellStyle name="20% - Акцент5 56" xfId="5287" xr:uid="{00000000-0005-0000-0000-0000BC120000}"/>
    <cellStyle name="20% - Акцент5 56 2" xfId="5288" xr:uid="{00000000-0005-0000-0000-0000BD120000}"/>
    <cellStyle name="20% - Акцент5 57" xfId="5289" xr:uid="{00000000-0005-0000-0000-0000BE120000}"/>
    <cellStyle name="20% - Акцент5 57 2" xfId="5290" xr:uid="{00000000-0005-0000-0000-0000BF120000}"/>
    <cellStyle name="20% - Акцент5 58" xfId="5291" xr:uid="{00000000-0005-0000-0000-0000C0120000}"/>
    <cellStyle name="20% - Акцент5 58 2" xfId="5292" xr:uid="{00000000-0005-0000-0000-0000C1120000}"/>
    <cellStyle name="20% - Акцент5 59" xfId="5293" xr:uid="{00000000-0005-0000-0000-0000C2120000}"/>
    <cellStyle name="20% - Акцент5 59 2" xfId="5294" xr:uid="{00000000-0005-0000-0000-0000C3120000}"/>
    <cellStyle name="20% - Акцент5 6" xfId="5295" xr:uid="{00000000-0005-0000-0000-0000C4120000}"/>
    <cellStyle name="20% - Акцент5 60" xfId="5296" xr:uid="{00000000-0005-0000-0000-0000C5120000}"/>
    <cellStyle name="20% - Акцент5 60 2" xfId="5297" xr:uid="{00000000-0005-0000-0000-0000C6120000}"/>
    <cellStyle name="20% - Акцент5 61" xfId="5298" xr:uid="{00000000-0005-0000-0000-0000C7120000}"/>
    <cellStyle name="20% - Акцент5 61 2" xfId="5299" xr:uid="{00000000-0005-0000-0000-0000C8120000}"/>
    <cellStyle name="20% - Акцент5 62" xfId="5300" xr:uid="{00000000-0005-0000-0000-0000C9120000}"/>
    <cellStyle name="20% - Акцент5 62 2" xfId="5301" xr:uid="{00000000-0005-0000-0000-0000CA120000}"/>
    <cellStyle name="20% - Акцент5 63" xfId="5302" xr:uid="{00000000-0005-0000-0000-0000CB120000}"/>
    <cellStyle name="20% - Акцент5 63 2" xfId="5303" xr:uid="{00000000-0005-0000-0000-0000CC120000}"/>
    <cellStyle name="20% - Акцент5 64" xfId="5304" xr:uid="{00000000-0005-0000-0000-0000CD120000}"/>
    <cellStyle name="20% - Акцент5 64 2" xfId="5305" xr:uid="{00000000-0005-0000-0000-0000CE120000}"/>
    <cellStyle name="20% - Акцент5 65" xfId="5306" xr:uid="{00000000-0005-0000-0000-0000CF120000}"/>
    <cellStyle name="20% - Акцент5 65 2" xfId="5307" xr:uid="{00000000-0005-0000-0000-0000D0120000}"/>
    <cellStyle name="20% - Акцент5 66" xfId="5308" xr:uid="{00000000-0005-0000-0000-0000D1120000}"/>
    <cellStyle name="20% - Акцент5 66 2" xfId="5309" xr:uid="{00000000-0005-0000-0000-0000D2120000}"/>
    <cellStyle name="20% - Акцент5 67" xfId="5310" xr:uid="{00000000-0005-0000-0000-0000D3120000}"/>
    <cellStyle name="20% - Акцент5 67 2" xfId="5311" xr:uid="{00000000-0005-0000-0000-0000D4120000}"/>
    <cellStyle name="20% - Акцент5 68" xfId="5312" xr:uid="{00000000-0005-0000-0000-0000D5120000}"/>
    <cellStyle name="20% - Акцент5 68 2" xfId="5313" xr:uid="{00000000-0005-0000-0000-0000D6120000}"/>
    <cellStyle name="20% - Акцент5 69" xfId="5314" xr:uid="{00000000-0005-0000-0000-0000D7120000}"/>
    <cellStyle name="20% - Акцент5 69 2" xfId="5315" xr:uid="{00000000-0005-0000-0000-0000D8120000}"/>
    <cellStyle name="20% - Акцент5 7" xfId="5316" xr:uid="{00000000-0005-0000-0000-0000D9120000}"/>
    <cellStyle name="20% - Акцент5 70" xfId="5317" xr:uid="{00000000-0005-0000-0000-0000DA120000}"/>
    <cellStyle name="20% - Акцент5 70 2" xfId="5318" xr:uid="{00000000-0005-0000-0000-0000DB120000}"/>
    <cellStyle name="20% - Акцент5 71" xfId="5319" xr:uid="{00000000-0005-0000-0000-0000DC120000}"/>
    <cellStyle name="20% - Акцент5 71 2" xfId="5320" xr:uid="{00000000-0005-0000-0000-0000DD120000}"/>
    <cellStyle name="20% - Акцент5 72" xfId="5321" xr:uid="{00000000-0005-0000-0000-0000DE120000}"/>
    <cellStyle name="20% - Акцент5 72 2" xfId="5322" xr:uid="{00000000-0005-0000-0000-0000DF120000}"/>
    <cellStyle name="20% - Акцент5 73" xfId="5323" xr:uid="{00000000-0005-0000-0000-0000E0120000}"/>
    <cellStyle name="20% - Акцент5 73 2" xfId="5324" xr:uid="{00000000-0005-0000-0000-0000E1120000}"/>
    <cellStyle name="20% - Акцент5 74" xfId="5325" xr:uid="{00000000-0005-0000-0000-0000E2120000}"/>
    <cellStyle name="20% - Акцент5 74 2" xfId="5326" xr:uid="{00000000-0005-0000-0000-0000E3120000}"/>
    <cellStyle name="20% - Акцент5 75" xfId="5327" xr:uid="{00000000-0005-0000-0000-0000E4120000}"/>
    <cellStyle name="20% - Акцент5 75 2" xfId="5328" xr:uid="{00000000-0005-0000-0000-0000E5120000}"/>
    <cellStyle name="20% - Акцент5 76" xfId="5329" xr:uid="{00000000-0005-0000-0000-0000E6120000}"/>
    <cellStyle name="20% - Акцент5 76 2" xfId="5330" xr:uid="{00000000-0005-0000-0000-0000E7120000}"/>
    <cellStyle name="20% - Акцент5 77" xfId="5331" xr:uid="{00000000-0005-0000-0000-0000E8120000}"/>
    <cellStyle name="20% - Акцент5 77 2" xfId="5332" xr:uid="{00000000-0005-0000-0000-0000E9120000}"/>
    <cellStyle name="20% - Акцент5 78" xfId="5333" xr:uid="{00000000-0005-0000-0000-0000EA120000}"/>
    <cellStyle name="20% - Акцент5 78 2" xfId="5334" xr:uid="{00000000-0005-0000-0000-0000EB120000}"/>
    <cellStyle name="20% - Акцент5 79" xfId="5335" xr:uid="{00000000-0005-0000-0000-0000EC120000}"/>
    <cellStyle name="20% - Акцент5 79 2" xfId="5336" xr:uid="{00000000-0005-0000-0000-0000ED120000}"/>
    <cellStyle name="20% - Акцент5 8" xfId="5337" xr:uid="{00000000-0005-0000-0000-0000EE120000}"/>
    <cellStyle name="20% - Акцент5 80" xfId="5338" xr:uid="{00000000-0005-0000-0000-0000EF120000}"/>
    <cellStyle name="20% - Акцент5 80 2" xfId="5339" xr:uid="{00000000-0005-0000-0000-0000F0120000}"/>
    <cellStyle name="20% - Акцент5 81" xfId="5340" xr:uid="{00000000-0005-0000-0000-0000F1120000}"/>
    <cellStyle name="20% - Акцент5 81 2" xfId="5341" xr:uid="{00000000-0005-0000-0000-0000F2120000}"/>
    <cellStyle name="20% - Акцент5 82" xfId="5342" xr:uid="{00000000-0005-0000-0000-0000F3120000}"/>
    <cellStyle name="20% - Акцент5 82 2" xfId="5343" xr:uid="{00000000-0005-0000-0000-0000F4120000}"/>
    <cellStyle name="20% - Акцент5 83" xfId="5344" xr:uid="{00000000-0005-0000-0000-0000F5120000}"/>
    <cellStyle name="20% - Акцент5 83 2" xfId="5345" xr:uid="{00000000-0005-0000-0000-0000F6120000}"/>
    <cellStyle name="20% - Акцент5 84" xfId="5346" xr:uid="{00000000-0005-0000-0000-0000F7120000}"/>
    <cellStyle name="20% - Акцент5 84 2" xfId="5347" xr:uid="{00000000-0005-0000-0000-0000F8120000}"/>
    <cellStyle name="20% - Акцент5 85" xfId="5348" xr:uid="{00000000-0005-0000-0000-0000F9120000}"/>
    <cellStyle name="20% - Акцент5 85 2" xfId="5349" xr:uid="{00000000-0005-0000-0000-0000FA120000}"/>
    <cellStyle name="20% - Акцент5 86" xfId="5350" xr:uid="{00000000-0005-0000-0000-0000FB120000}"/>
    <cellStyle name="20% - Акцент5 86 2" xfId="5351" xr:uid="{00000000-0005-0000-0000-0000FC120000}"/>
    <cellStyle name="20% - Акцент5 87" xfId="5352" xr:uid="{00000000-0005-0000-0000-0000FD120000}"/>
    <cellStyle name="20% - Акцент5 87 2" xfId="5353" xr:uid="{00000000-0005-0000-0000-0000FE120000}"/>
    <cellStyle name="20% - Акцент5 88" xfId="5354" xr:uid="{00000000-0005-0000-0000-0000FF120000}"/>
    <cellStyle name="20% - Акцент5 88 2" xfId="5355" xr:uid="{00000000-0005-0000-0000-000000130000}"/>
    <cellStyle name="20% - Акцент5 89" xfId="5356" xr:uid="{00000000-0005-0000-0000-000001130000}"/>
    <cellStyle name="20% - Акцент5 89 2" xfId="5357" xr:uid="{00000000-0005-0000-0000-000002130000}"/>
    <cellStyle name="20% - Акцент5 9" xfId="5358" xr:uid="{00000000-0005-0000-0000-000003130000}"/>
    <cellStyle name="20% - Акцент5 90" xfId="5359" xr:uid="{00000000-0005-0000-0000-000004130000}"/>
    <cellStyle name="20% - Акцент5 90 2" xfId="5360" xr:uid="{00000000-0005-0000-0000-000005130000}"/>
    <cellStyle name="20% - Акцент5 91" xfId="5361" xr:uid="{00000000-0005-0000-0000-000006130000}"/>
    <cellStyle name="20% - Акцент5 91 2" xfId="5362" xr:uid="{00000000-0005-0000-0000-000007130000}"/>
    <cellStyle name="20% - Акцент5 92" xfId="5363" xr:uid="{00000000-0005-0000-0000-000008130000}"/>
    <cellStyle name="20% - Акцент5 92 2" xfId="5364" xr:uid="{00000000-0005-0000-0000-000009130000}"/>
    <cellStyle name="20% - Акцент5 93" xfId="5365" xr:uid="{00000000-0005-0000-0000-00000A130000}"/>
    <cellStyle name="20% - Акцент5 93 2" xfId="5366" xr:uid="{00000000-0005-0000-0000-00000B130000}"/>
    <cellStyle name="20% - Акцент5 94" xfId="5367" xr:uid="{00000000-0005-0000-0000-00000C130000}"/>
    <cellStyle name="20% - Акцент5 94 2" xfId="5368" xr:uid="{00000000-0005-0000-0000-00000D130000}"/>
    <cellStyle name="20% - Акцент5 95" xfId="5369" xr:uid="{00000000-0005-0000-0000-00000E130000}"/>
    <cellStyle name="20% - Акцент5 95 2" xfId="5370" xr:uid="{00000000-0005-0000-0000-00000F130000}"/>
    <cellStyle name="20% - Акцент5 96" xfId="5371" xr:uid="{00000000-0005-0000-0000-000010130000}"/>
    <cellStyle name="20% - Акцент5 96 2" xfId="5372" xr:uid="{00000000-0005-0000-0000-000011130000}"/>
    <cellStyle name="20% - Акцент5 97" xfId="5373" xr:uid="{00000000-0005-0000-0000-000012130000}"/>
    <cellStyle name="20% - Акцент5 97 2" xfId="5374" xr:uid="{00000000-0005-0000-0000-000013130000}"/>
    <cellStyle name="20% - Акцент5 98" xfId="5375" xr:uid="{00000000-0005-0000-0000-000014130000}"/>
    <cellStyle name="20% - Акцент5 98 2" xfId="5376" xr:uid="{00000000-0005-0000-0000-000015130000}"/>
    <cellStyle name="20% - Акцент5 99" xfId="5377" xr:uid="{00000000-0005-0000-0000-000016130000}"/>
    <cellStyle name="20% - Акцент5 99 2" xfId="5378" xr:uid="{00000000-0005-0000-0000-000017130000}"/>
    <cellStyle name="20% - Акцент6 10" xfId="5379" xr:uid="{00000000-0005-0000-0000-000018130000}"/>
    <cellStyle name="20% - Акцент6 100" xfId="5380" xr:uid="{00000000-0005-0000-0000-000019130000}"/>
    <cellStyle name="20% - Акцент6 100 2" xfId="5381" xr:uid="{00000000-0005-0000-0000-00001A130000}"/>
    <cellStyle name="20% - Акцент6 101" xfId="5382" xr:uid="{00000000-0005-0000-0000-00001B130000}"/>
    <cellStyle name="20% - Акцент6 101 2" xfId="5383" xr:uid="{00000000-0005-0000-0000-00001C130000}"/>
    <cellStyle name="20% - Акцент6 102" xfId="5384" xr:uid="{00000000-0005-0000-0000-00001D130000}"/>
    <cellStyle name="20% - Акцент6 102 2" xfId="5385" xr:uid="{00000000-0005-0000-0000-00001E130000}"/>
    <cellStyle name="20% - Акцент6 103" xfId="5386" xr:uid="{00000000-0005-0000-0000-00001F130000}"/>
    <cellStyle name="20% - Акцент6 103 2" xfId="5387" xr:uid="{00000000-0005-0000-0000-000020130000}"/>
    <cellStyle name="20% - Акцент6 104" xfId="5388" xr:uid="{00000000-0005-0000-0000-000021130000}"/>
    <cellStyle name="20% - Акцент6 104 2" xfId="5389" xr:uid="{00000000-0005-0000-0000-000022130000}"/>
    <cellStyle name="20% - Акцент6 105" xfId="5390" xr:uid="{00000000-0005-0000-0000-000023130000}"/>
    <cellStyle name="20% - Акцент6 105 2" xfId="5391" xr:uid="{00000000-0005-0000-0000-000024130000}"/>
    <cellStyle name="20% - Акцент6 106" xfId="5392" xr:uid="{00000000-0005-0000-0000-000025130000}"/>
    <cellStyle name="20% - Акцент6 106 2" xfId="5393" xr:uid="{00000000-0005-0000-0000-000026130000}"/>
    <cellStyle name="20% - Акцент6 107" xfId="5394" xr:uid="{00000000-0005-0000-0000-000027130000}"/>
    <cellStyle name="20% - Акцент6 107 2" xfId="5395" xr:uid="{00000000-0005-0000-0000-000028130000}"/>
    <cellStyle name="20% - Акцент6 108" xfId="5396" xr:uid="{00000000-0005-0000-0000-000029130000}"/>
    <cellStyle name="20% - Акцент6 108 2" xfId="5397" xr:uid="{00000000-0005-0000-0000-00002A130000}"/>
    <cellStyle name="20% - Акцент6 109" xfId="5398" xr:uid="{00000000-0005-0000-0000-00002B130000}"/>
    <cellStyle name="20% - Акцент6 109 2" xfId="5399" xr:uid="{00000000-0005-0000-0000-00002C130000}"/>
    <cellStyle name="20% - Акцент6 11" xfId="5400" xr:uid="{00000000-0005-0000-0000-00002D130000}"/>
    <cellStyle name="20% - Акцент6 110" xfId="5401" xr:uid="{00000000-0005-0000-0000-00002E130000}"/>
    <cellStyle name="20% - Акцент6 110 2" xfId="5402" xr:uid="{00000000-0005-0000-0000-00002F130000}"/>
    <cellStyle name="20% - Акцент6 111" xfId="5403" xr:uid="{00000000-0005-0000-0000-000030130000}"/>
    <cellStyle name="20% - Акцент6 111 2" xfId="5404" xr:uid="{00000000-0005-0000-0000-000031130000}"/>
    <cellStyle name="20% - Акцент6 112" xfId="5405" xr:uid="{00000000-0005-0000-0000-000032130000}"/>
    <cellStyle name="20% - Акцент6 112 2" xfId="5406" xr:uid="{00000000-0005-0000-0000-000033130000}"/>
    <cellStyle name="20% - Акцент6 113" xfId="5407" xr:uid="{00000000-0005-0000-0000-000034130000}"/>
    <cellStyle name="20% - Акцент6 113 2" xfId="5408" xr:uid="{00000000-0005-0000-0000-000035130000}"/>
    <cellStyle name="20% - Акцент6 114" xfId="5409" xr:uid="{00000000-0005-0000-0000-000036130000}"/>
    <cellStyle name="20% - Акцент6 114 2" xfId="5410" xr:uid="{00000000-0005-0000-0000-000037130000}"/>
    <cellStyle name="20% - Акцент6 115" xfId="5411" xr:uid="{00000000-0005-0000-0000-000038130000}"/>
    <cellStyle name="20% - Акцент6 115 2" xfId="5412" xr:uid="{00000000-0005-0000-0000-000039130000}"/>
    <cellStyle name="20% - Акцент6 116" xfId="5413" xr:uid="{00000000-0005-0000-0000-00003A130000}"/>
    <cellStyle name="20% - Акцент6 116 2" xfId="5414" xr:uid="{00000000-0005-0000-0000-00003B130000}"/>
    <cellStyle name="20% - Акцент6 117" xfId="5415" xr:uid="{00000000-0005-0000-0000-00003C130000}"/>
    <cellStyle name="20% - Акцент6 117 2" xfId="5416" xr:uid="{00000000-0005-0000-0000-00003D130000}"/>
    <cellStyle name="20% - Акцент6 118" xfId="5417" xr:uid="{00000000-0005-0000-0000-00003E130000}"/>
    <cellStyle name="20% - Акцент6 118 2" xfId="5418" xr:uid="{00000000-0005-0000-0000-00003F130000}"/>
    <cellStyle name="20% - Акцент6 119" xfId="5419" xr:uid="{00000000-0005-0000-0000-000040130000}"/>
    <cellStyle name="20% - Акцент6 119 2" xfId="5420" xr:uid="{00000000-0005-0000-0000-000041130000}"/>
    <cellStyle name="20% - Акцент6 12" xfId="5421" xr:uid="{00000000-0005-0000-0000-000042130000}"/>
    <cellStyle name="20% - Акцент6 120" xfId="5422" xr:uid="{00000000-0005-0000-0000-000043130000}"/>
    <cellStyle name="20% - Акцент6 120 2" xfId="5423" xr:uid="{00000000-0005-0000-0000-000044130000}"/>
    <cellStyle name="20% - Акцент6 121" xfId="5424" xr:uid="{00000000-0005-0000-0000-000045130000}"/>
    <cellStyle name="20% - Акцент6 121 2" xfId="5425" xr:uid="{00000000-0005-0000-0000-000046130000}"/>
    <cellStyle name="20% - Акцент6 122" xfId="5426" xr:uid="{00000000-0005-0000-0000-000047130000}"/>
    <cellStyle name="20% - Акцент6 122 2" xfId="5427" xr:uid="{00000000-0005-0000-0000-000048130000}"/>
    <cellStyle name="20% - Акцент6 123" xfId="5428" xr:uid="{00000000-0005-0000-0000-000049130000}"/>
    <cellStyle name="20% - Акцент6 123 2" xfId="5429" xr:uid="{00000000-0005-0000-0000-00004A130000}"/>
    <cellStyle name="20% - Акцент6 124" xfId="5430" xr:uid="{00000000-0005-0000-0000-00004B130000}"/>
    <cellStyle name="20% - Акцент6 124 2" xfId="5431" xr:uid="{00000000-0005-0000-0000-00004C130000}"/>
    <cellStyle name="20% - Акцент6 125" xfId="5432" xr:uid="{00000000-0005-0000-0000-00004D130000}"/>
    <cellStyle name="20% - Акцент6 125 2" xfId="5433" xr:uid="{00000000-0005-0000-0000-00004E130000}"/>
    <cellStyle name="20% - Акцент6 126" xfId="5434" xr:uid="{00000000-0005-0000-0000-00004F130000}"/>
    <cellStyle name="20% - Акцент6 126 2" xfId="5435" xr:uid="{00000000-0005-0000-0000-000050130000}"/>
    <cellStyle name="20% - Акцент6 127" xfId="5436" xr:uid="{00000000-0005-0000-0000-000051130000}"/>
    <cellStyle name="20% - Акцент6 127 2" xfId="5437" xr:uid="{00000000-0005-0000-0000-000052130000}"/>
    <cellStyle name="20% - Акцент6 128" xfId="5438" xr:uid="{00000000-0005-0000-0000-000053130000}"/>
    <cellStyle name="20% - Акцент6 128 2" xfId="5439" xr:uid="{00000000-0005-0000-0000-000054130000}"/>
    <cellStyle name="20% - Акцент6 129" xfId="5440" xr:uid="{00000000-0005-0000-0000-000055130000}"/>
    <cellStyle name="20% - Акцент6 129 2" xfId="5441" xr:uid="{00000000-0005-0000-0000-000056130000}"/>
    <cellStyle name="20% - Акцент6 13" xfId="5442" xr:uid="{00000000-0005-0000-0000-000057130000}"/>
    <cellStyle name="20% - Акцент6 130" xfId="5443" xr:uid="{00000000-0005-0000-0000-000058130000}"/>
    <cellStyle name="20% - Акцент6 130 2" xfId="5444" xr:uid="{00000000-0005-0000-0000-000059130000}"/>
    <cellStyle name="20% - Акцент6 131" xfId="5445" xr:uid="{00000000-0005-0000-0000-00005A130000}"/>
    <cellStyle name="20% - Акцент6 131 2" xfId="5446" xr:uid="{00000000-0005-0000-0000-00005B130000}"/>
    <cellStyle name="20% - Акцент6 132" xfId="5447" xr:uid="{00000000-0005-0000-0000-00005C130000}"/>
    <cellStyle name="20% - Акцент6 132 2" xfId="5448" xr:uid="{00000000-0005-0000-0000-00005D130000}"/>
    <cellStyle name="20% - Акцент6 133" xfId="5449" xr:uid="{00000000-0005-0000-0000-00005E130000}"/>
    <cellStyle name="20% - Акцент6 133 2" xfId="5450" xr:uid="{00000000-0005-0000-0000-00005F130000}"/>
    <cellStyle name="20% - Акцент6 134" xfId="5451" xr:uid="{00000000-0005-0000-0000-000060130000}"/>
    <cellStyle name="20% - Акцент6 134 2" xfId="5452" xr:uid="{00000000-0005-0000-0000-000061130000}"/>
    <cellStyle name="20% - Акцент6 135" xfId="5453" xr:uid="{00000000-0005-0000-0000-000062130000}"/>
    <cellStyle name="20% - Акцент6 135 2" xfId="5454" xr:uid="{00000000-0005-0000-0000-000063130000}"/>
    <cellStyle name="20% - Акцент6 136" xfId="5455" xr:uid="{00000000-0005-0000-0000-000064130000}"/>
    <cellStyle name="20% - Акцент6 136 2" xfId="5456" xr:uid="{00000000-0005-0000-0000-000065130000}"/>
    <cellStyle name="20% - Акцент6 137" xfId="5457" xr:uid="{00000000-0005-0000-0000-000066130000}"/>
    <cellStyle name="20% - Акцент6 137 2" xfId="5458" xr:uid="{00000000-0005-0000-0000-000067130000}"/>
    <cellStyle name="20% - Акцент6 138" xfId="5459" xr:uid="{00000000-0005-0000-0000-000068130000}"/>
    <cellStyle name="20% - Акцент6 138 2" xfId="5460" xr:uid="{00000000-0005-0000-0000-000069130000}"/>
    <cellStyle name="20% - Акцент6 139" xfId="5461" xr:uid="{00000000-0005-0000-0000-00006A130000}"/>
    <cellStyle name="20% - Акцент6 139 2" xfId="5462" xr:uid="{00000000-0005-0000-0000-00006B130000}"/>
    <cellStyle name="20% - Акцент6 14" xfId="5463" xr:uid="{00000000-0005-0000-0000-00006C130000}"/>
    <cellStyle name="20% - Акцент6 140" xfId="5464" xr:uid="{00000000-0005-0000-0000-00006D130000}"/>
    <cellStyle name="20% - Акцент6 140 2" xfId="5465" xr:uid="{00000000-0005-0000-0000-00006E130000}"/>
    <cellStyle name="20% - Акцент6 141" xfId="5466" xr:uid="{00000000-0005-0000-0000-00006F130000}"/>
    <cellStyle name="20% - Акцент6 141 2" xfId="5467" xr:uid="{00000000-0005-0000-0000-000070130000}"/>
    <cellStyle name="20% - Акцент6 142" xfId="5468" xr:uid="{00000000-0005-0000-0000-000071130000}"/>
    <cellStyle name="20% - Акцент6 142 2" xfId="5469" xr:uid="{00000000-0005-0000-0000-000072130000}"/>
    <cellStyle name="20% - Акцент6 143" xfId="5470" xr:uid="{00000000-0005-0000-0000-000073130000}"/>
    <cellStyle name="20% - Акцент6 143 2" xfId="5471" xr:uid="{00000000-0005-0000-0000-000074130000}"/>
    <cellStyle name="20% - Акцент6 144" xfId="5472" xr:uid="{00000000-0005-0000-0000-000075130000}"/>
    <cellStyle name="20% - Акцент6 144 2" xfId="5473" xr:uid="{00000000-0005-0000-0000-000076130000}"/>
    <cellStyle name="20% - Акцент6 145" xfId="5474" xr:uid="{00000000-0005-0000-0000-000077130000}"/>
    <cellStyle name="20% - Акцент6 145 2" xfId="5475" xr:uid="{00000000-0005-0000-0000-000078130000}"/>
    <cellStyle name="20% - Акцент6 146" xfId="5476" xr:uid="{00000000-0005-0000-0000-000079130000}"/>
    <cellStyle name="20% - Акцент6 146 2" xfId="5477" xr:uid="{00000000-0005-0000-0000-00007A130000}"/>
    <cellStyle name="20% - Акцент6 147" xfId="5478" xr:uid="{00000000-0005-0000-0000-00007B130000}"/>
    <cellStyle name="20% - Акцент6 147 2" xfId="5479" xr:uid="{00000000-0005-0000-0000-00007C130000}"/>
    <cellStyle name="20% - Акцент6 148" xfId="5480" xr:uid="{00000000-0005-0000-0000-00007D130000}"/>
    <cellStyle name="20% - Акцент6 148 2" xfId="5481" xr:uid="{00000000-0005-0000-0000-00007E130000}"/>
    <cellStyle name="20% - Акцент6 149" xfId="5482" xr:uid="{00000000-0005-0000-0000-00007F130000}"/>
    <cellStyle name="20% - Акцент6 149 2" xfId="5483" xr:uid="{00000000-0005-0000-0000-000080130000}"/>
    <cellStyle name="20% - Акцент6 15" xfId="5484" xr:uid="{00000000-0005-0000-0000-000081130000}"/>
    <cellStyle name="20% - Акцент6 150" xfId="5485" xr:uid="{00000000-0005-0000-0000-000082130000}"/>
    <cellStyle name="20% - Акцент6 150 2" xfId="5486" xr:uid="{00000000-0005-0000-0000-000083130000}"/>
    <cellStyle name="20% - Акцент6 151" xfId="5487" xr:uid="{00000000-0005-0000-0000-000084130000}"/>
    <cellStyle name="20% - Акцент6 151 2" xfId="5488" xr:uid="{00000000-0005-0000-0000-000085130000}"/>
    <cellStyle name="20% - Акцент6 152" xfId="5489" xr:uid="{00000000-0005-0000-0000-000086130000}"/>
    <cellStyle name="20% - Акцент6 152 2" xfId="5490" xr:uid="{00000000-0005-0000-0000-000087130000}"/>
    <cellStyle name="20% - Акцент6 153" xfId="5491" xr:uid="{00000000-0005-0000-0000-000088130000}"/>
    <cellStyle name="20% - Акцент6 153 2" xfId="5492" xr:uid="{00000000-0005-0000-0000-000089130000}"/>
    <cellStyle name="20% - Акцент6 154" xfId="5493" xr:uid="{00000000-0005-0000-0000-00008A130000}"/>
    <cellStyle name="20% - Акцент6 154 2" xfId="5494" xr:uid="{00000000-0005-0000-0000-00008B130000}"/>
    <cellStyle name="20% - Акцент6 155" xfId="5495" xr:uid="{00000000-0005-0000-0000-00008C130000}"/>
    <cellStyle name="20% - Акцент6 155 2" xfId="5496" xr:uid="{00000000-0005-0000-0000-00008D130000}"/>
    <cellStyle name="20% - Акцент6 156" xfId="5497" xr:uid="{00000000-0005-0000-0000-00008E130000}"/>
    <cellStyle name="20% - Акцент6 156 2" xfId="5498" xr:uid="{00000000-0005-0000-0000-00008F130000}"/>
    <cellStyle name="20% - Акцент6 157" xfId="5499" xr:uid="{00000000-0005-0000-0000-000090130000}"/>
    <cellStyle name="20% - Акцент6 157 2" xfId="5500" xr:uid="{00000000-0005-0000-0000-000091130000}"/>
    <cellStyle name="20% - Акцент6 158" xfId="5501" xr:uid="{00000000-0005-0000-0000-000092130000}"/>
    <cellStyle name="20% - Акцент6 158 2" xfId="5502" xr:uid="{00000000-0005-0000-0000-000093130000}"/>
    <cellStyle name="20% - Акцент6 159" xfId="5503" xr:uid="{00000000-0005-0000-0000-000094130000}"/>
    <cellStyle name="20% - Акцент6 159 2" xfId="5504" xr:uid="{00000000-0005-0000-0000-000095130000}"/>
    <cellStyle name="20% - Акцент6 16" xfId="5505" xr:uid="{00000000-0005-0000-0000-000096130000}"/>
    <cellStyle name="20% - Акцент6 160" xfId="5506" xr:uid="{00000000-0005-0000-0000-000097130000}"/>
    <cellStyle name="20% - Акцент6 160 2" xfId="5507" xr:uid="{00000000-0005-0000-0000-000098130000}"/>
    <cellStyle name="20% - Акцент6 161" xfId="5508" xr:uid="{00000000-0005-0000-0000-000099130000}"/>
    <cellStyle name="20% - Акцент6 161 2" xfId="5509" xr:uid="{00000000-0005-0000-0000-00009A130000}"/>
    <cellStyle name="20% - Акцент6 162" xfId="5510" xr:uid="{00000000-0005-0000-0000-00009B130000}"/>
    <cellStyle name="20% - Акцент6 162 2" xfId="5511" xr:uid="{00000000-0005-0000-0000-00009C130000}"/>
    <cellStyle name="20% - Акцент6 163" xfId="5512" xr:uid="{00000000-0005-0000-0000-00009D130000}"/>
    <cellStyle name="20% - Акцент6 163 2" xfId="5513" xr:uid="{00000000-0005-0000-0000-00009E130000}"/>
    <cellStyle name="20% - Акцент6 164" xfId="5514" xr:uid="{00000000-0005-0000-0000-00009F130000}"/>
    <cellStyle name="20% - Акцент6 164 2" xfId="5515" xr:uid="{00000000-0005-0000-0000-0000A0130000}"/>
    <cellStyle name="20% - Акцент6 165" xfId="5516" xr:uid="{00000000-0005-0000-0000-0000A1130000}"/>
    <cellStyle name="20% - Акцент6 165 2" xfId="5517" xr:uid="{00000000-0005-0000-0000-0000A2130000}"/>
    <cellStyle name="20% - Акцент6 166" xfId="5518" xr:uid="{00000000-0005-0000-0000-0000A3130000}"/>
    <cellStyle name="20% - Акцент6 166 2" xfId="5519" xr:uid="{00000000-0005-0000-0000-0000A4130000}"/>
    <cellStyle name="20% - Акцент6 167" xfId="5520" xr:uid="{00000000-0005-0000-0000-0000A5130000}"/>
    <cellStyle name="20% - Акцент6 167 2" xfId="5521" xr:uid="{00000000-0005-0000-0000-0000A6130000}"/>
    <cellStyle name="20% - Акцент6 168" xfId="5522" xr:uid="{00000000-0005-0000-0000-0000A7130000}"/>
    <cellStyle name="20% - Акцент6 168 2" xfId="5523" xr:uid="{00000000-0005-0000-0000-0000A8130000}"/>
    <cellStyle name="20% - Акцент6 169" xfId="5524" xr:uid="{00000000-0005-0000-0000-0000A9130000}"/>
    <cellStyle name="20% - Акцент6 169 2" xfId="5525" xr:uid="{00000000-0005-0000-0000-0000AA130000}"/>
    <cellStyle name="20% - Акцент6 17" xfId="5526" xr:uid="{00000000-0005-0000-0000-0000AB130000}"/>
    <cellStyle name="20% - Акцент6 170" xfId="5527" xr:uid="{00000000-0005-0000-0000-0000AC130000}"/>
    <cellStyle name="20% - Акцент6 170 2" xfId="5528" xr:uid="{00000000-0005-0000-0000-0000AD130000}"/>
    <cellStyle name="20% - Акцент6 171" xfId="5529" xr:uid="{00000000-0005-0000-0000-0000AE130000}"/>
    <cellStyle name="20% - Акцент6 171 2" xfId="5530" xr:uid="{00000000-0005-0000-0000-0000AF130000}"/>
    <cellStyle name="20% - Акцент6 172" xfId="5531" xr:uid="{00000000-0005-0000-0000-0000B0130000}"/>
    <cellStyle name="20% - Акцент6 172 2" xfId="5532" xr:uid="{00000000-0005-0000-0000-0000B1130000}"/>
    <cellStyle name="20% - Акцент6 173" xfId="5533" xr:uid="{00000000-0005-0000-0000-0000B2130000}"/>
    <cellStyle name="20% - Акцент6 173 2" xfId="5534" xr:uid="{00000000-0005-0000-0000-0000B3130000}"/>
    <cellStyle name="20% - Акцент6 174" xfId="5535" xr:uid="{00000000-0005-0000-0000-0000B4130000}"/>
    <cellStyle name="20% - Акцент6 174 2" xfId="5536" xr:uid="{00000000-0005-0000-0000-0000B5130000}"/>
    <cellStyle name="20% - Акцент6 175" xfId="5537" xr:uid="{00000000-0005-0000-0000-0000B6130000}"/>
    <cellStyle name="20% - Акцент6 175 2" xfId="5538" xr:uid="{00000000-0005-0000-0000-0000B7130000}"/>
    <cellStyle name="20% - Акцент6 176" xfId="5539" xr:uid="{00000000-0005-0000-0000-0000B8130000}"/>
    <cellStyle name="20% - Акцент6 176 2" xfId="5540" xr:uid="{00000000-0005-0000-0000-0000B9130000}"/>
    <cellStyle name="20% - Акцент6 177" xfId="5541" xr:uid="{00000000-0005-0000-0000-0000BA130000}"/>
    <cellStyle name="20% - Акцент6 177 2" xfId="5542" xr:uid="{00000000-0005-0000-0000-0000BB130000}"/>
    <cellStyle name="20% - Акцент6 178" xfId="5543" xr:uid="{00000000-0005-0000-0000-0000BC130000}"/>
    <cellStyle name="20% - Акцент6 178 2" xfId="5544" xr:uid="{00000000-0005-0000-0000-0000BD130000}"/>
    <cellStyle name="20% - Акцент6 179" xfId="5545" xr:uid="{00000000-0005-0000-0000-0000BE130000}"/>
    <cellStyle name="20% - Акцент6 179 2" xfId="5546" xr:uid="{00000000-0005-0000-0000-0000BF130000}"/>
    <cellStyle name="20% - Акцент6 18" xfId="5547" xr:uid="{00000000-0005-0000-0000-0000C0130000}"/>
    <cellStyle name="20% - Акцент6 180" xfId="5548" xr:uid="{00000000-0005-0000-0000-0000C1130000}"/>
    <cellStyle name="20% - Акцент6 180 2" xfId="5549" xr:uid="{00000000-0005-0000-0000-0000C2130000}"/>
    <cellStyle name="20% - Акцент6 181" xfId="5550" xr:uid="{00000000-0005-0000-0000-0000C3130000}"/>
    <cellStyle name="20% - Акцент6 181 2" xfId="5551" xr:uid="{00000000-0005-0000-0000-0000C4130000}"/>
    <cellStyle name="20% - Акцент6 182" xfId="5552" xr:uid="{00000000-0005-0000-0000-0000C5130000}"/>
    <cellStyle name="20% - Акцент6 182 2" xfId="5553" xr:uid="{00000000-0005-0000-0000-0000C6130000}"/>
    <cellStyle name="20% - Акцент6 183" xfId="5554" xr:uid="{00000000-0005-0000-0000-0000C7130000}"/>
    <cellStyle name="20% - Акцент6 183 2" xfId="5555" xr:uid="{00000000-0005-0000-0000-0000C8130000}"/>
    <cellStyle name="20% - Акцент6 184" xfId="5556" xr:uid="{00000000-0005-0000-0000-0000C9130000}"/>
    <cellStyle name="20% - Акцент6 184 2" xfId="5557" xr:uid="{00000000-0005-0000-0000-0000CA130000}"/>
    <cellStyle name="20% - Акцент6 185" xfId="5558" xr:uid="{00000000-0005-0000-0000-0000CB130000}"/>
    <cellStyle name="20% - Акцент6 185 2" xfId="5559" xr:uid="{00000000-0005-0000-0000-0000CC130000}"/>
    <cellStyle name="20% - Акцент6 186" xfId="5560" xr:uid="{00000000-0005-0000-0000-0000CD130000}"/>
    <cellStyle name="20% - Акцент6 186 2" xfId="5561" xr:uid="{00000000-0005-0000-0000-0000CE130000}"/>
    <cellStyle name="20% - Акцент6 187" xfId="5562" xr:uid="{00000000-0005-0000-0000-0000CF130000}"/>
    <cellStyle name="20% - Акцент6 187 2" xfId="5563" xr:uid="{00000000-0005-0000-0000-0000D0130000}"/>
    <cellStyle name="20% - Акцент6 188" xfId="5564" xr:uid="{00000000-0005-0000-0000-0000D1130000}"/>
    <cellStyle name="20% - Акцент6 188 2" xfId="5565" xr:uid="{00000000-0005-0000-0000-0000D2130000}"/>
    <cellStyle name="20% - Акцент6 189" xfId="5566" xr:uid="{00000000-0005-0000-0000-0000D3130000}"/>
    <cellStyle name="20% - Акцент6 189 2" xfId="5567" xr:uid="{00000000-0005-0000-0000-0000D4130000}"/>
    <cellStyle name="20% - Акцент6 19" xfId="5568" xr:uid="{00000000-0005-0000-0000-0000D5130000}"/>
    <cellStyle name="20% - Акцент6 190" xfId="5569" xr:uid="{00000000-0005-0000-0000-0000D6130000}"/>
    <cellStyle name="20% - Акцент6 190 2" xfId="5570" xr:uid="{00000000-0005-0000-0000-0000D7130000}"/>
    <cellStyle name="20% - Акцент6 191" xfId="5571" xr:uid="{00000000-0005-0000-0000-0000D8130000}"/>
    <cellStyle name="20% - Акцент6 191 2" xfId="5572" xr:uid="{00000000-0005-0000-0000-0000D9130000}"/>
    <cellStyle name="20% - Акцент6 192" xfId="5573" xr:uid="{00000000-0005-0000-0000-0000DA130000}"/>
    <cellStyle name="20% - Акцент6 192 2" xfId="5574" xr:uid="{00000000-0005-0000-0000-0000DB130000}"/>
    <cellStyle name="20% - Акцент6 193" xfId="5575" xr:uid="{00000000-0005-0000-0000-0000DC130000}"/>
    <cellStyle name="20% - Акцент6 193 2" xfId="5576" xr:uid="{00000000-0005-0000-0000-0000DD130000}"/>
    <cellStyle name="20% - Акцент6 194" xfId="5577" xr:uid="{00000000-0005-0000-0000-0000DE130000}"/>
    <cellStyle name="20% - Акцент6 194 2" xfId="5578" xr:uid="{00000000-0005-0000-0000-0000DF130000}"/>
    <cellStyle name="20% - Акцент6 195" xfId="5579" xr:uid="{00000000-0005-0000-0000-0000E0130000}"/>
    <cellStyle name="20% - Акцент6 195 2" xfId="5580" xr:uid="{00000000-0005-0000-0000-0000E1130000}"/>
    <cellStyle name="20% - Акцент6 196" xfId="5581" xr:uid="{00000000-0005-0000-0000-0000E2130000}"/>
    <cellStyle name="20% - Акцент6 196 2" xfId="5582" xr:uid="{00000000-0005-0000-0000-0000E3130000}"/>
    <cellStyle name="20% - Акцент6 197" xfId="5583" xr:uid="{00000000-0005-0000-0000-0000E4130000}"/>
    <cellStyle name="20% - Акцент6 197 2" xfId="5584" xr:uid="{00000000-0005-0000-0000-0000E5130000}"/>
    <cellStyle name="20% - Акцент6 198" xfId="5585" xr:uid="{00000000-0005-0000-0000-0000E6130000}"/>
    <cellStyle name="20% - Акцент6 198 2" xfId="5586" xr:uid="{00000000-0005-0000-0000-0000E7130000}"/>
    <cellStyle name="20% - Акцент6 199" xfId="5587" xr:uid="{00000000-0005-0000-0000-0000E8130000}"/>
    <cellStyle name="20% - Акцент6 199 2" xfId="5588" xr:uid="{00000000-0005-0000-0000-0000E9130000}"/>
    <cellStyle name="20% - Акцент6 2" xfId="5589" xr:uid="{00000000-0005-0000-0000-0000EA130000}"/>
    <cellStyle name="20% - Акцент6 2 2" xfId="5590" xr:uid="{00000000-0005-0000-0000-0000EB130000}"/>
    <cellStyle name="20% - Акцент6 2 2 2" xfId="5591" xr:uid="{00000000-0005-0000-0000-0000EC130000}"/>
    <cellStyle name="20% - Акцент6 2 3" xfId="5592" xr:uid="{00000000-0005-0000-0000-0000ED130000}"/>
    <cellStyle name="20% - Акцент6 2 4" xfId="5593" xr:uid="{00000000-0005-0000-0000-0000EE130000}"/>
    <cellStyle name="20% - Акцент6 2 4 2 2" xfId="5594" xr:uid="{00000000-0005-0000-0000-0000EF130000}"/>
    <cellStyle name="20% - Акцент6 2 4 2 2 2" xfId="5595" xr:uid="{00000000-0005-0000-0000-0000F0130000}"/>
    <cellStyle name="20% - Акцент6 2 5" xfId="5596" xr:uid="{00000000-0005-0000-0000-0000F1130000}"/>
    <cellStyle name="20% - Акцент6 2 6" xfId="5597" xr:uid="{00000000-0005-0000-0000-0000F2130000}"/>
    <cellStyle name="20% - Акцент6 2 7" xfId="5598" xr:uid="{00000000-0005-0000-0000-0000F3130000}"/>
    <cellStyle name="20% - Акцент6 20" xfId="5599" xr:uid="{00000000-0005-0000-0000-0000F4130000}"/>
    <cellStyle name="20% - Акцент6 20 2" xfId="5600" xr:uid="{00000000-0005-0000-0000-0000F5130000}"/>
    <cellStyle name="20% - Акцент6 200" xfId="5601" xr:uid="{00000000-0005-0000-0000-0000F6130000}"/>
    <cellStyle name="20% - Акцент6 200 2" xfId="5602" xr:uid="{00000000-0005-0000-0000-0000F7130000}"/>
    <cellStyle name="20% - Акцент6 201" xfId="5603" xr:uid="{00000000-0005-0000-0000-0000F8130000}"/>
    <cellStyle name="20% - Акцент6 201 2" xfId="5604" xr:uid="{00000000-0005-0000-0000-0000F9130000}"/>
    <cellStyle name="20% - Акцент6 202" xfId="5605" xr:uid="{00000000-0005-0000-0000-0000FA130000}"/>
    <cellStyle name="20% - Акцент6 202 2" xfId="5606" xr:uid="{00000000-0005-0000-0000-0000FB130000}"/>
    <cellStyle name="20% - Акцент6 203" xfId="5607" xr:uid="{00000000-0005-0000-0000-0000FC130000}"/>
    <cellStyle name="20% - Акцент6 203 2" xfId="5608" xr:uid="{00000000-0005-0000-0000-0000FD130000}"/>
    <cellStyle name="20% - Акцент6 204" xfId="5609" xr:uid="{00000000-0005-0000-0000-0000FE130000}"/>
    <cellStyle name="20% - Акцент6 204 2" xfId="5610" xr:uid="{00000000-0005-0000-0000-0000FF130000}"/>
    <cellStyle name="20% - Акцент6 205" xfId="5611" xr:uid="{00000000-0005-0000-0000-000000140000}"/>
    <cellStyle name="20% - Акцент6 205 2" xfId="5612" xr:uid="{00000000-0005-0000-0000-000001140000}"/>
    <cellStyle name="20% - Акцент6 206" xfId="5613" xr:uid="{00000000-0005-0000-0000-000002140000}"/>
    <cellStyle name="20% - Акцент6 206 2" xfId="5614" xr:uid="{00000000-0005-0000-0000-000003140000}"/>
    <cellStyle name="20% - Акцент6 207" xfId="5615" xr:uid="{00000000-0005-0000-0000-000004140000}"/>
    <cellStyle name="20% - Акцент6 207 2" xfId="5616" xr:uid="{00000000-0005-0000-0000-000005140000}"/>
    <cellStyle name="20% - Акцент6 208" xfId="5617" xr:uid="{00000000-0005-0000-0000-000006140000}"/>
    <cellStyle name="20% - Акцент6 208 2" xfId="5618" xr:uid="{00000000-0005-0000-0000-000007140000}"/>
    <cellStyle name="20% - Акцент6 209" xfId="5619" xr:uid="{00000000-0005-0000-0000-000008140000}"/>
    <cellStyle name="20% - Акцент6 209 2" xfId="5620" xr:uid="{00000000-0005-0000-0000-000009140000}"/>
    <cellStyle name="20% - Акцент6 21" xfId="5621" xr:uid="{00000000-0005-0000-0000-00000A140000}"/>
    <cellStyle name="20% - Акцент6 21 2" xfId="5622" xr:uid="{00000000-0005-0000-0000-00000B140000}"/>
    <cellStyle name="20% - Акцент6 210" xfId="5623" xr:uid="{00000000-0005-0000-0000-00000C140000}"/>
    <cellStyle name="20% - Акцент6 210 2" xfId="5624" xr:uid="{00000000-0005-0000-0000-00000D140000}"/>
    <cellStyle name="20% - Акцент6 211" xfId="5625" xr:uid="{00000000-0005-0000-0000-00000E140000}"/>
    <cellStyle name="20% - Акцент6 211 2" xfId="5626" xr:uid="{00000000-0005-0000-0000-00000F140000}"/>
    <cellStyle name="20% - Акцент6 212" xfId="5627" xr:uid="{00000000-0005-0000-0000-000010140000}"/>
    <cellStyle name="20% - Акцент6 212 2" xfId="5628" xr:uid="{00000000-0005-0000-0000-000011140000}"/>
    <cellStyle name="20% - Акцент6 213" xfId="5629" xr:uid="{00000000-0005-0000-0000-000012140000}"/>
    <cellStyle name="20% - Акцент6 213 2" xfId="5630" xr:uid="{00000000-0005-0000-0000-000013140000}"/>
    <cellStyle name="20% - Акцент6 214" xfId="5631" xr:uid="{00000000-0005-0000-0000-000014140000}"/>
    <cellStyle name="20% - Акцент6 214 2" xfId="5632" xr:uid="{00000000-0005-0000-0000-000015140000}"/>
    <cellStyle name="20% - Акцент6 215" xfId="5633" xr:uid="{00000000-0005-0000-0000-000016140000}"/>
    <cellStyle name="20% - Акцент6 215 2" xfId="5634" xr:uid="{00000000-0005-0000-0000-000017140000}"/>
    <cellStyle name="20% - Акцент6 216" xfId="5635" xr:uid="{00000000-0005-0000-0000-000018140000}"/>
    <cellStyle name="20% - Акцент6 216 2" xfId="5636" xr:uid="{00000000-0005-0000-0000-000019140000}"/>
    <cellStyle name="20% - Акцент6 217" xfId="5637" xr:uid="{00000000-0005-0000-0000-00001A140000}"/>
    <cellStyle name="20% - Акцент6 217 2" xfId="5638" xr:uid="{00000000-0005-0000-0000-00001B140000}"/>
    <cellStyle name="20% - Акцент6 217 3" xfId="5639" xr:uid="{00000000-0005-0000-0000-00001C140000}"/>
    <cellStyle name="20% - Акцент6 218" xfId="5640" xr:uid="{00000000-0005-0000-0000-00001D140000}"/>
    <cellStyle name="20% - Акцент6 219" xfId="5641" xr:uid="{00000000-0005-0000-0000-00001E140000}"/>
    <cellStyle name="20% - Акцент6 22" xfId="5642" xr:uid="{00000000-0005-0000-0000-00001F140000}"/>
    <cellStyle name="20% - Акцент6 22 2" xfId="5643" xr:uid="{00000000-0005-0000-0000-000020140000}"/>
    <cellStyle name="20% - Акцент6 220" xfId="5644" xr:uid="{00000000-0005-0000-0000-000021140000}"/>
    <cellStyle name="20% - Акцент6 221" xfId="5645" xr:uid="{00000000-0005-0000-0000-000022140000}"/>
    <cellStyle name="20% - Акцент6 222" xfId="5646" xr:uid="{00000000-0005-0000-0000-000023140000}"/>
    <cellStyle name="20% - Акцент6 223" xfId="5647" xr:uid="{00000000-0005-0000-0000-000024140000}"/>
    <cellStyle name="20% - Акцент6 224" xfId="5648" xr:uid="{00000000-0005-0000-0000-000025140000}"/>
    <cellStyle name="20% - Акцент6 225" xfId="5649" xr:uid="{00000000-0005-0000-0000-000026140000}"/>
    <cellStyle name="20% - Акцент6 226" xfId="5650" xr:uid="{00000000-0005-0000-0000-000027140000}"/>
    <cellStyle name="20% - Акцент6 227" xfId="5651" xr:uid="{00000000-0005-0000-0000-000028140000}"/>
    <cellStyle name="20% - Акцент6 228" xfId="5652" xr:uid="{00000000-0005-0000-0000-000029140000}"/>
    <cellStyle name="20% - Акцент6 229" xfId="5653" xr:uid="{00000000-0005-0000-0000-00002A140000}"/>
    <cellStyle name="20% - Акцент6 23" xfId="5654" xr:uid="{00000000-0005-0000-0000-00002B140000}"/>
    <cellStyle name="20% - Акцент6 23 2" xfId="5655" xr:uid="{00000000-0005-0000-0000-00002C140000}"/>
    <cellStyle name="20% - Акцент6 230" xfId="5656" xr:uid="{00000000-0005-0000-0000-00002D140000}"/>
    <cellStyle name="20% - Акцент6 231" xfId="5657" xr:uid="{00000000-0005-0000-0000-00002E140000}"/>
    <cellStyle name="20% - Акцент6 232" xfId="5658" xr:uid="{00000000-0005-0000-0000-00002F140000}"/>
    <cellStyle name="20% - Акцент6 233" xfId="5659" xr:uid="{00000000-0005-0000-0000-000030140000}"/>
    <cellStyle name="20% - Акцент6 234" xfId="5660" xr:uid="{00000000-0005-0000-0000-000031140000}"/>
    <cellStyle name="20% - Акцент6 235" xfId="5661" xr:uid="{00000000-0005-0000-0000-000032140000}"/>
    <cellStyle name="20% - Акцент6 236" xfId="5662" xr:uid="{00000000-0005-0000-0000-000033140000}"/>
    <cellStyle name="20% - Акцент6 237" xfId="5663" xr:uid="{00000000-0005-0000-0000-000034140000}"/>
    <cellStyle name="20% - Акцент6 238" xfId="5664" xr:uid="{00000000-0005-0000-0000-000035140000}"/>
    <cellStyle name="20% - Акцент6 239" xfId="5665" xr:uid="{00000000-0005-0000-0000-000036140000}"/>
    <cellStyle name="20% - Акцент6 24" xfId="5666" xr:uid="{00000000-0005-0000-0000-000037140000}"/>
    <cellStyle name="20% - Акцент6 24 2" xfId="5667" xr:uid="{00000000-0005-0000-0000-000038140000}"/>
    <cellStyle name="20% - Акцент6 240" xfId="5668" xr:uid="{00000000-0005-0000-0000-000039140000}"/>
    <cellStyle name="20% - Акцент6 241" xfId="5669" xr:uid="{00000000-0005-0000-0000-00003A140000}"/>
    <cellStyle name="20% - Акцент6 242" xfId="5670" xr:uid="{00000000-0005-0000-0000-00003B140000}"/>
    <cellStyle name="20% - Акцент6 243" xfId="5671" xr:uid="{00000000-0005-0000-0000-00003C140000}"/>
    <cellStyle name="20% - Акцент6 244" xfId="5672" xr:uid="{00000000-0005-0000-0000-00003D140000}"/>
    <cellStyle name="20% - Акцент6 245" xfId="5673" xr:uid="{00000000-0005-0000-0000-00003E140000}"/>
    <cellStyle name="20% - Акцент6 246" xfId="5674" xr:uid="{00000000-0005-0000-0000-00003F140000}"/>
    <cellStyle name="20% - Акцент6 247" xfId="5675" xr:uid="{00000000-0005-0000-0000-000040140000}"/>
    <cellStyle name="20% - Акцент6 248" xfId="5676" xr:uid="{00000000-0005-0000-0000-000041140000}"/>
    <cellStyle name="20% - Акцент6 249" xfId="5677" xr:uid="{00000000-0005-0000-0000-000042140000}"/>
    <cellStyle name="20% - Акцент6 25" xfId="5678" xr:uid="{00000000-0005-0000-0000-000043140000}"/>
    <cellStyle name="20% - Акцент6 25 2" xfId="5679" xr:uid="{00000000-0005-0000-0000-000044140000}"/>
    <cellStyle name="20% - Акцент6 250" xfId="5680" xr:uid="{00000000-0005-0000-0000-000045140000}"/>
    <cellStyle name="20% - Акцент6 251" xfId="5681" xr:uid="{00000000-0005-0000-0000-000046140000}"/>
    <cellStyle name="20% - Акцент6 252" xfId="5682" xr:uid="{00000000-0005-0000-0000-000047140000}"/>
    <cellStyle name="20% - Акцент6 253" xfId="5683" xr:uid="{00000000-0005-0000-0000-000048140000}"/>
    <cellStyle name="20% - Акцент6 254" xfId="5684" xr:uid="{00000000-0005-0000-0000-000049140000}"/>
    <cellStyle name="20% - Акцент6 255" xfId="5685" xr:uid="{00000000-0005-0000-0000-00004A140000}"/>
    <cellStyle name="20% - Акцент6 26" xfId="5686" xr:uid="{00000000-0005-0000-0000-00004B140000}"/>
    <cellStyle name="20% - Акцент6 26 2" xfId="5687" xr:uid="{00000000-0005-0000-0000-00004C140000}"/>
    <cellStyle name="20% - Акцент6 27" xfId="5688" xr:uid="{00000000-0005-0000-0000-00004D140000}"/>
    <cellStyle name="20% - Акцент6 27 2" xfId="5689" xr:uid="{00000000-0005-0000-0000-00004E140000}"/>
    <cellStyle name="20% - Акцент6 28" xfId="5690" xr:uid="{00000000-0005-0000-0000-00004F140000}"/>
    <cellStyle name="20% - Акцент6 28 2" xfId="5691" xr:uid="{00000000-0005-0000-0000-000050140000}"/>
    <cellStyle name="20% - Акцент6 29" xfId="5692" xr:uid="{00000000-0005-0000-0000-000051140000}"/>
    <cellStyle name="20% - Акцент6 29 2" xfId="5693" xr:uid="{00000000-0005-0000-0000-000052140000}"/>
    <cellStyle name="20% - Акцент6 3" xfId="5694" xr:uid="{00000000-0005-0000-0000-000053140000}"/>
    <cellStyle name="20% - Акцент6 3 2" xfId="5695" xr:uid="{00000000-0005-0000-0000-000054140000}"/>
    <cellStyle name="20% - Акцент6 30" xfId="5696" xr:uid="{00000000-0005-0000-0000-000055140000}"/>
    <cellStyle name="20% - Акцент6 30 2" xfId="5697" xr:uid="{00000000-0005-0000-0000-000056140000}"/>
    <cellStyle name="20% - Акцент6 31" xfId="5698" xr:uid="{00000000-0005-0000-0000-000057140000}"/>
    <cellStyle name="20% - Акцент6 31 2" xfId="5699" xr:uid="{00000000-0005-0000-0000-000058140000}"/>
    <cellStyle name="20% - Акцент6 32" xfId="5700" xr:uid="{00000000-0005-0000-0000-000059140000}"/>
    <cellStyle name="20% - Акцент6 32 2" xfId="5701" xr:uid="{00000000-0005-0000-0000-00005A140000}"/>
    <cellStyle name="20% - Акцент6 33" xfId="5702" xr:uid="{00000000-0005-0000-0000-00005B140000}"/>
    <cellStyle name="20% - Акцент6 33 2" xfId="5703" xr:uid="{00000000-0005-0000-0000-00005C140000}"/>
    <cellStyle name="20% - Акцент6 34" xfId="5704" xr:uid="{00000000-0005-0000-0000-00005D140000}"/>
    <cellStyle name="20% - Акцент6 34 2" xfId="5705" xr:uid="{00000000-0005-0000-0000-00005E140000}"/>
    <cellStyle name="20% - Акцент6 35" xfId="5706" xr:uid="{00000000-0005-0000-0000-00005F140000}"/>
    <cellStyle name="20% - Акцент6 35 2" xfId="5707" xr:uid="{00000000-0005-0000-0000-000060140000}"/>
    <cellStyle name="20% - Акцент6 36" xfId="5708" xr:uid="{00000000-0005-0000-0000-000061140000}"/>
    <cellStyle name="20% - Акцент6 36 2" xfId="5709" xr:uid="{00000000-0005-0000-0000-000062140000}"/>
    <cellStyle name="20% - Акцент6 37" xfId="5710" xr:uid="{00000000-0005-0000-0000-000063140000}"/>
    <cellStyle name="20% - Акцент6 37 2" xfId="5711" xr:uid="{00000000-0005-0000-0000-000064140000}"/>
    <cellStyle name="20% - Акцент6 38" xfId="5712" xr:uid="{00000000-0005-0000-0000-000065140000}"/>
    <cellStyle name="20% - Акцент6 38 2" xfId="5713" xr:uid="{00000000-0005-0000-0000-000066140000}"/>
    <cellStyle name="20% - Акцент6 39" xfId="5714" xr:uid="{00000000-0005-0000-0000-000067140000}"/>
    <cellStyle name="20% - Акцент6 39 2" xfId="5715" xr:uid="{00000000-0005-0000-0000-000068140000}"/>
    <cellStyle name="20% - Акцент6 4" xfId="5716" xr:uid="{00000000-0005-0000-0000-000069140000}"/>
    <cellStyle name="20% - Акцент6 4 2" xfId="5717" xr:uid="{00000000-0005-0000-0000-00006A140000}"/>
    <cellStyle name="20% - Акцент6 40" xfId="5718" xr:uid="{00000000-0005-0000-0000-00006B140000}"/>
    <cellStyle name="20% - Акцент6 40 2" xfId="5719" xr:uid="{00000000-0005-0000-0000-00006C140000}"/>
    <cellStyle name="20% - Акцент6 41" xfId="5720" xr:uid="{00000000-0005-0000-0000-00006D140000}"/>
    <cellStyle name="20% - Акцент6 41 2" xfId="5721" xr:uid="{00000000-0005-0000-0000-00006E140000}"/>
    <cellStyle name="20% - Акцент6 42" xfId="5722" xr:uid="{00000000-0005-0000-0000-00006F140000}"/>
    <cellStyle name="20% - Акцент6 42 2" xfId="5723" xr:uid="{00000000-0005-0000-0000-000070140000}"/>
    <cellStyle name="20% - Акцент6 43" xfId="5724" xr:uid="{00000000-0005-0000-0000-000071140000}"/>
    <cellStyle name="20% - Акцент6 43 2" xfId="5725" xr:uid="{00000000-0005-0000-0000-000072140000}"/>
    <cellStyle name="20% - Акцент6 44" xfId="5726" xr:uid="{00000000-0005-0000-0000-000073140000}"/>
    <cellStyle name="20% - Акцент6 44 2" xfId="5727" xr:uid="{00000000-0005-0000-0000-000074140000}"/>
    <cellStyle name="20% - Акцент6 45" xfId="5728" xr:uid="{00000000-0005-0000-0000-000075140000}"/>
    <cellStyle name="20% - Акцент6 45 2" xfId="5729" xr:uid="{00000000-0005-0000-0000-000076140000}"/>
    <cellStyle name="20% - Акцент6 46" xfId="5730" xr:uid="{00000000-0005-0000-0000-000077140000}"/>
    <cellStyle name="20% - Акцент6 46 2" xfId="5731" xr:uid="{00000000-0005-0000-0000-000078140000}"/>
    <cellStyle name="20% - Акцент6 47" xfId="5732" xr:uid="{00000000-0005-0000-0000-000079140000}"/>
    <cellStyle name="20% - Акцент6 47 2" xfId="5733" xr:uid="{00000000-0005-0000-0000-00007A140000}"/>
    <cellStyle name="20% - Акцент6 48" xfId="5734" xr:uid="{00000000-0005-0000-0000-00007B140000}"/>
    <cellStyle name="20% - Акцент6 48 2" xfId="5735" xr:uid="{00000000-0005-0000-0000-00007C140000}"/>
    <cellStyle name="20% - Акцент6 49" xfId="5736" xr:uid="{00000000-0005-0000-0000-00007D140000}"/>
    <cellStyle name="20% - Акцент6 49 2" xfId="5737" xr:uid="{00000000-0005-0000-0000-00007E140000}"/>
    <cellStyle name="20% - Акцент6 5" xfId="5738" xr:uid="{00000000-0005-0000-0000-00007F140000}"/>
    <cellStyle name="20% - Акцент6 50" xfId="5739" xr:uid="{00000000-0005-0000-0000-000080140000}"/>
    <cellStyle name="20% - Акцент6 50 2" xfId="5740" xr:uid="{00000000-0005-0000-0000-000081140000}"/>
    <cellStyle name="20% - Акцент6 51" xfId="5741" xr:uid="{00000000-0005-0000-0000-000082140000}"/>
    <cellStyle name="20% - Акцент6 51 2" xfId="5742" xr:uid="{00000000-0005-0000-0000-000083140000}"/>
    <cellStyle name="20% - Акцент6 52" xfId="5743" xr:uid="{00000000-0005-0000-0000-000084140000}"/>
    <cellStyle name="20% - Акцент6 52 2" xfId="5744" xr:uid="{00000000-0005-0000-0000-000085140000}"/>
    <cellStyle name="20% - Акцент6 53" xfId="5745" xr:uid="{00000000-0005-0000-0000-000086140000}"/>
    <cellStyle name="20% - Акцент6 53 2" xfId="5746" xr:uid="{00000000-0005-0000-0000-000087140000}"/>
    <cellStyle name="20% - Акцент6 54" xfId="5747" xr:uid="{00000000-0005-0000-0000-000088140000}"/>
    <cellStyle name="20% - Акцент6 54 2" xfId="5748" xr:uid="{00000000-0005-0000-0000-000089140000}"/>
    <cellStyle name="20% - Акцент6 55" xfId="5749" xr:uid="{00000000-0005-0000-0000-00008A140000}"/>
    <cellStyle name="20% - Акцент6 55 2" xfId="5750" xr:uid="{00000000-0005-0000-0000-00008B140000}"/>
    <cellStyle name="20% - Акцент6 56" xfId="5751" xr:uid="{00000000-0005-0000-0000-00008C140000}"/>
    <cellStyle name="20% - Акцент6 56 2" xfId="5752" xr:uid="{00000000-0005-0000-0000-00008D140000}"/>
    <cellStyle name="20% - Акцент6 57" xfId="5753" xr:uid="{00000000-0005-0000-0000-00008E140000}"/>
    <cellStyle name="20% - Акцент6 57 2" xfId="5754" xr:uid="{00000000-0005-0000-0000-00008F140000}"/>
    <cellStyle name="20% - Акцент6 58" xfId="5755" xr:uid="{00000000-0005-0000-0000-000090140000}"/>
    <cellStyle name="20% - Акцент6 58 2" xfId="5756" xr:uid="{00000000-0005-0000-0000-000091140000}"/>
    <cellStyle name="20% - Акцент6 59" xfId="5757" xr:uid="{00000000-0005-0000-0000-000092140000}"/>
    <cellStyle name="20% - Акцент6 59 2" xfId="5758" xr:uid="{00000000-0005-0000-0000-000093140000}"/>
    <cellStyle name="20% - Акцент6 6" xfId="5759" xr:uid="{00000000-0005-0000-0000-000094140000}"/>
    <cellStyle name="20% - Акцент6 60" xfId="5760" xr:uid="{00000000-0005-0000-0000-000095140000}"/>
    <cellStyle name="20% - Акцент6 60 2" xfId="5761" xr:uid="{00000000-0005-0000-0000-000096140000}"/>
    <cellStyle name="20% - Акцент6 61" xfId="5762" xr:uid="{00000000-0005-0000-0000-000097140000}"/>
    <cellStyle name="20% - Акцент6 61 2" xfId="5763" xr:uid="{00000000-0005-0000-0000-000098140000}"/>
    <cellStyle name="20% - Акцент6 62" xfId="5764" xr:uid="{00000000-0005-0000-0000-000099140000}"/>
    <cellStyle name="20% - Акцент6 62 2" xfId="5765" xr:uid="{00000000-0005-0000-0000-00009A140000}"/>
    <cellStyle name="20% - Акцент6 63" xfId="5766" xr:uid="{00000000-0005-0000-0000-00009B140000}"/>
    <cellStyle name="20% - Акцент6 63 2" xfId="5767" xr:uid="{00000000-0005-0000-0000-00009C140000}"/>
    <cellStyle name="20% - Акцент6 64" xfId="5768" xr:uid="{00000000-0005-0000-0000-00009D140000}"/>
    <cellStyle name="20% - Акцент6 64 2" xfId="5769" xr:uid="{00000000-0005-0000-0000-00009E140000}"/>
    <cellStyle name="20% - Акцент6 65" xfId="5770" xr:uid="{00000000-0005-0000-0000-00009F140000}"/>
    <cellStyle name="20% - Акцент6 65 2" xfId="5771" xr:uid="{00000000-0005-0000-0000-0000A0140000}"/>
    <cellStyle name="20% - Акцент6 66" xfId="5772" xr:uid="{00000000-0005-0000-0000-0000A1140000}"/>
    <cellStyle name="20% - Акцент6 66 2" xfId="5773" xr:uid="{00000000-0005-0000-0000-0000A2140000}"/>
    <cellStyle name="20% - Акцент6 67" xfId="5774" xr:uid="{00000000-0005-0000-0000-0000A3140000}"/>
    <cellStyle name="20% - Акцент6 67 2" xfId="5775" xr:uid="{00000000-0005-0000-0000-0000A4140000}"/>
    <cellStyle name="20% - Акцент6 68" xfId="5776" xr:uid="{00000000-0005-0000-0000-0000A5140000}"/>
    <cellStyle name="20% - Акцент6 68 2" xfId="5777" xr:uid="{00000000-0005-0000-0000-0000A6140000}"/>
    <cellStyle name="20% - Акцент6 69" xfId="5778" xr:uid="{00000000-0005-0000-0000-0000A7140000}"/>
    <cellStyle name="20% - Акцент6 69 2" xfId="5779" xr:uid="{00000000-0005-0000-0000-0000A8140000}"/>
    <cellStyle name="20% - Акцент6 7" xfId="5780" xr:uid="{00000000-0005-0000-0000-0000A9140000}"/>
    <cellStyle name="20% - Акцент6 70" xfId="5781" xr:uid="{00000000-0005-0000-0000-0000AA140000}"/>
    <cellStyle name="20% - Акцент6 70 2" xfId="5782" xr:uid="{00000000-0005-0000-0000-0000AB140000}"/>
    <cellStyle name="20% - Акцент6 71" xfId="5783" xr:uid="{00000000-0005-0000-0000-0000AC140000}"/>
    <cellStyle name="20% - Акцент6 71 2" xfId="5784" xr:uid="{00000000-0005-0000-0000-0000AD140000}"/>
    <cellStyle name="20% - Акцент6 72" xfId="5785" xr:uid="{00000000-0005-0000-0000-0000AE140000}"/>
    <cellStyle name="20% - Акцент6 72 2" xfId="5786" xr:uid="{00000000-0005-0000-0000-0000AF140000}"/>
    <cellStyle name="20% - Акцент6 73" xfId="5787" xr:uid="{00000000-0005-0000-0000-0000B0140000}"/>
    <cellStyle name="20% - Акцент6 73 2" xfId="5788" xr:uid="{00000000-0005-0000-0000-0000B1140000}"/>
    <cellStyle name="20% - Акцент6 74" xfId="5789" xr:uid="{00000000-0005-0000-0000-0000B2140000}"/>
    <cellStyle name="20% - Акцент6 74 2" xfId="5790" xr:uid="{00000000-0005-0000-0000-0000B3140000}"/>
    <cellStyle name="20% - Акцент6 75" xfId="5791" xr:uid="{00000000-0005-0000-0000-0000B4140000}"/>
    <cellStyle name="20% - Акцент6 75 2" xfId="5792" xr:uid="{00000000-0005-0000-0000-0000B5140000}"/>
    <cellStyle name="20% - Акцент6 76" xfId="5793" xr:uid="{00000000-0005-0000-0000-0000B6140000}"/>
    <cellStyle name="20% - Акцент6 76 2" xfId="5794" xr:uid="{00000000-0005-0000-0000-0000B7140000}"/>
    <cellStyle name="20% - Акцент6 77" xfId="5795" xr:uid="{00000000-0005-0000-0000-0000B8140000}"/>
    <cellStyle name="20% - Акцент6 77 2" xfId="5796" xr:uid="{00000000-0005-0000-0000-0000B9140000}"/>
    <cellStyle name="20% - Акцент6 78" xfId="5797" xr:uid="{00000000-0005-0000-0000-0000BA140000}"/>
    <cellStyle name="20% - Акцент6 78 2" xfId="5798" xr:uid="{00000000-0005-0000-0000-0000BB140000}"/>
    <cellStyle name="20% - Акцент6 79" xfId="5799" xr:uid="{00000000-0005-0000-0000-0000BC140000}"/>
    <cellStyle name="20% - Акцент6 79 2" xfId="5800" xr:uid="{00000000-0005-0000-0000-0000BD140000}"/>
    <cellStyle name="20% - Акцент6 8" xfId="5801" xr:uid="{00000000-0005-0000-0000-0000BE140000}"/>
    <cellStyle name="20% - Акцент6 80" xfId="5802" xr:uid="{00000000-0005-0000-0000-0000BF140000}"/>
    <cellStyle name="20% - Акцент6 80 2" xfId="5803" xr:uid="{00000000-0005-0000-0000-0000C0140000}"/>
    <cellStyle name="20% - Акцент6 81" xfId="5804" xr:uid="{00000000-0005-0000-0000-0000C1140000}"/>
    <cellStyle name="20% - Акцент6 81 2" xfId="5805" xr:uid="{00000000-0005-0000-0000-0000C2140000}"/>
    <cellStyle name="20% - Акцент6 82" xfId="5806" xr:uid="{00000000-0005-0000-0000-0000C3140000}"/>
    <cellStyle name="20% - Акцент6 82 2" xfId="5807" xr:uid="{00000000-0005-0000-0000-0000C4140000}"/>
    <cellStyle name="20% - Акцент6 83" xfId="5808" xr:uid="{00000000-0005-0000-0000-0000C5140000}"/>
    <cellStyle name="20% - Акцент6 83 2" xfId="5809" xr:uid="{00000000-0005-0000-0000-0000C6140000}"/>
    <cellStyle name="20% - Акцент6 84" xfId="5810" xr:uid="{00000000-0005-0000-0000-0000C7140000}"/>
    <cellStyle name="20% - Акцент6 84 2" xfId="5811" xr:uid="{00000000-0005-0000-0000-0000C8140000}"/>
    <cellStyle name="20% - Акцент6 85" xfId="5812" xr:uid="{00000000-0005-0000-0000-0000C9140000}"/>
    <cellStyle name="20% - Акцент6 85 2" xfId="5813" xr:uid="{00000000-0005-0000-0000-0000CA140000}"/>
    <cellStyle name="20% - Акцент6 86" xfId="5814" xr:uid="{00000000-0005-0000-0000-0000CB140000}"/>
    <cellStyle name="20% - Акцент6 86 2" xfId="5815" xr:uid="{00000000-0005-0000-0000-0000CC140000}"/>
    <cellStyle name="20% - Акцент6 87" xfId="5816" xr:uid="{00000000-0005-0000-0000-0000CD140000}"/>
    <cellStyle name="20% - Акцент6 87 2" xfId="5817" xr:uid="{00000000-0005-0000-0000-0000CE140000}"/>
    <cellStyle name="20% - Акцент6 88" xfId="5818" xr:uid="{00000000-0005-0000-0000-0000CF140000}"/>
    <cellStyle name="20% - Акцент6 88 2" xfId="5819" xr:uid="{00000000-0005-0000-0000-0000D0140000}"/>
    <cellStyle name="20% - Акцент6 89" xfId="5820" xr:uid="{00000000-0005-0000-0000-0000D1140000}"/>
    <cellStyle name="20% - Акцент6 89 2" xfId="5821" xr:uid="{00000000-0005-0000-0000-0000D2140000}"/>
    <cellStyle name="20% - Акцент6 9" xfId="5822" xr:uid="{00000000-0005-0000-0000-0000D3140000}"/>
    <cellStyle name="20% - Акцент6 90" xfId="5823" xr:uid="{00000000-0005-0000-0000-0000D4140000}"/>
    <cellStyle name="20% - Акцент6 90 2" xfId="5824" xr:uid="{00000000-0005-0000-0000-0000D5140000}"/>
    <cellStyle name="20% - Акцент6 91" xfId="5825" xr:uid="{00000000-0005-0000-0000-0000D6140000}"/>
    <cellStyle name="20% - Акцент6 91 2" xfId="5826" xr:uid="{00000000-0005-0000-0000-0000D7140000}"/>
    <cellStyle name="20% - Акцент6 92" xfId="5827" xr:uid="{00000000-0005-0000-0000-0000D8140000}"/>
    <cellStyle name="20% - Акцент6 92 2" xfId="5828" xr:uid="{00000000-0005-0000-0000-0000D9140000}"/>
    <cellStyle name="20% - Акцент6 93" xfId="5829" xr:uid="{00000000-0005-0000-0000-0000DA140000}"/>
    <cellStyle name="20% - Акцент6 93 2" xfId="5830" xr:uid="{00000000-0005-0000-0000-0000DB140000}"/>
    <cellStyle name="20% - Акцент6 94" xfId="5831" xr:uid="{00000000-0005-0000-0000-0000DC140000}"/>
    <cellStyle name="20% - Акцент6 94 2" xfId="5832" xr:uid="{00000000-0005-0000-0000-0000DD140000}"/>
    <cellStyle name="20% - Акцент6 95" xfId="5833" xr:uid="{00000000-0005-0000-0000-0000DE140000}"/>
    <cellStyle name="20% - Акцент6 95 2" xfId="5834" xr:uid="{00000000-0005-0000-0000-0000DF140000}"/>
    <cellStyle name="20% - Акцент6 96" xfId="5835" xr:uid="{00000000-0005-0000-0000-0000E0140000}"/>
    <cellStyle name="20% - Акцент6 96 2" xfId="5836" xr:uid="{00000000-0005-0000-0000-0000E1140000}"/>
    <cellStyle name="20% - Акцент6 97" xfId="5837" xr:uid="{00000000-0005-0000-0000-0000E2140000}"/>
    <cellStyle name="20% - Акцент6 97 2" xfId="5838" xr:uid="{00000000-0005-0000-0000-0000E3140000}"/>
    <cellStyle name="20% - Акцент6 98" xfId="5839" xr:uid="{00000000-0005-0000-0000-0000E4140000}"/>
    <cellStyle name="20% - Акцент6 98 2" xfId="5840" xr:uid="{00000000-0005-0000-0000-0000E5140000}"/>
    <cellStyle name="20% - Акцент6 99" xfId="5841" xr:uid="{00000000-0005-0000-0000-0000E6140000}"/>
    <cellStyle name="20% - Акцент6 99 2" xfId="5842" xr:uid="{00000000-0005-0000-0000-0000E7140000}"/>
    <cellStyle name="40% - Accent1" xfId="5843" xr:uid="{00000000-0005-0000-0000-0000E8140000}"/>
    <cellStyle name="40% - Accent1 10" xfId="5844" xr:uid="{00000000-0005-0000-0000-0000E9140000}"/>
    <cellStyle name="40% - Accent1 11" xfId="5845" xr:uid="{00000000-0005-0000-0000-0000EA140000}"/>
    <cellStyle name="40% - Accent1 12" xfId="5846" xr:uid="{00000000-0005-0000-0000-0000EB140000}"/>
    <cellStyle name="40% - Accent1 13" xfId="5847" xr:uid="{00000000-0005-0000-0000-0000EC140000}"/>
    <cellStyle name="40% - Accent1 14" xfId="5848" xr:uid="{00000000-0005-0000-0000-0000ED140000}"/>
    <cellStyle name="40% - Accent1 15" xfId="5849" xr:uid="{00000000-0005-0000-0000-0000EE140000}"/>
    <cellStyle name="40% - Accent1 16" xfId="5850" xr:uid="{00000000-0005-0000-0000-0000EF140000}"/>
    <cellStyle name="40% - Accent1 17" xfId="5851" xr:uid="{00000000-0005-0000-0000-0000F0140000}"/>
    <cellStyle name="40% - Accent1 18" xfId="5852" xr:uid="{00000000-0005-0000-0000-0000F1140000}"/>
    <cellStyle name="40% - Accent1 19" xfId="5853" xr:uid="{00000000-0005-0000-0000-0000F2140000}"/>
    <cellStyle name="40% - Accent1 2" xfId="5854" xr:uid="{00000000-0005-0000-0000-0000F3140000}"/>
    <cellStyle name="40% - Accent1 20" xfId="5855" xr:uid="{00000000-0005-0000-0000-0000F4140000}"/>
    <cellStyle name="40% - Accent1 21" xfId="5856" xr:uid="{00000000-0005-0000-0000-0000F5140000}"/>
    <cellStyle name="40% - Accent1 22" xfId="5857" xr:uid="{00000000-0005-0000-0000-0000F6140000}"/>
    <cellStyle name="40% - Accent1 23" xfId="5858" xr:uid="{00000000-0005-0000-0000-0000F7140000}"/>
    <cellStyle name="40% - Accent1 24" xfId="5859" xr:uid="{00000000-0005-0000-0000-0000F8140000}"/>
    <cellStyle name="40% - Accent1 25" xfId="5860" xr:uid="{00000000-0005-0000-0000-0000F9140000}"/>
    <cellStyle name="40% - Accent1 26" xfId="5861" xr:uid="{00000000-0005-0000-0000-0000FA140000}"/>
    <cellStyle name="40% - Accent1 27" xfId="5862" xr:uid="{00000000-0005-0000-0000-0000FB140000}"/>
    <cellStyle name="40% - Accent1 28" xfId="5863" xr:uid="{00000000-0005-0000-0000-0000FC140000}"/>
    <cellStyle name="40% - Accent1 29" xfId="5864" xr:uid="{00000000-0005-0000-0000-0000FD140000}"/>
    <cellStyle name="40% - Accent1 3" xfId="5865" xr:uid="{00000000-0005-0000-0000-0000FE140000}"/>
    <cellStyle name="40% - Accent1 30" xfId="5866" xr:uid="{00000000-0005-0000-0000-0000FF140000}"/>
    <cellStyle name="40% - Accent1 31" xfId="5867" xr:uid="{00000000-0005-0000-0000-000000150000}"/>
    <cellStyle name="40% - Accent1 32" xfId="5868" xr:uid="{00000000-0005-0000-0000-000001150000}"/>
    <cellStyle name="40% - Accent1 33" xfId="5869" xr:uid="{00000000-0005-0000-0000-000002150000}"/>
    <cellStyle name="40% - Accent1 34" xfId="5870" xr:uid="{00000000-0005-0000-0000-000003150000}"/>
    <cellStyle name="40% - Accent1 35" xfId="5871" xr:uid="{00000000-0005-0000-0000-000004150000}"/>
    <cellStyle name="40% - Accent1 36" xfId="5872" xr:uid="{00000000-0005-0000-0000-000005150000}"/>
    <cellStyle name="40% - Accent1 37" xfId="5873" xr:uid="{00000000-0005-0000-0000-000006150000}"/>
    <cellStyle name="40% - Accent1 38" xfId="5874" xr:uid="{00000000-0005-0000-0000-000007150000}"/>
    <cellStyle name="40% - Accent1 4" xfId="5875" xr:uid="{00000000-0005-0000-0000-000008150000}"/>
    <cellStyle name="40% - Accent1 5" xfId="5876" xr:uid="{00000000-0005-0000-0000-000009150000}"/>
    <cellStyle name="40% - Accent1 6" xfId="5877" xr:uid="{00000000-0005-0000-0000-00000A150000}"/>
    <cellStyle name="40% - Accent1 7" xfId="5878" xr:uid="{00000000-0005-0000-0000-00000B150000}"/>
    <cellStyle name="40% - Accent1 8" xfId="5879" xr:uid="{00000000-0005-0000-0000-00000C150000}"/>
    <cellStyle name="40% - Accent1 9" xfId="5880" xr:uid="{00000000-0005-0000-0000-00000D150000}"/>
    <cellStyle name="40% - Accent2" xfId="5881" xr:uid="{00000000-0005-0000-0000-00000E150000}"/>
    <cellStyle name="40% - Accent2 10" xfId="5882" xr:uid="{00000000-0005-0000-0000-00000F150000}"/>
    <cellStyle name="40% - Accent2 11" xfId="5883" xr:uid="{00000000-0005-0000-0000-000010150000}"/>
    <cellStyle name="40% - Accent2 12" xfId="5884" xr:uid="{00000000-0005-0000-0000-000011150000}"/>
    <cellStyle name="40% - Accent2 13" xfId="5885" xr:uid="{00000000-0005-0000-0000-000012150000}"/>
    <cellStyle name="40% - Accent2 14" xfId="5886" xr:uid="{00000000-0005-0000-0000-000013150000}"/>
    <cellStyle name="40% - Accent2 15" xfId="5887" xr:uid="{00000000-0005-0000-0000-000014150000}"/>
    <cellStyle name="40% - Accent2 16" xfId="5888" xr:uid="{00000000-0005-0000-0000-000015150000}"/>
    <cellStyle name="40% - Accent2 17" xfId="5889" xr:uid="{00000000-0005-0000-0000-000016150000}"/>
    <cellStyle name="40% - Accent2 18" xfId="5890" xr:uid="{00000000-0005-0000-0000-000017150000}"/>
    <cellStyle name="40% - Accent2 19" xfId="5891" xr:uid="{00000000-0005-0000-0000-000018150000}"/>
    <cellStyle name="40% - Accent2 2" xfId="5892" xr:uid="{00000000-0005-0000-0000-000019150000}"/>
    <cellStyle name="40% - Accent2 20" xfId="5893" xr:uid="{00000000-0005-0000-0000-00001A150000}"/>
    <cellStyle name="40% - Accent2 21" xfId="5894" xr:uid="{00000000-0005-0000-0000-00001B150000}"/>
    <cellStyle name="40% - Accent2 22" xfId="5895" xr:uid="{00000000-0005-0000-0000-00001C150000}"/>
    <cellStyle name="40% - Accent2 23" xfId="5896" xr:uid="{00000000-0005-0000-0000-00001D150000}"/>
    <cellStyle name="40% - Accent2 24" xfId="5897" xr:uid="{00000000-0005-0000-0000-00001E150000}"/>
    <cellStyle name="40% - Accent2 25" xfId="5898" xr:uid="{00000000-0005-0000-0000-00001F150000}"/>
    <cellStyle name="40% - Accent2 26" xfId="5899" xr:uid="{00000000-0005-0000-0000-000020150000}"/>
    <cellStyle name="40% - Accent2 27" xfId="5900" xr:uid="{00000000-0005-0000-0000-000021150000}"/>
    <cellStyle name="40% - Accent2 28" xfId="5901" xr:uid="{00000000-0005-0000-0000-000022150000}"/>
    <cellStyle name="40% - Accent2 29" xfId="5902" xr:uid="{00000000-0005-0000-0000-000023150000}"/>
    <cellStyle name="40% - Accent2 3" xfId="5903" xr:uid="{00000000-0005-0000-0000-000024150000}"/>
    <cellStyle name="40% - Accent2 30" xfId="5904" xr:uid="{00000000-0005-0000-0000-000025150000}"/>
    <cellStyle name="40% - Accent2 31" xfId="5905" xr:uid="{00000000-0005-0000-0000-000026150000}"/>
    <cellStyle name="40% - Accent2 32" xfId="5906" xr:uid="{00000000-0005-0000-0000-000027150000}"/>
    <cellStyle name="40% - Accent2 33" xfId="5907" xr:uid="{00000000-0005-0000-0000-000028150000}"/>
    <cellStyle name="40% - Accent2 34" xfId="5908" xr:uid="{00000000-0005-0000-0000-000029150000}"/>
    <cellStyle name="40% - Accent2 35" xfId="5909" xr:uid="{00000000-0005-0000-0000-00002A150000}"/>
    <cellStyle name="40% - Accent2 36" xfId="5910" xr:uid="{00000000-0005-0000-0000-00002B150000}"/>
    <cellStyle name="40% - Accent2 37" xfId="5911" xr:uid="{00000000-0005-0000-0000-00002C150000}"/>
    <cellStyle name="40% - Accent2 38" xfId="5912" xr:uid="{00000000-0005-0000-0000-00002D150000}"/>
    <cellStyle name="40% - Accent2 4" xfId="5913" xr:uid="{00000000-0005-0000-0000-00002E150000}"/>
    <cellStyle name="40% - Accent2 5" xfId="5914" xr:uid="{00000000-0005-0000-0000-00002F150000}"/>
    <cellStyle name="40% - Accent2 6" xfId="5915" xr:uid="{00000000-0005-0000-0000-000030150000}"/>
    <cellStyle name="40% - Accent2 7" xfId="5916" xr:uid="{00000000-0005-0000-0000-000031150000}"/>
    <cellStyle name="40% - Accent2 8" xfId="5917" xr:uid="{00000000-0005-0000-0000-000032150000}"/>
    <cellStyle name="40% - Accent2 9" xfId="5918" xr:uid="{00000000-0005-0000-0000-000033150000}"/>
    <cellStyle name="40% - Accent3" xfId="5919" xr:uid="{00000000-0005-0000-0000-000034150000}"/>
    <cellStyle name="40% - Accent3 10" xfId="5920" xr:uid="{00000000-0005-0000-0000-000035150000}"/>
    <cellStyle name="40% - Accent3 11" xfId="5921" xr:uid="{00000000-0005-0000-0000-000036150000}"/>
    <cellStyle name="40% - Accent3 12" xfId="5922" xr:uid="{00000000-0005-0000-0000-000037150000}"/>
    <cellStyle name="40% - Accent3 13" xfId="5923" xr:uid="{00000000-0005-0000-0000-000038150000}"/>
    <cellStyle name="40% - Accent3 14" xfId="5924" xr:uid="{00000000-0005-0000-0000-000039150000}"/>
    <cellStyle name="40% - Accent3 15" xfId="5925" xr:uid="{00000000-0005-0000-0000-00003A150000}"/>
    <cellStyle name="40% - Accent3 16" xfId="5926" xr:uid="{00000000-0005-0000-0000-00003B150000}"/>
    <cellStyle name="40% - Accent3 17" xfId="5927" xr:uid="{00000000-0005-0000-0000-00003C150000}"/>
    <cellStyle name="40% - Accent3 18" xfId="5928" xr:uid="{00000000-0005-0000-0000-00003D150000}"/>
    <cellStyle name="40% - Accent3 19" xfId="5929" xr:uid="{00000000-0005-0000-0000-00003E150000}"/>
    <cellStyle name="40% - Accent3 2" xfId="5930" xr:uid="{00000000-0005-0000-0000-00003F150000}"/>
    <cellStyle name="40% - Accent3 20" xfId="5931" xr:uid="{00000000-0005-0000-0000-000040150000}"/>
    <cellStyle name="40% - Accent3 21" xfId="5932" xr:uid="{00000000-0005-0000-0000-000041150000}"/>
    <cellStyle name="40% - Accent3 22" xfId="5933" xr:uid="{00000000-0005-0000-0000-000042150000}"/>
    <cellStyle name="40% - Accent3 23" xfId="5934" xr:uid="{00000000-0005-0000-0000-000043150000}"/>
    <cellStyle name="40% - Accent3 24" xfId="5935" xr:uid="{00000000-0005-0000-0000-000044150000}"/>
    <cellStyle name="40% - Accent3 25" xfId="5936" xr:uid="{00000000-0005-0000-0000-000045150000}"/>
    <cellStyle name="40% - Accent3 26" xfId="5937" xr:uid="{00000000-0005-0000-0000-000046150000}"/>
    <cellStyle name="40% - Accent3 27" xfId="5938" xr:uid="{00000000-0005-0000-0000-000047150000}"/>
    <cellStyle name="40% - Accent3 28" xfId="5939" xr:uid="{00000000-0005-0000-0000-000048150000}"/>
    <cellStyle name="40% - Accent3 29" xfId="5940" xr:uid="{00000000-0005-0000-0000-000049150000}"/>
    <cellStyle name="40% - Accent3 3" xfId="5941" xr:uid="{00000000-0005-0000-0000-00004A150000}"/>
    <cellStyle name="40% - Accent3 30" xfId="5942" xr:uid="{00000000-0005-0000-0000-00004B150000}"/>
    <cellStyle name="40% - Accent3 31" xfId="5943" xr:uid="{00000000-0005-0000-0000-00004C150000}"/>
    <cellStyle name="40% - Accent3 32" xfId="5944" xr:uid="{00000000-0005-0000-0000-00004D150000}"/>
    <cellStyle name="40% - Accent3 33" xfId="5945" xr:uid="{00000000-0005-0000-0000-00004E150000}"/>
    <cellStyle name="40% - Accent3 34" xfId="5946" xr:uid="{00000000-0005-0000-0000-00004F150000}"/>
    <cellStyle name="40% - Accent3 35" xfId="5947" xr:uid="{00000000-0005-0000-0000-000050150000}"/>
    <cellStyle name="40% - Accent3 36" xfId="5948" xr:uid="{00000000-0005-0000-0000-000051150000}"/>
    <cellStyle name="40% - Accent3 37" xfId="5949" xr:uid="{00000000-0005-0000-0000-000052150000}"/>
    <cellStyle name="40% - Accent3 38" xfId="5950" xr:uid="{00000000-0005-0000-0000-000053150000}"/>
    <cellStyle name="40% - Accent3 4" xfId="5951" xr:uid="{00000000-0005-0000-0000-000054150000}"/>
    <cellStyle name="40% - Accent3 5" xfId="5952" xr:uid="{00000000-0005-0000-0000-000055150000}"/>
    <cellStyle name="40% - Accent3 6" xfId="5953" xr:uid="{00000000-0005-0000-0000-000056150000}"/>
    <cellStyle name="40% - Accent3 7" xfId="5954" xr:uid="{00000000-0005-0000-0000-000057150000}"/>
    <cellStyle name="40% - Accent3 8" xfId="5955" xr:uid="{00000000-0005-0000-0000-000058150000}"/>
    <cellStyle name="40% - Accent3 9" xfId="5956" xr:uid="{00000000-0005-0000-0000-000059150000}"/>
    <cellStyle name="40% - Accent4" xfId="5957" xr:uid="{00000000-0005-0000-0000-00005A150000}"/>
    <cellStyle name="40% - Accent4 10" xfId="5958" xr:uid="{00000000-0005-0000-0000-00005B150000}"/>
    <cellStyle name="40% - Accent4 11" xfId="5959" xr:uid="{00000000-0005-0000-0000-00005C150000}"/>
    <cellStyle name="40% - Accent4 12" xfId="5960" xr:uid="{00000000-0005-0000-0000-00005D150000}"/>
    <cellStyle name="40% - Accent4 13" xfId="5961" xr:uid="{00000000-0005-0000-0000-00005E150000}"/>
    <cellStyle name="40% - Accent4 14" xfId="5962" xr:uid="{00000000-0005-0000-0000-00005F150000}"/>
    <cellStyle name="40% - Accent4 15" xfId="5963" xr:uid="{00000000-0005-0000-0000-000060150000}"/>
    <cellStyle name="40% - Accent4 16" xfId="5964" xr:uid="{00000000-0005-0000-0000-000061150000}"/>
    <cellStyle name="40% - Accent4 17" xfId="5965" xr:uid="{00000000-0005-0000-0000-000062150000}"/>
    <cellStyle name="40% - Accent4 18" xfId="5966" xr:uid="{00000000-0005-0000-0000-000063150000}"/>
    <cellStyle name="40% - Accent4 19" xfId="5967" xr:uid="{00000000-0005-0000-0000-000064150000}"/>
    <cellStyle name="40% - Accent4 2" xfId="5968" xr:uid="{00000000-0005-0000-0000-000065150000}"/>
    <cellStyle name="40% - Accent4 20" xfId="5969" xr:uid="{00000000-0005-0000-0000-000066150000}"/>
    <cellStyle name="40% - Accent4 21" xfId="5970" xr:uid="{00000000-0005-0000-0000-000067150000}"/>
    <cellStyle name="40% - Accent4 22" xfId="5971" xr:uid="{00000000-0005-0000-0000-000068150000}"/>
    <cellStyle name="40% - Accent4 23" xfId="5972" xr:uid="{00000000-0005-0000-0000-000069150000}"/>
    <cellStyle name="40% - Accent4 24" xfId="5973" xr:uid="{00000000-0005-0000-0000-00006A150000}"/>
    <cellStyle name="40% - Accent4 25" xfId="5974" xr:uid="{00000000-0005-0000-0000-00006B150000}"/>
    <cellStyle name="40% - Accent4 26" xfId="5975" xr:uid="{00000000-0005-0000-0000-00006C150000}"/>
    <cellStyle name="40% - Accent4 27" xfId="5976" xr:uid="{00000000-0005-0000-0000-00006D150000}"/>
    <cellStyle name="40% - Accent4 28" xfId="5977" xr:uid="{00000000-0005-0000-0000-00006E150000}"/>
    <cellStyle name="40% - Accent4 29" xfId="5978" xr:uid="{00000000-0005-0000-0000-00006F150000}"/>
    <cellStyle name="40% - Accent4 3" xfId="5979" xr:uid="{00000000-0005-0000-0000-000070150000}"/>
    <cellStyle name="40% - Accent4 30" xfId="5980" xr:uid="{00000000-0005-0000-0000-000071150000}"/>
    <cellStyle name="40% - Accent4 31" xfId="5981" xr:uid="{00000000-0005-0000-0000-000072150000}"/>
    <cellStyle name="40% - Accent4 32" xfId="5982" xr:uid="{00000000-0005-0000-0000-000073150000}"/>
    <cellStyle name="40% - Accent4 33" xfId="5983" xr:uid="{00000000-0005-0000-0000-000074150000}"/>
    <cellStyle name="40% - Accent4 34" xfId="5984" xr:uid="{00000000-0005-0000-0000-000075150000}"/>
    <cellStyle name="40% - Accent4 35" xfId="5985" xr:uid="{00000000-0005-0000-0000-000076150000}"/>
    <cellStyle name="40% - Accent4 36" xfId="5986" xr:uid="{00000000-0005-0000-0000-000077150000}"/>
    <cellStyle name="40% - Accent4 37" xfId="5987" xr:uid="{00000000-0005-0000-0000-000078150000}"/>
    <cellStyle name="40% - Accent4 38" xfId="5988" xr:uid="{00000000-0005-0000-0000-000079150000}"/>
    <cellStyle name="40% - Accent4 4" xfId="5989" xr:uid="{00000000-0005-0000-0000-00007A150000}"/>
    <cellStyle name="40% - Accent4 5" xfId="5990" xr:uid="{00000000-0005-0000-0000-00007B150000}"/>
    <cellStyle name="40% - Accent4 6" xfId="5991" xr:uid="{00000000-0005-0000-0000-00007C150000}"/>
    <cellStyle name="40% - Accent4 7" xfId="5992" xr:uid="{00000000-0005-0000-0000-00007D150000}"/>
    <cellStyle name="40% - Accent4 8" xfId="5993" xr:uid="{00000000-0005-0000-0000-00007E150000}"/>
    <cellStyle name="40% - Accent4 9" xfId="5994" xr:uid="{00000000-0005-0000-0000-00007F150000}"/>
    <cellStyle name="40% - Accent5" xfId="5995" xr:uid="{00000000-0005-0000-0000-000080150000}"/>
    <cellStyle name="40% - Accent5 10" xfId="5996" xr:uid="{00000000-0005-0000-0000-000081150000}"/>
    <cellStyle name="40% - Accent5 11" xfId="5997" xr:uid="{00000000-0005-0000-0000-000082150000}"/>
    <cellStyle name="40% - Accent5 12" xfId="5998" xr:uid="{00000000-0005-0000-0000-000083150000}"/>
    <cellStyle name="40% - Accent5 13" xfId="5999" xr:uid="{00000000-0005-0000-0000-000084150000}"/>
    <cellStyle name="40% - Accent5 14" xfId="6000" xr:uid="{00000000-0005-0000-0000-000085150000}"/>
    <cellStyle name="40% - Accent5 15" xfId="6001" xr:uid="{00000000-0005-0000-0000-000086150000}"/>
    <cellStyle name="40% - Accent5 16" xfId="6002" xr:uid="{00000000-0005-0000-0000-000087150000}"/>
    <cellStyle name="40% - Accent5 17" xfId="6003" xr:uid="{00000000-0005-0000-0000-000088150000}"/>
    <cellStyle name="40% - Accent5 18" xfId="6004" xr:uid="{00000000-0005-0000-0000-000089150000}"/>
    <cellStyle name="40% - Accent5 19" xfId="6005" xr:uid="{00000000-0005-0000-0000-00008A150000}"/>
    <cellStyle name="40% - Accent5 2" xfId="6006" xr:uid="{00000000-0005-0000-0000-00008B150000}"/>
    <cellStyle name="40% - Accent5 20" xfId="6007" xr:uid="{00000000-0005-0000-0000-00008C150000}"/>
    <cellStyle name="40% - Accent5 21" xfId="6008" xr:uid="{00000000-0005-0000-0000-00008D150000}"/>
    <cellStyle name="40% - Accent5 22" xfId="6009" xr:uid="{00000000-0005-0000-0000-00008E150000}"/>
    <cellStyle name="40% - Accent5 23" xfId="6010" xr:uid="{00000000-0005-0000-0000-00008F150000}"/>
    <cellStyle name="40% - Accent5 24" xfId="6011" xr:uid="{00000000-0005-0000-0000-000090150000}"/>
    <cellStyle name="40% - Accent5 25" xfId="6012" xr:uid="{00000000-0005-0000-0000-000091150000}"/>
    <cellStyle name="40% - Accent5 26" xfId="6013" xr:uid="{00000000-0005-0000-0000-000092150000}"/>
    <cellStyle name="40% - Accent5 27" xfId="6014" xr:uid="{00000000-0005-0000-0000-000093150000}"/>
    <cellStyle name="40% - Accent5 28" xfId="6015" xr:uid="{00000000-0005-0000-0000-000094150000}"/>
    <cellStyle name="40% - Accent5 29" xfId="6016" xr:uid="{00000000-0005-0000-0000-000095150000}"/>
    <cellStyle name="40% - Accent5 3" xfId="6017" xr:uid="{00000000-0005-0000-0000-000096150000}"/>
    <cellStyle name="40% - Accent5 30" xfId="6018" xr:uid="{00000000-0005-0000-0000-000097150000}"/>
    <cellStyle name="40% - Accent5 31" xfId="6019" xr:uid="{00000000-0005-0000-0000-000098150000}"/>
    <cellStyle name="40% - Accent5 32" xfId="6020" xr:uid="{00000000-0005-0000-0000-000099150000}"/>
    <cellStyle name="40% - Accent5 33" xfId="6021" xr:uid="{00000000-0005-0000-0000-00009A150000}"/>
    <cellStyle name="40% - Accent5 34" xfId="6022" xr:uid="{00000000-0005-0000-0000-00009B150000}"/>
    <cellStyle name="40% - Accent5 35" xfId="6023" xr:uid="{00000000-0005-0000-0000-00009C150000}"/>
    <cellStyle name="40% - Accent5 36" xfId="6024" xr:uid="{00000000-0005-0000-0000-00009D150000}"/>
    <cellStyle name="40% - Accent5 37" xfId="6025" xr:uid="{00000000-0005-0000-0000-00009E150000}"/>
    <cellStyle name="40% - Accent5 38" xfId="6026" xr:uid="{00000000-0005-0000-0000-00009F150000}"/>
    <cellStyle name="40% - Accent5 4" xfId="6027" xr:uid="{00000000-0005-0000-0000-0000A0150000}"/>
    <cellStyle name="40% - Accent5 5" xfId="6028" xr:uid="{00000000-0005-0000-0000-0000A1150000}"/>
    <cellStyle name="40% - Accent5 6" xfId="6029" xr:uid="{00000000-0005-0000-0000-0000A2150000}"/>
    <cellStyle name="40% - Accent5 7" xfId="6030" xr:uid="{00000000-0005-0000-0000-0000A3150000}"/>
    <cellStyle name="40% - Accent5 8" xfId="6031" xr:uid="{00000000-0005-0000-0000-0000A4150000}"/>
    <cellStyle name="40% - Accent5 9" xfId="6032" xr:uid="{00000000-0005-0000-0000-0000A5150000}"/>
    <cellStyle name="40% - Accent6" xfId="6033" xr:uid="{00000000-0005-0000-0000-0000A6150000}"/>
    <cellStyle name="40% - Accent6 10" xfId="6034" xr:uid="{00000000-0005-0000-0000-0000A7150000}"/>
    <cellStyle name="40% - Accent6 11" xfId="6035" xr:uid="{00000000-0005-0000-0000-0000A8150000}"/>
    <cellStyle name="40% - Accent6 12" xfId="6036" xr:uid="{00000000-0005-0000-0000-0000A9150000}"/>
    <cellStyle name="40% - Accent6 13" xfId="6037" xr:uid="{00000000-0005-0000-0000-0000AA150000}"/>
    <cellStyle name="40% - Accent6 14" xfId="6038" xr:uid="{00000000-0005-0000-0000-0000AB150000}"/>
    <cellStyle name="40% - Accent6 15" xfId="6039" xr:uid="{00000000-0005-0000-0000-0000AC150000}"/>
    <cellStyle name="40% - Accent6 16" xfId="6040" xr:uid="{00000000-0005-0000-0000-0000AD150000}"/>
    <cellStyle name="40% - Accent6 17" xfId="6041" xr:uid="{00000000-0005-0000-0000-0000AE150000}"/>
    <cellStyle name="40% - Accent6 18" xfId="6042" xr:uid="{00000000-0005-0000-0000-0000AF150000}"/>
    <cellStyle name="40% - Accent6 19" xfId="6043" xr:uid="{00000000-0005-0000-0000-0000B0150000}"/>
    <cellStyle name="40% - Accent6 2" xfId="6044" xr:uid="{00000000-0005-0000-0000-0000B1150000}"/>
    <cellStyle name="40% - Accent6 20" xfId="6045" xr:uid="{00000000-0005-0000-0000-0000B2150000}"/>
    <cellStyle name="40% - Accent6 21" xfId="6046" xr:uid="{00000000-0005-0000-0000-0000B3150000}"/>
    <cellStyle name="40% - Accent6 22" xfId="6047" xr:uid="{00000000-0005-0000-0000-0000B4150000}"/>
    <cellStyle name="40% - Accent6 23" xfId="6048" xr:uid="{00000000-0005-0000-0000-0000B5150000}"/>
    <cellStyle name="40% - Accent6 24" xfId="6049" xr:uid="{00000000-0005-0000-0000-0000B6150000}"/>
    <cellStyle name="40% - Accent6 25" xfId="6050" xr:uid="{00000000-0005-0000-0000-0000B7150000}"/>
    <cellStyle name="40% - Accent6 26" xfId="6051" xr:uid="{00000000-0005-0000-0000-0000B8150000}"/>
    <cellStyle name="40% - Accent6 27" xfId="6052" xr:uid="{00000000-0005-0000-0000-0000B9150000}"/>
    <cellStyle name="40% - Accent6 28" xfId="6053" xr:uid="{00000000-0005-0000-0000-0000BA150000}"/>
    <cellStyle name="40% - Accent6 29" xfId="6054" xr:uid="{00000000-0005-0000-0000-0000BB150000}"/>
    <cellStyle name="40% - Accent6 3" xfId="6055" xr:uid="{00000000-0005-0000-0000-0000BC150000}"/>
    <cellStyle name="40% - Accent6 30" xfId="6056" xr:uid="{00000000-0005-0000-0000-0000BD150000}"/>
    <cellStyle name="40% - Accent6 31" xfId="6057" xr:uid="{00000000-0005-0000-0000-0000BE150000}"/>
    <cellStyle name="40% - Accent6 32" xfId="6058" xr:uid="{00000000-0005-0000-0000-0000BF150000}"/>
    <cellStyle name="40% - Accent6 33" xfId="6059" xr:uid="{00000000-0005-0000-0000-0000C0150000}"/>
    <cellStyle name="40% - Accent6 34" xfId="6060" xr:uid="{00000000-0005-0000-0000-0000C1150000}"/>
    <cellStyle name="40% - Accent6 35" xfId="6061" xr:uid="{00000000-0005-0000-0000-0000C2150000}"/>
    <cellStyle name="40% - Accent6 36" xfId="6062" xr:uid="{00000000-0005-0000-0000-0000C3150000}"/>
    <cellStyle name="40% - Accent6 37" xfId="6063" xr:uid="{00000000-0005-0000-0000-0000C4150000}"/>
    <cellStyle name="40% - Accent6 38" xfId="6064" xr:uid="{00000000-0005-0000-0000-0000C5150000}"/>
    <cellStyle name="40% - Accent6 4" xfId="6065" xr:uid="{00000000-0005-0000-0000-0000C6150000}"/>
    <cellStyle name="40% - Accent6 5" xfId="6066" xr:uid="{00000000-0005-0000-0000-0000C7150000}"/>
    <cellStyle name="40% - Accent6 6" xfId="6067" xr:uid="{00000000-0005-0000-0000-0000C8150000}"/>
    <cellStyle name="40% - Accent6 7" xfId="6068" xr:uid="{00000000-0005-0000-0000-0000C9150000}"/>
    <cellStyle name="40% - Accent6 8" xfId="6069" xr:uid="{00000000-0005-0000-0000-0000CA150000}"/>
    <cellStyle name="40% - Accent6 9" xfId="6070" xr:uid="{00000000-0005-0000-0000-0000CB150000}"/>
    <cellStyle name="40% - Акцент1 10" xfId="6071" xr:uid="{00000000-0005-0000-0000-0000CC150000}"/>
    <cellStyle name="40% - Акцент1 100" xfId="6072" xr:uid="{00000000-0005-0000-0000-0000CD150000}"/>
    <cellStyle name="40% - Акцент1 100 2" xfId="6073" xr:uid="{00000000-0005-0000-0000-0000CE150000}"/>
    <cellStyle name="40% - Акцент1 101" xfId="6074" xr:uid="{00000000-0005-0000-0000-0000CF150000}"/>
    <cellStyle name="40% - Акцент1 101 2" xfId="6075" xr:uid="{00000000-0005-0000-0000-0000D0150000}"/>
    <cellStyle name="40% - Акцент1 102" xfId="6076" xr:uid="{00000000-0005-0000-0000-0000D1150000}"/>
    <cellStyle name="40% - Акцент1 102 2" xfId="6077" xr:uid="{00000000-0005-0000-0000-0000D2150000}"/>
    <cellStyle name="40% - Акцент1 103" xfId="6078" xr:uid="{00000000-0005-0000-0000-0000D3150000}"/>
    <cellStyle name="40% - Акцент1 103 2" xfId="6079" xr:uid="{00000000-0005-0000-0000-0000D4150000}"/>
    <cellStyle name="40% - Акцент1 104" xfId="6080" xr:uid="{00000000-0005-0000-0000-0000D5150000}"/>
    <cellStyle name="40% - Акцент1 104 2" xfId="6081" xr:uid="{00000000-0005-0000-0000-0000D6150000}"/>
    <cellStyle name="40% - Акцент1 105" xfId="6082" xr:uid="{00000000-0005-0000-0000-0000D7150000}"/>
    <cellStyle name="40% - Акцент1 105 2" xfId="6083" xr:uid="{00000000-0005-0000-0000-0000D8150000}"/>
    <cellStyle name="40% - Акцент1 106" xfId="6084" xr:uid="{00000000-0005-0000-0000-0000D9150000}"/>
    <cellStyle name="40% - Акцент1 106 2" xfId="6085" xr:uid="{00000000-0005-0000-0000-0000DA150000}"/>
    <cellStyle name="40% - Акцент1 107" xfId="6086" xr:uid="{00000000-0005-0000-0000-0000DB150000}"/>
    <cellStyle name="40% - Акцент1 107 2" xfId="6087" xr:uid="{00000000-0005-0000-0000-0000DC150000}"/>
    <cellStyle name="40% - Акцент1 108" xfId="6088" xr:uid="{00000000-0005-0000-0000-0000DD150000}"/>
    <cellStyle name="40% - Акцент1 108 2" xfId="6089" xr:uid="{00000000-0005-0000-0000-0000DE150000}"/>
    <cellStyle name="40% - Акцент1 109" xfId="6090" xr:uid="{00000000-0005-0000-0000-0000DF150000}"/>
    <cellStyle name="40% - Акцент1 109 2" xfId="6091" xr:uid="{00000000-0005-0000-0000-0000E0150000}"/>
    <cellStyle name="40% - Акцент1 11" xfId="6092" xr:uid="{00000000-0005-0000-0000-0000E1150000}"/>
    <cellStyle name="40% - Акцент1 110" xfId="6093" xr:uid="{00000000-0005-0000-0000-0000E2150000}"/>
    <cellStyle name="40% - Акцент1 110 2" xfId="6094" xr:uid="{00000000-0005-0000-0000-0000E3150000}"/>
    <cellStyle name="40% - Акцент1 111" xfId="6095" xr:uid="{00000000-0005-0000-0000-0000E4150000}"/>
    <cellStyle name="40% - Акцент1 111 2" xfId="6096" xr:uid="{00000000-0005-0000-0000-0000E5150000}"/>
    <cellStyle name="40% - Акцент1 112" xfId="6097" xr:uid="{00000000-0005-0000-0000-0000E6150000}"/>
    <cellStyle name="40% - Акцент1 112 2" xfId="6098" xr:uid="{00000000-0005-0000-0000-0000E7150000}"/>
    <cellStyle name="40% - Акцент1 113" xfId="6099" xr:uid="{00000000-0005-0000-0000-0000E8150000}"/>
    <cellStyle name="40% - Акцент1 113 2" xfId="6100" xr:uid="{00000000-0005-0000-0000-0000E9150000}"/>
    <cellStyle name="40% - Акцент1 114" xfId="6101" xr:uid="{00000000-0005-0000-0000-0000EA150000}"/>
    <cellStyle name="40% - Акцент1 114 2" xfId="6102" xr:uid="{00000000-0005-0000-0000-0000EB150000}"/>
    <cellStyle name="40% - Акцент1 115" xfId="6103" xr:uid="{00000000-0005-0000-0000-0000EC150000}"/>
    <cellStyle name="40% - Акцент1 115 2" xfId="6104" xr:uid="{00000000-0005-0000-0000-0000ED150000}"/>
    <cellStyle name="40% - Акцент1 116" xfId="6105" xr:uid="{00000000-0005-0000-0000-0000EE150000}"/>
    <cellStyle name="40% - Акцент1 116 2" xfId="6106" xr:uid="{00000000-0005-0000-0000-0000EF150000}"/>
    <cellStyle name="40% - Акцент1 117" xfId="6107" xr:uid="{00000000-0005-0000-0000-0000F0150000}"/>
    <cellStyle name="40% - Акцент1 117 2" xfId="6108" xr:uid="{00000000-0005-0000-0000-0000F1150000}"/>
    <cellStyle name="40% - Акцент1 118" xfId="6109" xr:uid="{00000000-0005-0000-0000-0000F2150000}"/>
    <cellStyle name="40% - Акцент1 118 2" xfId="6110" xr:uid="{00000000-0005-0000-0000-0000F3150000}"/>
    <cellStyle name="40% - Акцент1 119" xfId="6111" xr:uid="{00000000-0005-0000-0000-0000F4150000}"/>
    <cellStyle name="40% - Акцент1 119 2" xfId="6112" xr:uid="{00000000-0005-0000-0000-0000F5150000}"/>
    <cellStyle name="40% - Акцент1 12" xfId="6113" xr:uid="{00000000-0005-0000-0000-0000F6150000}"/>
    <cellStyle name="40% - Акцент1 120" xfId="6114" xr:uid="{00000000-0005-0000-0000-0000F7150000}"/>
    <cellStyle name="40% - Акцент1 120 2" xfId="6115" xr:uid="{00000000-0005-0000-0000-0000F8150000}"/>
    <cellStyle name="40% - Акцент1 121" xfId="6116" xr:uid="{00000000-0005-0000-0000-0000F9150000}"/>
    <cellStyle name="40% - Акцент1 121 2" xfId="6117" xr:uid="{00000000-0005-0000-0000-0000FA150000}"/>
    <cellStyle name="40% - Акцент1 122" xfId="6118" xr:uid="{00000000-0005-0000-0000-0000FB150000}"/>
    <cellStyle name="40% - Акцент1 122 2" xfId="6119" xr:uid="{00000000-0005-0000-0000-0000FC150000}"/>
    <cellStyle name="40% - Акцент1 123" xfId="6120" xr:uid="{00000000-0005-0000-0000-0000FD150000}"/>
    <cellStyle name="40% - Акцент1 123 2" xfId="6121" xr:uid="{00000000-0005-0000-0000-0000FE150000}"/>
    <cellStyle name="40% - Акцент1 124" xfId="6122" xr:uid="{00000000-0005-0000-0000-0000FF150000}"/>
    <cellStyle name="40% - Акцент1 124 2" xfId="6123" xr:uid="{00000000-0005-0000-0000-000000160000}"/>
    <cellStyle name="40% - Акцент1 125" xfId="6124" xr:uid="{00000000-0005-0000-0000-000001160000}"/>
    <cellStyle name="40% - Акцент1 125 2" xfId="6125" xr:uid="{00000000-0005-0000-0000-000002160000}"/>
    <cellStyle name="40% - Акцент1 126" xfId="6126" xr:uid="{00000000-0005-0000-0000-000003160000}"/>
    <cellStyle name="40% - Акцент1 126 2" xfId="6127" xr:uid="{00000000-0005-0000-0000-000004160000}"/>
    <cellStyle name="40% - Акцент1 127" xfId="6128" xr:uid="{00000000-0005-0000-0000-000005160000}"/>
    <cellStyle name="40% - Акцент1 127 2" xfId="6129" xr:uid="{00000000-0005-0000-0000-000006160000}"/>
    <cellStyle name="40% - Акцент1 128" xfId="6130" xr:uid="{00000000-0005-0000-0000-000007160000}"/>
    <cellStyle name="40% - Акцент1 128 2" xfId="6131" xr:uid="{00000000-0005-0000-0000-000008160000}"/>
    <cellStyle name="40% - Акцент1 129" xfId="6132" xr:uid="{00000000-0005-0000-0000-000009160000}"/>
    <cellStyle name="40% - Акцент1 129 2" xfId="6133" xr:uid="{00000000-0005-0000-0000-00000A160000}"/>
    <cellStyle name="40% - Акцент1 13" xfId="6134" xr:uid="{00000000-0005-0000-0000-00000B160000}"/>
    <cellStyle name="40% - Акцент1 130" xfId="6135" xr:uid="{00000000-0005-0000-0000-00000C160000}"/>
    <cellStyle name="40% - Акцент1 130 2" xfId="6136" xr:uid="{00000000-0005-0000-0000-00000D160000}"/>
    <cellStyle name="40% - Акцент1 131" xfId="6137" xr:uid="{00000000-0005-0000-0000-00000E160000}"/>
    <cellStyle name="40% - Акцент1 131 2" xfId="6138" xr:uid="{00000000-0005-0000-0000-00000F160000}"/>
    <cellStyle name="40% - Акцент1 132" xfId="6139" xr:uid="{00000000-0005-0000-0000-000010160000}"/>
    <cellStyle name="40% - Акцент1 132 2" xfId="6140" xr:uid="{00000000-0005-0000-0000-000011160000}"/>
    <cellStyle name="40% - Акцент1 133" xfId="6141" xr:uid="{00000000-0005-0000-0000-000012160000}"/>
    <cellStyle name="40% - Акцент1 133 2" xfId="6142" xr:uid="{00000000-0005-0000-0000-000013160000}"/>
    <cellStyle name="40% - Акцент1 134" xfId="6143" xr:uid="{00000000-0005-0000-0000-000014160000}"/>
    <cellStyle name="40% - Акцент1 134 2" xfId="6144" xr:uid="{00000000-0005-0000-0000-000015160000}"/>
    <cellStyle name="40% - Акцент1 135" xfId="6145" xr:uid="{00000000-0005-0000-0000-000016160000}"/>
    <cellStyle name="40% - Акцент1 135 2" xfId="6146" xr:uid="{00000000-0005-0000-0000-000017160000}"/>
    <cellStyle name="40% - Акцент1 136" xfId="6147" xr:uid="{00000000-0005-0000-0000-000018160000}"/>
    <cellStyle name="40% - Акцент1 136 2" xfId="6148" xr:uid="{00000000-0005-0000-0000-000019160000}"/>
    <cellStyle name="40% - Акцент1 137" xfId="6149" xr:uid="{00000000-0005-0000-0000-00001A160000}"/>
    <cellStyle name="40% - Акцент1 137 2" xfId="6150" xr:uid="{00000000-0005-0000-0000-00001B160000}"/>
    <cellStyle name="40% - Акцент1 138" xfId="6151" xr:uid="{00000000-0005-0000-0000-00001C160000}"/>
    <cellStyle name="40% - Акцент1 138 2" xfId="6152" xr:uid="{00000000-0005-0000-0000-00001D160000}"/>
    <cellStyle name="40% - Акцент1 139" xfId="6153" xr:uid="{00000000-0005-0000-0000-00001E160000}"/>
    <cellStyle name="40% - Акцент1 139 2" xfId="6154" xr:uid="{00000000-0005-0000-0000-00001F160000}"/>
    <cellStyle name="40% - Акцент1 14" xfId="6155" xr:uid="{00000000-0005-0000-0000-000020160000}"/>
    <cellStyle name="40% - Акцент1 140" xfId="6156" xr:uid="{00000000-0005-0000-0000-000021160000}"/>
    <cellStyle name="40% - Акцент1 140 2" xfId="6157" xr:uid="{00000000-0005-0000-0000-000022160000}"/>
    <cellStyle name="40% - Акцент1 141" xfId="6158" xr:uid="{00000000-0005-0000-0000-000023160000}"/>
    <cellStyle name="40% - Акцент1 141 2" xfId="6159" xr:uid="{00000000-0005-0000-0000-000024160000}"/>
    <cellStyle name="40% - Акцент1 142" xfId="6160" xr:uid="{00000000-0005-0000-0000-000025160000}"/>
    <cellStyle name="40% - Акцент1 142 2" xfId="6161" xr:uid="{00000000-0005-0000-0000-000026160000}"/>
    <cellStyle name="40% - Акцент1 143" xfId="6162" xr:uid="{00000000-0005-0000-0000-000027160000}"/>
    <cellStyle name="40% - Акцент1 143 2" xfId="6163" xr:uid="{00000000-0005-0000-0000-000028160000}"/>
    <cellStyle name="40% - Акцент1 144" xfId="6164" xr:uid="{00000000-0005-0000-0000-000029160000}"/>
    <cellStyle name="40% - Акцент1 144 2" xfId="6165" xr:uid="{00000000-0005-0000-0000-00002A160000}"/>
    <cellStyle name="40% - Акцент1 145" xfId="6166" xr:uid="{00000000-0005-0000-0000-00002B160000}"/>
    <cellStyle name="40% - Акцент1 145 2" xfId="6167" xr:uid="{00000000-0005-0000-0000-00002C160000}"/>
    <cellStyle name="40% - Акцент1 146" xfId="6168" xr:uid="{00000000-0005-0000-0000-00002D160000}"/>
    <cellStyle name="40% - Акцент1 146 2" xfId="6169" xr:uid="{00000000-0005-0000-0000-00002E160000}"/>
    <cellStyle name="40% - Акцент1 147" xfId="6170" xr:uid="{00000000-0005-0000-0000-00002F160000}"/>
    <cellStyle name="40% - Акцент1 147 2" xfId="6171" xr:uid="{00000000-0005-0000-0000-000030160000}"/>
    <cellStyle name="40% - Акцент1 148" xfId="6172" xr:uid="{00000000-0005-0000-0000-000031160000}"/>
    <cellStyle name="40% - Акцент1 148 2" xfId="6173" xr:uid="{00000000-0005-0000-0000-000032160000}"/>
    <cellStyle name="40% - Акцент1 149" xfId="6174" xr:uid="{00000000-0005-0000-0000-000033160000}"/>
    <cellStyle name="40% - Акцент1 149 2" xfId="6175" xr:uid="{00000000-0005-0000-0000-000034160000}"/>
    <cellStyle name="40% - Акцент1 15" xfId="6176" xr:uid="{00000000-0005-0000-0000-000035160000}"/>
    <cellStyle name="40% - Акцент1 150" xfId="6177" xr:uid="{00000000-0005-0000-0000-000036160000}"/>
    <cellStyle name="40% - Акцент1 150 2" xfId="6178" xr:uid="{00000000-0005-0000-0000-000037160000}"/>
    <cellStyle name="40% - Акцент1 151" xfId="6179" xr:uid="{00000000-0005-0000-0000-000038160000}"/>
    <cellStyle name="40% - Акцент1 151 2" xfId="6180" xr:uid="{00000000-0005-0000-0000-000039160000}"/>
    <cellStyle name="40% - Акцент1 152" xfId="6181" xr:uid="{00000000-0005-0000-0000-00003A160000}"/>
    <cellStyle name="40% - Акцент1 152 2" xfId="6182" xr:uid="{00000000-0005-0000-0000-00003B160000}"/>
    <cellStyle name="40% - Акцент1 153" xfId="6183" xr:uid="{00000000-0005-0000-0000-00003C160000}"/>
    <cellStyle name="40% - Акцент1 153 2" xfId="6184" xr:uid="{00000000-0005-0000-0000-00003D160000}"/>
    <cellStyle name="40% - Акцент1 154" xfId="6185" xr:uid="{00000000-0005-0000-0000-00003E160000}"/>
    <cellStyle name="40% - Акцент1 154 2" xfId="6186" xr:uid="{00000000-0005-0000-0000-00003F160000}"/>
    <cellStyle name="40% - Акцент1 155" xfId="6187" xr:uid="{00000000-0005-0000-0000-000040160000}"/>
    <cellStyle name="40% - Акцент1 155 2" xfId="6188" xr:uid="{00000000-0005-0000-0000-000041160000}"/>
    <cellStyle name="40% - Акцент1 156" xfId="6189" xr:uid="{00000000-0005-0000-0000-000042160000}"/>
    <cellStyle name="40% - Акцент1 156 2" xfId="6190" xr:uid="{00000000-0005-0000-0000-000043160000}"/>
    <cellStyle name="40% - Акцент1 157" xfId="6191" xr:uid="{00000000-0005-0000-0000-000044160000}"/>
    <cellStyle name="40% - Акцент1 157 2" xfId="6192" xr:uid="{00000000-0005-0000-0000-000045160000}"/>
    <cellStyle name="40% - Акцент1 158" xfId="6193" xr:uid="{00000000-0005-0000-0000-000046160000}"/>
    <cellStyle name="40% - Акцент1 158 2" xfId="6194" xr:uid="{00000000-0005-0000-0000-000047160000}"/>
    <cellStyle name="40% - Акцент1 159" xfId="6195" xr:uid="{00000000-0005-0000-0000-000048160000}"/>
    <cellStyle name="40% - Акцент1 159 2" xfId="6196" xr:uid="{00000000-0005-0000-0000-000049160000}"/>
    <cellStyle name="40% - Акцент1 16" xfId="6197" xr:uid="{00000000-0005-0000-0000-00004A160000}"/>
    <cellStyle name="40% - Акцент1 160" xfId="6198" xr:uid="{00000000-0005-0000-0000-00004B160000}"/>
    <cellStyle name="40% - Акцент1 160 2" xfId="6199" xr:uid="{00000000-0005-0000-0000-00004C160000}"/>
    <cellStyle name="40% - Акцент1 161" xfId="6200" xr:uid="{00000000-0005-0000-0000-00004D160000}"/>
    <cellStyle name="40% - Акцент1 161 2" xfId="6201" xr:uid="{00000000-0005-0000-0000-00004E160000}"/>
    <cellStyle name="40% - Акцент1 162" xfId="6202" xr:uid="{00000000-0005-0000-0000-00004F160000}"/>
    <cellStyle name="40% - Акцент1 162 2" xfId="6203" xr:uid="{00000000-0005-0000-0000-000050160000}"/>
    <cellStyle name="40% - Акцент1 163" xfId="6204" xr:uid="{00000000-0005-0000-0000-000051160000}"/>
    <cellStyle name="40% - Акцент1 163 2" xfId="6205" xr:uid="{00000000-0005-0000-0000-000052160000}"/>
    <cellStyle name="40% - Акцент1 164" xfId="6206" xr:uid="{00000000-0005-0000-0000-000053160000}"/>
    <cellStyle name="40% - Акцент1 164 2" xfId="6207" xr:uid="{00000000-0005-0000-0000-000054160000}"/>
    <cellStyle name="40% - Акцент1 165" xfId="6208" xr:uid="{00000000-0005-0000-0000-000055160000}"/>
    <cellStyle name="40% - Акцент1 165 2" xfId="6209" xr:uid="{00000000-0005-0000-0000-000056160000}"/>
    <cellStyle name="40% - Акцент1 166" xfId="6210" xr:uid="{00000000-0005-0000-0000-000057160000}"/>
    <cellStyle name="40% - Акцент1 166 2" xfId="6211" xr:uid="{00000000-0005-0000-0000-000058160000}"/>
    <cellStyle name="40% - Акцент1 167" xfId="6212" xr:uid="{00000000-0005-0000-0000-000059160000}"/>
    <cellStyle name="40% - Акцент1 167 2" xfId="6213" xr:uid="{00000000-0005-0000-0000-00005A160000}"/>
    <cellStyle name="40% - Акцент1 168" xfId="6214" xr:uid="{00000000-0005-0000-0000-00005B160000}"/>
    <cellStyle name="40% - Акцент1 168 2" xfId="6215" xr:uid="{00000000-0005-0000-0000-00005C160000}"/>
    <cellStyle name="40% - Акцент1 169" xfId="6216" xr:uid="{00000000-0005-0000-0000-00005D160000}"/>
    <cellStyle name="40% - Акцент1 169 2" xfId="6217" xr:uid="{00000000-0005-0000-0000-00005E160000}"/>
    <cellStyle name="40% - Акцент1 17" xfId="6218" xr:uid="{00000000-0005-0000-0000-00005F160000}"/>
    <cellStyle name="40% - Акцент1 170" xfId="6219" xr:uid="{00000000-0005-0000-0000-000060160000}"/>
    <cellStyle name="40% - Акцент1 170 2" xfId="6220" xr:uid="{00000000-0005-0000-0000-000061160000}"/>
    <cellStyle name="40% - Акцент1 171" xfId="6221" xr:uid="{00000000-0005-0000-0000-000062160000}"/>
    <cellStyle name="40% - Акцент1 171 2" xfId="6222" xr:uid="{00000000-0005-0000-0000-000063160000}"/>
    <cellStyle name="40% - Акцент1 172" xfId="6223" xr:uid="{00000000-0005-0000-0000-000064160000}"/>
    <cellStyle name="40% - Акцент1 172 2" xfId="6224" xr:uid="{00000000-0005-0000-0000-000065160000}"/>
    <cellStyle name="40% - Акцент1 173" xfId="6225" xr:uid="{00000000-0005-0000-0000-000066160000}"/>
    <cellStyle name="40% - Акцент1 173 2" xfId="6226" xr:uid="{00000000-0005-0000-0000-000067160000}"/>
    <cellStyle name="40% - Акцент1 174" xfId="6227" xr:uid="{00000000-0005-0000-0000-000068160000}"/>
    <cellStyle name="40% - Акцент1 174 2" xfId="6228" xr:uid="{00000000-0005-0000-0000-000069160000}"/>
    <cellStyle name="40% - Акцент1 175" xfId="6229" xr:uid="{00000000-0005-0000-0000-00006A160000}"/>
    <cellStyle name="40% - Акцент1 175 2" xfId="6230" xr:uid="{00000000-0005-0000-0000-00006B160000}"/>
    <cellStyle name="40% - Акцент1 176" xfId="6231" xr:uid="{00000000-0005-0000-0000-00006C160000}"/>
    <cellStyle name="40% - Акцент1 176 2" xfId="6232" xr:uid="{00000000-0005-0000-0000-00006D160000}"/>
    <cellStyle name="40% - Акцент1 177" xfId="6233" xr:uid="{00000000-0005-0000-0000-00006E160000}"/>
    <cellStyle name="40% - Акцент1 177 2" xfId="6234" xr:uid="{00000000-0005-0000-0000-00006F160000}"/>
    <cellStyle name="40% - Акцент1 178" xfId="6235" xr:uid="{00000000-0005-0000-0000-000070160000}"/>
    <cellStyle name="40% - Акцент1 178 2" xfId="6236" xr:uid="{00000000-0005-0000-0000-000071160000}"/>
    <cellStyle name="40% - Акцент1 179" xfId="6237" xr:uid="{00000000-0005-0000-0000-000072160000}"/>
    <cellStyle name="40% - Акцент1 179 2" xfId="6238" xr:uid="{00000000-0005-0000-0000-000073160000}"/>
    <cellStyle name="40% - Акцент1 18" xfId="6239" xr:uid="{00000000-0005-0000-0000-000074160000}"/>
    <cellStyle name="40% - Акцент1 180" xfId="6240" xr:uid="{00000000-0005-0000-0000-000075160000}"/>
    <cellStyle name="40% - Акцент1 180 2" xfId="6241" xr:uid="{00000000-0005-0000-0000-000076160000}"/>
    <cellStyle name="40% - Акцент1 181" xfId="6242" xr:uid="{00000000-0005-0000-0000-000077160000}"/>
    <cellStyle name="40% - Акцент1 181 2" xfId="6243" xr:uid="{00000000-0005-0000-0000-000078160000}"/>
    <cellStyle name="40% - Акцент1 182" xfId="6244" xr:uid="{00000000-0005-0000-0000-000079160000}"/>
    <cellStyle name="40% - Акцент1 182 2" xfId="6245" xr:uid="{00000000-0005-0000-0000-00007A160000}"/>
    <cellStyle name="40% - Акцент1 183" xfId="6246" xr:uid="{00000000-0005-0000-0000-00007B160000}"/>
    <cellStyle name="40% - Акцент1 183 2" xfId="6247" xr:uid="{00000000-0005-0000-0000-00007C160000}"/>
    <cellStyle name="40% - Акцент1 184" xfId="6248" xr:uid="{00000000-0005-0000-0000-00007D160000}"/>
    <cellStyle name="40% - Акцент1 184 2" xfId="6249" xr:uid="{00000000-0005-0000-0000-00007E160000}"/>
    <cellStyle name="40% - Акцент1 185" xfId="6250" xr:uid="{00000000-0005-0000-0000-00007F160000}"/>
    <cellStyle name="40% - Акцент1 185 2" xfId="6251" xr:uid="{00000000-0005-0000-0000-000080160000}"/>
    <cellStyle name="40% - Акцент1 186" xfId="6252" xr:uid="{00000000-0005-0000-0000-000081160000}"/>
    <cellStyle name="40% - Акцент1 186 2" xfId="6253" xr:uid="{00000000-0005-0000-0000-000082160000}"/>
    <cellStyle name="40% - Акцент1 187" xfId="6254" xr:uid="{00000000-0005-0000-0000-000083160000}"/>
    <cellStyle name="40% - Акцент1 187 2" xfId="6255" xr:uid="{00000000-0005-0000-0000-000084160000}"/>
    <cellStyle name="40% - Акцент1 188" xfId="6256" xr:uid="{00000000-0005-0000-0000-000085160000}"/>
    <cellStyle name="40% - Акцент1 188 2" xfId="6257" xr:uid="{00000000-0005-0000-0000-000086160000}"/>
    <cellStyle name="40% - Акцент1 189" xfId="6258" xr:uid="{00000000-0005-0000-0000-000087160000}"/>
    <cellStyle name="40% - Акцент1 189 2" xfId="6259" xr:uid="{00000000-0005-0000-0000-000088160000}"/>
    <cellStyle name="40% - Акцент1 19" xfId="6260" xr:uid="{00000000-0005-0000-0000-000089160000}"/>
    <cellStyle name="40% - Акцент1 190" xfId="6261" xr:uid="{00000000-0005-0000-0000-00008A160000}"/>
    <cellStyle name="40% - Акцент1 190 2" xfId="6262" xr:uid="{00000000-0005-0000-0000-00008B160000}"/>
    <cellStyle name="40% - Акцент1 191" xfId="6263" xr:uid="{00000000-0005-0000-0000-00008C160000}"/>
    <cellStyle name="40% - Акцент1 191 2" xfId="6264" xr:uid="{00000000-0005-0000-0000-00008D160000}"/>
    <cellStyle name="40% - Акцент1 192" xfId="6265" xr:uid="{00000000-0005-0000-0000-00008E160000}"/>
    <cellStyle name="40% - Акцент1 192 2" xfId="6266" xr:uid="{00000000-0005-0000-0000-00008F160000}"/>
    <cellStyle name="40% - Акцент1 193" xfId="6267" xr:uid="{00000000-0005-0000-0000-000090160000}"/>
    <cellStyle name="40% - Акцент1 193 2" xfId="6268" xr:uid="{00000000-0005-0000-0000-000091160000}"/>
    <cellStyle name="40% - Акцент1 194" xfId="6269" xr:uid="{00000000-0005-0000-0000-000092160000}"/>
    <cellStyle name="40% - Акцент1 194 2" xfId="6270" xr:uid="{00000000-0005-0000-0000-000093160000}"/>
    <cellStyle name="40% - Акцент1 195" xfId="6271" xr:uid="{00000000-0005-0000-0000-000094160000}"/>
    <cellStyle name="40% - Акцент1 195 2" xfId="6272" xr:uid="{00000000-0005-0000-0000-000095160000}"/>
    <cellStyle name="40% - Акцент1 196" xfId="6273" xr:uid="{00000000-0005-0000-0000-000096160000}"/>
    <cellStyle name="40% - Акцент1 196 2" xfId="6274" xr:uid="{00000000-0005-0000-0000-000097160000}"/>
    <cellStyle name="40% - Акцент1 197" xfId="6275" xr:uid="{00000000-0005-0000-0000-000098160000}"/>
    <cellStyle name="40% - Акцент1 197 2" xfId="6276" xr:uid="{00000000-0005-0000-0000-000099160000}"/>
    <cellStyle name="40% - Акцент1 198" xfId="6277" xr:uid="{00000000-0005-0000-0000-00009A160000}"/>
    <cellStyle name="40% - Акцент1 198 2" xfId="6278" xr:uid="{00000000-0005-0000-0000-00009B160000}"/>
    <cellStyle name="40% - Акцент1 199" xfId="6279" xr:uid="{00000000-0005-0000-0000-00009C160000}"/>
    <cellStyle name="40% - Акцент1 199 2" xfId="6280" xr:uid="{00000000-0005-0000-0000-00009D160000}"/>
    <cellStyle name="40% - Акцент1 2" xfId="6281" xr:uid="{00000000-0005-0000-0000-00009E160000}"/>
    <cellStyle name="40% - Акцент1 2 2" xfId="6282" xr:uid="{00000000-0005-0000-0000-00009F160000}"/>
    <cellStyle name="40% - Акцент1 2 2 2" xfId="6283" xr:uid="{00000000-0005-0000-0000-0000A0160000}"/>
    <cellStyle name="40% - Акцент1 2 3" xfId="6284" xr:uid="{00000000-0005-0000-0000-0000A1160000}"/>
    <cellStyle name="40% - Акцент1 2 4" xfId="6285" xr:uid="{00000000-0005-0000-0000-0000A2160000}"/>
    <cellStyle name="40% - Акцент1 2 5" xfId="6286" xr:uid="{00000000-0005-0000-0000-0000A3160000}"/>
    <cellStyle name="40% - Акцент1 2 6" xfId="6287" xr:uid="{00000000-0005-0000-0000-0000A4160000}"/>
    <cellStyle name="40% - Акцент1 2 7" xfId="6288" xr:uid="{00000000-0005-0000-0000-0000A5160000}"/>
    <cellStyle name="40% - Акцент1 20" xfId="6289" xr:uid="{00000000-0005-0000-0000-0000A6160000}"/>
    <cellStyle name="40% - Акцент1 20 2" xfId="6290" xr:uid="{00000000-0005-0000-0000-0000A7160000}"/>
    <cellStyle name="40% - Акцент1 200" xfId="6291" xr:uid="{00000000-0005-0000-0000-0000A8160000}"/>
    <cellStyle name="40% - Акцент1 200 2" xfId="6292" xr:uid="{00000000-0005-0000-0000-0000A9160000}"/>
    <cellStyle name="40% - Акцент1 201" xfId="6293" xr:uid="{00000000-0005-0000-0000-0000AA160000}"/>
    <cellStyle name="40% - Акцент1 201 2" xfId="6294" xr:uid="{00000000-0005-0000-0000-0000AB160000}"/>
    <cellStyle name="40% - Акцент1 202" xfId="6295" xr:uid="{00000000-0005-0000-0000-0000AC160000}"/>
    <cellStyle name="40% - Акцент1 202 2" xfId="6296" xr:uid="{00000000-0005-0000-0000-0000AD160000}"/>
    <cellStyle name="40% - Акцент1 203" xfId="6297" xr:uid="{00000000-0005-0000-0000-0000AE160000}"/>
    <cellStyle name="40% - Акцент1 203 2" xfId="6298" xr:uid="{00000000-0005-0000-0000-0000AF160000}"/>
    <cellStyle name="40% - Акцент1 204" xfId="6299" xr:uid="{00000000-0005-0000-0000-0000B0160000}"/>
    <cellStyle name="40% - Акцент1 204 2" xfId="6300" xr:uid="{00000000-0005-0000-0000-0000B1160000}"/>
    <cellStyle name="40% - Акцент1 205" xfId="6301" xr:uid="{00000000-0005-0000-0000-0000B2160000}"/>
    <cellStyle name="40% - Акцент1 205 2" xfId="6302" xr:uid="{00000000-0005-0000-0000-0000B3160000}"/>
    <cellStyle name="40% - Акцент1 206" xfId="6303" xr:uid="{00000000-0005-0000-0000-0000B4160000}"/>
    <cellStyle name="40% - Акцент1 206 2" xfId="6304" xr:uid="{00000000-0005-0000-0000-0000B5160000}"/>
    <cellStyle name="40% - Акцент1 207" xfId="6305" xr:uid="{00000000-0005-0000-0000-0000B6160000}"/>
    <cellStyle name="40% - Акцент1 207 2" xfId="6306" xr:uid="{00000000-0005-0000-0000-0000B7160000}"/>
    <cellStyle name="40% - Акцент1 208" xfId="6307" xr:uid="{00000000-0005-0000-0000-0000B8160000}"/>
    <cellStyle name="40% - Акцент1 208 2" xfId="6308" xr:uid="{00000000-0005-0000-0000-0000B9160000}"/>
    <cellStyle name="40% - Акцент1 209" xfId="6309" xr:uid="{00000000-0005-0000-0000-0000BA160000}"/>
    <cellStyle name="40% - Акцент1 209 2" xfId="6310" xr:uid="{00000000-0005-0000-0000-0000BB160000}"/>
    <cellStyle name="40% - Акцент1 21" xfId="6311" xr:uid="{00000000-0005-0000-0000-0000BC160000}"/>
    <cellStyle name="40% - Акцент1 21 2" xfId="6312" xr:uid="{00000000-0005-0000-0000-0000BD160000}"/>
    <cellStyle name="40% - Акцент1 210" xfId="6313" xr:uid="{00000000-0005-0000-0000-0000BE160000}"/>
    <cellStyle name="40% - Акцент1 210 2" xfId="6314" xr:uid="{00000000-0005-0000-0000-0000BF160000}"/>
    <cellStyle name="40% - Акцент1 211" xfId="6315" xr:uid="{00000000-0005-0000-0000-0000C0160000}"/>
    <cellStyle name="40% - Акцент1 211 2" xfId="6316" xr:uid="{00000000-0005-0000-0000-0000C1160000}"/>
    <cellStyle name="40% - Акцент1 212" xfId="6317" xr:uid="{00000000-0005-0000-0000-0000C2160000}"/>
    <cellStyle name="40% - Акцент1 212 2" xfId="6318" xr:uid="{00000000-0005-0000-0000-0000C3160000}"/>
    <cellStyle name="40% - Акцент1 213" xfId="6319" xr:uid="{00000000-0005-0000-0000-0000C4160000}"/>
    <cellStyle name="40% - Акцент1 213 2" xfId="6320" xr:uid="{00000000-0005-0000-0000-0000C5160000}"/>
    <cellStyle name="40% - Акцент1 214" xfId="6321" xr:uid="{00000000-0005-0000-0000-0000C6160000}"/>
    <cellStyle name="40% - Акцент1 214 2" xfId="6322" xr:uid="{00000000-0005-0000-0000-0000C7160000}"/>
    <cellStyle name="40% - Акцент1 215" xfId="6323" xr:uid="{00000000-0005-0000-0000-0000C8160000}"/>
    <cellStyle name="40% - Акцент1 215 2" xfId="6324" xr:uid="{00000000-0005-0000-0000-0000C9160000}"/>
    <cellStyle name="40% - Акцент1 216" xfId="6325" xr:uid="{00000000-0005-0000-0000-0000CA160000}"/>
    <cellStyle name="40% - Акцент1 216 2" xfId="6326" xr:uid="{00000000-0005-0000-0000-0000CB160000}"/>
    <cellStyle name="40% - Акцент1 217" xfId="6327" xr:uid="{00000000-0005-0000-0000-0000CC160000}"/>
    <cellStyle name="40% - Акцент1 217 2" xfId="6328" xr:uid="{00000000-0005-0000-0000-0000CD160000}"/>
    <cellStyle name="40% - Акцент1 217 3" xfId="6329" xr:uid="{00000000-0005-0000-0000-0000CE160000}"/>
    <cellStyle name="40% - Акцент1 218" xfId="6330" xr:uid="{00000000-0005-0000-0000-0000CF160000}"/>
    <cellStyle name="40% - Акцент1 219" xfId="6331" xr:uid="{00000000-0005-0000-0000-0000D0160000}"/>
    <cellStyle name="40% - Акцент1 22" xfId="6332" xr:uid="{00000000-0005-0000-0000-0000D1160000}"/>
    <cellStyle name="40% - Акцент1 22 2" xfId="6333" xr:uid="{00000000-0005-0000-0000-0000D2160000}"/>
    <cellStyle name="40% - Акцент1 220" xfId="6334" xr:uid="{00000000-0005-0000-0000-0000D3160000}"/>
    <cellStyle name="40% - Акцент1 221" xfId="6335" xr:uid="{00000000-0005-0000-0000-0000D4160000}"/>
    <cellStyle name="40% - Акцент1 222" xfId="6336" xr:uid="{00000000-0005-0000-0000-0000D5160000}"/>
    <cellStyle name="40% - Акцент1 223" xfId="6337" xr:uid="{00000000-0005-0000-0000-0000D6160000}"/>
    <cellStyle name="40% - Акцент1 224" xfId="6338" xr:uid="{00000000-0005-0000-0000-0000D7160000}"/>
    <cellStyle name="40% - Акцент1 225" xfId="6339" xr:uid="{00000000-0005-0000-0000-0000D8160000}"/>
    <cellStyle name="40% - Акцент1 226" xfId="6340" xr:uid="{00000000-0005-0000-0000-0000D9160000}"/>
    <cellStyle name="40% - Акцент1 227" xfId="6341" xr:uid="{00000000-0005-0000-0000-0000DA160000}"/>
    <cellStyle name="40% - Акцент1 228" xfId="6342" xr:uid="{00000000-0005-0000-0000-0000DB160000}"/>
    <cellStyle name="40% - Акцент1 229" xfId="6343" xr:uid="{00000000-0005-0000-0000-0000DC160000}"/>
    <cellStyle name="40% - Акцент1 23" xfId="6344" xr:uid="{00000000-0005-0000-0000-0000DD160000}"/>
    <cellStyle name="40% - Акцент1 23 2" xfId="6345" xr:uid="{00000000-0005-0000-0000-0000DE160000}"/>
    <cellStyle name="40% - Акцент1 230" xfId="6346" xr:uid="{00000000-0005-0000-0000-0000DF160000}"/>
    <cellStyle name="40% - Акцент1 231" xfId="6347" xr:uid="{00000000-0005-0000-0000-0000E0160000}"/>
    <cellStyle name="40% - Акцент1 232" xfId="6348" xr:uid="{00000000-0005-0000-0000-0000E1160000}"/>
    <cellStyle name="40% - Акцент1 233" xfId="6349" xr:uid="{00000000-0005-0000-0000-0000E2160000}"/>
    <cellStyle name="40% - Акцент1 234" xfId="6350" xr:uid="{00000000-0005-0000-0000-0000E3160000}"/>
    <cellStyle name="40% - Акцент1 235" xfId="6351" xr:uid="{00000000-0005-0000-0000-0000E4160000}"/>
    <cellStyle name="40% - Акцент1 236" xfId="6352" xr:uid="{00000000-0005-0000-0000-0000E5160000}"/>
    <cellStyle name="40% - Акцент1 237" xfId="6353" xr:uid="{00000000-0005-0000-0000-0000E6160000}"/>
    <cellStyle name="40% - Акцент1 238" xfId="6354" xr:uid="{00000000-0005-0000-0000-0000E7160000}"/>
    <cellStyle name="40% - Акцент1 239" xfId="6355" xr:uid="{00000000-0005-0000-0000-0000E8160000}"/>
    <cellStyle name="40% - Акцент1 24" xfId="6356" xr:uid="{00000000-0005-0000-0000-0000E9160000}"/>
    <cellStyle name="40% - Акцент1 24 2" xfId="6357" xr:uid="{00000000-0005-0000-0000-0000EA160000}"/>
    <cellStyle name="40% - Акцент1 240" xfId="6358" xr:uid="{00000000-0005-0000-0000-0000EB160000}"/>
    <cellStyle name="40% - Акцент1 241" xfId="6359" xr:uid="{00000000-0005-0000-0000-0000EC160000}"/>
    <cellStyle name="40% - Акцент1 242" xfId="6360" xr:uid="{00000000-0005-0000-0000-0000ED160000}"/>
    <cellStyle name="40% - Акцент1 243" xfId="6361" xr:uid="{00000000-0005-0000-0000-0000EE160000}"/>
    <cellStyle name="40% - Акцент1 244" xfId="6362" xr:uid="{00000000-0005-0000-0000-0000EF160000}"/>
    <cellStyle name="40% - Акцент1 245" xfId="6363" xr:uid="{00000000-0005-0000-0000-0000F0160000}"/>
    <cellStyle name="40% - Акцент1 246" xfId="6364" xr:uid="{00000000-0005-0000-0000-0000F1160000}"/>
    <cellStyle name="40% - Акцент1 247" xfId="6365" xr:uid="{00000000-0005-0000-0000-0000F2160000}"/>
    <cellStyle name="40% - Акцент1 248" xfId="6366" xr:uid="{00000000-0005-0000-0000-0000F3160000}"/>
    <cellStyle name="40% - Акцент1 249" xfId="6367" xr:uid="{00000000-0005-0000-0000-0000F4160000}"/>
    <cellStyle name="40% - Акцент1 25" xfId="6368" xr:uid="{00000000-0005-0000-0000-0000F5160000}"/>
    <cellStyle name="40% - Акцент1 25 2" xfId="6369" xr:uid="{00000000-0005-0000-0000-0000F6160000}"/>
    <cellStyle name="40% - Акцент1 250" xfId="6370" xr:uid="{00000000-0005-0000-0000-0000F7160000}"/>
    <cellStyle name="40% - Акцент1 251" xfId="6371" xr:uid="{00000000-0005-0000-0000-0000F8160000}"/>
    <cellStyle name="40% - Акцент1 252" xfId="6372" xr:uid="{00000000-0005-0000-0000-0000F9160000}"/>
    <cellStyle name="40% - Акцент1 253" xfId="6373" xr:uid="{00000000-0005-0000-0000-0000FA160000}"/>
    <cellStyle name="40% - Акцент1 254" xfId="6374" xr:uid="{00000000-0005-0000-0000-0000FB160000}"/>
    <cellStyle name="40% - Акцент1 255" xfId="6375" xr:uid="{00000000-0005-0000-0000-0000FC160000}"/>
    <cellStyle name="40% - Акцент1 26" xfId="6376" xr:uid="{00000000-0005-0000-0000-0000FD160000}"/>
    <cellStyle name="40% - Акцент1 26 2" xfId="6377" xr:uid="{00000000-0005-0000-0000-0000FE160000}"/>
    <cellStyle name="40% - Акцент1 27" xfId="6378" xr:uid="{00000000-0005-0000-0000-0000FF160000}"/>
    <cellStyle name="40% - Акцент1 27 2" xfId="6379" xr:uid="{00000000-0005-0000-0000-000000170000}"/>
    <cellStyle name="40% - Акцент1 28" xfId="6380" xr:uid="{00000000-0005-0000-0000-000001170000}"/>
    <cellStyle name="40% - Акцент1 28 2" xfId="6381" xr:uid="{00000000-0005-0000-0000-000002170000}"/>
    <cellStyle name="40% - Акцент1 29" xfId="6382" xr:uid="{00000000-0005-0000-0000-000003170000}"/>
    <cellStyle name="40% - Акцент1 29 2" xfId="6383" xr:uid="{00000000-0005-0000-0000-000004170000}"/>
    <cellStyle name="40% - Акцент1 3" xfId="6384" xr:uid="{00000000-0005-0000-0000-000005170000}"/>
    <cellStyle name="40% - Акцент1 30" xfId="6385" xr:uid="{00000000-0005-0000-0000-000006170000}"/>
    <cellStyle name="40% - Акцент1 30 2" xfId="6386" xr:uid="{00000000-0005-0000-0000-000007170000}"/>
    <cellStyle name="40% - Акцент1 31" xfId="6387" xr:uid="{00000000-0005-0000-0000-000008170000}"/>
    <cellStyle name="40% - Акцент1 31 2" xfId="6388" xr:uid="{00000000-0005-0000-0000-000009170000}"/>
    <cellStyle name="40% - Акцент1 32" xfId="6389" xr:uid="{00000000-0005-0000-0000-00000A170000}"/>
    <cellStyle name="40% - Акцент1 32 2" xfId="6390" xr:uid="{00000000-0005-0000-0000-00000B170000}"/>
    <cellStyle name="40% - Акцент1 33" xfId="6391" xr:uid="{00000000-0005-0000-0000-00000C170000}"/>
    <cellStyle name="40% - Акцент1 33 2" xfId="6392" xr:uid="{00000000-0005-0000-0000-00000D170000}"/>
    <cellStyle name="40% - Акцент1 34" xfId="6393" xr:uid="{00000000-0005-0000-0000-00000E170000}"/>
    <cellStyle name="40% - Акцент1 34 2" xfId="6394" xr:uid="{00000000-0005-0000-0000-00000F170000}"/>
    <cellStyle name="40% - Акцент1 35" xfId="6395" xr:uid="{00000000-0005-0000-0000-000010170000}"/>
    <cellStyle name="40% - Акцент1 35 2" xfId="6396" xr:uid="{00000000-0005-0000-0000-000011170000}"/>
    <cellStyle name="40% - Акцент1 36" xfId="6397" xr:uid="{00000000-0005-0000-0000-000012170000}"/>
    <cellStyle name="40% - Акцент1 36 2" xfId="6398" xr:uid="{00000000-0005-0000-0000-000013170000}"/>
    <cellStyle name="40% - Акцент1 37" xfId="6399" xr:uid="{00000000-0005-0000-0000-000014170000}"/>
    <cellStyle name="40% - Акцент1 37 2" xfId="6400" xr:uid="{00000000-0005-0000-0000-000015170000}"/>
    <cellStyle name="40% - Акцент1 38" xfId="6401" xr:uid="{00000000-0005-0000-0000-000016170000}"/>
    <cellStyle name="40% - Акцент1 38 2" xfId="6402" xr:uid="{00000000-0005-0000-0000-000017170000}"/>
    <cellStyle name="40% - Акцент1 39" xfId="6403" xr:uid="{00000000-0005-0000-0000-000018170000}"/>
    <cellStyle name="40% - Акцент1 39 2" xfId="6404" xr:uid="{00000000-0005-0000-0000-000019170000}"/>
    <cellStyle name="40% - Акцент1 4" xfId="6405" xr:uid="{00000000-0005-0000-0000-00001A170000}"/>
    <cellStyle name="40% - Акцент1 40" xfId="6406" xr:uid="{00000000-0005-0000-0000-00001B170000}"/>
    <cellStyle name="40% - Акцент1 40 2" xfId="6407" xr:uid="{00000000-0005-0000-0000-00001C170000}"/>
    <cellStyle name="40% - Акцент1 41" xfId="6408" xr:uid="{00000000-0005-0000-0000-00001D170000}"/>
    <cellStyle name="40% - Акцент1 41 2" xfId="6409" xr:uid="{00000000-0005-0000-0000-00001E170000}"/>
    <cellStyle name="40% - Акцент1 42" xfId="6410" xr:uid="{00000000-0005-0000-0000-00001F170000}"/>
    <cellStyle name="40% - Акцент1 42 2" xfId="6411" xr:uid="{00000000-0005-0000-0000-000020170000}"/>
    <cellStyle name="40% - Акцент1 43" xfId="6412" xr:uid="{00000000-0005-0000-0000-000021170000}"/>
    <cellStyle name="40% - Акцент1 43 2" xfId="6413" xr:uid="{00000000-0005-0000-0000-000022170000}"/>
    <cellStyle name="40% - Акцент1 44" xfId="6414" xr:uid="{00000000-0005-0000-0000-000023170000}"/>
    <cellStyle name="40% - Акцент1 44 2" xfId="6415" xr:uid="{00000000-0005-0000-0000-000024170000}"/>
    <cellStyle name="40% - Акцент1 45" xfId="6416" xr:uid="{00000000-0005-0000-0000-000025170000}"/>
    <cellStyle name="40% - Акцент1 45 2" xfId="6417" xr:uid="{00000000-0005-0000-0000-000026170000}"/>
    <cellStyle name="40% - Акцент1 46" xfId="6418" xr:uid="{00000000-0005-0000-0000-000027170000}"/>
    <cellStyle name="40% - Акцент1 46 2" xfId="6419" xr:uid="{00000000-0005-0000-0000-000028170000}"/>
    <cellStyle name="40% - Акцент1 47" xfId="6420" xr:uid="{00000000-0005-0000-0000-000029170000}"/>
    <cellStyle name="40% - Акцент1 47 2" xfId="6421" xr:uid="{00000000-0005-0000-0000-00002A170000}"/>
    <cellStyle name="40% - Акцент1 48" xfId="6422" xr:uid="{00000000-0005-0000-0000-00002B170000}"/>
    <cellStyle name="40% - Акцент1 48 2" xfId="6423" xr:uid="{00000000-0005-0000-0000-00002C170000}"/>
    <cellStyle name="40% - Акцент1 49" xfId="6424" xr:uid="{00000000-0005-0000-0000-00002D170000}"/>
    <cellStyle name="40% - Акцент1 49 2" xfId="6425" xr:uid="{00000000-0005-0000-0000-00002E170000}"/>
    <cellStyle name="40% - Акцент1 5" xfId="6426" xr:uid="{00000000-0005-0000-0000-00002F170000}"/>
    <cellStyle name="40% - Акцент1 50" xfId="6427" xr:uid="{00000000-0005-0000-0000-000030170000}"/>
    <cellStyle name="40% - Акцент1 50 2" xfId="6428" xr:uid="{00000000-0005-0000-0000-000031170000}"/>
    <cellStyle name="40% - Акцент1 51" xfId="6429" xr:uid="{00000000-0005-0000-0000-000032170000}"/>
    <cellStyle name="40% - Акцент1 51 2" xfId="6430" xr:uid="{00000000-0005-0000-0000-000033170000}"/>
    <cellStyle name="40% - Акцент1 52" xfId="6431" xr:uid="{00000000-0005-0000-0000-000034170000}"/>
    <cellStyle name="40% - Акцент1 52 2" xfId="6432" xr:uid="{00000000-0005-0000-0000-000035170000}"/>
    <cellStyle name="40% - Акцент1 53" xfId="6433" xr:uid="{00000000-0005-0000-0000-000036170000}"/>
    <cellStyle name="40% - Акцент1 53 2" xfId="6434" xr:uid="{00000000-0005-0000-0000-000037170000}"/>
    <cellStyle name="40% - Акцент1 54" xfId="6435" xr:uid="{00000000-0005-0000-0000-000038170000}"/>
    <cellStyle name="40% - Акцент1 54 2" xfId="6436" xr:uid="{00000000-0005-0000-0000-000039170000}"/>
    <cellStyle name="40% - Акцент1 55" xfId="6437" xr:uid="{00000000-0005-0000-0000-00003A170000}"/>
    <cellStyle name="40% - Акцент1 55 2" xfId="6438" xr:uid="{00000000-0005-0000-0000-00003B170000}"/>
    <cellStyle name="40% - Акцент1 56" xfId="6439" xr:uid="{00000000-0005-0000-0000-00003C170000}"/>
    <cellStyle name="40% - Акцент1 56 2" xfId="6440" xr:uid="{00000000-0005-0000-0000-00003D170000}"/>
    <cellStyle name="40% - Акцент1 57" xfId="6441" xr:uid="{00000000-0005-0000-0000-00003E170000}"/>
    <cellStyle name="40% - Акцент1 57 2" xfId="6442" xr:uid="{00000000-0005-0000-0000-00003F170000}"/>
    <cellStyle name="40% - Акцент1 58" xfId="6443" xr:uid="{00000000-0005-0000-0000-000040170000}"/>
    <cellStyle name="40% - Акцент1 58 2" xfId="6444" xr:uid="{00000000-0005-0000-0000-000041170000}"/>
    <cellStyle name="40% - Акцент1 59" xfId="6445" xr:uid="{00000000-0005-0000-0000-000042170000}"/>
    <cellStyle name="40% - Акцент1 59 2" xfId="6446" xr:uid="{00000000-0005-0000-0000-000043170000}"/>
    <cellStyle name="40% - Акцент1 6" xfId="6447" xr:uid="{00000000-0005-0000-0000-000044170000}"/>
    <cellStyle name="40% - Акцент1 60" xfId="6448" xr:uid="{00000000-0005-0000-0000-000045170000}"/>
    <cellStyle name="40% - Акцент1 60 2" xfId="6449" xr:uid="{00000000-0005-0000-0000-000046170000}"/>
    <cellStyle name="40% - Акцент1 61" xfId="6450" xr:uid="{00000000-0005-0000-0000-000047170000}"/>
    <cellStyle name="40% - Акцент1 61 2" xfId="6451" xr:uid="{00000000-0005-0000-0000-000048170000}"/>
    <cellStyle name="40% - Акцент1 62" xfId="6452" xr:uid="{00000000-0005-0000-0000-000049170000}"/>
    <cellStyle name="40% - Акцент1 62 2" xfId="6453" xr:uid="{00000000-0005-0000-0000-00004A170000}"/>
    <cellStyle name="40% - Акцент1 63" xfId="6454" xr:uid="{00000000-0005-0000-0000-00004B170000}"/>
    <cellStyle name="40% - Акцент1 63 2" xfId="6455" xr:uid="{00000000-0005-0000-0000-00004C170000}"/>
    <cellStyle name="40% - Акцент1 64" xfId="6456" xr:uid="{00000000-0005-0000-0000-00004D170000}"/>
    <cellStyle name="40% - Акцент1 64 2" xfId="6457" xr:uid="{00000000-0005-0000-0000-00004E170000}"/>
    <cellStyle name="40% - Акцент1 65" xfId="6458" xr:uid="{00000000-0005-0000-0000-00004F170000}"/>
    <cellStyle name="40% - Акцент1 65 2" xfId="6459" xr:uid="{00000000-0005-0000-0000-000050170000}"/>
    <cellStyle name="40% - Акцент1 66" xfId="6460" xr:uid="{00000000-0005-0000-0000-000051170000}"/>
    <cellStyle name="40% - Акцент1 66 2" xfId="6461" xr:uid="{00000000-0005-0000-0000-000052170000}"/>
    <cellStyle name="40% - Акцент1 67" xfId="6462" xr:uid="{00000000-0005-0000-0000-000053170000}"/>
    <cellStyle name="40% - Акцент1 67 2" xfId="6463" xr:uid="{00000000-0005-0000-0000-000054170000}"/>
    <cellStyle name="40% - Акцент1 68" xfId="6464" xr:uid="{00000000-0005-0000-0000-000055170000}"/>
    <cellStyle name="40% - Акцент1 68 2" xfId="6465" xr:uid="{00000000-0005-0000-0000-000056170000}"/>
    <cellStyle name="40% - Акцент1 69" xfId="6466" xr:uid="{00000000-0005-0000-0000-000057170000}"/>
    <cellStyle name="40% - Акцент1 69 2" xfId="6467" xr:uid="{00000000-0005-0000-0000-000058170000}"/>
    <cellStyle name="40% - Акцент1 7" xfId="6468" xr:uid="{00000000-0005-0000-0000-000059170000}"/>
    <cellStyle name="40% - Акцент1 70" xfId="6469" xr:uid="{00000000-0005-0000-0000-00005A170000}"/>
    <cellStyle name="40% - Акцент1 70 2" xfId="6470" xr:uid="{00000000-0005-0000-0000-00005B170000}"/>
    <cellStyle name="40% - Акцент1 71" xfId="6471" xr:uid="{00000000-0005-0000-0000-00005C170000}"/>
    <cellStyle name="40% - Акцент1 71 2" xfId="6472" xr:uid="{00000000-0005-0000-0000-00005D170000}"/>
    <cellStyle name="40% - Акцент1 72" xfId="6473" xr:uid="{00000000-0005-0000-0000-00005E170000}"/>
    <cellStyle name="40% - Акцент1 72 2" xfId="6474" xr:uid="{00000000-0005-0000-0000-00005F170000}"/>
    <cellStyle name="40% - Акцент1 73" xfId="6475" xr:uid="{00000000-0005-0000-0000-000060170000}"/>
    <cellStyle name="40% - Акцент1 73 2" xfId="6476" xr:uid="{00000000-0005-0000-0000-000061170000}"/>
    <cellStyle name="40% - Акцент1 74" xfId="6477" xr:uid="{00000000-0005-0000-0000-000062170000}"/>
    <cellStyle name="40% - Акцент1 74 2" xfId="6478" xr:uid="{00000000-0005-0000-0000-000063170000}"/>
    <cellStyle name="40% - Акцент1 75" xfId="6479" xr:uid="{00000000-0005-0000-0000-000064170000}"/>
    <cellStyle name="40% - Акцент1 75 2" xfId="6480" xr:uid="{00000000-0005-0000-0000-000065170000}"/>
    <cellStyle name="40% - Акцент1 76" xfId="6481" xr:uid="{00000000-0005-0000-0000-000066170000}"/>
    <cellStyle name="40% - Акцент1 76 2" xfId="6482" xr:uid="{00000000-0005-0000-0000-000067170000}"/>
    <cellStyle name="40% - Акцент1 77" xfId="6483" xr:uid="{00000000-0005-0000-0000-000068170000}"/>
    <cellStyle name="40% - Акцент1 77 2" xfId="6484" xr:uid="{00000000-0005-0000-0000-000069170000}"/>
    <cellStyle name="40% - Акцент1 78" xfId="6485" xr:uid="{00000000-0005-0000-0000-00006A170000}"/>
    <cellStyle name="40% - Акцент1 78 2" xfId="6486" xr:uid="{00000000-0005-0000-0000-00006B170000}"/>
    <cellStyle name="40% - Акцент1 79" xfId="6487" xr:uid="{00000000-0005-0000-0000-00006C170000}"/>
    <cellStyle name="40% - Акцент1 79 2" xfId="6488" xr:uid="{00000000-0005-0000-0000-00006D170000}"/>
    <cellStyle name="40% - Акцент1 8" xfId="6489" xr:uid="{00000000-0005-0000-0000-00006E170000}"/>
    <cellStyle name="40% - Акцент1 80" xfId="6490" xr:uid="{00000000-0005-0000-0000-00006F170000}"/>
    <cellStyle name="40% - Акцент1 80 2" xfId="6491" xr:uid="{00000000-0005-0000-0000-000070170000}"/>
    <cellStyle name="40% - Акцент1 81" xfId="6492" xr:uid="{00000000-0005-0000-0000-000071170000}"/>
    <cellStyle name="40% - Акцент1 81 2" xfId="6493" xr:uid="{00000000-0005-0000-0000-000072170000}"/>
    <cellStyle name="40% - Акцент1 82" xfId="6494" xr:uid="{00000000-0005-0000-0000-000073170000}"/>
    <cellStyle name="40% - Акцент1 82 2" xfId="6495" xr:uid="{00000000-0005-0000-0000-000074170000}"/>
    <cellStyle name="40% - Акцент1 83" xfId="6496" xr:uid="{00000000-0005-0000-0000-000075170000}"/>
    <cellStyle name="40% - Акцент1 83 2" xfId="6497" xr:uid="{00000000-0005-0000-0000-000076170000}"/>
    <cellStyle name="40% - Акцент1 84" xfId="6498" xr:uid="{00000000-0005-0000-0000-000077170000}"/>
    <cellStyle name="40% - Акцент1 84 2" xfId="6499" xr:uid="{00000000-0005-0000-0000-000078170000}"/>
    <cellStyle name="40% - Акцент1 85" xfId="6500" xr:uid="{00000000-0005-0000-0000-000079170000}"/>
    <cellStyle name="40% - Акцент1 85 2" xfId="6501" xr:uid="{00000000-0005-0000-0000-00007A170000}"/>
    <cellStyle name="40% - Акцент1 86" xfId="6502" xr:uid="{00000000-0005-0000-0000-00007B170000}"/>
    <cellStyle name="40% - Акцент1 86 2" xfId="6503" xr:uid="{00000000-0005-0000-0000-00007C170000}"/>
    <cellStyle name="40% - Акцент1 87" xfId="6504" xr:uid="{00000000-0005-0000-0000-00007D170000}"/>
    <cellStyle name="40% - Акцент1 87 2" xfId="6505" xr:uid="{00000000-0005-0000-0000-00007E170000}"/>
    <cellStyle name="40% - Акцент1 88" xfId="6506" xr:uid="{00000000-0005-0000-0000-00007F170000}"/>
    <cellStyle name="40% - Акцент1 88 2" xfId="6507" xr:uid="{00000000-0005-0000-0000-000080170000}"/>
    <cellStyle name="40% - Акцент1 89" xfId="6508" xr:uid="{00000000-0005-0000-0000-000081170000}"/>
    <cellStyle name="40% - Акцент1 89 2" xfId="6509" xr:uid="{00000000-0005-0000-0000-000082170000}"/>
    <cellStyle name="40% - Акцент1 9" xfId="6510" xr:uid="{00000000-0005-0000-0000-000083170000}"/>
    <cellStyle name="40% - Акцент1 90" xfId="6511" xr:uid="{00000000-0005-0000-0000-000084170000}"/>
    <cellStyle name="40% - Акцент1 90 2" xfId="6512" xr:uid="{00000000-0005-0000-0000-000085170000}"/>
    <cellStyle name="40% - Акцент1 91" xfId="6513" xr:uid="{00000000-0005-0000-0000-000086170000}"/>
    <cellStyle name="40% - Акцент1 91 2" xfId="6514" xr:uid="{00000000-0005-0000-0000-000087170000}"/>
    <cellStyle name="40% - Акцент1 92" xfId="6515" xr:uid="{00000000-0005-0000-0000-000088170000}"/>
    <cellStyle name="40% - Акцент1 92 2" xfId="6516" xr:uid="{00000000-0005-0000-0000-000089170000}"/>
    <cellStyle name="40% - Акцент1 93" xfId="6517" xr:uid="{00000000-0005-0000-0000-00008A170000}"/>
    <cellStyle name="40% - Акцент1 93 2" xfId="6518" xr:uid="{00000000-0005-0000-0000-00008B170000}"/>
    <cellStyle name="40% - Акцент1 94" xfId="6519" xr:uid="{00000000-0005-0000-0000-00008C170000}"/>
    <cellStyle name="40% - Акцент1 94 2" xfId="6520" xr:uid="{00000000-0005-0000-0000-00008D170000}"/>
    <cellStyle name="40% - Акцент1 95" xfId="6521" xr:uid="{00000000-0005-0000-0000-00008E170000}"/>
    <cellStyle name="40% - Акцент1 95 2" xfId="6522" xr:uid="{00000000-0005-0000-0000-00008F170000}"/>
    <cellStyle name="40% - Акцент1 96" xfId="6523" xr:uid="{00000000-0005-0000-0000-000090170000}"/>
    <cellStyle name="40% - Акцент1 96 2" xfId="6524" xr:uid="{00000000-0005-0000-0000-000091170000}"/>
    <cellStyle name="40% - Акцент1 97" xfId="6525" xr:uid="{00000000-0005-0000-0000-000092170000}"/>
    <cellStyle name="40% - Акцент1 97 2" xfId="6526" xr:uid="{00000000-0005-0000-0000-000093170000}"/>
    <cellStyle name="40% - Акцент1 98" xfId="6527" xr:uid="{00000000-0005-0000-0000-000094170000}"/>
    <cellStyle name="40% - Акцент1 98 2" xfId="6528" xr:uid="{00000000-0005-0000-0000-000095170000}"/>
    <cellStyle name="40% - Акцент1 99" xfId="6529" xr:uid="{00000000-0005-0000-0000-000096170000}"/>
    <cellStyle name="40% - Акцент1 99 2" xfId="6530" xr:uid="{00000000-0005-0000-0000-000097170000}"/>
    <cellStyle name="40% - Акцент2 10" xfId="6531" xr:uid="{00000000-0005-0000-0000-000098170000}"/>
    <cellStyle name="40% - Акцент2 100" xfId="6532" xr:uid="{00000000-0005-0000-0000-000099170000}"/>
    <cellStyle name="40% - Акцент2 100 2" xfId="6533" xr:uid="{00000000-0005-0000-0000-00009A170000}"/>
    <cellStyle name="40% - Акцент2 101" xfId="6534" xr:uid="{00000000-0005-0000-0000-00009B170000}"/>
    <cellStyle name="40% - Акцент2 101 2" xfId="6535" xr:uid="{00000000-0005-0000-0000-00009C170000}"/>
    <cellStyle name="40% - Акцент2 102" xfId="6536" xr:uid="{00000000-0005-0000-0000-00009D170000}"/>
    <cellStyle name="40% - Акцент2 102 2" xfId="6537" xr:uid="{00000000-0005-0000-0000-00009E170000}"/>
    <cellStyle name="40% - Акцент2 103" xfId="6538" xr:uid="{00000000-0005-0000-0000-00009F170000}"/>
    <cellStyle name="40% - Акцент2 103 2" xfId="6539" xr:uid="{00000000-0005-0000-0000-0000A0170000}"/>
    <cellStyle name="40% - Акцент2 104" xfId="6540" xr:uid="{00000000-0005-0000-0000-0000A1170000}"/>
    <cellStyle name="40% - Акцент2 104 2" xfId="6541" xr:uid="{00000000-0005-0000-0000-0000A2170000}"/>
    <cellStyle name="40% - Акцент2 105" xfId="6542" xr:uid="{00000000-0005-0000-0000-0000A3170000}"/>
    <cellStyle name="40% - Акцент2 105 2" xfId="6543" xr:uid="{00000000-0005-0000-0000-0000A4170000}"/>
    <cellStyle name="40% - Акцент2 106" xfId="6544" xr:uid="{00000000-0005-0000-0000-0000A5170000}"/>
    <cellStyle name="40% - Акцент2 106 2" xfId="6545" xr:uid="{00000000-0005-0000-0000-0000A6170000}"/>
    <cellStyle name="40% - Акцент2 107" xfId="6546" xr:uid="{00000000-0005-0000-0000-0000A7170000}"/>
    <cellStyle name="40% - Акцент2 107 2" xfId="6547" xr:uid="{00000000-0005-0000-0000-0000A8170000}"/>
    <cellStyle name="40% - Акцент2 108" xfId="6548" xr:uid="{00000000-0005-0000-0000-0000A9170000}"/>
    <cellStyle name="40% - Акцент2 108 2" xfId="6549" xr:uid="{00000000-0005-0000-0000-0000AA170000}"/>
    <cellStyle name="40% - Акцент2 109" xfId="6550" xr:uid="{00000000-0005-0000-0000-0000AB170000}"/>
    <cellStyle name="40% - Акцент2 109 2" xfId="6551" xr:uid="{00000000-0005-0000-0000-0000AC170000}"/>
    <cellStyle name="40% - Акцент2 11" xfId="6552" xr:uid="{00000000-0005-0000-0000-0000AD170000}"/>
    <cellStyle name="40% - Акцент2 110" xfId="6553" xr:uid="{00000000-0005-0000-0000-0000AE170000}"/>
    <cellStyle name="40% - Акцент2 110 2" xfId="6554" xr:uid="{00000000-0005-0000-0000-0000AF170000}"/>
    <cellStyle name="40% - Акцент2 111" xfId="6555" xr:uid="{00000000-0005-0000-0000-0000B0170000}"/>
    <cellStyle name="40% - Акцент2 111 2" xfId="6556" xr:uid="{00000000-0005-0000-0000-0000B1170000}"/>
    <cellStyle name="40% - Акцент2 112" xfId="6557" xr:uid="{00000000-0005-0000-0000-0000B2170000}"/>
    <cellStyle name="40% - Акцент2 112 2" xfId="6558" xr:uid="{00000000-0005-0000-0000-0000B3170000}"/>
    <cellStyle name="40% - Акцент2 113" xfId="6559" xr:uid="{00000000-0005-0000-0000-0000B4170000}"/>
    <cellStyle name="40% - Акцент2 113 2" xfId="6560" xr:uid="{00000000-0005-0000-0000-0000B5170000}"/>
    <cellStyle name="40% - Акцент2 114" xfId="6561" xr:uid="{00000000-0005-0000-0000-0000B6170000}"/>
    <cellStyle name="40% - Акцент2 114 2" xfId="6562" xr:uid="{00000000-0005-0000-0000-0000B7170000}"/>
    <cellStyle name="40% - Акцент2 115" xfId="6563" xr:uid="{00000000-0005-0000-0000-0000B8170000}"/>
    <cellStyle name="40% - Акцент2 115 2" xfId="6564" xr:uid="{00000000-0005-0000-0000-0000B9170000}"/>
    <cellStyle name="40% - Акцент2 116" xfId="6565" xr:uid="{00000000-0005-0000-0000-0000BA170000}"/>
    <cellStyle name="40% - Акцент2 116 2" xfId="6566" xr:uid="{00000000-0005-0000-0000-0000BB170000}"/>
    <cellStyle name="40% - Акцент2 117" xfId="6567" xr:uid="{00000000-0005-0000-0000-0000BC170000}"/>
    <cellStyle name="40% - Акцент2 117 2" xfId="6568" xr:uid="{00000000-0005-0000-0000-0000BD170000}"/>
    <cellStyle name="40% - Акцент2 118" xfId="6569" xr:uid="{00000000-0005-0000-0000-0000BE170000}"/>
    <cellStyle name="40% - Акцент2 118 2" xfId="6570" xr:uid="{00000000-0005-0000-0000-0000BF170000}"/>
    <cellStyle name="40% - Акцент2 119" xfId="6571" xr:uid="{00000000-0005-0000-0000-0000C0170000}"/>
    <cellStyle name="40% - Акцент2 119 2" xfId="6572" xr:uid="{00000000-0005-0000-0000-0000C1170000}"/>
    <cellStyle name="40% - Акцент2 12" xfId="6573" xr:uid="{00000000-0005-0000-0000-0000C2170000}"/>
    <cellStyle name="40% - Акцент2 120" xfId="6574" xr:uid="{00000000-0005-0000-0000-0000C3170000}"/>
    <cellStyle name="40% - Акцент2 120 2" xfId="6575" xr:uid="{00000000-0005-0000-0000-0000C4170000}"/>
    <cellStyle name="40% - Акцент2 121" xfId="6576" xr:uid="{00000000-0005-0000-0000-0000C5170000}"/>
    <cellStyle name="40% - Акцент2 121 2" xfId="6577" xr:uid="{00000000-0005-0000-0000-0000C6170000}"/>
    <cellStyle name="40% - Акцент2 122" xfId="6578" xr:uid="{00000000-0005-0000-0000-0000C7170000}"/>
    <cellStyle name="40% - Акцент2 122 2" xfId="6579" xr:uid="{00000000-0005-0000-0000-0000C8170000}"/>
    <cellStyle name="40% - Акцент2 123" xfId="6580" xr:uid="{00000000-0005-0000-0000-0000C9170000}"/>
    <cellStyle name="40% - Акцент2 123 2" xfId="6581" xr:uid="{00000000-0005-0000-0000-0000CA170000}"/>
    <cellStyle name="40% - Акцент2 124" xfId="6582" xr:uid="{00000000-0005-0000-0000-0000CB170000}"/>
    <cellStyle name="40% - Акцент2 124 2" xfId="6583" xr:uid="{00000000-0005-0000-0000-0000CC170000}"/>
    <cellStyle name="40% - Акцент2 125" xfId="6584" xr:uid="{00000000-0005-0000-0000-0000CD170000}"/>
    <cellStyle name="40% - Акцент2 125 2" xfId="6585" xr:uid="{00000000-0005-0000-0000-0000CE170000}"/>
    <cellStyle name="40% - Акцент2 126" xfId="6586" xr:uid="{00000000-0005-0000-0000-0000CF170000}"/>
    <cellStyle name="40% - Акцент2 126 2" xfId="6587" xr:uid="{00000000-0005-0000-0000-0000D0170000}"/>
    <cellStyle name="40% - Акцент2 127" xfId="6588" xr:uid="{00000000-0005-0000-0000-0000D1170000}"/>
    <cellStyle name="40% - Акцент2 127 2" xfId="6589" xr:uid="{00000000-0005-0000-0000-0000D2170000}"/>
    <cellStyle name="40% - Акцент2 128" xfId="6590" xr:uid="{00000000-0005-0000-0000-0000D3170000}"/>
    <cellStyle name="40% - Акцент2 128 2" xfId="6591" xr:uid="{00000000-0005-0000-0000-0000D4170000}"/>
    <cellStyle name="40% - Акцент2 129" xfId="6592" xr:uid="{00000000-0005-0000-0000-0000D5170000}"/>
    <cellStyle name="40% - Акцент2 129 2" xfId="6593" xr:uid="{00000000-0005-0000-0000-0000D6170000}"/>
    <cellStyle name="40% - Акцент2 13" xfId="6594" xr:uid="{00000000-0005-0000-0000-0000D7170000}"/>
    <cellStyle name="40% - Акцент2 130" xfId="6595" xr:uid="{00000000-0005-0000-0000-0000D8170000}"/>
    <cellStyle name="40% - Акцент2 130 2" xfId="6596" xr:uid="{00000000-0005-0000-0000-0000D9170000}"/>
    <cellStyle name="40% - Акцент2 131" xfId="6597" xr:uid="{00000000-0005-0000-0000-0000DA170000}"/>
    <cellStyle name="40% - Акцент2 131 2" xfId="6598" xr:uid="{00000000-0005-0000-0000-0000DB170000}"/>
    <cellStyle name="40% - Акцент2 132" xfId="6599" xr:uid="{00000000-0005-0000-0000-0000DC170000}"/>
    <cellStyle name="40% - Акцент2 132 2" xfId="6600" xr:uid="{00000000-0005-0000-0000-0000DD170000}"/>
    <cellStyle name="40% - Акцент2 133" xfId="6601" xr:uid="{00000000-0005-0000-0000-0000DE170000}"/>
    <cellStyle name="40% - Акцент2 133 2" xfId="6602" xr:uid="{00000000-0005-0000-0000-0000DF170000}"/>
    <cellStyle name="40% - Акцент2 134" xfId="6603" xr:uid="{00000000-0005-0000-0000-0000E0170000}"/>
    <cellStyle name="40% - Акцент2 134 2" xfId="6604" xr:uid="{00000000-0005-0000-0000-0000E1170000}"/>
    <cellStyle name="40% - Акцент2 135" xfId="6605" xr:uid="{00000000-0005-0000-0000-0000E2170000}"/>
    <cellStyle name="40% - Акцент2 135 2" xfId="6606" xr:uid="{00000000-0005-0000-0000-0000E3170000}"/>
    <cellStyle name="40% - Акцент2 136" xfId="6607" xr:uid="{00000000-0005-0000-0000-0000E4170000}"/>
    <cellStyle name="40% - Акцент2 136 2" xfId="6608" xr:uid="{00000000-0005-0000-0000-0000E5170000}"/>
    <cellStyle name="40% - Акцент2 137" xfId="6609" xr:uid="{00000000-0005-0000-0000-0000E6170000}"/>
    <cellStyle name="40% - Акцент2 137 2" xfId="6610" xr:uid="{00000000-0005-0000-0000-0000E7170000}"/>
    <cellStyle name="40% - Акцент2 138" xfId="6611" xr:uid="{00000000-0005-0000-0000-0000E8170000}"/>
    <cellStyle name="40% - Акцент2 138 2" xfId="6612" xr:uid="{00000000-0005-0000-0000-0000E9170000}"/>
    <cellStyle name="40% - Акцент2 139" xfId="6613" xr:uid="{00000000-0005-0000-0000-0000EA170000}"/>
    <cellStyle name="40% - Акцент2 139 2" xfId="6614" xr:uid="{00000000-0005-0000-0000-0000EB170000}"/>
    <cellStyle name="40% - Акцент2 14" xfId="6615" xr:uid="{00000000-0005-0000-0000-0000EC170000}"/>
    <cellStyle name="40% - Акцент2 140" xfId="6616" xr:uid="{00000000-0005-0000-0000-0000ED170000}"/>
    <cellStyle name="40% - Акцент2 140 2" xfId="6617" xr:uid="{00000000-0005-0000-0000-0000EE170000}"/>
    <cellStyle name="40% - Акцент2 141" xfId="6618" xr:uid="{00000000-0005-0000-0000-0000EF170000}"/>
    <cellStyle name="40% - Акцент2 141 2" xfId="6619" xr:uid="{00000000-0005-0000-0000-0000F0170000}"/>
    <cellStyle name="40% - Акцент2 142" xfId="6620" xr:uid="{00000000-0005-0000-0000-0000F1170000}"/>
    <cellStyle name="40% - Акцент2 142 2" xfId="6621" xr:uid="{00000000-0005-0000-0000-0000F2170000}"/>
    <cellStyle name="40% - Акцент2 143" xfId="6622" xr:uid="{00000000-0005-0000-0000-0000F3170000}"/>
    <cellStyle name="40% - Акцент2 143 2" xfId="6623" xr:uid="{00000000-0005-0000-0000-0000F4170000}"/>
    <cellStyle name="40% - Акцент2 144" xfId="6624" xr:uid="{00000000-0005-0000-0000-0000F5170000}"/>
    <cellStyle name="40% - Акцент2 144 2" xfId="6625" xr:uid="{00000000-0005-0000-0000-0000F6170000}"/>
    <cellStyle name="40% - Акцент2 145" xfId="6626" xr:uid="{00000000-0005-0000-0000-0000F7170000}"/>
    <cellStyle name="40% - Акцент2 145 2" xfId="6627" xr:uid="{00000000-0005-0000-0000-0000F8170000}"/>
    <cellStyle name="40% - Акцент2 146" xfId="6628" xr:uid="{00000000-0005-0000-0000-0000F9170000}"/>
    <cellStyle name="40% - Акцент2 146 2" xfId="6629" xr:uid="{00000000-0005-0000-0000-0000FA170000}"/>
    <cellStyle name="40% - Акцент2 147" xfId="6630" xr:uid="{00000000-0005-0000-0000-0000FB170000}"/>
    <cellStyle name="40% - Акцент2 147 2" xfId="6631" xr:uid="{00000000-0005-0000-0000-0000FC170000}"/>
    <cellStyle name="40% - Акцент2 148" xfId="6632" xr:uid="{00000000-0005-0000-0000-0000FD170000}"/>
    <cellStyle name="40% - Акцент2 148 2" xfId="6633" xr:uid="{00000000-0005-0000-0000-0000FE170000}"/>
    <cellStyle name="40% - Акцент2 149" xfId="6634" xr:uid="{00000000-0005-0000-0000-0000FF170000}"/>
    <cellStyle name="40% - Акцент2 149 2" xfId="6635" xr:uid="{00000000-0005-0000-0000-000000180000}"/>
    <cellStyle name="40% - Акцент2 15" xfId="6636" xr:uid="{00000000-0005-0000-0000-000001180000}"/>
    <cellStyle name="40% - Акцент2 150" xfId="6637" xr:uid="{00000000-0005-0000-0000-000002180000}"/>
    <cellStyle name="40% - Акцент2 150 2" xfId="6638" xr:uid="{00000000-0005-0000-0000-000003180000}"/>
    <cellStyle name="40% - Акцент2 151" xfId="6639" xr:uid="{00000000-0005-0000-0000-000004180000}"/>
    <cellStyle name="40% - Акцент2 151 2" xfId="6640" xr:uid="{00000000-0005-0000-0000-000005180000}"/>
    <cellStyle name="40% - Акцент2 152" xfId="6641" xr:uid="{00000000-0005-0000-0000-000006180000}"/>
    <cellStyle name="40% - Акцент2 152 2" xfId="6642" xr:uid="{00000000-0005-0000-0000-000007180000}"/>
    <cellStyle name="40% - Акцент2 153" xfId="6643" xr:uid="{00000000-0005-0000-0000-000008180000}"/>
    <cellStyle name="40% - Акцент2 153 2" xfId="6644" xr:uid="{00000000-0005-0000-0000-000009180000}"/>
    <cellStyle name="40% - Акцент2 154" xfId="6645" xr:uid="{00000000-0005-0000-0000-00000A180000}"/>
    <cellStyle name="40% - Акцент2 154 2" xfId="6646" xr:uid="{00000000-0005-0000-0000-00000B180000}"/>
    <cellStyle name="40% - Акцент2 155" xfId="6647" xr:uid="{00000000-0005-0000-0000-00000C180000}"/>
    <cellStyle name="40% - Акцент2 155 2" xfId="6648" xr:uid="{00000000-0005-0000-0000-00000D180000}"/>
    <cellStyle name="40% - Акцент2 156" xfId="6649" xr:uid="{00000000-0005-0000-0000-00000E180000}"/>
    <cellStyle name="40% - Акцент2 156 2" xfId="6650" xr:uid="{00000000-0005-0000-0000-00000F180000}"/>
    <cellStyle name="40% - Акцент2 157" xfId="6651" xr:uid="{00000000-0005-0000-0000-000010180000}"/>
    <cellStyle name="40% - Акцент2 157 2" xfId="6652" xr:uid="{00000000-0005-0000-0000-000011180000}"/>
    <cellStyle name="40% - Акцент2 158" xfId="6653" xr:uid="{00000000-0005-0000-0000-000012180000}"/>
    <cellStyle name="40% - Акцент2 158 2" xfId="6654" xr:uid="{00000000-0005-0000-0000-000013180000}"/>
    <cellStyle name="40% - Акцент2 159" xfId="6655" xr:uid="{00000000-0005-0000-0000-000014180000}"/>
    <cellStyle name="40% - Акцент2 159 2" xfId="6656" xr:uid="{00000000-0005-0000-0000-000015180000}"/>
    <cellStyle name="40% - Акцент2 16" xfId="6657" xr:uid="{00000000-0005-0000-0000-000016180000}"/>
    <cellStyle name="40% - Акцент2 160" xfId="6658" xr:uid="{00000000-0005-0000-0000-000017180000}"/>
    <cellStyle name="40% - Акцент2 160 2" xfId="6659" xr:uid="{00000000-0005-0000-0000-000018180000}"/>
    <cellStyle name="40% - Акцент2 161" xfId="6660" xr:uid="{00000000-0005-0000-0000-000019180000}"/>
    <cellStyle name="40% - Акцент2 161 2" xfId="6661" xr:uid="{00000000-0005-0000-0000-00001A180000}"/>
    <cellStyle name="40% - Акцент2 162" xfId="6662" xr:uid="{00000000-0005-0000-0000-00001B180000}"/>
    <cellStyle name="40% - Акцент2 162 2" xfId="6663" xr:uid="{00000000-0005-0000-0000-00001C180000}"/>
    <cellStyle name="40% - Акцент2 163" xfId="6664" xr:uid="{00000000-0005-0000-0000-00001D180000}"/>
    <cellStyle name="40% - Акцент2 163 2" xfId="6665" xr:uid="{00000000-0005-0000-0000-00001E180000}"/>
    <cellStyle name="40% - Акцент2 164" xfId="6666" xr:uid="{00000000-0005-0000-0000-00001F180000}"/>
    <cellStyle name="40% - Акцент2 164 2" xfId="6667" xr:uid="{00000000-0005-0000-0000-000020180000}"/>
    <cellStyle name="40% - Акцент2 165" xfId="6668" xr:uid="{00000000-0005-0000-0000-000021180000}"/>
    <cellStyle name="40% - Акцент2 165 2" xfId="6669" xr:uid="{00000000-0005-0000-0000-000022180000}"/>
    <cellStyle name="40% - Акцент2 166" xfId="6670" xr:uid="{00000000-0005-0000-0000-000023180000}"/>
    <cellStyle name="40% - Акцент2 166 2" xfId="6671" xr:uid="{00000000-0005-0000-0000-000024180000}"/>
    <cellStyle name="40% - Акцент2 167" xfId="6672" xr:uid="{00000000-0005-0000-0000-000025180000}"/>
    <cellStyle name="40% - Акцент2 167 2" xfId="6673" xr:uid="{00000000-0005-0000-0000-000026180000}"/>
    <cellStyle name="40% - Акцент2 168" xfId="6674" xr:uid="{00000000-0005-0000-0000-000027180000}"/>
    <cellStyle name="40% - Акцент2 168 2" xfId="6675" xr:uid="{00000000-0005-0000-0000-000028180000}"/>
    <cellStyle name="40% - Акцент2 169" xfId="6676" xr:uid="{00000000-0005-0000-0000-000029180000}"/>
    <cellStyle name="40% - Акцент2 169 2" xfId="6677" xr:uid="{00000000-0005-0000-0000-00002A180000}"/>
    <cellStyle name="40% - Акцент2 17" xfId="6678" xr:uid="{00000000-0005-0000-0000-00002B180000}"/>
    <cellStyle name="40% - Акцент2 170" xfId="6679" xr:uid="{00000000-0005-0000-0000-00002C180000}"/>
    <cellStyle name="40% - Акцент2 170 2" xfId="6680" xr:uid="{00000000-0005-0000-0000-00002D180000}"/>
    <cellStyle name="40% - Акцент2 171" xfId="6681" xr:uid="{00000000-0005-0000-0000-00002E180000}"/>
    <cellStyle name="40% - Акцент2 171 2" xfId="6682" xr:uid="{00000000-0005-0000-0000-00002F180000}"/>
    <cellStyle name="40% - Акцент2 172" xfId="6683" xr:uid="{00000000-0005-0000-0000-000030180000}"/>
    <cellStyle name="40% - Акцент2 172 2" xfId="6684" xr:uid="{00000000-0005-0000-0000-000031180000}"/>
    <cellStyle name="40% - Акцент2 173" xfId="6685" xr:uid="{00000000-0005-0000-0000-000032180000}"/>
    <cellStyle name="40% - Акцент2 173 2" xfId="6686" xr:uid="{00000000-0005-0000-0000-000033180000}"/>
    <cellStyle name="40% - Акцент2 174" xfId="6687" xr:uid="{00000000-0005-0000-0000-000034180000}"/>
    <cellStyle name="40% - Акцент2 174 2" xfId="6688" xr:uid="{00000000-0005-0000-0000-000035180000}"/>
    <cellStyle name="40% - Акцент2 175" xfId="6689" xr:uid="{00000000-0005-0000-0000-000036180000}"/>
    <cellStyle name="40% - Акцент2 175 2" xfId="6690" xr:uid="{00000000-0005-0000-0000-000037180000}"/>
    <cellStyle name="40% - Акцент2 176" xfId="6691" xr:uid="{00000000-0005-0000-0000-000038180000}"/>
    <cellStyle name="40% - Акцент2 176 2" xfId="6692" xr:uid="{00000000-0005-0000-0000-000039180000}"/>
    <cellStyle name="40% - Акцент2 177" xfId="6693" xr:uid="{00000000-0005-0000-0000-00003A180000}"/>
    <cellStyle name="40% - Акцент2 177 2" xfId="6694" xr:uid="{00000000-0005-0000-0000-00003B180000}"/>
    <cellStyle name="40% - Акцент2 178" xfId="6695" xr:uid="{00000000-0005-0000-0000-00003C180000}"/>
    <cellStyle name="40% - Акцент2 178 2" xfId="6696" xr:uid="{00000000-0005-0000-0000-00003D180000}"/>
    <cellStyle name="40% - Акцент2 179" xfId="6697" xr:uid="{00000000-0005-0000-0000-00003E180000}"/>
    <cellStyle name="40% - Акцент2 179 2" xfId="6698" xr:uid="{00000000-0005-0000-0000-00003F180000}"/>
    <cellStyle name="40% - Акцент2 18" xfId="6699" xr:uid="{00000000-0005-0000-0000-000040180000}"/>
    <cellStyle name="40% - Акцент2 180" xfId="6700" xr:uid="{00000000-0005-0000-0000-000041180000}"/>
    <cellStyle name="40% - Акцент2 180 2" xfId="6701" xr:uid="{00000000-0005-0000-0000-000042180000}"/>
    <cellStyle name="40% - Акцент2 181" xfId="6702" xr:uid="{00000000-0005-0000-0000-000043180000}"/>
    <cellStyle name="40% - Акцент2 181 2" xfId="6703" xr:uid="{00000000-0005-0000-0000-000044180000}"/>
    <cellStyle name="40% - Акцент2 182" xfId="6704" xr:uid="{00000000-0005-0000-0000-000045180000}"/>
    <cellStyle name="40% - Акцент2 182 2" xfId="6705" xr:uid="{00000000-0005-0000-0000-000046180000}"/>
    <cellStyle name="40% - Акцент2 183" xfId="6706" xr:uid="{00000000-0005-0000-0000-000047180000}"/>
    <cellStyle name="40% - Акцент2 183 2" xfId="6707" xr:uid="{00000000-0005-0000-0000-000048180000}"/>
    <cellStyle name="40% - Акцент2 184" xfId="6708" xr:uid="{00000000-0005-0000-0000-000049180000}"/>
    <cellStyle name="40% - Акцент2 184 2" xfId="6709" xr:uid="{00000000-0005-0000-0000-00004A180000}"/>
    <cellStyle name="40% - Акцент2 185" xfId="6710" xr:uid="{00000000-0005-0000-0000-00004B180000}"/>
    <cellStyle name="40% - Акцент2 185 2" xfId="6711" xr:uid="{00000000-0005-0000-0000-00004C180000}"/>
    <cellStyle name="40% - Акцент2 186" xfId="6712" xr:uid="{00000000-0005-0000-0000-00004D180000}"/>
    <cellStyle name="40% - Акцент2 186 2" xfId="6713" xr:uid="{00000000-0005-0000-0000-00004E180000}"/>
    <cellStyle name="40% - Акцент2 187" xfId="6714" xr:uid="{00000000-0005-0000-0000-00004F180000}"/>
    <cellStyle name="40% - Акцент2 187 2" xfId="6715" xr:uid="{00000000-0005-0000-0000-000050180000}"/>
    <cellStyle name="40% - Акцент2 188" xfId="6716" xr:uid="{00000000-0005-0000-0000-000051180000}"/>
    <cellStyle name="40% - Акцент2 188 2" xfId="6717" xr:uid="{00000000-0005-0000-0000-000052180000}"/>
    <cellStyle name="40% - Акцент2 189" xfId="6718" xr:uid="{00000000-0005-0000-0000-000053180000}"/>
    <cellStyle name="40% - Акцент2 189 2" xfId="6719" xr:uid="{00000000-0005-0000-0000-000054180000}"/>
    <cellStyle name="40% - Акцент2 19" xfId="6720" xr:uid="{00000000-0005-0000-0000-000055180000}"/>
    <cellStyle name="40% - Акцент2 190" xfId="6721" xr:uid="{00000000-0005-0000-0000-000056180000}"/>
    <cellStyle name="40% - Акцент2 190 2" xfId="6722" xr:uid="{00000000-0005-0000-0000-000057180000}"/>
    <cellStyle name="40% - Акцент2 191" xfId="6723" xr:uid="{00000000-0005-0000-0000-000058180000}"/>
    <cellStyle name="40% - Акцент2 191 2" xfId="6724" xr:uid="{00000000-0005-0000-0000-000059180000}"/>
    <cellStyle name="40% - Акцент2 192" xfId="6725" xr:uid="{00000000-0005-0000-0000-00005A180000}"/>
    <cellStyle name="40% - Акцент2 192 2" xfId="6726" xr:uid="{00000000-0005-0000-0000-00005B180000}"/>
    <cellStyle name="40% - Акцент2 193" xfId="6727" xr:uid="{00000000-0005-0000-0000-00005C180000}"/>
    <cellStyle name="40% - Акцент2 193 2" xfId="6728" xr:uid="{00000000-0005-0000-0000-00005D180000}"/>
    <cellStyle name="40% - Акцент2 194" xfId="6729" xr:uid="{00000000-0005-0000-0000-00005E180000}"/>
    <cellStyle name="40% - Акцент2 194 2" xfId="6730" xr:uid="{00000000-0005-0000-0000-00005F180000}"/>
    <cellStyle name="40% - Акцент2 195" xfId="6731" xr:uid="{00000000-0005-0000-0000-000060180000}"/>
    <cellStyle name="40% - Акцент2 195 2" xfId="6732" xr:uid="{00000000-0005-0000-0000-000061180000}"/>
    <cellStyle name="40% - Акцент2 196" xfId="6733" xr:uid="{00000000-0005-0000-0000-000062180000}"/>
    <cellStyle name="40% - Акцент2 196 2" xfId="6734" xr:uid="{00000000-0005-0000-0000-000063180000}"/>
    <cellStyle name="40% - Акцент2 197" xfId="6735" xr:uid="{00000000-0005-0000-0000-000064180000}"/>
    <cellStyle name="40% - Акцент2 197 2" xfId="6736" xr:uid="{00000000-0005-0000-0000-000065180000}"/>
    <cellStyle name="40% - Акцент2 198" xfId="6737" xr:uid="{00000000-0005-0000-0000-000066180000}"/>
    <cellStyle name="40% - Акцент2 198 2" xfId="6738" xr:uid="{00000000-0005-0000-0000-000067180000}"/>
    <cellStyle name="40% - Акцент2 199" xfId="6739" xr:uid="{00000000-0005-0000-0000-000068180000}"/>
    <cellStyle name="40% - Акцент2 199 2" xfId="6740" xr:uid="{00000000-0005-0000-0000-000069180000}"/>
    <cellStyle name="40% - Акцент2 2" xfId="6741" xr:uid="{00000000-0005-0000-0000-00006A180000}"/>
    <cellStyle name="40% - Акцент2 2 2" xfId="6742" xr:uid="{00000000-0005-0000-0000-00006B180000}"/>
    <cellStyle name="40% - Акцент2 2 2 2" xfId="6743" xr:uid="{00000000-0005-0000-0000-00006C180000}"/>
    <cellStyle name="40% - Акцент2 2 3" xfId="6744" xr:uid="{00000000-0005-0000-0000-00006D180000}"/>
    <cellStyle name="40% - Акцент2 2 4" xfId="6745" xr:uid="{00000000-0005-0000-0000-00006E180000}"/>
    <cellStyle name="40% - Акцент2 2 5" xfId="6746" xr:uid="{00000000-0005-0000-0000-00006F180000}"/>
    <cellStyle name="40% - Акцент2 2 6" xfId="6747" xr:uid="{00000000-0005-0000-0000-000070180000}"/>
    <cellStyle name="40% - Акцент2 2 7" xfId="6748" xr:uid="{00000000-0005-0000-0000-000071180000}"/>
    <cellStyle name="40% - Акцент2 20" xfId="6749" xr:uid="{00000000-0005-0000-0000-000072180000}"/>
    <cellStyle name="40% - Акцент2 20 2" xfId="6750" xr:uid="{00000000-0005-0000-0000-000073180000}"/>
    <cellStyle name="40% - Акцент2 200" xfId="6751" xr:uid="{00000000-0005-0000-0000-000074180000}"/>
    <cellStyle name="40% - Акцент2 200 2" xfId="6752" xr:uid="{00000000-0005-0000-0000-000075180000}"/>
    <cellStyle name="40% - Акцент2 201" xfId="6753" xr:uid="{00000000-0005-0000-0000-000076180000}"/>
    <cellStyle name="40% - Акцент2 201 2" xfId="6754" xr:uid="{00000000-0005-0000-0000-000077180000}"/>
    <cellStyle name="40% - Акцент2 202" xfId="6755" xr:uid="{00000000-0005-0000-0000-000078180000}"/>
    <cellStyle name="40% - Акцент2 202 2" xfId="6756" xr:uid="{00000000-0005-0000-0000-000079180000}"/>
    <cellStyle name="40% - Акцент2 203" xfId="6757" xr:uid="{00000000-0005-0000-0000-00007A180000}"/>
    <cellStyle name="40% - Акцент2 203 2" xfId="6758" xr:uid="{00000000-0005-0000-0000-00007B180000}"/>
    <cellStyle name="40% - Акцент2 204" xfId="6759" xr:uid="{00000000-0005-0000-0000-00007C180000}"/>
    <cellStyle name="40% - Акцент2 204 2" xfId="6760" xr:uid="{00000000-0005-0000-0000-00007D180000}"/>
    <cellStyle name="40% - Акцент2 205" xfId="6761" xr:uid="{00000000-0005-0000-0000-00007E180000}"/>
    <cellStyle name="40% - Акцент2 205 2" xfId="6762" xr:uid="{00000000-0005-0000-0000-00007F180000}"/>
    <cellStyle name="40% - Акцент2 206" xfId="6763" xr:uid="{00000000-0005-0000-0000-000080180000}"/>
    <cellStyle name="40% - Акцент2 206 2" xfId="6764" xr:uid="{00000000-0005-0000-0000-000081180000}"/>
    <cellStyle name="40% - Акцент2 207" xfId="6765" xr:uid="{00000000-0005-0000-0000-000082180000}"/>
    <cellStyle name="40% - Акцент2 207 2" xfId="6766" xr:uid="{00000000-0005-0000-0000-000083180000}"/>
    <cellStyle name="40% - Акцент2 208" xfId="6767" xr:uid="{00000000-0005-0000-0000-000084180000}"/>
    <cellStyle name="40% - Акцент2 208 2" xfId="6768" xr:uid="{00000000-0005-0000-0000-000085180000}"/>
    <cellStyle name="40% - Акцент2 209" xfId="6769" xr:uid="{00000000-0005-0000-0000-000086180000}"/>
    <cellStyle name="40% - Акцент2 209 2" xfId="6770" xr:uid="{00000000-0005-0000-0000-000087180000}"/>
    <cellStyle name="40% - Акцент2 21" xfId="6771" xr:uid="{00000000-0005-0000-0000-000088180000}"/>
    <cellStyle name="40% - Акцент2 21 2" xfId="6772" xr:uid="{00000000-0005-0000-0000-000089180000}"/>
    <cellStyle name="40% - Акцент2 210" xfId="6773" xr:uid="{00000000-0005-0000-0000-00008A180000}"/>
    <cellStyle name="40% - Акцент2 210 2" xfId="6774" xr:uid="{00000000-0005-0000-0000-00008B180000}"/>
    <cellStyle name="40% - Акцент2 211" xfId="6775" xr:uid="{00000000-0005-0000-0000-00008C180000}"/>
    <cellStyle name="40% - Акцент2 211 2" xfId="6776" xr:uid="{00000000-0005-0000-0000-00008D180000}"/>
    <cellStyle name="40% - Акцент2 212" xfId="6777" xr:uid="{00000000-0005-0000-0000-00008E180000}"/>
    <cellStyle name="40% - Акцент2 212 2" xfId="6778" xr:uid="{00000000-0005-0000-0000-00008F180000}"/>
    <cellStyle name="40% - Акцент2 213" xfId="6779" xr:uid="{00000000-0005-0000-0000-000090180000}"/>
    <cellStyle name="40% - Акцент2 213 2" xfId="6780" xr:uid="{00000000-0005-0000-0000-000091180000}"/>
    <cellStyle name="40% - Акцент2 214" xfId="6781" xr:uid="{00000000-0005-0000-0000-000092180000}"/>
    <cellStyle name="40% - Акцент2 214 2" xfId="6782" xr:uid="{00000000-0005-0000-0000-000093180000}"/>
    <cellStyle name="40% - Акцент2 215" xfId="6783" xr:uid="{00000000-0005-0000-0000-000094180000}"/>
    <cellStyle name="40% - Акцент2 215 2" xfId="6784" xr:uid="{00000000-0005-0000-0000-000095180000}"/>
    <cellStyle name="40% - Акцент2 216" xfId="6785" xr:uid="{00000000-0005-0000-0000-000096180000}"/>
    <cellStyle name="40% - Акцент2 216 2" xfId="6786" xr:uid="{00000000-0005-0000-0000-000097180000}"/>
    <cellStyle name="40% - Акцент2 217" xfId="6787" xr:uid="{00000000-0005-0000-0000-000098180000}"/>
    <cellStyle name="40% - Акцент2 217 2" xfId="6788" xr:uid="{00000000-0005-0000-0000-000099180000}"/>
    <cellStyle name="40% - Акцент2 217 3" xfId="6789" xr:uid="{00000000-0005-0000-0000-00009A180000}"/>
    <cellStyle name="40% - Акцент2 218" xfId="6790" xr:uid="{00000000-0005-0000-0000-00009B180000}"/>
    <cellStyle name="40% - Акцент2 219" xfId="6791" xr:uid="{00000000-0005-0000-0000-00009C180000}"/>
    <cellStyle name="40% - Акцент2 22" xfId="6792" xr:uid="{00000000-0005-0000-0000-00009D180000}"/>
    <cellStyle name="40% - Акцент2 22 2" xfId="6793" xr:uid="{00000000-0005-0000-0000-00009E180000}"/>
    <cellStyle name="40% - Акцент2 220" xfId="6794" xr:uid="{00000000-0005-0000-0000-00009F180000}"/>
    <cellStyle name="40% - Акцент2 221" xfId="6795" xr:uid="{00000000-0005-0000-0000-0000A0180000}"/>
    <cellStyle name="40% - Акцент2 222" xfId="6796" xr:uid="{00000000-0005-0000-0000-0000A1180000}"/>
    <cellStyle name="40% - Акцент2 223" xfId="6797" xr:uid="{00000000-0005-0000-0000-0000A2180000}"/>
    <cellStyle name="40% - Акцент2 224" xfId="6798" xr:uid="{00000000-0005-0000-0000-0000A3180000}"/>
    <cellStyle name="40% - Акцент2 225" xfId="6799" xr:uid="{00000000-0005-0000-0000-0000A4180000}"/>
    <cellStyle name="40% - Акцент2 226" xfId="6800" xr:uid="{00000000-0005-0000-0000-0000A5180000}"/>
    <cellStyle name="40% - Акцент2 227" xfId="6801" xr:uid="{00000000-0005-0000-0000-0000A6180000}"/>
    <cellStyle name="40% - Акцент2 228" xfId="6802" xr:uid="{00000000-0005-0000-0000-0000A7180000}"/>
    <cellStyle name="40% - Акцент2 229" xfId="6803" xr:uid="{00000000-0005-0000-0000-0000A8180000}"/>
    <cellStyle name="40% - Акцент2 23" xfId="6804" xr:uid="{00000000-0005-0000-0000-0000A9180000}"/>
    <cellStyle name="40% - Акцент2 23 2" xfId="6805" xr:uid="{00000000-0005-0000-0000-0000AA180000}"/>
    <cellStyle name="40% - Акцент2 230" xfId="6806" xr:uid="{00000000-0005-0000-0000-0000AB180000}"/>
    <cellStyle name="40% - Акцент2 231" xfId="6807" xr:uid="{00000000-0005-0000-0000-0000AC180000}"/>
    <cellStyle name="40% - Акцент2 232" xfId="6808" xr:uid="{00000000-0005-0000-0000-0000AD180000}"/>
    <cellStyle name="40% - Акцент2 233" xfId="6809" xr:uid="{00000000-0005-0000-0000-0000AE180000}"/>
    <cellStyle name="40% - Акцент2 234" xfId="6810" xr:uid="{00000000-0005-0000-0000-0000AF180000}"/>
    <cellStyle name="40% - Акцент2 235" xfId="6811" xr:uid="{00000000-0005-0000-0000-0000B0180000}"/>
    <cellStyle name="40% - Акцент2 236" xfId="6812" xr:uid="{00000000-0005-0000-0000-0000B1180000}"/>
    <cellStyle name="40% - Акцент2 237" xfId="6813" xr:uid="{00000000-0005-0000-0000-0000B2180000}"/>
    <cellStyle name="40% - Акцент2 238" xfId="6814" xr:uid="{00000000-0005-0000-0000-0000B3180000}"/>
    <cellStyle name="40% - Акцент2 239" xfId="6815" xr:uid="{00000000-0005-0000-0000-0000B4180000}"/>
    <cellStyle name="40% - Акцент2 24" xfId="6816" xr:uid="{00000000-0005-0000-0000-0000B5180000}"/>
    <cellStyle name="40% - Акцент2 24 2" xfId="6817" xr:uid="{00000000-0005-0000-0000-0000B6180000}"/>
    <cellStyle name="40% - Акцент2 240" xfId="6818" xr:uid="{00000000-0005-0000-0000-0000B7180000}"/>
    <cellStyle name="40% - Акцент2 241" xfId="6819" xr:uid="{00000000-0005-0000-0000-0000B8180000}"/>
    <cellStyle name="40% - Акцент2 242" xfId="6820" xr:uid="{00000000-0005-0000-0000-0000B9180000}"/>
    <cellStyle name="40% - Акцент2 243" xfId="6821" xr:uid="{00000000-0005-0000-0000-0000BA180000}"/>
    <cellStyle name="40% - Акцент2 244" xfId="6822" xr:uid="{00000000-0005-0000-0000-0000BB180000}"/>
    <cellStyle name="40% - Акцент2 245" xfId="6823" xr:uid="{00000000-0005-0000-0000-0000BC180000}"/>
    <cellStyle name="40% - Акцент2 246" xfId="6824" xr:uid="{00000000-0005-0000-0000-0000BD180000}"/>
    <cellStyle name="40% - Акцент2 247" xfId="6825" xr:uid="{00000000-0005-0000-0000-0000BE180000}"/>
    <cellStyle name="40% - Акцент2 248" xfId="6826" xr:uid="{00000000-0005-0000-0000-0000BF180000}"/>
    <cellStyle name="40% - Акцент2 249" xfId="6827" xr:uid="{00000000-0005-0000-0000-0000C0180000}"/>
    <cellStyle name="40% - Акцент2 25" xfId="6828" xr:uid="{00000000-0005-0000-0000-0000C1180000}"/>
    <cellStyle name="40% - Акцент2 25 2" xfId="6829" xr:uid="{00000000-0005-0000-0000-0000C2180000}"/>
    <cellStyle name="40% - Акцент2 250" xfId="6830" xr:uid="{00000000-0005-0000-0000-0000C3180000}"/>
    <cellStyle name="40% - Акцент2 251" xfId="6831" xr:uid="{00000000-0005-0000-0000-0000C4180000}"/>
    <cellStyle name="40% - Акцент2 252" xfId="6832" xr:uid="{00000000-0005-0000-0000-0000C5180000}"/>
    <cellStyle name="40% - Акцент2 253" xfId="6833" xr:uid="{00000000-0005-0000-0000-0000C6180000}"/>
    <cellStyle name="40% - Акцент2 254" xfId="6834" xr:uid="{00000000-0005-0000-0000-0000C7180000}"/>
    <cellStyle name="40% - Акцент2 255" xfId="6835" xr:uid="{00000000-0005-0000-0000-0000C8180000}"/>
    <cellStyle name="40% - Акцент2 26" xfId="6836" xr:uid="{00000000-0005-0000-0000-0000C9180000}"/>
    <cellStyle name="40% - Акцент2 26 2" xfId="6837" xr:uid="{00000000-0005-0000-0000-0000CA180000}"/>
    <cellStyle name="40% - Акцент2 27" xfId="6838" xr:uid="{00000000-0005-0000-0000-0000CB180000}"/>
    <cellStyle name="40% - Акцент2 27 2" xfId="6839" xr:uid="{00000000-0005-0000-0000-0000CC180000}"/>
    <cellStyle name="40% - Акцент2 28" xfId="6840" xr:uid="{00000000-0005-0000-0000-0000CD180000}"/>
    <cellStyle name="40% - Акцент2 28 2" xfId="6841" xr:uid="{00000000-0005-0000-0000-0000CE180000}"/>
    <cellStyle name="40% - Акцент2 29" xfId="6842" xr:uid="{00000000-0005-0000-0000-0000CF180000}"/>
    <cellStyle name="40% - Акцент2 29 2" xfId="6843" xr:uid="{00000000-0005-0000-0000-0000D0180000}"/>
    <cellStyle name="40% - Акцент2 3" xfId="6844" xr:uid="{00000000-0005-0000-0000-0000D1180000}"/>
    <cellStyle name="40% - Акцент2 30" xfId="6845" xr:uid="{00000000-0005-0000-0000-0000D2180000}"/>
    <cellStyle name="40% - Акцент2 30 2" xfId="6846" xr:uid="{00000000-0005-0000-0000-0000D3180000}"/>
    <cellStyle name="40% - Акцент2 31" xfId="6847" xr:uid="{00000000-0005-0000-0000-0000D4180000}"/>
    <cellStyle name="40% - Акцент2 31 2" xfId="6848" xr:uid="{00000000-0005-0000-0000-0000D5180000}"/>
    <cellStyle name="40% - Акцент2 32" xfId="6849" xr:uid="{00000000-0005-0000-0000-0000D6180000}"/>
    <cellStyle name="40% - Акцент2 32 2" xfId="6850" xr:uid="{00000000-0005-0000-0000-0000D7180000}"/>
    <cellStyle name="40% - Акцент2 33" xfId="6851" xr:uid="{00000000-0005-0000-0000-0000D8180000}"/>
    <cellStyle name="40% - Акцент2 33 2" xfId="6852" xr:uid="{00000000-0005-0000-0000-0000D9180000}"/>
    <cellStyle name="40% - Акцент2 34" xfId="6853" xr:uid="{00000000-0005-0000-0000-0000DA180000}"/>
    <cellStyle name="40% - Акцент2 34 2" xfId="6854" xr:uid="{00000000-0005-0000-0000-0000DB180000}"/>
    <cellStyle name="40% - Акцент2 35" xfId="6855" xr:uid="{00000000-0005-0000-0000-0000DC180000}"/>
    <cellStyle name="40% - Акцент2 35 2" xfId="6856" xr:uid="{00000000-0005-0000-0000-0000DD180000}"/>
    <cellStyle name="40% - Акцент2 36" xfId="6857" xr:uid="{00000000-0005-0000-0000-0000DE180000}"/>
    <cellStyle name="40% - Акцент2 36 2" xfId="6858" xr:uid="{00000000-0005-0000-0000-0000DF180000}"/>
    <cellStyle name="40% - Акцент2 37" xfId="6859" xr:uid="{00000000-0005-0000-0000-0000E0180000}"/>
    <cellStyle name="40% - Акцент2 37 2" xfId="6860" xr:uid="{00000000-0005-0000-0000-0000E1180000}"/>
    <cellStyle name="40% - Акцент2 38" xfId="6861" xr:uid="{00000000-0005-0000-0000-0000E2180000}"/>
    <cellStyle name="40% - Акцент2 38 2" xfId="6862" xr:uid="{00000000-0005-0000-0000-0000E3180000}"/>
    <cellStyle name="40% - Акцент2 39" xfId="6863" xr:uid="{00000000-0005-0000-0000-0000E4180000}"/>
    <cellStyle name="40% - Акцент2 39 2" xfId="6864" xr:uid="{00000000-0005-0000-0000-0000E5180000}"/>
    <cellStyle name="40% - Акцент2 4" xfId="6865" xr:uid="{00000000-0005-0000-0000-0000E6180000}"/>
    <cellStyle name="40% - Акцент2 40" xfId="6866" xr:uid="{00000000-0005-0000-0000-0000E7180000}"/>
    <cellStyle name="40% - Акцент2 40 2" xfId="6867" xr:uid="{00000000-0005-0000-0000-0000E8180000}"/>
    <cellStyle name="40% - Акцент2 41" xfId="6868" xr:uid="{00000000-0005-0000-0000-0000E9180000}"/>
    <cellStyle name="40% - Акцент2 41 2" xfId="6869" xr:uid="{00000000-0005-0000-0000-0000EA180000}"/>
    <cellStyle name="40% - Акцент2 42" xfId="6870" xr:uid="{00000000-0005-0000-0000-0000EB180000}"/>
    <cellStyle name="40% - Акцент2 42 2" xfId="6871" xr:uid="{00000000-0005-0000-0000-0000EC180000}"/>
    <cellStyle name="40% - Акцент2 43" xfId="6872" xr:uid="{00000000-0005-0000-0000-0000ED180000}"/>
    <cellStyle name="40% - Акцент2 43 2" xfId="6873" xr:uid="{00000000-0005-0000-0000-0000EE180000}"/>
    <cellStyle name="40% - Акцент2 44" xfId="6874" xr:uid="{00000000-0005-0000-0000-0000EF180000}"/>
    <cellStyle name="40% - Акцент2 44 2" xfId="6875" xr:uid="{00000000-0005-0000-0000-0000F0180000}"/>
    <cellStyle name="40% - Акцент2 45" xfId="6876" xr:uid="{00000000-0005-0000-0000-0000F1180000}"/>
    <cellStyle name="40% - Акцент2 45 2" xfId="6877" xr:uid="{00000000-0005-0000-0000-0000F2180000}"/>
    <cellStyle name="40% - Акцент2 46" xfId="6878" xr:uid="{00000000-0005-0000-0000-0000F3180000}"/>
    <cellStyle name="40% - Акцент2 46 2" xfId="6879" xr:uid="{00000000-0005-0000-0000-0000F4180000}"/>
    <cellStyle name="40% - Акцент2 47" xfId="6880" xr:uid="{00000000-0005-0000-0000-0000F5180000}"/>
    <cellStyle name="40% - Акцент2 47 2" xfId="6881" xr:uid="{00000000-0005-0000-0000-0000F6180000}"/>
    <cellStyle name="40% - Акцент2 48" xfId="6882" xr:uid="{00000000-0005-0000-0000-0000F7180000}"/>
    <cellStyle name="40% - Акцент2 48 2" xfId="6883" xr:uid="{00000000-0005-0000-0000-0000F8180000}"/>
    <cellStyle name="40% - Акцент2 49" xfId="6884" xr:uid="{00000000-0005-0000-0000-0000F9180000}"/>
    <cellStyle name="40% - Акцент2 49 2" xfId="6885" xr:uid="{00000000-0005-0000-0000-0000FA180000}"/>
    <cellStyle name="40% - Акцент2 5" xfId="6886" xr:uid="{00000000-0005-0000-0000-0000FB180000}"/>
    <cellStyle name="40% - Акцент2 50" xfId="6887" xr:uid="{00000000-0005-0000-0000-0000FC180000}"/>
    <cellStyle name="40% - Акцент2 50 2" xfId="6888" xr:uid="{00000000-0005-0000-0000-0000FD180000}"/>
    <cellStyle name="40% - Акцент2 51" xfId="6889" xr:uid="{00000000-0005-0000-0000-0000FE180000}"/>
    <cellStyle name="40% - Акцент2 51 2" xfId="6890" xr:uid="{00000000-0005-0000-0000-0000FF180000}"/>
    <cellStyle name="40% - Акцент2 52" xfId="6891" xr:uid="{00000000-0005-0000-0000-000000190000}"/>
    <cellStyle name="40% - Акцент2 52 2" xfId="6892" xr:uid="{00000000-0005-0000-0000-000001190000}"/>
    <cellStyle name="40% - Акцент2 53" xfId="6893" xr:uid="{00000000-0005-0000-0000-000002190000}"/>
    <cellStyle name="40% - Акцент2 53 2" xfId="6894" xr:uid="{00000000-0005-0000-0000-000003190000}"/>
    <cellStyle name="40% - Акцент2 54" xfId="6895" xr:uid="{00000000-0005-0000-0000-000004190000}"/>
    <cellStyle name="40% - Акцент2 54 2" xfId="6896" xr:uid="{00000000-0005-0000-0000-000005190000}"/>
    <cellStyle name="40% - Акцент2 55" xfId="6897" xr:uid="{00000000-0005-0000-0000-000006190000}"/>
    <cellStyle name="40% - Акцент2 55 2" xfId="6898" xr:uid="{00000000-0005-0000-0000-000007190000}"/>
    <cellStyle name="40% - Акцент2 56" xfId="6899" xr:uid="{00000000-0005-0000-0000-000008190000}"/>
    <cellStyle name="40% - Акцент2 56 2" xfId="6900" xr:uid="{00000000-0005-0000-0000-000009190000}"/>
    <cellStyle name="40% - Акцент2 57" xfId="6901" xr:uid="{00000000-0005-0000-0000-00000A190000}"/>
    <cellStyle name="40% - Акцент2 57 2" xfId="6902" xr:uid="{00000000-0005-0000-0000-00000B190000}"/>
    <cellStyle name="40% - Акцент2 58" xfId="6903" xr:uid="{00000000-0005-0000-0000-00000C190000}"/>
    <cellStyle name="40% - Акцент2 58 2" xfId="6904" xr:uid="{00000000-0005-0000-0000-00000D190000}"/>
    <cellStyle name="40% - Акцент2 59" xfId="6905" xr:uid="{00000000-0005-0000-0000-00000E190000}"/>
    <cellStyle name="40% - Акцент2 59 2" xfId="6906" xr:uid="{00000000-0005-0000-0000-00000F190000}"/>
    <cellStyle name="40% - Акцент2 6" xfId="6907" xr:uid="{00000000-0005-0000-0000-000010190000}"/>
    <cellStyle name="40% - Акцент2 60" xfId="6908" xr:uid="{00000000-0005-0000-0000-000011190000}"/>
    <cellStyle name="40% - Акцент2 60 2" xfId="6909" xr:uid="{00000000-0005-0000-0000-000012190000}"/>
    <cellStyle name="40% - Акцент2 61" xfId="6910" xr:uid="{00000000-0005-0000-0000-000013190000}"/>
    <cellStyle name="40% - Акцент2 61 2" xfId="6911" xr:uid="{00000000-0005-0000-0000-000014190000}"/>
    <cellStyle name="40% - Акцент2 62" xfId="6912" xr:uid="{00000000-0005-0000-0000-000015190000}"/>
    <cellStyle name="40% - Акцент2 62 2" xfId="6913" xr:uid="{00000000-0005-0000-0000-000016190000}"/>
    <cellStyle name="40% - Акцент2 63" xfId="6914" xr:uid="{00000000-0005-0000-0000-000017190000}"/>
    <cellStyle name="40% - Акцент2 63 2" xfId="6915" xr:uid="{00000000-0005-0000-0000-000018190000}"/>
    <cellStyle name="40% - Акцент2 64" xfId="6916" xr:uid="{00000000-0005-0000-0000-000019190000}"/>
    <cellStyle name="40% - Акцент2 64 2" xfId="6917" xr:uid="{00000000-0005-0000-0000-00001A190000}"/>
    <cellStyle name="40% - Акцент2 65" xfId="6918" xr:uid="{00000000-0005-0000-0000-00001B190000}"/>
    <cellStyle name="40% - Акцент2 65 2" xfId="6919" xr:uid="{00000000-0005-0000-0000-00001C190000}"/>
    <cellStyle name="40% - Акцент2 66" xfId="6920" xr:uid="{00000000-0005-0000-0000-00001D190000}"/>
    <cellStyle name="40% - Акцент2 66 2" xfId="6921" xr:uid="{00000000-0005-0000-0000-00001E190000}"/>
    <cellStyle name="40% - Акцент2 67" xfId="6922" xr:uid="{00000000-0005-0000-0000-00001F190000}"/>
    <cellStyle name="40% - Акцент2 67 2" xfId="6923" xr:uid="{00000000-0005-0000-0000-000020190000}"/>
    <cellStyle name="40% - Акцент2 68" xfId="6924" xr:uid="{00000000-0005-0000-0000-000021190000}"/>
    <cellStyle name="40% - Акцент2 68 2" xfId="6925" xr:uid="{00000000-0005-0000-0000-000022190000}"/>
    <cellStyle name="40% - Акцент2 69" xfId="6926" xr:uid="{00000000-0005-0000-0000-000023190000}"/>
    <cellStyle name="40% - Акцент2 69 2" xfId="6927" xr:uid="{00000000-0005-0000-0000-000024190000}"/>
    <cellStyle name="40% - Акцент2 7" xfId="6928" xr:uid="{00000000-0005-0000-0000-000025190000}"/>
    <cellStyle name="40% - Акцент2 70" xfId="6929" xr:uid="{00000000-0005-0000-0000-000026190000}"/>
    <cellStyle name="40% - Акцент2 70 2" xfId="6930" xr:uid="{00000000-0005-0000-0000-000027190000}"/>
    <cellStyle name="40% - Акцент2 71" xfId="6931" xr:uid="{00000000-0005-0000-0000-000028190000}"/>
    <cellStyle name="40% - Акцент2 71 2" xfId="6932" xr:uid="{00000000-0005-0000-0000-000029190000}"/>
    <cellStyle name="40% - Акцент2 72" xfId="6933" xr:uid="{00000000-0005-0000-0000-00002A190000}"/>
    <cellStyle name="40% - Акцент2 72 2" xfId="6934" xr:uid="{00000000-0005-0000-0000-00002B190000}"/>
    <cellStyle name="40% - Акцент2 73" xfId="6935" xr:uid="{00000000-0005-0000-0000-00002C190000}"/>
    <cellStyle name="40% - Акцент2 73 2" xfId="6936" xr:uid="{00000000-0005-0000-0000-00002D190000}"/>
    <cellStyle name="40% - Акцент2 74" xfId="6937" xr:uid="{00000000-0005-0000-0000-00002E190000}"/>
    <cellStyle name="40% - Акцент2 74 2" xfId="6938" xr:uid="{00000000-0005-0000-0000-00002F190000}"/>
    <cellStyle name="40% - Акцент2 75" xfId="6939" xr:uid="{00000000-0005-0000-0000-000030190000}"/>
    <cellStyle name="40% - Акцент2 75 2" xfId="6940" xr:uid="{00000000-0005-0000-0000-000031190000}"/>
    <cellStyle name="40% - Акцент2 76" xfId="6941" xr:uid="{00000000-0005-0000-0000-000032190000}"/>
    <cellStyle name="40% - Акцент2 76 2" xfId="6942" xr:uid="{00000000-0005-0000-0000-000033190000}"/>
    <cellStyle name="40% - Акцент2 77" xfId="6943" xr:uid="{00000000-0005-0000-0000-000034190000}"/>
    <cellStyle name="40% - Акцент2 77 2" xfId="6944" xr:uid="{00000000-0005-0000-0000-000035190000}"/>
    <cellStyle name="40% - Акцент2 78" xfId="6945" xr:uid="{00000000-0005-0000-0000-000036190000}"/>
    <cellStyle name="40% - Акцент2 78 2" xfId="6946" xr:uid="{00000000-0005-0000-0000-000037190000}"/>
    <cellStyle name="40% - Акцент2 79" xfId="6947" xr:uid="{00000000-0005-0000-0000-000038190000}"/>
    <cellStyle name="40% - Акцент2 79 2" xfId="6948" xr:uid="{00000000-0005-0000-0000-000039190000}"/>
    <cellStyle name="40% - Акцент2 8" xfId="6949" xr:uid="{00000000-0005-0000-0000-00003A190000}"/>
    <cellStyle name="40% - Акцент2 80" xfId="6950" xr:uid="{00000000-0005-0000-0000-00003B190000}"/>
    <cellStyle name="40% - Акцент2 80 2" xfId="6951" xr:uid="{00000000-0005-0000-0000-00003C190000}"/>
    <cellStyle name="40% - Акцент2 81" xfId="6952" xr:uid="{00000000-0005-0000-0000-00003D190000}"/>
    <cellStyle name="40% - Акцент2 81 2" xfId="6953" xr:uid="{00000000-0005-0000-0000-00003E190000}"/>
    <cellStyle name="40% - Акцент2 82" xfId="6954" xr:uid="{00000000-0005-0000-0000-00003F190000}"/>
    <cellStyle name="40% - Акцент2 82 2" xfId="6955" xr:uid="{00000000-0005-0000-0000-000040190000}"/>
    <cellStyle name="40% - Акцент2 83" xfId="6956" xr:uid="{00000000-0005-0000-0000-000041190000}"/>
    <cellStyle name="40% - Акцент2 83 2" xfId="6957" xr:uid="{00000000-0005-0000-0000-000042190000}"/>
    <cellStyle name="40% - Акцент2 84" xfId="6958" xr:uid="{00000000-0005-0000-0000-000043190000}"/>
    <cellStyle name="40% - Акцент2 84 2" xfId="6959" xr:uid="{00000000-0005-0000-0000-000044190000}"/>
    <cellStyle name="40% - Акцент2 85" xfId="6960" xr:uid="{00000000-0005-0000-0000-000045190000}"/>
    <cellStyle name="40% - Акцент2 85 2" xfId="6961" xr:uid="{00000000-0005-0000-0000-000046190000}"/>
    <cellStyle name="40% - Акцент2 86" xfId="6962" xr:uid="{00000000-0005-0000-0000-000047190000}"/>
    <cellStyle name="40% - Акцент2 86 2" xfId="6963" xr:uid="{00000000-0005-0000-0000-000048190000}"/>
    <cellStyle name="40% - Акцент2 87" xfId="6964" xr:uid="{00000000-0005-0000-0000-000049190000}"/>
    <cellStyle name="40% - Акцент2 87 2" xfId="6965" xr:uid="{00000000-0005-0000-0000-00004A190000}"/>
    <cellStyle name="40% - Акцент2 88" xfId="6966" xr:uid="{00000000-0005-0000-0000-00004B190000}"/>
    <cellStyle name="40% - Акцент2 88 2" xfId="6967" xr:uid="{00000000-0005-0000-0000-00004C190000}"/>
    <cellStyle name="40% - Акцент2 89" xfId="6968" xr:uid="{00000000-0005-0000-0000-00004D190000}"/>
    <cellStyle name="40% - Акцент2 89 2" xfId="6969" xr:uid="{00000000-0005-0000-0000-00004E190000}"/>
    <cellStyle name="40% - Акцент2 9" xfId="6970" xr:uid="{00000000-0005-0000-0000-00004F190000}"/>
    <cellStyle name="40% - Акцент2 90" xfId="6971" xr:uid="{00000000-0005-0000-0000-000050190000}"/>
    <cellStyle name="40% - Акцент2 90 2" xfId="6972" xr:uid="{00000000-0005-0000-0000-000051190000}"/>
    <cellStyle name="40% - Акцент2 91" xfId="6973" xr:uid="{00000000-0005-0000-0000-000052190000}"/>
    <cellStyle name="40% - Акцент2 91 2" xfId="6974" xr:uid="{00000000-0005-0000-0000-000053190000}"/>
    <cellStyle name="40% - Акцент2 92" xfId="6975" xr:uid="{00000000-0005-0000-0000-000054190000}"/>
    <cellStyle name="40% - Акцент2 92 2" xfId="6976" xr:uid="{00000000-0005-0000-0000-000055190000}"/>
    <cellStyle name="40% - Акцент2 93" xfId="6977" xr:uid="{00000000-0005-0000-0000-000056190000}"/>
    <cellStyle name="40% - Акцент2 93 2" xfId="6978" xr:uid="{00000000-0005-0000-0000-000057190000}"/>
    <cellStyle name="40% - Акцент2 94" xfId="6979" xr:uid="{00000000-0005-0000-0000-000058190000}"/>
    <cellStyle name="40% - Акцент2 94 2" xfId="6980" xr:uid="{00000000-0005-0000-0000-000059190000}"/>
    <cellStyle name="40% - Акцент2 95" xfId="6981" xr:uid="{00000000-0005-0000-0000-00005A190000}"/>
    <cellStyle name="40% - Акцент2 95 2" xfId="6982" xr:uid="{00000000-0005-0000-0000-00005B190000}"/>
    <cellStyle name="40% - Акцент2 96" xfId="6983" xr:uid="{00000000-0005-0000-0000-00005C190000}"/>
    <cellStyle name="40% - Акцент2 96 2" xfId="6984" xr:uid="{00000000-0005-0000-0000-00005D190000}"/>
    <cellStyle name="40% - Акцент2 97" xfId="6985" xr:uid="{00000000-0005-0000-0000-00005E190000}"/>
    <cellStyle name="40% - Акцент2 97 2" xfId="6986" xr:uid="{00000000-0005-0000-0000-00005F190000}"/>
    <cellStyle name="40% - Акцент2 98" xfId="6987" xr:uid="{00000000-0005-0000-0000-000060190000}"/>
    <cellStyle name="40% - Акцент2 98 2" xfId="6988" xr:uid="{00000000-0005-0000-0000-000061190000}"/>
    <cellStyle name="40% - Акцент2 99" xfId="6989" xr:uid="{00000000-0005-0000-0000-000062190000}"/>
    <cellStyle name="40% - Акцент2 99 2" xfId="6990" xr:uid="{00000000-0005-0000-0000-000063190000}"/>
    <cellStyle name="40% - Акцент3 10" xfId="6991" xr:uid="{00000000-0005-0000-0000-000064190000}"/>
    <cellStyle name="40% - Акцент3 100" xfId="6992" xr:uid="{00000000-0005-0000-0000-000065190000}"/>
    <cellStyle name="40% - Акцент3 100 2" xfId="6993" xr:uid="{00000000-0005-0000-0000-000066190000}"/>
    <cellStyle name="40% - Акцент3 101" xfId="6994" xr:uid="{00000000-0005-0000-0000-000067190000}"/>
    <cellStyle name="40% - Акцент3 101 2" xfId="6995" xr:uid="{00000000-0005-0000-0000-000068190000}"/>
    <cellStyle name="40% - Акцент3 102" xfId="6996" xr:uid="{00000000-0005-0000-0000-000069190000}"/>
    <cellStyle name="40% - Акцент3 102 2" xfId="6997" xr:uid="{00000000-0005-0000-0000-00006A190000}"/>
    <cellStyle name="40% - Акцент3 103" xfId="6998" xr:uid="{00000000-0005-0000-0000-00006B190000}"/>
    <cellStyle name="40% - Акцент3 103 2" xfId="6999" xr:uid="{00000000-0005-0000-0000-00006C190000}"/>
    <cellStyle name="40% - Акцент3 104" xfId="7000" xr:uid="{00000000-0005-0000-0000-00006D190000}"/>
    <cellStyle name="40% - Акцент3 104 2" xfId="7001" xr:uid="{00000000-0005-0000-0000-00006E190000}"/>
    <cellStyle name="40% - Акцент3 105" xfId="7002" xr:uid="{00000000-0005-0000-0000-00006F190000}"/>
    <cellStyle name="40% - Акцент3 105 2" xfId="7003" xr:uid="{00000000-0005-0000-0000-000070190000}"/>
    <cellStyle name="40% - Акцент3 106" xfId="7004" xr:uid="{00000000-0005-0000-0000-000071190000}"/>
    <cellStyle name="40% - Акцент3 106 2" xfId="7005" xr:uid="{00000000-0005-0000-0000-000072190000}"/>
    <cellStyle name="40% - Акцент3 107" xfId="7006" xr:uid="{00000000-0005-0000-0000-000073190000}"/>
    <cellStyle name="40% - Акцент3 107 2" xfId="7007" xr:uid="{00000000-0005-0000-0000-000074190000}"/>
    <cellStyle name="40% - Акцент3 108" xfId="7008" xr:uid="{00000000-0005-0000-0000-000075190000}"/>
    <cellStyle name="40% - Акцент3 108 2" xfId="7009" xr:uid="{00000000-0005-0000-0000-000076190000}"/>
    <cellStyle name="40% - Акцент3 109" xfId="7010" xr:uid="{00000000-0005-0000-0000-000077190000}"/>
    <cellStyle name="40% - Акцент3 109 2" xfId="7011" xr:uid="{00000000-0005-0000-0000-000078190000}"/>
    <cellStyle name="40% - Акцент3 11" xfId="7012" xr:uid="{00000000-0005-0000-0000-000079190000}"/>
    <cellStyle name="40% - Акцент3 110" xfId="7013" xr:uid="{00000000-0005-0000-0000-00007A190000}"/>
    <cellStyle name="40% - Акцент3 110 2" xfId="7014" xr:uid="{00000000-0005-0000-0000-00007B190000}"/>
    <cellStyle name="40% - Акцент3 111" xfId="7015" xr:uid="{00000000-0005-0000-0000-00007C190000}"/>
    <cellStyle name="40% - Акцент3 111 2" xfId="7016" xr:uid="{00000000-0005-0000-0000-00007D190000}"/>
    <cellStyle name="40% - Акцент3 112" xfId="7017" xr:uid="{00000000-0005-0000-0000-00007E190000}"/>
    <cellStyle name="40% - Акцент3 112 2" xfId="7018" xr:uid="{00000000-0005-0000-0000-00007F190000}"/>
    <cellStyle name="40% - Акцент3 113" xfId="7019" xr:uid="{00000000-0005-0000-0000-000080190000}"/>
    <cellStyle name="40% - Акцент3 113 2" xfId="7020" xr:uid="{00000000-0005-0000-0000-000081190000}"/>
    <cellStyle name="40% - Акцент3 114" xfId="7021" xr:uid="{00000000-0005-0000-0000-000082190000}"/>
    <cellStyle name="40% - Акцент3 114 2" xfId="7022" xr:uid="{00000000-0005-0000-0000-000083190000}"/>
    <cellStyle name="40% - Акцент3 115" xfId="7023" xr:uid="{00000000-0005-0000-0000-000084190000}"/>
    <cellStyle name="40% - Акцент3 115 2" xfId="7024" xr:uid="{00000000-0005-0000-0000-000085190000}"/>
    <cellStyle name="40% - Акцент3 116" xfId="7025" xr:uid="{00000000-0005-0000-0000-000086190000}"/>
    <cellStyle name="40% - Акцент3 116 2" xfId="7026" xr:uid="{00000000-0005-0000-0000-000087190000}"/>
    <cellStyle name="40% - Акцент3 117" xfId="7027" xr:uid="{00000000-0005-0000-0000-000088190000}"/>
    <cellStyle name="40% - Акцент3 117 2" xfId="7028" xr:uid="{00000000-0005-0000-0000-000089190000}"/>
    <cellStyle name="40% - Акцент3 118" xfId="7029" xr:uid="{00000000-0005-0000-0000-00008A190000}"/>
    <cellStyle name="40% - Акцент3 118 2" xfId="7030" xr:uid="{00000000-0005-0000-0000-00008B190000}"/>
    <cellStyle name="40% - Акцент3 119" xfId="7031" xr:uid="{00000000-0005-0000-0000-00008C190000}"/>
    <cellStyle name="40% - Акцент3 119 2" xfId="7032" xr:uid="{00000000-0005-0000-0000-00008D190000}"/>
    <cellStyle name="40% - Акцент3 12" xfId="7033" xr:uid="{00000000-0005-0000-0000-00008E190000}"/>
    <cellStyle name="40% - Акцент3 120" xfId="7034" xr:uid="{00000000-0005-0000-0000-00008F190000}"/>
    <cellStyle name="40% - Акцент3 120 2" xfId="7035" xr:uid="{00000000-0005-0000-0000-000090190000}"/>
    <cellStyle name="40% - Акцент3 121" xfId="7036" xr:uid="{00000000-0005-0000-0000-000091190000}"/>
    <cellStyle name="40% - Акцент3 121 2" xfId="7037" xr:uid="{00000000-0005-0000-0000-000092190000}"/>
    <cellStyle name="40% - Акцент3 122" xfId="7038" xr:uid="{00000000-0005-0000-0000-000093190000}"/>
    <cellStyle name="40% - Акцент3 122 2" xfId="7039" xr:uid="{00000000-0005-0000-0000-000094190000}"/>
    <cellStyle name="40% - Акцент3 123" xfId="7040" xr:uid="{00000000-0005-0000-0000-000095190000}"/>
    <cellStyle name="40% - Акцент3 123 2" xfId="7041" xr:uid="{00000000-0005-0000-0000-000096190000}"/>
    <cellStyle name="40% - Акцент3 124" xfId="7042" xr:uid="{00000000-0005-0000-0000-000097190000}"/>
    <cellStyle name="40% - Акцент3 124 2" xfId="7043" xr:uid="{00000000-0005-0000-0000-000098190000}"/>
    <cellStyle name="40% - Акцент3 125" xfId="7044" xr:uid="{00000000-0005-0000-0000-000099190000}"/>
    <cellStyle name="40% - Акцент3 125 2" xfId="7045" xr:uid="{00000000-0005-0000-0000-00009A190000}"/>
    <cellStyle name="40% - Акцент3 126" xfId="7046" xr:uid="{00000000-0005-0000-0000-00009B190000}"/>
    <cellStyle name="40% - Акцент3 126 2" xfId="7047" xr:uid="{00000000-0005-0000-0000-00009C190000}"/>
    <cellStyle name="40% - Акцент3 127" xfId="7048" xr:uid="{00000000-0005-0000-0000-00009D190000}"/>
    <cellStyle name="40% - Акцент3 127 2" xfId="7049" xr:uid="{00000000-0005-0000-0000-00009E190000}"/>
    <cellStyle name="40% - Акцент3 128" xfId="7050" xr:uid="{00000000-0005-0000-0000-00009F190000}"/>
    <cellStyle name="40% - Акцент3 128 2" xfId="7051" xr:uid="{00000000-0005-0000-0000-0000A0190000}"/>
    <cellStyle name="40% - Акцент3 129" xfId="7052" xr:uid="{00000000-0005-0000-0000-0000A1190000}"/>
    <cellStyle name="40% - Акцент3 129 2" xfId="7053" xr:uid="{00000000-0005-0000-0000-0000A2190000}"/>
    <cellStyle name="40% - Акцент3 13" xfId="7054" xr:uid="{00000000-0005-0000-0000-0000A3190000}"/>
    <cellStyle name="40% - Акцент3 130" xfId="7055" xr:uid="{00000000-0005-0000-0000-0000A4190000}"/>
    <cellStyle name="40% - Акцент3 130 2" xfId="7056" xr:uid="{00000000-0005-0000-0000-0000A5190000}"/>
    <cellStyle name="40% - Акцент3 131" xfId="7057" xr:uid="{00000000-0005-0000-0000-0000A6190000}"/>
    <cellStyle name="40% - Акцент3 131 2" xfId="7058" xr:uid="{00000000-0005-0000-0000-0000A7190000}"/>
    <cellStyle name="40% - Акцент3 132" xfId="7059" xr:uid="{00000000-0005-0000-0000-0000A8190000}"/>
    <cellStyle name="40% - Акцент3 132 2" xfId="7060" xr:uid="{00000000-0005-0000-0000-0000A9190000}"/>
    <cellStyle name="40% - Акцент3 133" xfId="7061" xr:uid="{00000000-0005-0000-0000-0000AA190000}"/>
    <cellStyle name="40% - Акцент3 133 2" xfId="7062" xr:uid="{00000000-0005-0000-0000-0000AB190000}"/>
    <cellStyle name="40% - Акцент3 134" xfId="7063" xr:uid="{00000000-0005-0000-0000-0000AC190000}"/>
    <cellStyle name="40% - Акцент3 134 2" xfId="7064" xr:uid="{00000000-0005-0000-0000-0000AD190000}"/>
    <cellStyle name="40% - Акцент3 135" xfId="7065" xr:uid="{00000000-0005-0000-0000-0000AE190000}"/>
    <cellStyle name="40% - Акцент3 135 2" xfId="7066" xr:uid="{00000000-0005-0000-0000-0000AF190000}"/>
    <cellStyle name="40% - Акцент3 136" xfId="7067" xr:uid="{00000000-0005-0000-0000-0000B0190000}"/>
    <cellStyle name="40% - Акцент3 136 2" xfId="7068" xr:uid="{00000000-0005-0000-0000-0000B1190000}"/>
    <cellStyle name="40% - Акцент3 137" xfId="7069" xr:uid="{00000000-0005-0000-0000-0000B2190000}"/>
    <cellStyle name="40% - Акцент3 137 2" xfId="7070" xr:uid="{00000000-0005-0000-0000-0000B3190000}"/>
    <cellStyle name="40% - Акцент3 138" xfId="7071" xr:uid="{00000000-0005-0000-0000-0000B4190000}"/>
    <cellStyle name="40% - Акцент3 138 2" xfId="7072" xr:uid="{00000000-0005-0000-0000-0000B5190000}"/>
    <cellStyle name="40% - Акцент3 139" xfId="7073" xr:uid="{00000000-0005-0000-0000-0000B6190000}"/>
    <cellStyle name="40% - Акцент3 139 2" xfId="7074" xr:uid="{00000000-0005-0000-0000-0000B7190000}"/>
    <cellStyle name="40% - Акцент3 14" xfId="7075" xr:uid="{00000000-0005-0000-0000-0000B8190000}"/>
    <cellStyle name="40% - Акцент3 140" xfId="7076" xr:uid="{00000000-0005-0000-0000-0000B9190000}"/>
    <cellStyle name="40% - Акцент3 140 2" xfId="7077" xr:uid="{00000000-0005-0000-0000-0000BA190000}"/>
    <cellStyle name="40% - Акцент3 141" xfId="7078" xr:uid="{00000000-0005-0000-0000-0000BB190000}"/>
    <cellStyle name="40% - Акцент3 141 2" xfId="7079" xr:uid="{00000000-0005-0000-0000-0000BC190000}"/>
    <cellStyle name="40% - Акцент3 142" xfId="7080" xr:uid="{00000000-0005-0000-0000-0000BD190000}"/>
    <cellStyle name="40% - Акцент3 142 2" xfId="7081" xr:uid="{00000000-0005-0000-0000-0000BE190000}"/>
    <cellStyle name="40% - Акцент3 143" xfId="7082" xr:uid="{00000000-0005-0000-0000-0000BF190000}"/>
    <cellStyle name="40% - Акцент3 143 2" xfId="7083" xr:uid="{00000000-0005-0000-0000-0000C0190000}"/>
    <cellStyle name="40% - Акцент3 144" xfId="7084" xr:uid="{00000000-0005-0000-0000-0000C1190000}"/>
    <cellStyle name="40% - Акцент3 144 2" xfId="7085" xr:uid="{00000000-0005-0000-0000-0000C2190000}"/>
    <cellStyle name="40% - Акцент3 145" xfId="7086" xr:uid="{00000000-0005-0000-0000-0000C3190000}"/>
    <cellStyle name="40% - Акцент3 145 2" xfId="7087" xr:uid="{00000000-0005-0000-0000-0000C4190000}"/>
    <cellStyle name="40% - Акцент3 146" xfId="7088" xr:uid="{00000000-0005-0000-0000-0000C5190000}"/>
    <cellStyle name="40% - Акцент3 146 2" xfId="7089" xr:uid="{00000000-0005-0000-0000-0000C6190000}"/>
    <cellStyle name="40% - Акцент3 147" xfId="7090" xr:uid="{00000000-0005-0000-0000-0000C7190000}"/>
    <cellStyle name="40% - Акцент3 147 2" xfId="7091" xr:uid="{00000000-0005-0000-0000-0000C8190000}"/>
    <cellStyle name="40% - Акцент3 148" xfId="7092" xr:uid="{00000000-0005-0000-0000-0000C9190000}"/>
    <cellStyle name="40% - Акцент3 148 2" xfId="7093" xr:uid="{00000000-0005-0000-0000-0000CA190000}"/>
    <cellStyle name="40% - Акцент3 149" xfId="7094" xr:uid="{00000000-0005-0000-0000-0000CB190000}"/>
    <cellStyle name="40% - Акцент3 149 2" xfId="7095" xr:uid="{00000000-0005-0000-0000-0000CC190000}"/>
    <cellStyle name="40% - Акцент3 15" xfId="7096" xr:uid="{00000000-0005-0000-0000-0000CD190000}"/>
    <cellStyle name="40% - Акцент3 150" xfId="7097" xr:uid="{00000000-0005-0000-0000-0000CE190000}"/>
    <cellStyle name="40% - Акцент3 150 2" xfId="7098" xr:uid="{00000000-0005-0000-0000-0000CF190000}"/>
    <cellStyle name="40% - Акцент3 151" xfId="7099" xr:uid="{00000000-0005-0000-0000-0000D0190000}"/>
    <cellStyle name="40% - Акцент3 151 2" xfId="7100" xr:uid="{00000000-0005-0000-0000-0000D1190000}"/>
    <cellStyle name="40% - Акцент3 152" xfId="7101" xr:uid="{00000000-0005-0000-0000-0000D2190000}"/>
    <cellStyle name="40% - Акцент3 152 2" xfId="7102" xr:uid="{00000000-0005-0000-0000-0000D3190000}"/>
    <cellStyle name="40% - Акцент3 153" xfId="7103" xr:uid="{00000000-0005-0000-0000-0000D4190000}"/>
    <cellStyle name="40% - Акцент3 153 2" xfId="7104" xr:uid="{00000000-0005-0000-0000-0000D5190000}"/>
    <cellStyle name="40% - Акцент3 154" xfId="7105" xr:uid="{00000000-0005-0000-0000-0000D6190000}"/>
    <cellStyle name="40% - Акцент3 154 2" xfId="7106" xr:uid="{00000000-0005-0000-0000-0000D7190000}"/>
    <cellStyle name="40% - Акцент3 155" xfId="7107" xr:uid="{00000000-0005-0000-0000-0000D8190000}"/>
    <cellStyle name="40% - Акцент3 155 2" xfId="7108" xr:uid="{00000000-0005-0000-0000-0000D9190000}"/>
    <cellStyle name="40% - Акцент3 156" xfId="7109" xr:uid="{00000000-0005-0000-0000-0000DA190000}"/>
    <cellStyle name="40% - Акцент3 156 2" xfId="7110" xr:uid="{00000000-0005-0000-0000-0000DB190000}"/>
    <cellStyle name="40% - Акцент3 157" xfId="7111" xr:uid="{00000000-0005-0000-0000-0000DC190000}"/>
    <cellStyle name="40% - Акцент3 157 2" xfId="7112" xr:uid="{00000000-0005-0000-0000-0000DD190000}"/>
    <cellStyle name="40% - Акцент3 158" xfId="7113" xr:uid="{00000000-0005-0000-0000-0000DE190000}"/>
    <cellStyle name="40% - Акцент3 158 2" xfId="7114" xr:uid="{00000000-0005-0000-0000-0000DF190000}"/>
    <cellStyle name="40% - Акцент3 159" xfId="7115" xr:uid="{00000000-0005-0000-0000-0000E0190000}"/>
    <cellStyle name="40% - Акцент3 159 2" xfId="7116" xr:uid="{00000000-0005-0000-0000-0000E1190000}"/>
    <cellStyle name="40% - Акцент3 16" xfId="7117" xr:uid="{00000000-0005-0000-0000-0000E2190000}"/>
    <cellStyle name="40% - Акцент3 160" xfId="7118" xr:uid="{00000000-0005-0000-0000-0000E3190000}"/>
    <cellStyle name="40% - Акцент3 160 2" xfId="7119" xr:uid="{00000000-0005-0000-0000-0000E4190000}"/>
    <cellStyle name="40% - Акцент3 161" xfId="7120" xr:uid="{00000000-0005-0000-0000-0000E5190000}"/>
    <cellStyle name="40% - Акцент3 161 2" xfId="7121" xr:uid="{00000000-0005-0000-0000-0000E6190000}"/>
    <cellStyle name="40% - Акцент3 162" xfId="7122" xr:uid="{00000000-0005-0000-0000-0000E7190000}"/>
    <cellStyle name="40% - Акцент3 162 2" xfId="7123" xr:uid="{00000000-0005-0000-0000-0000E8190000}"/>
    <cellStyle name="40% - Акцент3 163" xfId="7124" xr:uid="{00000000-0005-0000-0000-0000E9190000}"/>
    <cellStyle name="40% - Акцент3 163 2" xfId="7125" xr:uid="{00000000-0005-0000-0000-0000EA190000}"/>
    <cellStyle name="40% - Акцент3 164" xfId="7126" xr:uid="{00000000-0005-0000-0000-0000EB190000}"/>
    <cellStyle name="40% - Акцент3 164 2" xfId="7127" xr:uid="{00000000-0005-0000-0000-0000EC190000}"/>
    <cellStyle name="40% - Акцент3 165" xfId="7128" xr:uid="{00000000-0005-0000-0000-0000ED190000}"/>
    <cellStyle name="40% - Акцент3 165 2" xfId="7129" xr:uid="{00000000-0005-0000-0000-0000EE190000}"/>
    <cellStyle name="40% - Акцент3 166" xfId="7130" xr:uid="{00000000-0005-0000-0000-0000EF190000}"/>
    <cellStyle name="40% - Акцент3 166 2" xfId="7131" xr:uid="{00000000-0005-0000-0000-0000F0190000}"/>
    <cellStyle name="40% - Акцент3 167" xfId="7132" xr:uid="{00000000-0005-0000-0000-0000F1190000}"/>
    <cellStyle name="40% - Акцент3 167 2" xfId="7133" xr:uid="{00000000-0005-0000-0000-0000F2190000}"/>
    <cellStyle name="40% - Акцент3 168" xfId="7134" xr:uid="{00000000-0005-0000-0000-0000F3190000}"/>
    <cellStyle name="40% - Акцент3 168 2" xfId="7135" xr:uid="{00000000-0005-0000-0000-0000F4190000}"/>
    <cellStyle name="40% - Акцент3 169" xfId="7136" xr:uid="{00000000-0005-0000-0000-0000F5190000}"/>
    <cellStyle name="40% - Акцент3 169 2" xfId="7137" xr:uid="{00000000-0005-0000-0000-0000F6190000}"/>
    <cellStyle name="40% - Акцент3 17" xfId="7138" xr:uid="{00000000-0005-0000-0000-0000F7190000}"/>
    <cellStyle name="40% - Акцент3 170" xfId="7139" xr:uid="{00000000-0005-0000-0000-0000F8190000}"/>
    <cellStyle name="40% - Акцент3 170 2" xfId="7140" xr:uid="{00000000-0005-0000-0000-0000F9190000}"/>
    <cellStyle name="40% - Акцент3 171" xfId="7141" xr:uid="{00000000-0005-0000-0000-0000FA190000}"/>
    <cellStyle name="40% - Акцент3 171 2" xfId="7142" xr:uid="{00000000-0005-0000-0000-0000FB190000}"/>
    <cellStyle name="40% - Акцент3 172" xfId="7143" xr:uid="{00000000-0005-0000-0000-0000FC190000}"/>
    <cellStyle name="40% - Акцент3 172 2" xfId="7144" xr:uid="{00000000-0005-0000-0000-0000FD190000}"/>
    <cellStyle name="40% - Акцент3 173" xfId="7145" xr:uid="{00000000-0005-0000-0000-0000FE190000}"/>
    <cellStyle name="40% - Акцент3 173 2" xfId="7146" xr:uid="{00000000-0005-0000-0000-0000FF190000}"/>
    <cellStyle name="40% - Акцент3 174" xfId="7147" xr:uid="{00000000-0005-0000-0000-0000001A0000}"/>
    <cellStyle name="40% - Акцент3 174 2" xfId="7148" xr:uid="{00000000-0005-0000-0000-0000011A0000}"/>
    <cellStyle name="40% - Акцент3 175" xfId="7149" xr:uid="{00000000-0005-0000-0000-0000021A0000}"/>
    <cellStyle name="40% - Акцент3 175 2" xfId="7150" xr:uid="{00000000-0005-0000-0000-0000031A0000}"/>
    <cellStyle name="40% - Акцент3 176" xfId="7151" xr:uid="{00000000-0005-0000-0000-0000041A0000}"/>
    <cellStyle name="40% - Акцент3 176 2" xfId="7152" xr:uid="{00000000-0005-0000-0000-0000051A0000}"/>
    <cellStyle name="40% - Акцент3 177" xfId="7153" xr:uid="{00000000-0005-0000-0000-0000061A0000}"/>
    <cellStyle name="40% - Акцент3 177 2" xfId="7154" xr:uid="{00000000-0005-0000-0000-0000071A0000}"/>
    <cellStyle name="40% - Акцент3 178" xfId="7155" xr:uid="{00000000-0005-0000-0000-0000081A0000}"/>
    <cellStyle name="40% - Акцент3 178 2" xfId="7156" xr:uid="{00000000-0005-0000-0000-0000091A0000}"/>
    <cellStyle name="40% - Акцент3 179" xfId="7157" xr:uid="{00000000-0005-0000-0000-00000A1A0000}"/>
    <cellStyle name="40% - Акцент3 179 2" xfId="7158" xr:uid="{00000000-0005-0000-0000-00000B1A0000}"/>
    <cellStyle name="40% - Акцент3 18" xfId="7159" xr:uid="{00000000-0005-0000-0000-00000C1A0000}"/>
    <cellStyle name="40% - Акцент3 180" xfId="7160" xr:uid="{00000000-0005-0000-0000-00000D1A0000}"/>
    <cellStyle name="40% - Акцент3 180 2" xfId="7161" xr:uid="{00000000-0005-0000-0000-00000E1A0000}"/>
    <cellStyle name="40% - Акцент3 181" xfId="7162" xr:uid="{00000000-0005-0000-0000-00000F1A0000}"/>
    <cellStyle name="40% - Акцент3 181 2" xfId="7163" xr:uid="{00000000-0005-0000-0000-0000101A0000}"/>
    <cellStyle name="40% - Акцент3 182" xfId="7164" xr:uid="{00000000-0005-0000-0000-0000111A0000}"/>
    <cellStyle name="40% - Акцент3 182 2" xfId="7165" xr:uid="{00000000-0005-0000-0000-0000121A0000}"/>
    <cellStyle name="40% - Акцент3 183" xfId="7166" xr:uid="{00000000-0005-0000-0000-0000131A0000}"/>
    <cellStyle name="40% - Акцент3 183 2" xfId="7167" xr:uid="{00000000-0005-0000-0000-0000141A0000}"/>
    <cellStyle name="40% - Акцент3 184" xfId="7168" xr:uid="{00000000-0005-0000-0000-0000151A0000}"/>
    <cellStyle name="40% - Акцент3 184 2" xfId="7169" xr:uid="{00000000-0005-0000-0000-0000161A0000}"/>
    <cellStyle name="40% - Акцент3 185" xfId="7170" xr:uid="{00000000-0005-0000-0000-0000171A0000}"/>
    <cellStyle name="40% - Акцент3 185 2" xfId="7171" xr:uid="{00000000-0005-0000-0000-0000181A0000}"/>
    <cellStyle name="40% - Акцент3 186" xfId="7172" xr:uid="{00000000-0005-0000-0000-0000191A0000}"/>
    <cellStyle name="40% - Акцент3 186 2" xfId="7173" xr:uid="{00000000-0005-0000-0000-00001A1A0000}"/>
    <cellStyle name="40% - Акцент3 187" xfId="7174" xr:uid="{00000000-0005-0000-0000-00001B1A0000}"/>
    <cellStyle name="40% - Акцент3 187 2" xfId="7175" xr:uid="{00000000-0005-0000-0000-00001C1A0000}"/>
    <cellStyle name="40% - Акцент3 188" xfId="7176" xr:uid="{00000000-0005-0000-0000-00001D1A0000}"/>
    <cellStyle name="40% - Акцент3 188 2" xfId="7177" xr:uid="{00000000-0005-0000-0000-00001E1A0000}"/>
    <cellStyle name="40% - Акцент3 189" xfId="7178" xr:uid="{00000000-0005-0000-0000-00001F1A0000}"/>
    <cellStyle name="40% - Акцент3 189 2" xfId="7179" xr:uid="{00000000-0005-0000-0000-0000201A0000}"/>
    <cellStyle name="40% - Акцент3 19" xfId="7180" xr:uid="{00000000-0005-0000-0000-0000211A0000}"/>
    <cellStyle name="40% - Акцент3 190" xfId="7181" xr:uid="{00000000-0005-0000-0000-0000221A0000}"/>
    <cellStyle name="40% - Акцент3 190 2" xfId="7182" xr:uid="{00000000-0005-0000-0000-0000231A0000}"/>
    <cellStyle name="40% - Акцент3 191" xfId="7183" xr:uid="{00000000-0005-0000-0000-0000241A0000}"/>
    <cellStyle name="40% - Акцент3 191 2" xfId="7184" xr:uid="{00000000-0005-0000-0000-0000251A0000}"/>
    <cellStyle name="40% - Акцент3 192" xfId="7185" xr:uid="{00000000-0005-0000-0000-0000261A0000}"/>
    <cellStyle name="40% - Акцент3 192 2" xfId="7186" xr:uid="{00000000-0005-0000-0000-0000271A0000}"/>
    <cellStyle name="40% - Акцент3 193" xfId="7187" xr:uid="{00000000-0005-0000-0000-0000281A0000}"/>
    <cellStyle name="40% - Акцент3 193 2" xfId="7188" xr:uid="{00000000-0005-0000-0000-0000291A0000}"/>
    <cellStyle name="40% - Акцент3 194" xfId="7189" xr:uid="{00000000-0005-0000-0000-00002A1A0000}"/>
    <cellStyle name="40% - Акцент3 194 2" xfId="7190" xr:uid="{00000000-0005-0000-0000-00002B1A0000}"/>
    <cellStyle name="40% - Акцент3 195" xfId="7191" xr:uid="{00000000-0005-0000-0000-00002C1A0000}"/>
    <cellStyle name="40% - Акцент3 195 2" xfId="7192" xr:uid="{00000000-0005-0000-0000-00002D1A0000}"/>
    <cellStyle name="40% - Акцент3 196" xfId="7193" xr:uid="{00000000-0005-0000-0000-00002E1A0000}"/>
    <cellStyle name="40% - Акцент3 196 2" xfId="7194" xr:uid="{00000000-0005-0000-0000-00002F1A0000}"/>
    <cellStyle name="40% - Акцент3 197" xfId="7195" xr:uid="{00000000-0005-0000-0000-0000301A0000}"/>
    <cellStyle name="40% - Акцент3 197 2" xfId="7196" xr:uid="{00000000-0005-0000-0000-0000311A0000}"/>
    <cellStyle name="40% - Акцент3 198" xfId="7197" xr:uid="{00000000-0005-0000-0000-0000321A0000}"/>
    <cellStyle name="40% - Акцент3 198 2" xfId="7198" xr:uid="{00000000-0005-0000-0000-0000331A0000}"/>
    <cellStyle name="40% - Акцент3 199" xfId="7199" xr:uid="{00000000-0005-0000-0000-0000341A0000}"/>
    <cellStyle name="40% - Акцент3 199 2" xfId="7200" xr:uid="{00000000-0005-0000-0000-0000351A0000}"/>
    <cellStyle name="40% - Акцент3 2" xfId="7201" xr:uid="{00000000-0005-0000-0000-0000361A0000}"/>
    <cellStyle name="40% - Акцент3 2 2" xfId="7202" xr:uid="{00000000-0005-0000-0000-0000371A0000}"/>
    <cellStyle name="40% - Акцент3 2 2 2" xfId="7203" xr:uid="{00000000-0005-0000-0000-0000381A0000}"/>
    <cellStyle name="40% - Акцент3 2 3" xfId="7204" xr:uid="{00000000-0005-0000-0000-0000391A0000}"/>
    <cellStyle name="40% - Акцент3 2 4" xfId="7205" xr:uid="{00000000-0005-0000-0000-00003A1A0000}"/>
    <cellStyle name="40% - Акцент3 2 5" xfId="7206" xr:uid="{00000000-0005-0000-0000-00003B1A0000}"/>
    <cellStyle name="40% - Акцент3 2 6" xfId="7207" xr:uid="{00000000-0005-0000-0000-00003C1A0000}"/>
    <cellStyle name="40% - Акцент3 2 7" xfId="7208" xr:uid="{00000000-0005-0000-0000-00003D1A0000}"/>
    <cellStyle name="40% - Акцент3 20" xfId="7209" xr:uid="{00000000-0005-0000-0000-00003E1A0000}"/>
    <cellStyle name="40% - Акцент3 20 2" xfId="7210" xr:uid="{00000000-0005-0000-0000-00003F1A0000}"/>
    <cellStyle name="40% - Акцент3 200" xfId="7211" xr:uid="{00000000-0005-0000-0000-0000401A0000}"/>
    <cellStyle name="40% - Акцент3 200 2" xfId="7212" xr:uid="{00000000-0005-0000-0000-0000411A0000}"/>
    <cellStyle name="40% - Акцент3 201" xfId="7213" xr:uid="{00000000-0005-0000-0000-0000421A0000}"/>
    <cellStyle name="40% - Акцент3 201 2" xfId="7214" xr:uid="{00000000-0005-0000-0000-0000431A0000}"/>
    <cellStyle name="40% - Акцент3 202" xfId="7215" xr:uid="{00000000-0005-0000-0000-0000441A0000}"/>
    <cellStyle name="40% - Акцент3 202 2" xfId="7216" xr:uid="{00000000-0005-0000-0000-0000451A0000}"/>
    <cellStyle name="40% - Акцент3 203" xfId="7217" xr:uid="{00000000-0005-0000-0000-0000461A0000}"/>
    <cellStyle name="40% - Акцент3 203 2" xfId="7218" xr:uid="{00000000-0005-0000-0000-0000471A0000}"/>
    <cellStyle name="40% - Акцент3 204" xfId="7219" xr:uid="{00000000-0005-0000-0000-0000481A0000}"/>
    <cellStyle name="40% - Акцент3 204 2" xfId="7220" xr:uid="{00000000-0005-0000-0000-0000491A0000}"/>
    <cellStyle name="40% - Акцент3 205" xfId="7221" xr:uid="{00000000-0005-0000-0000-00004A1A0000}"/>
    <cellStyle name="40% - Акцент3 205 2" xfId="7222" xr:uid="{00000000-0005-0000-0000-00004B1A0000}"/>
    <cellStyle name="40% - Акцент3 206" xfId="7223" xr:uid="{00000000-0005-0000-0000-00004C1A0000}"/>
    <cellStyle name="40% - Акцент3 206 2" xfId="7224" xr:uid="{00000000-0005-0000-0000-00004D1A0000}"/>
    <cellStyle name="40% - Акцент3 207" xfId="7225" xr:uid="{00000000-0005-0000-0000-00004E1A0000}"/>
    <cellStyle name="40% - Акцент3 207 2" xfId="7226" xr:uid="{00000000-0005-0000-0000-00004F1A0000}"/>
    <cellStyle name="40% - Акцент3 208" xfId="7227" xr:uid="{00000000-0005-0000-0000-0000501A0000}"/>
    <cellStyle name="40% - Акцент3 208 2" xfId="7228" xr:uid="{00000000-0005-0000-0000-0000511A0000}"/>
    <cellStyle name="40% - Акцент3 209" xfId="7229" xr:uid="{00000000-0005-0000-0000-0000521A0000}"/>
    <cellStyle name="40% - Акцент3 209 2" xfId="7230" xr:uid="{00000000-0005-0000-0000-0000531A0000}"/>
    <cellStyle name="40% - Акцент3 21" xfId="7231" xr:uid="{00000000-0005-0000-0000-0000541A0000}"/>
    <cellStyle name="40% - Акцент3 21 2" xfId="7232" xr:uid="{00000000-0005-0000-0000-0000551A0000}"/>
    <cellStyle name="40% - Акцент3 210" xfId="7233" xr:uid="{00000000-0005-0000-0000-0000561A0000}"/>
    <cellStyle name="40% - Акцент3 210 2" xfId="7234" xr:uid="{00000000-0005-0000-0000-0000571A0000}"/>
    <cellStyle name="40% - Акцент3 211" xfId="7235" xr:uid="{00000000-0005-0000-0000-0000581A0000}"/>
    <cellStyle name="40% - Акцент3 211 2" xfId="7236" xr:uid="{00000000-0005-0000-0000-0000591A0000}"/>
    <cellStyle name="40% - Акцент3 212" xfId="7237" xr:uid="{00000000-0005-0000-0000-00005A1A0000}"/>
    <cellStyle name="40% - Акцент3 212 2" xfId="7238" xr:uid="{00000000-0005-0000-0000-00005B1A0000}"/>
    <cellStyle name="40% - Акцент3 213" xfId="7239" xr:uid="{00000000-0005-0000-0000-00005C1A0000}"/>
    <cellStyle name="40% - Акцент3 213 2" xfId="7240" xr:uid="{00000000-0005-0000-0000-00005D1A0000}"/>
    <cellStyle name="40% - Акцент3 214" xfId="7241" xr:uid="{00000000-0005-0000-0000-00005E1A0000}"/>
    <cellStyle name="40% - Акцент3 214 2" xfId="7242" xr:uid="{00000000-0005-0000-0000-00005F1A0000}"/>
    <cellStyle name="40% - Акцент3 215" xfId="7243" xr:uid="{00000000-0005-0000-0000-0000601A0000}"/>
    <cellStyle name="40% - Акцент3 215 2" xfId="7244" xr:uid="{00000000-0005-0000-0000-0000611A0000}"/>
    <cellStyle name="40% - Акцент3 216" xfId="7245" xr:uid="{00000000-0005-0000-0000-0000621A0000}"/>
    <cellStyle name="40% - Акцент3 216 2" xfId="7246" xr:uid="{00000000-0005-0000-0000-0000631A0000}"/>
    <cellStyle name="40% - Акцент3 217" xfId="7247" xr:uid="{00000000-0005-0000-0000-0000641A0000}"/>
    <cellStyle name="40% - Акцент3 217 2" xfId="7248" xr:uid="{00000000-0005-0000-0000-0000651A0000}"/>
    <cellStyle name="40% - Акцент3 217 3" xfId="7249" xr:uid="{00000000-0005-0000-0000-0000661A0000}"/>
    <cellStyle name="40% - Акцент3 218" xfId="7250" xr:uid="{00000000-0005-0000-0000-0000671A0000}"/>
    <cellStyle name="40% - Акцент3 219" xfId="7251" xr:uid="{00000000-0005-0000-0000-0000681A0000}"/>
    <cellStyle name="40% - Акцент3 22" xfId="7252" xr:uid="{00000000-0005-0000-0000-0000691A0000}"/>
    <cellStyle name="40% - Акцент3 22 2" xfId="7253" xr:uid="{00000000-0005-0000-0000-00006A1A0000}"/>
    <cellStyle name="40% - Акцент3 220" xfId="7254" xr:uid="{00000000-0005-0000-0000-00006B1A0000}"/>
    <cellStyle name="40% - Акцент3 221" xfId="7255" xr:uid="{00000000-0005-0000-0000-00006C1A0000}"/>
    <cellStyle name="40% - Акцент3 222" xfId="7256" xr:uid="{00000000-0005-0000-0000-00006D1A0000}"/>
    <cellStyle name="40% - Акцент3 223" xfId="7257" xr:uid="{00000000-0005-0000-0000-00006E1A0000}"/>
    <cellStyle name="40% - Акцент3 224" xfId="7258" xr:uid="{00000000-0005-0000-0000-00006F1A0000}"/>
    <cellStyle name="40% - Акцент3 225" xfId="7259" xr:uid="{00000000-0005-0000-0000-0000701A0000}"/>
    <cellStyle name="40% - Акцент3 226" xfId="7260" xr:uid="{00000000-0005-0000-0000-0000711A0000}"/>
    <cellStyle name="40% - Акцент3 227" xfId="7261" xr:uid="{00000000-0005-0000-0000-0000721A0000}"/>
    <cellStyle name="40% - Акцент3 228" xfId="7262" xr:uid="{00000000-0005-0000-0000-0000731A0000}"/>
    <cellStyle name="40% - Акцент3 229" xfId="7263" xr:uid="{00000000-0005-0000-0000-0000741A0000}"/>
    <cellStyle name="40% - Акцент3 23" xfId="7264" xr:uid="{00000000-0005-0000-0000-0000751A0000}"/>
    <cellStyle name="40% - Акцент3 23 2" xfId="7265" xr:uid="{00000000-0005-0000-0000-0000761A0000}"/>
    <cellStyle name="40% - Акцент3 230" xfId="7266" xr:uid="{00000000-0005-0000-0000-0000771A0000}"/>
    <cellStyle name="40% - Акцент3 231" xfId="7267" xr:uid="{00000000-0005-0000-0000-0000781A0000}"/>
    <cellStyle name="40% - Акцент3 232" xfId="7268" xr:uid="{00000000-0005-0000-0000-0000791A0000}"/>
    <cellStyle name="40% - Акцент3 233" xfId="7269" xr:uid="{00000000-0005-0000-0000-00007A1A0000}"/>
    <cellStyle name="40% - Акцент3 234" xfId="7270" xr:uid="{00000000-0005-0000-0000-00007B1A0000}"/>
    <cellStyle name="40% - Акцент3 235" xfId="7271" xr:uid="{00000000-0005-0000-0000-00007C1A0000}"/>
    <cellStyle name="40% - Акцент3 236" xfId="7272" xr:uid="{00000000-0005-0000-0000-00007D1A0000}"/>
    <cellStyle name="40% - Акцент3 237" xfId="7273" xr:uid="{00000000-0005-0000-0000-00007E1A0000}"/>
    <cellStyle name="40% - Акцент3 238" xfId="7274" xr:uid="{00000000-0005-0000-0000-00007F1A0000}"/>
    <cellStyle name="40% - Акцент3 239" xfId="7275" xr:uid="{00000000-0005-0000-0000-0000801A0000}"/>
    <cellStyle name="40% - Акцент3 24" xfId="7276" xr:uid="{00000000-0005-0000-0000-0000811A0000}"/>
    <cellStyle name="40% - Акцент3 24 2" xfId="7277" xr:uid="{00000000-0005-0000-0000-0000821A0000}"/>
    <cellStyle name="40% - Акцент3 240" xfId="7278" xr:uid="{00000000-0005-0000-0000-0000831A0000}"/>
    <cellStyle name="40% - Акцент3 241" xfId="7279" xr:uid="{00000000-0005-0000-0000-0000841A0000}"/>
    <cellStyle name="40% - Акцент3 242" xfId="7280" xr:uid="{00000000-0005-0000-0000-0000851A0000}"/>
    <cellStyle name="40% - Акцент3 243" xfId="7281" xr:uid="{00000000-0005-0000-0000-0000861A0000}"/>
    <cellStyle name="40% - Акцент3 244" xfId="7282" xr:uid="{00000000-0005-0000-0000-0000871A0000}"/>
    <cellStyle name="40% - Акцент3 245" xfId="7283" xr:uid="{00000000-0005-0000-0000-0000881A0000}"/>
    <cellStyle name="40% - Акцент3 246" xfId="7284" xr:uid="{00000000-0005-0000-0000-0000891A0000}"/>
    <cellStyle name="40% - Акцент3 247" xfId="7285" xr:uid="{00000000-0005-0000-0000-00008A1A0000}"/>
    <cellStyle name="40% - Акцент3 248" xfId="7286" xr:uid="{00000000-0005-0000-0000-00008B1A0000}"/>
    <cellStyle name="40% - Акцент3 249" xfId="7287" xr:uid="{00000000-0005-0000-0000-00008C1A0000}"/>
    <cellStyle name="40% - Акцент3 25" xfId="7288" xr:uid="{00000000-0005-0000-0000-00008D1A0000}"/>
    <cellStyle name="40% - Акцент3 25 2" xfId="7289" xr:uid="{00000000-0005-0000-0000-00008E1A0000}"/>
    <cellStyle name="40% - Акцент3 250" xfId="7290" xr:uid="{00000000-0005-0000-0000-00008F1A0000}"/>
    <cellStyle name="40% - Акцент3 251" xfId="7291" xr:uid="{00000000-0005-0000-0000-0000901A0000}"/>
    <cellStyle name="40% - Акцент3 252" xfId="7292" xr:uid="{00000000-0005-0000-0000-0000911A0000}"/>
    <cellStyle name="40% - Акцент3 253" xfId="7293" xr:uid="{00000000-0005-0000-0000-0000921A0000}"/>
    <cellStyle name="40% - Акцент3 254" xfId="7294" xr:uid="{00000000-0005-0000-0000-0000931A0000}"/>
    <cellStyle name="40% - Акцент3 255" xfId="7295" xr:uid="{00000000-0005-0000-0000-0000941A0000}"/>
    <cellStyle name="40% - Акцент3 26" xfId="7296" xr:uid="{00000000-0005-0000-0000-0000951A0000}"/>
    <cellStyle name="40% - Акцент3 26 2" xfId="7297" xr:uid="{00000000-0005-0000-0000-0000961A0000}"/>
    <cellStyle name="40% - Акцент3 27" xfId="7298" xr:uid="{00000000-0005-0000-0000-0000971A0000}"/>
    <cellStyle name="40% - Акцент3 27 2" xfId="7299" xr:uid="{00000000-0005-0000-0000-0000981A0000}"/>
    <cellStyle name="40% - Акцент3 28" xfId="7300" xr:uid="{00000000-0005-0000-0000-0000991A0000}"/>
    <cellStyle name="40% - Акцент3 28 2" xfId="7301" xr:uid="{00000000-0005-0000-0000-00009A1A0000}"/>
    <cellStyle name="40% - Акцент3 29" xfId="7302" xr:uid="{00000000-0005-0000-0000-00009B1A0000}"/>
    <cellStyle name="40% - Акцент3 29 2" xfId="7303" xr:uid="{00000000-0005-0000-0000-00009C1A0000}"/>
    <cellStyle name="40% - Акцент3 3" xfId="7304" xr:uid="{00000000-0005-0000-0000-00009D1A0000}"/>
    <cellStyle name="40% - Акцент3 30" xfId="7305" xr:uid="{00000000-0005-0000-0000-00009E1A0000}"/>
    <cellStyle name="40% - Акцент3 30 2" xfId="7306" xr:uid="{00000000-0005-0000-0000-00009F1A0000}"/>
    <cellStyle name="40% - Акцент3 31" xfId="7307" xr:uid="{00000000-0005-0000-0000-0000A01A0000}"/>
    <cellStyle name="40% - Акцент3 31 2" xfId="7308" xr:uid="{00000000-0005-0000-0000-0000A11A0000}"/>
    <cellStyle name="40% - Акцент3 32" xfId="7309" xr:uid="{00000000-0005-0000-0000-0000A21A0000}"/>
    <cellStyle name="40% - Акцент3 32 2" xfId="7310" xr:uid="{00000000-0005-0000-0000-0000A31A0000}"/>
    <cellStyle name="40% - Акцент3 33" xfId="7311" xr:uid="{00000000-0005-0000-0000-0000A41A0000}"/>
    <cellStyle name="40% - Акцент3 33 2" xfId="7312" xr:uid="{00000000-0005-0000-0000-0000A51A0000}"/>
    <cellStyle name="40% - Акцент3 34" xfId="7313" xr:uid="{00000000-0005-0000-0000-0000A61A0000}"/>
    <cellStyle name="40% - Акцент3 34 2" xfId="7314" xr:uid="{00000000-0005-0000-0000-0000A71A0000}"/>
    <cellStyle name="40% - Акцент3 35" xfId="7315" xr:uid="{00000000-0005-0000-0000-0000A81A0000}"/>
    <cellStyle name="40% - Акцент3 35 2" xfId="7316" xr:uid="{00000000-0005-0000-0000-0000A91A0000}"/>
    <cellStyle name="40% - Акцент3 36" xfId="7317" xr:uid="{00000000-0005-0000-0000-0000AA1A0000}"/>
    <cellStyle name="40% - Акцент3 36 2" xfId="7318" xr:uid="{00000000-0005-0000-0000-0000AB1A0000}"/>
    <cellStyle name="40% - Акцент3 37" xfId="7319" xr:uid="{00000000-0005-0000-0000-0000AC1A0000}"/>
    <cellStyle name="40% - Акцент3 37 2" xfId="7320" xr:uid="{00000000-0005-0000-0000-0000AD1A0000}"/>
    <cellStyle name="40% - Акцент3 38" xfId="7321" xr:uid="{00000000-0005-0000-0000-0000AE1A0000}"/>
    <cellStyle name="40% - Акцент3 38 2" xfId="7322" xr:uid="{00000000-0005-0000-0000-0000AF1A0000}"/>
    <cellStyle name="40% - Акцент3 39" xfId="7323" xr:uid="{00000000-0005-0000-0000-0000B01A0000}"/>
    <cellStyle name="40% - Акцент3 39 2" xfId="7324" xr:uid="{00000000-0005-0000-0000-0000B11A0000}"/>
    <cellStyle name="40% - Акцент3 4" xfId="7325" xr:uid="{00000000-0005-0000-0000-0000B21A0000}"/>
    <cellStyle name="40% - Акцент3 40" xfId="7326" xr:uid="{00000000-0005-0000-0000-0000B31A0000}"/>
    <cellStyle name="40% - Акцент3 40 2" xfId="7327" xr:uid="{00000000-0005-0000-0000-0000B41A0000}"/>
    <cellStyle name="40% - Акцент3 41" xfId="7328" xr:uid="{00000000-0005-0000-0000-0000B51A0000}"/>
    <cellStyle name="40% - Акцент3 41 2" xfId="7329" xr:uid="{00000000-0005-0000-0000-0000B61A0000}"/>
    <cellStyle name="40% - Акцент3 42" xfId="7330" xr:uid="{00000000-0005-0000-0000-0000B71A0000}"/>
    <cellStyle name="40% - Акцент3 42 2" xfId="7331" xr:uid="{00000000-0005-0000-0000-0000B81A0000}"/>
    <cellStyle name="40% - Акцент3 43" xfId="7332" xr:uid="{00000000-0005-0000-0000-0000B91A0000}"/>
    <cellStyle name="40% - Акцент3 43 2" xfId="7333" xr:uid="{00000000-0005-0000-0000-0000BA1A0000}"/>
    <cellStyle name="40% - Акцент3 44" xfId="7334" xr:uid="{00000000-0005-0000-0000-0000BB1A0000}"/>
    <cellStyle name="40% - Акцент3 44 2" xfId="7335" xr:uid="{00000000-0005-0000-0000-0000BC1A0000}"/>
    <cellStyle name="40% - Акцент3 45" xfId="7336" xr:uid="{00000000-0005-0000-0000-0000BD1A0000}"/>
    <cellStyle name="40% - Акцент3 45 2" xfId="7337" xr:uid="{00000000-0005-0000-0000-0000BE1A0000}"/>
    <cellStyle name="40% - Акцент3 46" xfId="7338" xr:uid="{00000000-0005-0000-0000-0000BF1A0000}"/>
    <cellStyle name="40% - Акцент3 46 2" xfId="7339" xr:uid="{00000000-0005-0000-0000-0000C01A0000}"/>
    <cellStyle name="40% - Акцент3 47" xfId="7340" xr:uid="{00000000-0005-0000-0000-0000C11A0000}"/>
    <cellStyle name="40% - Акцент3 47 2" xfId="7341" xr:uid="{00000000-0005-0000-0000-0000C21A0000}"/>
    <cellStyle name="40% - Акцент3 48" xfId="7342" xr:uid="{00000000-0005-0000-0000-0000C31A0000}"/>
    <cellStyle name="40% - Акцент3 48 2" xfId="7343" xr:uid="{00000000-0005-0000-0000-0000C41A0000}"/>
    <cellStyle name="40% - Акцент3 49" xfId="7344" xr:uid="{00000000-0005-0000-0000-0000C51A0000}"/>
    <cellStyle name="40% - Акцент3 49 2" xfId="7345" xr:uid="{00000000-0005-0000-0000-0000C61A0000}"/>
    <cellStyle name="40% - Акцент3 5" xfId="7346" xr:uid="{00000000-0005-0000-0000-0000C71A0000}"/>
    <cellStyle name="40% - Акцент3 50" xfId="7347" xr:uid="{00000000-0005-0000-0000-0000C81A0000}"/>
    <cellStyle name="40% - Акцент3 50 2" xfId="7348" xr:uid="{00000000-0005-0000-0000-0000C91A0000}"/>
    <cellStyle name="40% - Акцент3 51" xfId="7349" xr:uid="{00000000-0005-0000-0000-0000CA1A0000}"/>
    <cellStyle name="40% - Акцент3 51 2" xfId="7350" xr:uid="{00000000-0005-0000-0000-0000CB1A0000}"/>
    <cellStyle name="40% - Акцент3 52" xfId="7351" xr:uid="{00000000-0005-0000-0000-0000CC1A0000}"/>
    <cellStyle name="40% - Акцент3 52 2" xfId="7352" xr:uid="{00000000-0005-0000-0000-0000CD1A0000}"/>
    <cellStyle name="40% - Акцент3 53" xfId="7353" xr:uid="{00000000-0005-0000-0000-0000CE1A0000}"/>
    <cellStyle name="40% - Акцент3 53 2" xfId="7354" xr:uid="{00000000-0005-0000-0000-0000CF1A0000}"/>
    <cellStyle name="40% - Акцент3 54" xfId="7355" xr:uid="{00000000-0005-0000-0000-0000D01A0000}"/>
    <cellStyle name="40% - Акцент3 54 2" xfId="7356" xr:uid="{00000000-0005-0000-0000-0000D11A0000}"/>
    <cellStyle name="40% - Акцент3 55" xfId="7357" xr:uid="{00000000-0005-0000-0000-0000D21A0000}"/>
    <cellStyle name="40% - Акцент3 55 2" xfId="7358" xr:uid="{00000000-0005-0000-0000-0000D31A0000}"/>
    <cellStyle name="40% - Акцент3 56" xfId="7359" xr:uid="{00000000-0005-0000-0000-0000D41A0000}"/>
    <cellStyle name="40% - Акцент3 56 2" xfId="7360" xr:uid="{00000000-0005-0000-0000-0000D51A0000}"/>
    <cellStyle name="40% - Акцент3 57" xfId="7361" xr:uid="{00000000-0005-0000-0000-0000D61A0000}"/>
    <cellStyle name="40% - Акцент3 57 2" xfId="7362" xr:uid="{00000000-0005-0000-0000-0000D71A0000}"/>
    <cellStyle name="40% - Акцент3 58" xfId="7363" xr:uid="{00000000-0005-0000-0000-0000D81A0000}"/>
    <cellStyle name="40% - Акцент3 58 2" xfId="7364" xr:uid="{00000000-0005-0000-0000-0000D91A0000}"/>
    <cellStyle name="40% - Акцент3 59" xfId="7365" xr:uid="{00000000-0005-0000-0000-0000DA1A0000}"/>
    <cellStyle name="40% - Акцент3 59 2" xfId="7366" xr:uid="{00000000-0005-0000-0000-0000DB1A0000}"/>
    <cellStyle name="40% - Акцент3 6" xfId="7367" xr:uid="{00000000-0005-0000-0000-0000DC1A0000}"/>
    <cellStyle name="40% - Акцент3 60" xfId="7368" xr:uid="{00000000-0005-0000-0000-0000DD1A0000}"/>
    <cellStyle name="40% - Акцент3 60 2" xfId="7369" xr:uid="{00000000-0005-0000-0000-0000DE1A0000}"/>
    <cellStyle name="40% - Акцент3 61" xfId="7370" xr:uid="{00000000-0005-0000-0000-0000DF1A0000}"/>
    <cellStyle name="40% - Акцент3 61 2" xfId="7371" xr:uid="{00000000-0005-0000-0000-0000E01A0000}"/>
    <cellStyle name="40% - Акцент3 62" xfId="7372" xr:uid="{00000000-0005-0000-0000-0000E11A0000}"/>
    <cellStyle name="40% - Акцент3 62 2" xfId="7373" xr:uid="{00000000-0005-0000-0000-0000E21A0000}"/>
    <cellStyle name="40% - Акцент3 63" xfId="7374" xr:uid="{00000000-0005-0000-0000-0000E31A0000}"/>
    <cellStyle name="40% - Акцент3 63 2" xfId="7375" xr:uid="{00000000-0005-0000-0000-0000E41A0000}"/>
    <cellStyle name="40% - Акцент3 64" xfId="7376" xr:uid="{00000000-0005-0000-0000-0000E51A0000}"/>
    <cellStyle name="40% - Акцент3 64 2" xfId="7377" xr:uid="{00000000-0005-0000-0000-0000E61A0000}"/>
    <cellStyle name="40% - Акцент3 65" xfId="7378" xr:uid="{00000000-0005-0000-0000-0000E71A0000}"/>
    <cellStyle name="40% - Акцент3 65 2" xfId="7379" xr:uid="{00000000-0005-0000-0000-0000E81A0000}"/>
    <cellStyle name="40% - Акцент3 66" xfId="7380" xr:uid="{00000000-0005-0000-0000-0000E91A0000}"/>
    <cellStyle name="40% - Акцент3 66 2" xfId="7381" xr:uid="{00000000-0005-0000-0000-0000EA1A0000}"/>
    <cellStyle name="40% - Акцент3 67" xfId="7382" xr:uid="{00000000-0005-0000-0000-0000EB1A0000}"/>
    <cellStyle name="40% - Акцент3 67 2" xfId="7383" xr:uid="{00000000-0005-0000-0000-0000EC1A0000}"/>
    <cellStyle name="40% - Акцент3 68" xfId="7384" xr:uid="{00000000-0005-0000-0000-0000ED1A0000}"/>
    <cellStyle name="40% - Акцент3 68 2" xfId="7385" xr:uid="{00000000-0005-0000-0000-0000EE1A0000}"/>
    <cellStyle name="40% - Акцент3 69" xfId="7386" xr:uid="{00000000-0005-0000-0000-0000EF1A0000}"/>
    <cellStyle name="40% - Акцент3 69 2" xfId="7387" xr:uid="{00000000-0005-0000-0000-0000F01A0000}"/>
    <cellStyle name="40% - Акцент3 7" xfId="7388" xr:uid="{00000000-0005-0000-0000-0000F11A0000}"/>
    <cellStyle name="40% - Акцент3 70" xfId="7389" xr:uid="{00000000-0005-0000-0000-0000F21A0000}"/>
    <cellStyle name="40% - Акцент3 70 2" xfId="7390" xr:uid="{00000000-0005-0000-0000-0000F31A0000}"/>
    <cellStyle name="40% - Акцент3 71" xfId="7391" xr:uid="{00000000-0005-0000-0000-0000F41A0000}"/>
    <cellStyle name="40% - Акцент3 71 2" xfId="7392" xr:uid="{00000000-0005-0000-0000-0000F51A0000}"/>
    <cellStyle name="40% - Акцент3 72" xfId="7393" xr:uid="{00000000-0005-0000-0000-0000F61A0000}"/>
    <cellStyle name="40% - Акцент3 72 2" xfId="7394" xr:uid="{00000000-0005-0000-0000-0000F71A0000}"/>
    <cellStyle name="40% - Акцент3 73" xfId="7395" xr:uid="{00000000-0005-0000-0000-0000F81A0000}"/>
    <cellStyle name="40% - Акцент3 73 2" xfId="7396" xr:uid="{00000000-0005-0000-0000-0000F91A0000}"/>
    <cellStyle name="40% - Акцент3 74" xfId="7397" xr:uid="{00000000-0005-0000-0000-0000FA1A0000}"/>
    <cellStyle name="40% - Акцент3 74 2" xfId="7398" xr:uid="{00000000-0005-0000-0000-0000FB1A0000}"/>
    <cellStyle name="40% - Акцент3 75" xfId="7399" xr:uid="{00000000-0005-0000-0000-0000FC1A0000}"/>
    <cellStyle name="40% - Акцент3 75 2" xfId="7400" xr:uid="{00000000-0005-0000-0000-0000FD1A0000}"/>
    <cellStyle name="40% - Акцент3 76" xfId="7401" xr:uid="{00000000-0005-0000-0000-0000FE1A0000}"/>
    <cellStyle name="40% - Акцент3 76 2" xfId="7402" xr:uid="{00000000-0005-0000-0000-0000FF1A0000}"/>
    <cellStyle name="40% - Акцент3 77" xfId="7403" xr:uid="{00000000-0005-0000-0000-0000001B0000}"/>
    <cellStyle name="40% - Акцент3 77 2" xfId="7404" xr:uid="{00000000-0005-0000-0000-0000011B0000}"/>
    <cellStyle name="40% - Акцент3 78" xfId="7405" xr:uid="{00000000-0005-0000-0000-0000021B0000}"/>
    <cellStyle name="40% - Акцент3 78 2" xfId="7406" xr:uid="{00000000-0005-0000-0000-0000031B0000}"/>
    <cellStyle name="40% - Акцент3 79" xfId="7407" xr:uid="{00000000-0005-0000-0000-0000041B0000}"/>
    <cellStyle name="40% - Акцент3 79 2" xfId="7408" xr:uid="{00000000-0005-0000-0000-0000051B0000}"/>
    <cellStyle name="40% - Акцент3 8" xfId="7409" xr:uid="{00000000-0005-0000-0000-0000061B0000}"/>
    <cellStyle name="40% - Акцент3 80" xfId="7410" xr:uid="{00000000-0005-0000-0000-0000071B0000}"/>
    <cellStyle name="40% - Акцент3 80 2" xfId="7411" xr:uid="{00000000-0005-0000-0000-0000081B0000}"/>
    <cellStyle name="40% - Акцент3 81" xfId="7412" xr:uid="{00000000-0005-0000-0000-0000091B0000}"/>
    <cellStyle name="40% - Акцент3 81 2" xfId="7413" xr:uid="{00000000-0005-0000-0000-00000A1B0000}"/>
    <cellStyle name="40% - Акцент3 82" xfId="7414" xr:uid="{00000000-0005-0000-0000-00000B1B0000}"/>
    <cellStyle name="40% - Акцент3 82 2" xfId="7415" xr:uid="{00000000-0005-0000-0000-00000C1B0000}"/>
    <cellStyle name="40% - Акцент3 83" xfId="7416" xr:uid="{00000000-0005-0000-0000-00000D1B0000}"/>
    <cellStyle name="40% - Акцент3 83 2" xfId="7417" xr:uid="{00000000-0005-0000-0000-00000E1B0000}"/>
    <cellStyle name="40% - Акцент3 84" xfId="7418" xr:uid="{00000000-0005-0000-0000-00000F1B0000}"/>
    <cellStyle name="40% - Акцент3 84 2" xfId="7419" xr:uid="{00000000-0005-0000-0000-0000101B0000}"/>
    <cellStyle name="40% - Акцент3 85" xfId="7420" xr:uid="{00000000-0005-0000-0000-0000111B0000}"/>
    <cellStyle name="40% - Акцент3 85 2" xfId="7421" xr:uid="{00000000-0005-0000-0000-0000121B0000}"/>
    <cellStyle name="40% - Акцент3 86" xfId="7422" xr:uid="{00000000-0005-0000-0000-0000131B0000}"/>
    <cellStyle name="40% - Акцент3 86 2" xfId="7423" xr:uid="{00000000-0005-0000-0000-0000141B0000}"/>
    <cellStyle name="40% - Акцент3 87" xfId="7424" xr:uid="{00000000-0005-0000-0000-0000151B0000}"/>
    <cellStyle name="40% - Акцент3 87 2" xfId="7425" xr:uid="{00000000-0005-0000-0000-0000161B0000}"/>
    <cellStyle name="40% - Акцент3 88" xfId="7426" xr:uid="{00000000-0005-0000-0000-0000171B0000}"/>
    <cellStyle name="40% - Акцент3 88 2" xfId="7427" xr:uid="{00000000-0005-0000-0000-0000181B0000}"/>
    <cellStyle name="40% - Акцент3 89" xfId="7428" xr:uid="{00000000-0005-0000-0000-0000191B0000}"/>
    <cellStyle name="40% - Акцент3 89 2" xfId="7429" xr:uid="{00000000-0005-0000-0000-00001A1B0000}"/>
    <cellStyle name="40% - Акцент3 9" xfId="7430" xr:uid="{00000000-0005-0000-0000-00001B1B0000}"/>
    <cellStyle name="40% - Акцент3 90" xfId="7431" xr:uid="{00000000-0005-0000-0000-00001C1B0000}"/>
    <cellStyle name="40% - Акцент3 90 2" xfId="7432" xr:uid="{00000000-0005-0000-0000-00001D1B0000}"/>
    <cellStyle name="40% - Акцент3 91" xfId="7433" xr:uid="{00000000-0005-0000-0000-00001E1B0000}"/>
    <cellStyle name="40% - Акцент3 91 2" xfId="7434" xr:uid="{00000000-0005-0000-0000-00001F1B0000}"/>
    <cellStyle name="40% - Акцент3 92" xfId="7435" xr:uid="{00000000-0005-0000-0000-0000201B0000}"/>
    <cellStyle name="40% - Акцент3 92 2" xfId="7436" xr:uid="{00000000-0005-0000-0000-0000211B0000}"/>
    <cellStyle name="40% - Акцент3 93" xfId="7437" xr:uid="{00000000-0005-0000-0000-0000221B0000}"/>
    <cellStyle name="40% - Акцент3 93 2" xfId="7438" xr:uid="{00000000-0005-0000-0000-0000231B0000}"/>
    <cellStyle name="40% - Акцент3 94" xfId="7439" xr:uid="{00000000-0005-0000-0000-0000241B0000}"/>
    <cellStyle name="40% - Акцент3 94 2" xfId="7440" xr:uid="{00000000-0005-0000-0000-0000251B0000}"/>
    <cellStyle name="40% - Акцент3 95" xfId="7441" xr:uid="{00000000-0005-0000-0000-0000261B0000}"/>
    <cellStyle name="40% - Акцент3 95 2" xfId="7442" xr:uid="{00000000-0005-0000-0000-0000271B0000}"/>
    <cellStyle name="40% - Акцент3 96" xfId="7443" xr:uid="{00000000-0005-0000-0000-0000281B0000}"/>
    <cellStyle name="40% - Акцент3 96 2" xfId="7444" xr:uid="{00000000-0005-0000-0000-0000291B0000}"/>
    <cellStyle name="40% - Акцент3 97" xfId="7445" xr:uid="{00000000-0005-0000-0000-00002A1B0000}"/>
    <cellStyle name="40% - Акцент3 97 2" xfId="7446" xr:uid="{00000000-0005-0000-0000-00002B1B0000}"/>
    <cellStyle name="40% - Акцент3 98" xfId="7447" xr:uid="{00000000-0005-0000-0000-00002C1B0000}"/>
    <cellStyle name="40% - Акцент3 98 2" xfId="7448" xr:uid="{00000000-0005-0000-0000-00002D1B0000}"/>
    <cellStyle name="40% - Акцент3 99" xfId="7449" xr:uid="{00000000-0005-0000-0000-00002E1B0000}"/>
    <cellStyle name="40% - Акцент3 99 2" xfId="7450" xr:uid="{00000000-0005-0000-0000-00002F1B0000}"/>
    <cellStyle name="40% - Акцент4 10" xfId="7451" xr:uid="{00000000-0005-0000-0000-0000301B0000}"/>
    <cellStyle name="40% - Акцент4 100" xfId="7452" xr:uid="{00000000-0005-0000-0000-0000311B0000}"/>
    <cellStyle name="40% - Акцент4 100 2" xfId="7453" xr:uid="{00000000-0005-0000-0000-0000321B0000}"/>
    <cellStyle name="40% - Акцент4 101" xfId="7454" xr:uid="{00000000-0005-0000-0000-0000331B0000}"/>
    <cellStyle name="40% - Акцент4 101 2" xfId="7455" xr:uid="{00000000-0005-0000-0000-0000341B0000}"/>
    <cellStyle name="40% - Акцент4 102" xfId="7456" xr:uid="{00000000-0005-0000-0000-0000351B0000}"/>
    <cellStyle name="40% - Акцент4 102 2" xfId="7457" xr:uid="{00000000-0005-0000-0000-0000361B0000}"/>
    <cellStyle name="40% - Акцент4 103" xfId="7458" xr:uid="{00000000-0005-0000-0000-0000371B0000}"/>
    <cellStyle name="40% - Акцент4 103 2" xfId="7459" xr:uid="{00000000-0005-0000-0000-0000381B0000}"/>
    <cellStyle name="40% - Акцент4 104" xfId="7460" xr:uid="{00000000-0005-0000-0000-0000391B0000}"/>
    <cellStyle name="40% - Акцент4 104 2" xfId="7461" xr:uid="{00000000-0005-0000-0000-00003A1B0000}"/>
    <cellStyle name="40% - Акцент4 105" xfId="7462" xr:uid="{00000000-0005-0000-0000-00003B1B0000}"/>
    <cellStyle name="40% - Акцент4 105 2" xfId="7463" xr:uid="{00000000-0005-0000-0000-00003C1B0000}"/>
    <cellStyle name="40% - Акцент4 106" xfId="7464" xr:uid="{00000000-0005-0000-0000-00003D1B0000}"/>
    <cellStyle name="40% - Акцент4 106 2" xfId="7465" xr:uid="{00000000-0005-0000-0000-00003E1B0000}"/>
    <cellStyle name="40% - Акцент4 107" xfId="7466" xr:uid="{00000000-0005-0000-0000-00003F1B0000}"/>
    <cellStyle name="40% - Акцент4 107 2" xfId="7467" xr:uid="{00000000-0005-0000-0000-0000401B0000}"/>
    <cellStyle name="40% - Акцент4 108" xfId="7468" xr:uid="{00000000-0005-0000-0000-0000411B0000}"/>
    <cellStyle name="40% - Акцент4 108 2" xfId="7469" xr:uid="{00000000-0005-0000-0000-0000421B0000}"/>
    <cellStyle name="40% - Акцент4 109" xfId="7470" xr:uid="{00000000-0005-0000-0000-0000431B0000}"/>
    <cellStyle name="40% - Акцент4 109 2" xfId="7471" xr:uid="{00000000-0005-0000-0000-0000441B0000}"/>
    <cellStyle name="40% - Акцент4 11" xfId="7472" xr:uid="{00000000-0005-0000-0000-0000451B0000}"/>
    <cellStyle name="40% - Акцент4 110" xfId="7473" xr:uid="{00000000-0005-0000-0000-0000461B0000}"/>
    <cellStyle name="40% - Акцент4 110 2" xfId="7474" xr:uid="{00000000-0005-0000-0000-0000471B0000}"/>
    <cellStyle name="40% - Акцент4 111" xfId="7475" xr:uid="{00000000-0005-0000-0000-0000481B0000}"/>
    <cellStyle name="40% - Акцент4 111 2" xfId="7476" xr:uid="{00000000-0005-0000-0000-0000491B0000}"/>
    <cellStyle name="40% - Акцент4 112" xfId="7477" xr:uid="{00000000-0005-0000-0000-00004A1B0000}"/>
    <cellStyle name="40% - Акцент4 112 2" xfId="7478" xr:uid="{00000000-0005-0000-0000-00004B1B0000}"/>
    <cellStyle name="40% - Акцент4 113" xfId="7479" xr:uid="{00000000-0005-0000-0000-00004C1B0000}"/>
    <cellStyle name="40% - Акцент4 113 2" xfId="7480" xr:uid="{00000000-0005-0000-0000-00004D1B0000}"/>
    <cellStyle name="40% - Акцент4 114" xfId="7481" xr:uid="{00000000-0005-0000-0000-00004E1B0000}"/>
    <cellStyle name="40% - Акцент4 114 2" xfId="7482" xr:uid="{00000000-0005-0000-0000-00004F1B0000}"/>
    <cellStyle name="40% - Акцент4 115" xfId="7483" xr:uid="{00000000-0005-0000-0000-0000501B0000}"/>
    <cellStyle name="40% - Акцент4 115 2" xfId="7484" xr:uid="{00000000-0005-0000-0000-0000511B0000}"/>
    <cellStyle name="40% - Акцент4 116" xfId="7485" xr:uid="{00000000-0005-0000-0000-0000521B0000}"/>
    <cellStyle name="40% - Акцент4 116 2" xfId="7486" xr:uid="{00000000-0005-0000-0000-0000531B0000}"/>
    <cellStyle name="40% - Акцент4 117" xfId="7487" xr:uid="{00000000-0005-0000-0000-0000541B0000}"/>
    <cellStyle name="40% - Акцент4 117 2" xfId="7488" xr:uid="{00000000-0005-0000-0000-0000551B0000}"/>
    <cellStyle name="40% - Акцент4 118" xfId="7489" xr:uid="{00000000-0005-0000-0000-0000561B0000}"/>
    <cellStyle name="40% - Акцент4 118 2" xfId="7490" xr:uid="{00000000-0005-0000-0000-0000571B0000}"/>
    <cellStyle name="40% - Акцент4 119" xfId="7491" xr:uid="{00000000-0005-0000-0000-0000581B0000}"/>
    <cellStyle name="40% - Акцент4 119 2" xfId="7492" xr:uid="{00000000-0005-0000-0000-0000591B0000}"/>
    <cellStyle name="40% - Акцент4 12" xfId="7493" xr:uid="{00000000-0005-0000-0000-00005A1B0000}"/>
    <cellStyle name="40% - Акцент4 120" xfId="7494" xr:uid="{00000000-0005-0000-0000-00005B1B0000}"/>
    <cellStyle name="40% - Акцент4 120 2" xfId="7495" xr:uid="{00000000-0005-0000-0000-00005C1B0000}"/>
    <cellStyle name="40% - Акцент4 121" xfId="7496" xr:uid="{00000000-0005-0000-0000-00005D1B0000}"/>
    <cellStyle name="40% - Акцент4 121 2" xfId="7497" xr:uid="{00000000-0005-0000-0000-00005E1B0000}"/>
    <cellStyle name="40% - Акцент4 122" xfId="7498" xr:uid="{00000000-0005-0000-0000-00005F1B0000}"/>
    <cellStyle name="40% - Акцент4 122 2" xfId="7499" xr:uid="{00000000-0005-0000-0000-0000601B0000}"/>
    <cellStyle name="40% - Акцент4 123" xfId="7500" xr:uid="{00000000-0005-0000-0000-0000611B0000}"/>
    <cellStyle name="40% - Акцент4 123 2" xfId="7501" xr:uid="{00000000-0005-0000-0000-0000621B0000}"/>
    <cellStyle name="40% - Акцент4 124" xfId="7502" xr:uid="{00000000-0005-0000-0000-0000631B0000}"/>
    <cellStyle name="40% - Акцент4 124 2" xfId="7503" xr:uid="{00000000-0005-0000-0000-0000641B0000}"/>
    <cellStyle name="40% - Акцент4 125" xfId="7504" xr:uid="{00000000-0005-0000-0000-0000651B0000}"/>
    <cellStyle name="40% - Акцент4 125 2" xfId="7505" xr:uid="{00000000-0005-0000-0000-0000661B0000}"/>
    <cellStyle name="40% - Акцент4 126" xfId="7506" xr:uid="{00000000-0005-0000-0000-0000671B0000}"/>
    <cellStyle name="40% - Акцент4 126 2" xfId="7507" xr:uid="{00000000-0005-0000-0000-0000681B0000}"/>
    <cellStyle name="40% - Акцент4 127" xfId="7508" xr:uid="{00000000-0005-0000-0000-0000691B0000}"/>
    <cellStyle name="40% - Акцент4 127 2" xfId="7509" xr:uid="{00000000-0005-0000-0000-00006A1B0000}"/>
    <cellStyle name="40% - Акцент4 128" xfId="7510" xr:uid="{00000000-0005-0000-0000-00006B1B0000}"/>
    <cellStyle name="40% - Акцент4 128 2" xfId="7511" xr:uid="{00000000-0005-0000-0000-00006C1B0000}"/>
    <cellStyle name="40% - Акцент4 129" xfId="7512" xr:uid="{00000000-0005-0000-0000-00006D1B0000}"/>
    <cellStyle name="40% - Акцент4 129 2" xfId="7513" xr:uid="{00000000-0005-0000-0000-00006E1B0000}"/>
    <cellStyle name="40% - Акцент4 13" xfId="7514" xr:uid="{00000000-0005-0000-0000-00006F1B0000}"/>
    <cellStyle name="40% - Акцент4 130" xfId="7515" xr:uid="{00000000-0005-0000-0000-0000701B0000}"/>
    <cellStyle name="40% - Акцент4 130 2" xfId="7516" xr:uid="{00000000-0005-0000-0000-0000711B0000}"/>
    <cellStyle name="40% - Акцент4 131" xfId="7517" xr:uid="{00000000-0005-0000-0000-0000721B0000}"/>
    <cellStyle name="40% - Акцент4 131 2" xfId="7518" xr:uid="{00000000-0005-0000-0000-0000731B0000}"/>
    <cellStyle name="40% - Акцент4 132" xfId="7519" xr:uid="{00000000-0005-0000-0000-0000741B0000}"/>
    <cellStyle name="40% - Акцент4 132 2" xfId="7520" xr:uid="{00000000-0005-0000-0000-0000751B0000}"/>
    <cellStyle name="40% - Акцент4 133" xfId="7521" xr:uid="{00000000-0005-0000-0000-0000761B0000}"/>
    <cellStyle name="40% - Акцент4 133 2" xfId="7522" xr:uid="{00000000-0005-0000-0000-0000771B0000}"/>
    <cellStyle name="40% - Акцент4 134" xfId="7523" xr:uid="{00000000-0005-0000-0000-0000781B0000}"/>
    <cellStyle name="40% - Акцент4 134 2" xfId="7524" xr:uid="{00000000-0005-0000-0000-0000791B0000}"/>
    <cellStyle name="40% - Акцент4 135" xfId="7525" xr:uid="{00000000-0005-0000-0000-00007A1B0000}"/>
    <cellStyle name="40% - Акцент4 135 2" xfId="7526" xr:uid="{00000000-0005-0000-0000-00007B1B0000}"/>
    <cellStyle name="40% - Акцент4 136" xfId="7527" xr:uid="{00000000-0005-0000-0000-00007C1B0000}"/>
    <cellStyle name="40% - Акцент4 136 2" xfId="7528" xr:uid="{00000000-0005-0000-0000-00007D1B0000}"/>
    <cellStyle name="40% - Акцент4 137" xfId="7529" xr:uid="{00000000-0005-0000-0000-00007E1B0000}"/>
    <cellStyle name="40% - Акцент4 137 2" xfId="7530" xr:uid="{00000000-0005-0000-0000-00007F1B0000}"/>
    <cellStyle name="40% - Акцент4 138" xfId="7531" xr:uid="{00000000-0005-0000-0000-0000801B0000}"/>
    <cellStyle name="40% - Акцент4 138 2" xfId="7532" xr:uid="{00000000-0005-0000-0000-0000811B0000}"/>
    <cellStyle name="40% - Акцент4 139" xfId="7533" xr:uid="{00000000-0005-0000-0000-0000821B0000}"/>
    <cellStyle name="40% - Акцент4 139 2" xfId="7534" xr:uid="{00000000-0005-0000-0000-0000831B0000}"/>
    <cellStyle name="40% - Акцент4 14" xfId="7535" xr:uid="{00000000-0005-0000-0000-0000841B0000}"/>
    <cellStyle name="40% - Акцент4 140" xfId="7536" xr:uid="{00000000-0005-0000-0000-0000851B0000}"/>
    <cellStyle name="40% - Акцент4 140 2" xfId="7537" xr:uid="{00000000-0005-0000-0000-0000861B0000}"/>
    <cellStyle name="40% - Акцент4 141" xfId="7538" xr:uid="{00000000-0005-0000-0000-0000871B0000}"/>
    <cellStyle name="40% - Акцент4 141 2" xfId="7539" xr:uid="{00000000-0005-0000-0000-0000881B0000}"/>
    <cellStyle name="40% - Акцент4 142" xfId="7540" xr:uid="{00000000-0005-0000-0000-0000891B0000}"/>
    <cellStyle name="40% - Акцент4 142 2" xfId="7541" xr:uid="{00000000-0005-0000-0000-00008A1B0000}"/>
    <cellStyle name="40% - Акцент4 143" xfId="7542" xr:uid="{00000000-0005-0000-0000-00008B1B0000}"/>
    <cellStyle name="40% - Акцент4 143 2" xfId="7543" xr:uid="{00000000-0005-0000-0000-00008C1B0000}"/>
    <cellStyle name="40% - Акцент4 144" xfId="7544" xr:uid="{00000000-0005-0000-0000-00008D1B0000}"/>
    <cellStyle name="40% - Акцент4 144 2" xfId="7545" xr:uid="{00000000-0005-0000-0000-00008E1B0000}"/>
    <cellStyle name="40% - Акцент4 145" xfId="7546" xr:uid="{00000000-0005-0000-0000-00008F1B0000}"/>
    <cellStyle name="40% - Акцент4 145 2" xfId="7547" xr:uid="{00000000-0005-0000-0000-0000901B0000}"/>
    <cellStyle name="40% - Акцент4 146" xfId="7548" xr:uid="{00000000-0005-0000-0000-0000911B0000}"/>
    <cellStyle name="40% - Акцент4 146 2" xfId="7549" xr:uid="{00000000-0005-0000-0000-0000921B0000}"/>
    <cellStyle name="40% - Акцент4 147" xfId="7550" xr:uid="{00000000-0005-0000-0000-0000931B0000}"/>
    <cellStyle name="40% - Акцент4 147 2" xfId="7551" xr:uid="{00000000-0005-0000-0000-0000941B0000}"/>
    <cellStyle name="40% - Акцент4 148" xfId="7552" xr:uid="{00000000-0005-0000-0000-0000951B0000}"/>
    <cellStyle name="40% - Акцент4 148 2" xfId="7553" xr:uid="{00000000-0005-0000-0000-0000961B0000}"/>
    <cellStyle name="40% - Акцент4 149" xfId="7554" xr:uid="{00000000-0005-0000-0000-0000971B0000}"/>
    <cellStyle name="40% - Акцент4 149 2" xfId="7555" xr:uid="{00000000-0005-0000-0000-0000981B0000}"/>
    <cellStyle name="40% - Акцент4 15" xfId="7556" xr:uid="{00000000-0005-0000-0000-0000991B0000}"/>
    <cellStyle name="40% - Акцент4 150" xfId="7557" xr:uid="{00000000-0005-0000-0000-00009A1B0000}"/>
    <cellStyle name="40% - Акцент4 150 2" xfId="7558" xr:uid="{00000000-0005-0000-0000-00009B1B0000}"/>
    <cellStyle name="40% - Акцент4 151" xfId="7559" xr:uid="{00000000-0005-0000-0000-00009C1B0000}"/>
    <cellStyle name="40% - Акцент4 151 2" xfId="7560" xr:uid="{00000000-0005-0000-0000-00009D1B0000}"/>
    <cellStyle name="40% - Акцент4 152" xfId="7561" xr:uid="{00000000-0005-0000-0000-00009E1B0000}"/>
    <cellStyle name="40% - Акцент4 152 2" xfId="7562" xr:uid="{00000000-0005-0000-0000-00009F1B0000}"/>
    <cellStyle name="40% - Акцент4 153" xfId="7563" xr:uid="{00000000-0005-0000-0000-0000A01B0000}"/>
    <cellStyle name="40% - Акцент4 153 2" xfId="7564" xr:uid="{00000000-0005-0000-0000-0000A11B0000}"/>
    <cellStyle name="40% - Акцент4 154" xfId="7565" xr:uid="{00000000-0005-0000-0000-0000A21B0000}"/>
    <cellStyle name="40% - Акцент4 154 2" xfId="7566" xr:uid="{00000000-0005-0000-0000-0000A31B0000}"/>
    <cellStyle name="40% - Акцент4 155" xfId="7567" xr:uid="{00000000-0005-0000-0000-0000A41B0000}"/>
    <cellStyle name="40% - Акцент4 155 2" xfId="7568" xr:uid="{00000000-0005-0000-0000-0000A51B0000}"/>
    <cellStyle name="40% - Акцент4 156" xfId="7569" xr:uid="{00000000-0005-0000-0000-0000A61B0000}"/>
    <cellStyle name="40% - Акцент4 156 2" xfId="7570" xr:uid="{00000000-0005-0000-0000-0000A71B0000}"/>
    <cellStyle name="40% - Акцент4 157" xfId="7571" xr:uid="{00000000-0005-0000-0000-0000A81B0000}"/>
    <cellStyle name="40% - Акцент4 157 2" xfId="7572" xr:uid="{00000000-0005-0000-0000-0000A91B0000}"/>
    <cellStyle name="40% - Акцент4 158" xfId="7573" xr:uid="{00000000-0005-0000-0000-0000AA1B0000}"/>
    <cellStyle name="40% - Акцент4 158 2" xfId="7574" xr:uid="{00000000-0005-0000-0000-0000AB1B0000}"/>
    <cellStyle name="40% - Акцент4 159" xfId="7575" xr:uid="{00000000-0005-0000-0000-0000AC1B0000}"/>
    <cellStyle name="40% - Акцент4 159 2" xfId="7576" xr:uid="{00000000-0005-0000-0000-0000AD1B0000}"/>
    <cellStyle name="40% - Акцент4 16" xfId="7577" xr:uid="{00000000-0005-0000-0000-0000AE1B0000}"/>
    <cellStyle name="40% - Акцент4 160" xfId="7578" xr:uid="{00000000-0005-0000-0000-0000AF1B0000}"/>
    <cellStyle name="40% - Акцент4 160 2" xfId="7579" xr:uid="{00000000-0005-0000-0000-0000B01B0000}"/>
    <cellStyle name="40% - Акцент4 161" xfId="7580" xr:uid="{00000000-0005-0000-0000-0000B11B0000}"/>
    <cellStyle name="40% - Акцент4 161 2" xfId="7581" xr:uid="{00000000-0005-0000-0000-0000B21B0000}"/>
    <cellStyle name="40% - Акцент4 162" xfId="7582" xr:uid="{00000000-0005-0000-0000-0000B31B0000}"/>
    <cellStyle name="40% - Акцент4 162 2" xfId="7583" xr:uid="{00000000-0005-0000-0000-0000B41B0000}"/>
    <cellStyle name="40% - Акцент4 163" xfId="7584" xr:uid="{00000000-0005-0000-0000-0000B51B0000}"/>
    <cellStyle name="40% - Акцент4 163 2" xfId="7585" xr:uid="{00000000-0005-0000-0000-0000B61B0000}"/>
    <cellStyle name="40% - Акцент4 164" xfId="7586" xr:uid="{00000000-0005-0000-0000-0000B71B0000}"/>
    <cellStyle name="40% - Акцент4 164 2" xfId="7587" xr:uid="{00000000-0005-0000-0000-0000B81B0000}"/>
    <cellStyle name="40% - Акцент4 165" xfId="7588" xr:uid="{00000000-0005-0000-0000-0000B91B0000}"/>
    <cellStyle name="40% - Акцент4 165 2" xfId="7589" xr:uid="{00000000-0005-0000-0000-0000BA1B0000}"/>
    <cellStyle name="40% - Акцент4 166" xfId="7590" xr:uid="{00000000-0005-0000-0000-0000BB1B0000}"/>
    <cellStyle name="40% - Акцент4 166 2" xfId="7591" xr:uid="{00000000-0005-0000-0000-0000BC1B0000}"/>
    <cellStyle name="40% - Акцент4 167" xfId="7592" xr:uid="{00000000-0005-0000-0000-0000BD1B0000}"/>
    <cellStyle name="40% - Акцент4 167 2" xfId="7593" xr:uid="{00000000-0005-0000-0000-0000BE1B0000}"/>
    <cellStyle name="40% - Акцент4 168" xfId="7594" xr:uid="{00000000-0005-0000-0000-0000BF1B0000}"/>
    <cellStyle name="40% - Акцент4 168 2" xfId="7595" xr:uid="{00000000-0005-0000-0000-0000C01B0000}"/>
    <cellStyle name="40% - Акцент4 169" xfId="7596" xr:uid="{00000000-0005-0000-0000-0000C11B0000}"/>
    <cellStyle name="40% - Акцент4 169 2" xfId="7597" xr:uid="{00000000-0005-0000-0000-0000C21B0000}"/>
    <cellStyle name="40% - Акцент4 17" xfId="7598" xr:uid="{00000000-0005-0000-0000-0000C31B0000}"/>
    <cellStyle name="40% - Акцент4 170" xfId="7599" xr:uid="{00000000-0005-0000-0000-0000C41B0000}"/>
    <cellStyle name="40% - Акцент4 170 2" xfId="7600" xr:uid="{00000000-0005-0000-0000-0000C51B0000}"/>
    <cellStyle name="40% - Акцент4 171" xfId="7601" xr:uid="{00000000-0005-0000-0000-0000C61B0000}"/>
    <cellStyle name="40% - Акцент4 171 2" xfId="7602" xr:uid="{00000000-0005-0000-0000-0000C71B0000}"/>
    <cellStyle name="40% - Акцент4 172" xfId="7603" xr:uid="{00000000-0005-0000-0000-0000C81B0000}"/>
    <cellStyle name="40% - Акцент4 172 2" xfId="7604" xr:uid="{00000000-0005-0000-0000-0000C91B0000}"/>
    <cellStyle name="40% - Акцент4 173" xfId="7605" xr:uid="{00000000-0005-0000-0000-0000CA1B0000}"/>
    <cellStyle name="40% - Акцент4 173 2" xfId="7606" xr:uid="{00000000-0005-0000-0000-0000CB1B0000}"/>
    <cellStyle name="40% - Акцент4 174" xfId="7607" xr:uid="{00000000-0005-0000-0000-0000CC1B0000}"/>
    <cellStyle name="40% - Акцент4 174 2" xfId="7608" xr:uid="{00000000-0005-0000-0000-0000CD1B0000}"/>
    <cellStyle name="40% - Акцент4 175" xfId="7609" xr:uid="{00000000-0005-0000-0000-0000CE1B0000}"/>
    <cellStyle name="40% - Акцент4 175 2" xfId="7610" xr:uid="{00000000-0005-0000-0000-0000CF1B0000}"/>
    <cellStyle name="40% - Акцент4 176" xfId="7611" xr:uid="{00000000-0005-0000-0000-0000D01B0000}"/>
    <cellStyle name="40% - Акцент4 176 2" xfId="7612" xr:uid="{00000000-0005-0000-0000-0000D11B0000}"/>
    <cellStyle name="40% - Акцент4 177" xfId="7613" xr:uid="{00000000-0005-0000-0000-0000D21B0000}"/>
    <cellStyle name="40% - Акцент4 177 2" xfId="7614" xr:uid="{00000000-0005-0000-0000-0000D31B0000}"/>
    <cellStyle name="40% - Акцент4 178" xfId="7615" xr:uid="{00000000-0005-0000-0000-0000D41B0000}"/>
    <cellStyle name="40% - Акцент4 178 2" xfId="7616" xr:uid="{00000000-0005-0000-0000-0000D51B0000}"/>
    <cellStyle name="40% - Акцент4 179" xfId="7617" xr:uid="{00000000-0005-0000-0000-0000D61B0000}"/>
    <cellStyle name="40% - Акцент4 179 2" xfId="7618" xr:uid="{00000000-0005-0000-0000-0000D71B0000}"/>
    <cellStyle name="40% - Акцент4 18" xfId="7619" xr:uid="{00000000-0005-0000-0000-0000D81B0000}"/>
    <cellStyle name="40% - Акцент4 180" xfId="7620" xr:uid="{00000000-0005-0000-0000-0000D91B0000}"/>
    <cellStyle name="40% - Акцент4 180 2" xfId="7621" xr:uid="{00000000-0005-0000-0000-0000DA1B0000}"/>
    <cellStyle name="40% - Акцент4 181" xfId="7622" xr:uid="{00000000-0005-0000-0000-0000DB1B0000}"/>
    <cellStyle name="40% - Акцент4 181 2" xfId="7623" xr:uid="{00000000-0005-0000-0000-0000DC1B0000}"/>
    <cellStyle name="40% - Акцент4 182" xfId="7624" xr:uid="{00000000-0005-0000-0000-0000DD1B0000}"/>
    <cellStyle name="40% - Акцент4 182 2" xfId="7625" xr:uid="{00000000-0005-0000-0000-0000DE1B0000}"/>
    <cellStyle name="40% - Акцент4 183" xfId="7626" xr:uid="{00000000-0005-0000-0000-0000DF1B0000}"/>
    <cellStyle name="40% - Акцент4 183 2" xfId="7627" xr:uid="{00000000-0005-0000-0000-0000E01B0000}"/>
    <cellStyle name="40% - Акцент4 184" xfId="7628" xr:uid="{00000000-0005-0000-0000-0000E11B0000}"/>
    <cellStyle name="40% - Акцент4 184 2" xfId="7629" xr:uid="{00000000-0005-0000-0000-0000E21B0000}"/>
    <cellStyle name="40% - Акцент4 185" xfId="7630" xr:uid="{00000000-0005-0000-0000-0000E31B0000}"/>
    <cellStyle name="40% - Акцент4 185 2" xfId="7631" xr:uid="{00000000-0005-0000-0000-0000E41B0000}"/>
    <cellStyle name="40% - Акцент4 186" xfId="7632" xr:uid="{00000000-0005-0000-0000-0000E51B0000}"/>
    <cellStyle name="40% - Акцент4 186 2" xfId="7633" xr:uid="{00000000-0005-0000-0000-0000E61B0000}"/>
    <cellStyle name="40% - Акцент4 187" xfId="7634" xr:uid="{00000000-0005-0000-0000-0000E71B0000}"/>
    <cellStyle name="40% - Акцент4 187 2" xfId="7635" xr:uid="{00000000-0005-0000-0000-0000E81B0000}"/>
    <cellStyle name="40% - Акцент4 188" xfId="7636" xr:uid="{00000000-0005-0000-0000-0000E91B0000}"/>
    <cellStyle name="40% - Акцент4 188 2" xfId="7637" xr:uid="{00000000-0005-0000-0000-0000EA1B0000}"/>
    <cellStyle name="40% - Акцент4 189" xfId="7638" xr:uid="{00000000-0005-0000-0000-0000EB1B0000}"/>
    <cellStyle name="40% - Акцент4 189 2" xfId="7639" xr:uid="{00000000-0005-0000-0000-0000EC1B0000}"/>
    <cellStyle name="40% - Акцент4 19" xfId="7640" xr:uid="{00000000-0005-0000-0000-0000ED1B0000}"/>
    <cellStyle name="40% - Акцент4 190" xfId="7641" xr:uid="{00000000-0005-0000-0000-0000EE1B0000}"/>
    <cellStyle name="40% - Акцент4 190 2" xfId="7642" xr:uid="{00000000-0005-0000-0000-0000EF1B0000}"/>
    <cellStyle name="40% - Акцент4 191" xfId="7643" xr:uid="{00000000-0005-0000-0000-0000F01B0000}"/>
    <cellStyle name="40% - Акцент4 191 2" xfId="7644" xr:uid="{00000000-0005-0000-0000-0000F11B0000}"/>
    <cellStyle name="40% - Акцент4 192" xfId="7645" xr:uid="{00000000-0005-0000-0000-0000F21B0000}"/>
    <cellStyle name="40% - Акцент4 192 2" xfId="7646" xr:uid="{00000000-0005-0000-0000-0000F31B0000}"/>
    <cellStyle name="40% - Акцент4 193" xfId="7647" xr:uid="{00000000-0005-0000-0000-0000F41B0000}"/>
    <cellStyle name="40% - Акцент4 193 2" xfId="7648" xr:uid="{00000000-0005-0000-0000-0000F51B0000}"/>
    <cellStyle name="40% - Акцент4 194" xfId="7649" xr:uid="{00000000-0005-0000-0000-0000F61B0000}"/>
    <cellStyle name="40% - Акцент4 194 2" xfId="7650" xr:uid="{00000000-0005-0000-0000-0000F71B0000}"/>
    <cellStyle name="40% - Акцент4 195" xfId="7651" xr:uid="{00000000-0005-0000-0000-0000F81B0000}"/>
    <cellStyle name="40% - Акцент4 195 2" xfId="7652" xr:uid="{00000000-0005-0000-0000-0000F91B0000}"/>
    <cellStyle name="40% - Акцент4 196" xfId="7653" xr:uid="{00000000-0005-0000-0000-0000FA1B0000}"/>
    <cellStyle name="40% - Акцент4 196 2" xfId="7654" xr:uid="{00000000-0005-0000-0000-0000FB1B0000}"/>
    <cellStyle name="40% - Акцент4 197" xfId="7655" xr:uid="{00000000-0005-0000-0000-0000FC1B0000}"/>
    <cellStyle name="40% - Акцент4 197 2" xfId="7656" xr:uid="{00000000-0005-0000-0000-0000FD1B0000}"/>
    <cellStyle name="40% - Акцент4 198" xfId="7657" xr:uid="{00000000-0005-0000-0000-0000FE1B0000}"/>
    <cellStyle name="40% - Акцент4 198 2" xfId="7658" xr:uid="{00000000-0005-0000-0000-0000FF1B0000}"/>
    <cellStyle name="40% - Акцент4 199" xfId="7659" xr:uid="{00000000-0005-0000-0000-0000001C0000}"/>
    <cellStyle name="40% - Акцент4 199 2" xfId="7660" xr:uid="{00000000-0005-0000-0000-0000011C0000}"/>
    <cellStyle name="40% - Акцент4 2" xfId="7661" xr:uid="{00000000-0005-0000-0000-0000021C0000}"/>
    <cellStyle name="40% - Акцент4 2 2" xfId="7662" xr:uid="{00000000-0005-0000-0000-0000031C0000}"/>
    <cellStyle name="40% - Акцент4 2 2 2" xfId="7663" xr:uid="{00000000-0005-0000-0000-0000041C0000}"/>
    <cellStyle name="40% - Акцент4 2 3" xfId="7664" xr:uid="{00000000-0005-0000-0000-0000051C0000}"/>
    <cellStyle name="40% - Акцент4 2 4" xfId="7665" xr:uid="{00000000-0005-0000-0000-0000061C0000}"/>
    <cellStyle name="40% - Акцент4 2 5" xfId="7666" xr:uid="{00000000-0005-0000-0000-0000071C0000}"/>
    <cellStyle name="40% - Акцент4 2 6" xfId="7667" xr:uid="{00000000-0005-0000-0000-0000081C0000}"/>
    <cellStyle name="40% - Акцент4 2 7" xfId="7668" xr:uid="{00000000-0005-0000-0000-0000091C0000}"/>
    <cellStyle name="40% - Акцент4 20" xfId="7669" xr:uid="{00000000-0005-0000-0000-00000A1C0000}"/>
    <cellStyle name="40% - Акцент4 20 2" xfId="7670" xr:uid="{00000000-0005-0000-0000-00000B1C0000}"/>
    <cellStyle name="40% - Акцент4 200" xfId="7671" xr:uid="{00000000-0005-0000-0000-00000C1C0000}"/>
    <cellStyle name="40% - Акцент4 200 2" xfId="7672" xr:uid="{00000000-0005-0000-0000-00000D1C0000}"/>
    <cellStyle name="40% - Акцент4 201" xfId="7673" xr:uid="{00000000-0005-0000-0000-00000E1C0000}"/>
    <cellStyle name="40% - Акцент4 201 2" xfId="7674" xr:uid="{00000000-0005-0000-0000-00000F1C0000}"/>
    <cellStyle name="40% - Акцент4 202" xfId="7675" xr:uid="{00000000-0005-0000-0000-0000101C0000}"/>
    <cellStyle name="40% - Акцент4 202 2" xfId="7676" xr:uid="{00000000-0005-0000-0000-0000111C0000}"/>
    <cellStyle name="40% - Акцент4 203" xfId="7677" xr:uid="{00000000-0005-0000-0000-0000121C0000}"/>
    <cellStyle name="40% - Акцент4 203 2" xfId="7678" xr:uid="{00000000-0005-0000-0000-0000131C0000}"/>
    <cellStyle name="40% - Акцент4 204" xfId="7679" xr:uid="{00000000-0005-0000-0000-0000141C0000}"/>
    <cellStyle name="40% - Акцент4 204 2" xfId="7680" xr:uid="{00000000-0005-0000-0000-0000151C0000}"/>
    <cellStyle name="40% - Акцент4 205" xfId="7681" xr:uid="{00000000-0005-0000-0000-0000161C0000}"/>
    <cellStyle name="40% - Акцент4 205 2" xfId="7682" xr:uid="{00000000-0005-0000-0000-0000171C0000}"/>
    <cellStyle name="40% - Акцент4 206" xfId="7683" xr:uid="{00000000-0005-0000-0000-0000181C0000}"/>
    <cellStyle name="40% - Акцент4 206 2" xfId="7684" xr:uid="{00000000-0005-0000-0000-0000191C0000}"/>
    <cellStyle name="40% - Акцент4 207" xfId="7685" xr:uid="{00000000-0005-0000-0000-00001A1C0000}"/>
    <cellStyle name="40% - Акцент4 207 2" xfId="7686" xr:uid="{00000000-0005-0000-0000-00001B1C0000}"/>
    <cellStyle name="40% - Акцент4 208" xfId="7687" xr:uid="{00000000-0005-0000-0000-00001C1C0000}"/>
    <cellStyle name="40% - Акцент4 208 2" xfId="7688" xr:uid="{00000000-0005-0000-0000-00001D1C0000}"/>
    <cellStyle name="40% - Акцент4 209" xfId="7689" xr:uid="{00000000-0005-0000-0000-00001E1C0000}"/>
    <cellStyle name="40% - Акцент4 209 2" xfId="7690" xr:uid="{00000000-0005-0000-0000-00001F1C0000}"/>
    <cellStyle name="40% - Акцент4 21" xfId="7691" xr:uid="{00000000-0005-0000-0000-0000201C0000}"/>
    <cellStyle name="40% - Акцент4 21 2" xfId="7692" xr:uid="{00000000-0005-0000-0000-0000211C0000}"/>
    <cellStyle name="40% - Акцент4 210" xfId="7693" xr:uid="{00000000-0005-0000-0000-0000221C0000}"/>
    <cellStyle name="40% - Акцент4 210 2" xfId="7694" xr:uid="{00000000-0005-0000-0000-0000231C0000}"/>
    <cellStyle name="40% - Акцент4 211" xfId="7695" xr:uid="{00000000-0005-0000-0000-0000241C0000}"/>
    <cellStyle name="40% - Акцент4 211 2" xfId="7696" xr:uid="{00000000-0005-0000-0000-0000251C0000}"/>
    <cellStyle name="40% - Акцент4 212" xfId="7697" xr:uid="{00000000-0005-0000-0000-0000261C0000}"/>
    <cellStyle name="40% - Акцент4 212 2" xfId="7698" xr:uid="{00000000-0005-0000-0000-0000271C0000}"/>
    <cellStyle name="40% - Акцент4 213" xfId="7699" xr:uid="{00000000-0005-0000-0000-0000281C0000}"/>
    <cellStyle name="40% - Акцент4 213 2" xfId="7700" xr:uid="{00000000-0005-0000-0000-0000291C0000}"/>
    <cellStyle name="40% - Акцент4 214" xfId="7701" xr:uid="{00000000-0005-0000-0000-00002A1C0000}"/>
    <cellStyle name="40% - Акцент4 214 2" xfId="7702" xr:uid="{00000000-0005-0000-0000-00002B1C0000}"/>
    <cellStyle name="40% - Акцент4 215" xfId="7703" xr:uid="{00000000-0005-0000-0000-00002C1C0000}"/>
    <cellStyle name="40% - Акцент4 215 2" xfId="7704" xr:uid="{00000000-0005-0000-0000-00002D1C0000}"/>
    <cellStyle name="40% - Акцент4 216" xfId="7705" xr:uid="{00000000-0005-0000-0000-00002E1C0000}"/>
    <cellStyle name="40% - Акцент4 216 2" xfId="7706" xr:uid="{00000000-0005-0000-0000-00002F1C0000}"/>
    <cellStyle name="40% - Акцент4 217" xfId="7707" xr:uid="{00000000-0005-0000-0000-0000301C0000}"/>
    <cellStyle name="40% - Акцент4 217 2" xfId="7708" xr:uid="{00000000-0005-0000-0000-0000311C0000}"/>
    <cellStyle name="40% - Акцент4 217 3" xfId="7709" xr:uid="{00000000-0005-0000-0000-0000321C0000}"/>
    <cellStyle name="40% - Акцент4 218" xfId="7710" xr:uid="{00000000-0005-0000-0000-0000331C0000}"/>
    <cellStyle name="40% - Акцент4 219" xfId="7711" xr:uid="{00000000-0005-0000-0000-0000341C0000}"/>
    <cellStyle name="40% - Акцент4 22" xfId="7712" xr:uid="{00000000-0005-0000-0000-0000351C0000}"/>
    <cellStyle name="40% - Акцент4 22 2" xfId="7713" xr:uid="{00000000-0005-0000-0000-0000361C0000}"/>
    <cellStyle name="40% - Акцент4 220" xfId="7714" xr:uid="{00000000-0005-0000-0000-0000371C0000}"/>
    <cellStyle name="40% - Акцент4 221" xfId="7715" xr:uid="{00000000-0005-0000-0000-0000381C0000}"/>
    <cellStyle name="40% - Акцент4 222" xfId="7716" xr:uid="{00000000-0005-0000-0000-0000391C0000}"/>
    <cellStyle name="40% - Акцент4 223" xfId="7717" xr:uid="{00000000-0005-0000-0000-00003A1C0000}"/>
    <cellStyle name="40% - Акцент4 224" xfId="7718" xr:uid="{00000000-0005-0000-0000-00003B1C0000}"/>
    <cellStyle name="40% - Акцент4 225" xfId="7719" xr:uid="{00000000-0005-0000-0000-00003C1C0000}"/>
    <cellStyle name="40% - Акцент4 226" xfId="7720" xr:uid="{00000000-0005-0000-0000-00003D1C0000}"/>
    <cellStyle name="40% - Акцент4 227" xfId="7721" xr:uid="{00000000-0005-0000-0000-00003E1C0000}"/>
    <cellStyle name="40% - Акцент4 228" xfId="7722" xr:uid="{00000000-0005-0000-0000-00003F1C0000}"/>
    <cellStyle name="40% - Акцент4 229" xfId="7723" xr:uid="{00000000-0005-0000-0000-0000401C0000}"/>
    <cellStyle name="40% - Акцент4 23" xfId="7724" xr:uid="{00000000-0005-0000-0000-0000411C0000}"/>
    <cellStyle name="40% - Акцент4 23 2" xfId="7725" xr:uid="{00000000-0005-0000-0000-0000421C0000}"/>
    <cellStyle name="40% - Акцент4 230" xfId="7726" xr:uid="{00000000-0005-0000-0000-0000431C0000}"/>
    <cellStyle name="40% - Акцент4 231" xfId="7727" xr:uid="{00000000-0005-0000-0000-0000441C0000}"/>
    <cellStyle name="40% - Акцент4 232" xfId="7728" xr:uid="{00000000-0005-0000-0000-0000451C0000}"/>
    <cellStyle name="40% - Акцент4 233" xfId="7729" xr:uid="{00000000-0005-0000-0000-0000461C0000}"/>
    <cellStyle name="40% - Акцент4 234" xfId="7730" xr:uid="{00000000-0005-0000-0000-0000471C0000}"/>
    <cellStyle name="40% - Акцент4 235" xfId="7731" xr:uid="{00000000-0005-0000-0000-0000481C0000}"/>
    <cellStyle name="40% - Акцент4 236" xfId="7732" xr:uid="{00000000-0005-0000-0000-0000491C0000}"/>
    <cellStyle name="40% - Акцент4 237" xfId="7733" xr:uid="{00000000-0005-0000-0000-00004A1C0000}"/>
    <cellStyle name="40% - Акцент4 238" xfId="7734" xr:uid="{00000000-0005-0000-0000-00004B1C0000}"/>
    <cellStyle name="40% - Акцент4 239" xfId="7735" xr:uid="{00000000-0005-0000-0000-00004C1C0000}"/>
    <cellStyle name="40% - Акцент4 24" xfId="7736" xr:uid="{00000000-0005-0000-0000-00004D1C0000}"/>
    <cellStyle name="40% - Акцент4 24 2" xfId="7737" xr:uid="{00000000-0005-0000-0000-00004E1C0000}"/>
    <cellStyle name="40% - Акцент4 240" xfId="7738" xr:uid="{00000000-0005-0000-0000-00004F1C0000}"/>
    <cellStyle name="40% - Акцент4 241" xfId="7739" xr:uid="{00000000-0005-0000-0000-0000501C0000}"/>
    <cellStyle name="40% - Акцент4 242" xfId="7740" xr:uid="{00000000-0005-0000-0000-0000511C0000}"/>
    <cellStyle name="40% - Акцент4 243" xfId="7741" xr:uid="{00000000-0005-0000-0000-0000521C0000}"/>
    <cellStyle name="40% - Акцент4 244" xfId="7742" xr:uid="{00000000-0005-0000-0000-0000531C0000}"/>
    <cellStyle name="40% - Акцент4 245" xfId="7743" xr:uid="{00000000-0005-0000-0000-0000541C0000}"/>
    <cellStyle name="40% - Акцент4 246" xfId="7744" xr:uid="{00000000-0005-0000-0000-0000551C0000}"/>
    <cellStyle name="40% - Акцент4 247" xfId="7745" xr:uid="{00000000-0005-0000-0000-0000561C0000}"/>
    <cellStyle name="40% - Акцент4 248" xfId="7746" xr:uid="{00000000-0005-0000-0000-0000571C0000}"/>
    <cellStyle name="40% - Акцент4 249" xfId="7747" xr:uid="{00000000-0005-0000-0000-0000581C0000}"/>
    <cellStyle name="40% - Акцент4 25" xfId="7748" xr:uid="{00000000-0005-0000-0000-0000591C0000}"/>
    <cellStyle name="40% - Акцент4 25 2" xfId="7749" xr:uid="{00000000-0005-0000-0000-00005A1C0000}"/>
    <cellStyle name="40% - Акцент4 250" xfId="7750" xr:uid="{00000000-0005-0000-0000-00005B1C0000}"/>
    <cellStyle name="40% - Акцент4 251" xfId="7751" xr:uid="{00000000-0005-0000-0000-00005C1C0000}"/>
    <cellStyle name="40% - Акцент4 252" xfId="7752" xr:uid="{00000000-0005-0000-0000-00005D1C0000}"/>
    <cellStyle name="40% - Акцент4 253" xfId="7753" xr:uid="{00000000-0005-0000-0000-00005E1C0000}"/>
    <cellStyle name="40% - Акцент4 254" xfId="7754" xr:uid="{00000000-0005-0000-0000-00005F1C0000}"/>
    <cellStyle name="40% - Акцент4 255" xfId="7755" xr:uid="{00000000-0005-0000-0000-0000601C0000}"/>
    <cellStyle name="40% - Акцент4 26" xfId="7756" xr:uid="{00000000-0005-0000-0000-0000611C0000}"/>
    <cellStyle name="40% - Акцент4 26 2" xfId="7757" xr:uid="{00000000-0005-0000-0000-0000621C0000}"/>
    <cellStyle name="40% - Акцент4 27" xfId="7758" xr:uid="{00000000-0005-0000-0000-0000631C0000}"/>
    <cellStyle name="40% - Акцент4 27 2" xfId="7759" xr:uid="{00000000-0005-0000-0000-0000641C0000}"/>
    <cellStyle name="40% - Акцент4 28" xfId="7760" xr:uid="{00000000-0005-0000-0000-0000651C0000}"/>
    <cellStyle name="40% - Акцент4 28 2" xfId="7761" xr:uid="{00000000-0005-0000-0000-0000661C0000}"/>
    <cellStyle name="40% - Акцент4 29" xfId="7762" xr:uid="{00000000-0005-0000-0000-0000671C0000}"/>
    <cellStyle name="40% - Акцент4 29 2" xfId="7763" xr:uid="{00000000-0005-0000-0000-0000681C0000}"/>
    <cellStyle name="40% - Акцент4 3" xfId="7764" xr:uid="{00000000-0005-0000-0000-0000691C0000}"/>
    <cellStyle name="40% - Акцент4 30" xfId="7765" xr:uid="{00000000-0005-0000-0000-00006A1C0000}"/>
    <cellStyle name="40% - Акцент4 30 2" xfId="7766" xr:uid="{00000000-0005-0000-0000-00006B1C0000}"/>
    <cellStyle name="40% - Акцент4 31" xfId="7767" xr:uid="{00000000-0005-0000-0000-00006C1C0000}"/>
    <cellStyle name="40% - Акцент4 31 2" xfId="7768" xr:uid="{00000000-0005-0000-0000-00006D1C0000}"/>
    <cellStyle name="40% - Акцент4 32" xfId="7769" xr:uid="{00000000-0005-0000-0000-00006E1C0000}"/>
    <cellStyle name="40% - Акцент4 32 2" xfId="7770" xr:uid="{00000000-0005-0000-0000-00006F1C0000}"/>
    <cellStyle name="40% - Акцент4 33" xfId="7771" xr:uid="{00000000-0005-0000-0000-0000701C0000}"/>
    <cellStyle name="40% - Акцент4 33 2" xfId="7772" xr:uid="{00000000-0005-0000-0000-0000711C0000}"/>
    <cellStyle name="40% - Акцент4 34" xfId="7773" xr:uid="{00000000-0005-0000-0000-0000721C0000}"/>
    <cellStyle name="40% - Акцент4 34 2" xfId="7774" xr:uid="{00000000-0005-0000-0000-0000731C0000}"/>
    <cellStyle name="40% - Акцент4 35" xfId="7775" xr:uid="{00000000-0005-0000-0000-0000741C0000}"/>
    <cellStyle name="40% - Акцент4 35 2" xfId="7776" xr:uid="{00000000-0005-0000-0000-0000751C0000}"/>
    <cellStyle name="40% - Акцент4 36" xfId="7777" xr:uid="{00000000-0005-0000-0000-0000761C0000}"/>
    <cellStyle name="40% - Акцент4 36 2" xfId="7778" xr:uid="{00000000-0005-0000-0000-0000771C0000}"/>
    <cellStyle name="40% - Акцент4 37" xfId="7779" xr:uid="{00000000-0005-0000-0000-0000781C0000}"/>
    <cellStyle name="40% - Акцент4 37 2" xfId="7780" xr:uid="{00000000-0005-0000-0000-0000791C0000}"/>
    <cellStyle name="40% - Акцент4 38" xfId="7781" xr:uid="{00000000-0005-0000-0000-00007A1C0000}"/>
    <cellStyle name="40% - Акцент4 38 2" xfId="7782" xr:uid="{00000000-0005-0000-0000-00007B1C0000}"/>
    <cellStyle name="40% - Акцент4 39" xfId="7783" xr:uid="{00000000-0005-0000-0000-00007C1C0000}"/>
    <cellStyle name="40% - Акцент4 39 2" xfId="7784" xr:uid="{00000000-0005-0000-0000-00007D1C0000}"/>
    <cellStyle name="40% - Акцент4 4" xfId="7785" xr:uid="{00000000-0005-0000-0000-00007E1C0000}"/>
    <cellStyle name="40% - Акцент4 4 2" xfId="7786" xr:uid="{00000000-0005-0000-0000-00007F1C0000}"/>
    <cellStyle name="40% - Акцент4 4 3" xfId="7787" xr:uid="{00000000-0005-0000-0000-0000801C0000}"/>
    <cellStyle name="40% - Акцент4 40" xfId="7788" xr:uid="{00000000-0005-0000-0000-0000811C0000}"/>
    <cellStyle name="40% - Акцент4 40 2" xfId="7789" xr:uid="{00000000-0005-0000-0000-0000821C0000}"/>
    <cellStyle name="40% - Акцент4 40 2 2" xfId="7790" xr:uid="{00000000-0005-0000-0000-0000831C0000}"/>
    <cellStyle name="40% - Акцент4 40 2 3" xfId="7791" xr:uid="{00000000-0005-0000-0000-0000841C0000}"/>
    <cellStyle name="40% - Акцент4 40 3" xfId="7792" xr:uid="{00000000-0005-0000-0000-0000851C0000}"/>
    <cellStyle name="40% - Акцент4 40 4" xfId="7793" xr:uid="{00000000-0005-0000-0000-0000861C0000}"/>
    <cellStyle name="40% - Акцент4 41" xfId="7794" xr:uid="{00000000-0005-0000-0000-0000871C0000}"/>
    <cellStyle name="40% - Акцент4 41 2" xfId="7795" xr:uid="{00000000-0005-0000-0000-0000881C0000}"/>
    <cellStyle name="40% - Акцент4 41 2 2" xfId="7796" xr:uid="{00000000-0005-0000-0000-0000891C0000}"/>
    <cellStyle name="40% - Акцент4 41 2 3" xfId="7797" xr:uid="{00000000-0005-0000-0000-00008A1C0000}"/>
    <cellStyle name="40% - Акцент4 41 3" xfId="7798" xr:uid="{00000000-0005-0000-0000-00008B1C0000}"/>
    <cellStyle name="40% - Акцент4 41 4" xfId="7799" xr:uid="{00000000-0005-0000-0000-00008C1C0000}"/>
    <cellStyle name="40% - Акцент4 42" xfId="7800" xr:uid="{00000000-0005-0000-0000-00008D1C0000}"/>
    <cellStyle name="40% - Акцент4 42 2" xfId="7801" xr:uid="{00000000-0005-0000-0000-00008E1C0000}"/>
    <cellStyle name="40% - Акцент4 42 2 2" xfId="7802" xr:uid="{00000000-0005-0000-0000-00008F1C0000}"/>
    <cellStyle name="40% - Акцент4 42 2 3" xfId="7803" xr:uid="{00000000-0005-0000-0000-0000901C0000}"/>
    <cellStyle name="40% - Акцент4 42 3" xfId="7804" xr:uid="{00000000-0005-0000-0000-0000911C0000}"/>
    <cellStyle name="40% - Акцент4 42 4" xfId="7805" xr:uid="{00000000-0005-0000-0000-0000921C0000}"/>
    <cellStyle name="40% - Акцент4 43" xfId="7806" xr:uid="{00000000-0005-0000-0000-0000931C0000}"/>
    <cellStyle name="40% - Акцент4 43 2" xfId="7807" xr:uid="{00000000-0005-0000-0000-0000941C0000}"/>
    <cellStyle name="40% - Акцент4 43 2 2" xfId="7808" xr:uid="{00000000-0005-0000-0000-0000951C0000}"/>
    <cellStyle name="40% - Акцент4 43 2 3" xfId="7809" xr:uid="{00000000-0005-0000-0000-0000961C0000}"/>
    <cellStyle name="40% - Акцент4 43 3" xfId="7810" xr:uid="{00000000-0005-0000-0000-0000971C0000}"/>
    <cellStyle name="40% - Акцент4 43 4" xfId="7811" xr:uid="{00000000-0005-0000-0000-0000981C0000}"/>
    <cellStyle name="40% - Акцент4 44" xfId="7812" xr:uid="{00000000-0005-0000-0000-0000991C0000}"/>
    <cellStyle name="40% - Акцент4 44 2" xfId="7813" xr:uid="{00000000-0005-0000-0000-00009A1C0000}"/>
    <cellStyle name="40% - Акцент4 44 2 2" xfId="7814" xr:uid="{00000000-0005-0000-0000-00009B1C0000}"/>
    <cellStyle name="40% - Акцент4 44 2 3" xfId="7815" xr:uid="{00000000-0005-0000-0000-00009C1C0000}"/>
    <cellStyle name="40% - Акцент4 44 3" xfId="7816" xr:uid="{00000000-0005-0000-0000-00009D1C0000}"/>
    <cellStyle name="40% - Акцент4 44 4" xfId="7817" xr:uid="{00000000-0005-0000-0000-00009E1C0000}"/>
    <cellStyle name="40% - Акцент4 45" xfId="7818" xr:uid="{00000000-0005-0000-0000-00009F1C0000}"/>
    <cellStyle name="40% - Акцент4 45 2" xfId="7819" xr:uid="{00000000-0005-0000-0000-0000A01C0000}"/>
    <cellStyle name="40% - Акцент4 45 2 2" xfId="7820" xr:uid="{00000000-0005-0000-0000-0000A11C0000}"/>
    <cellStyle name="40% - Акцент4 45 2 3" xfId="7821" xr:uid="{00000000-0005-0000-0000-0000A21C0000}"/>
    <cellStyle name="40% - Акцент4 45 3" xfId="7822" xr:uid="{00000000-0005-0000-0000-0000A31C0000}"/>
    <cellStyle name="40% - Акцент4 45 4" xfId="7823" xr:uid="{00000000-0005-0000-0000-0000A41C0000}"/>
    <cellStyle name="40% - Акцент4 46" xfId="7824" xr:uid="{00000000-0005-0000-0000-0000A51C0000}"/>
    <cellStyle name="40% - Акцент4 46 2" xfId="7825" xr:uid="{00000000-0005-0000-0000-0000A61C0000}"/>
    <cellStyle name="40% - Акцент4 46 2 2" xfId="7826" xr:uid="{00000000-0005-0000-0000-0000A71C0000}"/>
    <cellStyle name="40% - Акцент4 46 2 3" xfId="7827" xr:uid="{00000000-0005-0000-0000-0000A81C0000}"/>
    <cellStyle name="40% - Акцент4 46 3" xfId="7828" xr:uid="{00000000-0005-0000-0000-0000A91C0000}"/>
    <cellStyle name="40% - Акцент4 46 4" xfId="7829" xr:uid="{00000000-0005-0000-0000-0000AA1C0000}"/>
    <cellStyle name="40% - Акцент4 47" xfId="7830" xr:uid="{00000000-0005-0000-0000-0000AB1C0000}"/>
    <cellStyle name="40% - Акцент4 47 2" xfId="7831" xr:uid="{00000000-0005-0000-0000-0000AC1C0000}"/>
    <cellStyle name="40% - Акцент4 47 2 2" xfId="7832" xr:uid="{00000000-0005-0000-0000-0000AD1C0000}"/>
    <cellStyle name="40% - Акцент4 47 2 3" xfId="7833" xr:uid="{00000000-0005-0000-0000-0000AE1C0000}"/>
    <cellStyle name="40% - Акцент4 47 3" xfId="7834" xr:uid="{00000000-0005-0000-0000-0000AF1C0000}"/>
    <cellStyle name="40% - Акцент4 47 4" xfId="7835" xr:uid="{00000000-0005-0000-0000-0000B01C0000}"/>
    <cellStyle name="40% - Акцент4 48" xfId="7836" xr:uid="{00000000-0005-0000-0000-0000B11C0000}"/>
    <cellStyle name="40% - Акцент4 48 2" xfId="7837" xr:uid="{00000000-0005-0000-0000-0000B21C0000}"/>
    <cellStyle name="40% - Акцент4 48 2 2" xfId="7838" xr:uid="{00000000-0005-0000-0000-0000B31C0000}"/>
    <cellStyle name="40% - Акцент4 48 2 3" xfId="7839" xr:uid="{00000000-0005-0000-0000-0000B41C0000}"/>
    <cellStyle name="40% - Акцент4 48 3" xfId="7840" xr:uid="{00000000-0005-0000-0000-0000B51C0000}"/>
    <cellStyle name="40% - Акцент4 48 4" xfId="7841" xr:uid="{00000000-0005-0000-0000-0000B61C0000}"/>
    <cellStyle name="40% - Акцент4 49" xfId="7842" xr:uid="{00000000-0005-0000-0000-0000B71C0000}"/>
    <cellStyle name="40% - Акцент4 49 2" xfId="7843" xr:uid="{00000000-0005-0000-0000-0000B81C0000}"/>
    <cellStyle name="40% - Акцент4 49 3" xfId="7844" xr:uid="{00000000-0005-0000-0000-0000B91C0000}"/>
    <cellStyle name="40% - Акцент4 5" xfId="7845" xr:uid="{00000000-0005-0000-0000-0000BA1C0000}"/>
    <cellStyle name="40% - Акцент4 50" xfId="7846" xr:uid="{00000000-0005-0000-0000-0000BB1C0000}"/>
    <cellStyle name="40% - Акцент4 50 2" xfId="7847" xr:uid="{00000000-0005-0000-0000-0000BC1C0000}"/>
    <cellStyle name="40% - Акцент4 51" xfId="7848" xr:uid="{00000000-0005-0000-0000-0000BD1C0000}"/>
    <cellStyle name="40% - Акцент4 51 2" xfId="7849" xr:uid="{00000000-0005-0000-0000-0000BE1C0000}"/>
    <cellStyle name="40% - Акцент4 52" xfId="7850" xr:uid="{00000000-0005-0000-0000-0000BF1C0000}"/>
    <cellStyle name="40% - Акцент4 52 2" xfId="7851" xr:uid="{00000000-0005-0000-0000-0000C01C0000}"/>
    <cellStyle name="40% - Акцент4 53" xfId="7852" xr:uid="{00000000-0005-0000-0000-0000C11C0000}"/>
    <cellStyle name="40% - Акцент4 53 2" xfId="7853" xr:uid="{00000000-0005-0000-0000-0000C21C0000}"/>
    <cellStyle name="40% - Акцент4 54" xfId="7854" xr:uid="{00000000-0005-0000-0000-0000C31C0000}"/>
    <cellStyle name="40% - Акцент4 54 2" xfId="7855" xr:uid="{00000000-0005-0000-0000-0000C41C0000}"/>
    <cellStyle name="40% - Акцент4 55" xfId="7856" xr:uid="{00000000-0005-0000-0000-0000C51C0000}"/>
    <cellStyle name="40% - Акцент4 55 2" xfId="7857" xr:uid="{00000000-0005-0000-0000-0000C61C0000}"/>
    <cellStyle name="40% - Акцент4 56" xfId="7858" xr:uid="{00000000-0005-0000-0000-0000C71C0000}"/>
    <cellStyle name="40% - Акцент4 56 2" xfId="7859" xr:uid="{00000000-0005-0000-0000-0000C81C0000}"/>
    <cellStyle name="40% - Акцент4 57" xfId="7860" xr:uid="{00000000-0005-0000-0000-0000C91C0000}"/>
    <cellStyle name="40% - Акцент4 57 2" xfId="7861" xr:uid="{00000000-0005-0000-0000-0000CA1C0000}"/>
    <cellStyle name="40% - Акцент4 58" xfId="7862" xr:uid="{00000000-0005-0000-0000-0000CB1C0000}"/>
    <cellStyle name="40% - Акцент4 58 2" xfId="7863" xr:uid="{00000000-0005-0000-0000-0000CC1C0000}"/>
    <cellStyle name="40% - Акцент4 59" xfId="7864" xr:uid="{00000000-0005-0000-0000-0000CD1C0000}"/>
    <cellStyle name="40% - Акцент4 59 2" xfId="7865" xr:uid="{00000000-0005-0000-0000-0000CE1C0000}"/>
    <cellStyle name="40% - Акцент4 6" xfId="7866" xr:uid="{00000000-0005-0000-0000-0000CF1C0000}"/>
    <cellStyle name="40% - Акцент4 60" xfId="7867" xr:uid="{00000000-0005-0000-0000-0000D01C0000}"/>
    <cellStyle name="40% - Акцент4 60 2" xfId="7868" xr:uid="{00000000-0005-0000-0000-0000D11C0000}"/>
    <cellStyle name="40% - Акцент4 61" xfId="7869" xr:uid="{00000000-0005-0000-0000-0000D21C0000}"/>
    <cellStyle name="40% - Акцент4 61 2" xfId="7870" xr:uid="{00000000-0005-0000-0000-0000D31C0000}"/>
    <cellStyle name="40% - Акцент4 62" xfId="7871" xr:uid="{00000000-0005-0000-0000-0000D41C0000}"/>
    <cellStyle name="40% - Акцент4 62 2" xfId="7872" xr:uid="{00000000-0005-0000-0000-0000D51C0000}"/>
    <cellStyle name="40% - Акцент4 63" xfId="7873" xr:uid="{00000000-0005-0000-0000-0000D61C0000}"/>
    <cellStyle name="40% - Акцент4 63 2" xfId="7874" xr:uid="{00000000-0005-0000-0000-0000D71C0000}"/>
    <cellStyle name="40% - Акцент4 64" xfId="7875" xr:uid="{00000000-0005-0000-0000-0000D81C0000}"/>
    <cellStyle name="40% - Акцент4 64 2" xfId="7876" xr:uid="{00000000-0005-0000-0000-0000D91C0000}"/>
    <cellStyle name="40% - Акцент4 65" xfId="7877" xr:uid="{00000000-0005-0000-0000-0000DA1C0000}"/>
    <cellStyle name="40% - Акцент4 65 2" xfId="7878" xr:uid="{00000000-0005-0000-0000-0000DB1C0000}"/>
    <cellStyle name="40% - Акцент4 66" xfId="7879" xr:uid="{00000000-0005-0000-0000-0000DC1C0000}"/>
    <cellStyle name="40% - Акцент4 66 2" xfId="7880" xr:uid="{00000000-0005-0000-0000-0000DD1C0000}"/>
    <cellStyle name="40% - Акцент4 67" xfId="7881" xr:uid="{00000000-0005-0000-0000-0000DE1C0000}"/>
    <cellStyle name="40% - Акцент4 67 2" xfId="7882" xr:uid="{00000000-0005-0000-0000-0000DF1C0000}"/>
    <cellStyle name="40% - Акцент4 68" xfId="7883" xr:uid="{00000000-0005-0000-0000-0000E01C0000}"/>
    <cellStyle name="40% - Акцент4 68 2" xfId="7884" xr:uid="{00000000-0005-0000-0000-0000E11C0000}"/>
    <cellStyle name="40% - Акцент4 69" xfId="7885" xr:uid="{00000000-0005-0000-0000-0000E21C0000}"/>
    <cellStyle name="40% - Акцент4 69 2" xfId="7886" xr:uid="{00000000-0005-0000-0000-0000E31C0000}"/>
    <cellStyle name="40% - Акцент4 7" xfId="7887" xr:uid="{00000000-0005-0000-0000-0000E41C0000}"/>
    <cellStyle name="40% - Акцент4 70" xfId="7888" xr:uid="{00000000-0005-0000-0000-0000E51C0000}"/>
    <cellStyle name="40% - Акцент4 70 2" xfId="7889" xr:uid="{00000000-0005-0000-0000-0000E61C0000}"/>
    <cellStyle name="40% - Акцент4 71" xfId="7890" xr:uid="{00000000-0005-0000-0000-0000E71C0000}"/>
    <cellStyle name="40% - Акцент4 71 2" xfId="7891" xr:uid="{00000000-0005-0000-0000-0000E81C0000}"/>
    <cellStyle name="40% - Акцент4 72" xfId="7892" xr:uid="{00000000-0005-0000-0000-0000E91C0000}"/>
    <cellStyle name="40% - Акцент4 72 2" xfId="7893" xr:uid="{00000000-0005-0000-0000-0000EA1C0000}"/>
    <cellStyle name="40% - Акцент4 73" xfId="7894" xr:uid="{00000000-0005-0000-0000-0000EB1C0000}"/>
    <cellStyle name="40% - Акцент4 73 2" xfId="7895" xr:uid="{00000000-0005-0000-0000-0000EC1C0000}"/>
    <cellStyle name="40% - Акцент4 74" xfId="7896" xr:uid="{00000000-0005-0000-0000-0000ED1C0000}"/>
    <cellStyle name="40% - Акцент4 74 2" xfId="7897" xr:uid="{00000000-0005-0000-0000-0000EE1C0000}"/>
    <cellStyle name="40% - Акцент4 75" xfId="7898" xr:uid="{00000000-0005-0000-0000-0000EF1C0000}"/>
    <cellStyle name="40% - Акцент4 75 2" xfId="7899" xr:uid="{00000000-0005-0000-0000-0000F01C0000}"/>
    <cellStyle name="40% - Акцент4 76" xfId="7900" xr:uid="{00000000-0005-0000-0000-0000F11C0000}"/>
    <cellStyle name="40% - Акцент4 76 2" xfId="7901" xr:uid="{00000000-0005-0000-0000-0000F21C0000}"/>
    <cellStyle name="40% - Акцент4 77" xfId="7902" xr:uid="{00000000-0005-0000-0000-0000F31C0000}"/>
    <cellStyle name="40% - Акцент4 77 2" xfId="7903" xr:uid="{00000000-0005-0000-0000-0000F41C0000}"/>
    <cellStyle name="40% - Акцент4 78" xfId="7904" xr:uid="{00000000-0005-0000-0000-0000F51C0000}"/>
    <cellStyle name="40% - Акцент4 78 2" xfId="7905" xr:uid="{00000000-0005-0000-0000-0000F61C0000}"/>
    <cellStyle name="40% - Акцент4 79" xfId="7906" xr:uid="{00000000-0005-0000-0000-0000F71C0000}"/>
    <cellStyle name="40% - Акцент4 79 2" xfId="7907" xr:uid="{00000000-0005-0000-0000-0000F81C0000}"/>
    <cellStyle name="40% - Акцент4 8" xfId="7908" xr:uid="{00000000-0005-0000-0000-0000F91C0000}"/>
    <cellStyle name="40% - Акцент4 80" xfId="7909" xr:uid="{00000000-0005-0000-0000-0000FA1C0000}"/>
    <cellStyle name="40% - Акцент4 80 2" xfId="7910" xr:uid="{00000000-0005-0000-0000-0000FB1C0000}"/>
    <cellStyle name="40% - Акцент4 81" xfId="7911" xr:uid="{00000000-0005-0000-0000-0000FC1C0000}"/>
    <cellStyle name="40% - Акцент4 81 2" xfId="7912" xr:uid="{00000000-0005-0000-0000-0000FD1C0000}"/>
    <cellStyle name="40% - Акцент4 82" xfId="7913" xr:uid="{00000000-0005-0000-0000-0000FE1C0000}"/>
    <cellStyle name="40% - Акцент4 82 2" xfId="7914" xr:uid="{00000000-0005-0000-0000-0000FF1C0000}"/>
    <cellStyle name="40% - Акцент4 83" xfId="7915" xr:uid="{00000000-0005-0000-0000-0000001D0000}"/>
    <cellStyle name="40% - Акцент4 83 2" xfId="7916" xr:uid="{00000000-0005-0000-0000-0000011D0000}"/>
    <cellStyle name="40% - Акцент4 84" xfId="7917" xr:uid="{00000000-0005-0000-0000-0000021D0000}"/>
    <cellStyle name="40% - Акцент4 84 2" xfId="7918" xr:uid="{00000000-0005-0000-0000-0000031D0000}"/>
    <cellStyle name="40% - Акцент4 85" xfId="7919" xr:uid="{00000000-0005-0000-0000-0000041D0000}"/>
    <cellStyle name="40% - Акцент4 85 2" xfId="7920" xr:uid="{00000000-0005-0000-0000-0000051D0000}"/>
    <cellStyle name="40% - Акцент4 86" xfId="7921" xr:uid="{00000000-0005-0000-0000-0000061D0000}"/>
    <cellStyle name="40% - Акцент4 86 2" xfId="7922" xr:uid="{00000000-0005-0000-0000-0000071D0000}"/>
    <cellStyle name="40% - Акцент4 87" xfId="7923" xr:uid="{00000000-0005-0000-0000-0000081D0000}"/>
    <cellStyle name="40% - Акцент4 87 2" xfId="7924" xr:uid="{00000000-0005-0000-0000-0000091D0000}"/>
    <cellStyle name="40% - Акцент4 88" xfId="7925" xr:uid="{00000000-0005-0000-0000-00000A1D0000}"/>
    <cellStyle name="40% - Акцент4 88 2" xfId="7926" xr:uid="{00000000-0005-0000-0000-00000B1D0000}"/>
    <cellStyle name="40% - Акцент4 89" xfId="7927" xr:uid="{00000000-0005-0000-0000-00000C1D0000}"/>
    <cellStyle name="40% - Акцент4 89 2" xfId="7928" xr:uid="{00000000-0005-0000-0000-00000D1D0000}"/>
    <cellStyle name="40% - Акцент4 9" xfId="7929" xr:uid="{00000000-0005-0000-0000-00000E1D0000}"/>
    <cellStyle name="40% - Акцент4 90" xfId="7930" xr:uid="{00000000-0005-0000-0000-00000F1D0000}"/>
    <cellStyle name="40% - Акцент4 90 2" xfId="7931" xr:uid="{00000000-0005-0000-0000-0000101D0000}"/>
    <cellStyle name="40% - Акцент4 91" xfId="7932" xr:uid="{00000000-0005-0000-0000-0000111D0000}"/>
    <cellStyle name="40% - Акцент4 91 2" xfId="7933" xr:uid="{00000000-0005-0000-0000-0000121D0000}"/>
    <cellStyle name="40% - Акцент4 92" xfId="7934" xr:uid="{00000000-0005-0000-0000-0000131D0000}"/>
    <cellStyle name="40% - Акцент4 92 2" xfId="7935" xr:uid="{00000000-0005-0000-0000-0000141D0000}"/>
    <cellStyle name="40% - Акцент4 93" xfId="7936" xr:uid="{00000000-0005-0000-0000-0000151D0000}"/>
    <cellStyle name="40% - Акцент4 93 2" xfId="7937" xr:uid="{00000000-0005-0000-0000-0000161D0000}"/>
    <cellStyle name="40% - Акцент4 94" xfId="7938" xr:uid="{00000000-0005-0000-0000-0000171D0000}"/>
    <cellStyle name="40% - Акцент4 94 2" xfId="7939" xr:uid="{00000000-0005-0000-0000-0000181D0000}"/>
    <cellStyle name="40% - Акцент4 95" xfId="7940" xr:uid="{00000000-0005-0000-0000-0000191D0000}"/>
    <cellStyle name="40% - Акцент4 95 2" xfId="7941" xr:uid="{00000000-0005-0000-0000-00001A1D0000}"/>
    <cellStyle name="40% - Акцент4 96" xfId="7942" xr:uid="{00000000-0005-0000-0000-00001B1D0000}"/>
    <cellStyle name="40% - Акцент4 96 2" xfId="7943" xr:uid="{00000000-0005-0000-0000-00001C1D0000}"/>
    <cellStyle name="40% - Акцент4 97" xfId="7944" xr:uid="{00000000-0005-0000-0000-00001D1D0000}"/>
    <cellStyle name="40% - Акцент4 97 2" xfId="7945" xr:uid="{00000000-0005-0000-0000-00001E1D0000}"/>
    <cellStyle name="40% - Акцент4 98" xfId="7946" xr:uid="{00000000-0005-0000-0000-00001F1D0000}"/>
    <cellStyle name="40% - Акцент4 98 2" xfId="7947" xr:uid="{00000000-0005-0000-0000-0000201D0000}"/>
    <cellStyle name="40% - Акцент4 99" xfId="7948" xr:uid="{00000000-0005-0000-0000-0000211D0000}"/>
    <cellStyle name="40% - Акцент4 99 2" xfId="7949" xr:uid="{00000000-0005-0000-0000-0000221D0000}"/>
    <cellStyle name="40% - Акцент5 10" xfId="7950" xr:uid="{00000000-0005-0000-0000-0000231D0000}"/>
    <cellStyle name="40% - Акцент5 100" xfId="7951" xr:uid="{00000000-0005-0000-0000-0000241D0000}"/>
    <cellStyle name="40% - Акцент5 100 2" xfId="7952" xr:uid="{00000000-0005-0000-0000-0000251D0000}"/>
    <cellStyle name="40% - Акцент5 101" xfId="7953" xr:uid="{00000000-0005-0000-0000-0000261D0000}"/>
    <cellStyle name="40% - Акцент5 101 2" xfId="7954" xr:uid="{00000000-0005-0000-0000-0000271D0000}"/>
    <cellStyle name="40% - Акцент5 102" xfId="7955" xr:uid="{00000000-0005-0000-0000-0000281D0000}"/>
    <cellStyle name="40% - Акцент5 102 2" xfId="7956" xr:uid="{00000000-0005-0000-0000-0000291D0000}"/>
    <cellStyle name="40% - Акцент5 103" xfId="7957" xr:uid="{00000000-0005-0000-0000-00002A1D0000}"/>
    <cellStyle name="40% - Акцент5 103 2" xfId="7958" xr:uid="{00000000-0005-0000-0000-00002B1D0000}"/>
    <cellStyle name="40% - Акцент5 104" xfId="7959" xr:uid="{00000000-0005-0000-0000-00002C1D0000}"/>
    <cellStyle name="40% - Акцент5 104 2" xfId="7960" xr:uid="{00000000-0005-0000-0000-00002D1D0000}"/>
    <cellStyle name="40% - Акцент5 105" xfId="7961" xr:uid="{00000000-0005-0000-0000-00002E1D0000}"/>
    <cellStyle name="40% - Акцент5 105 2" xfId="7962" xr:uid="{00000000-0005-0000-0000-00002F1D0000}"/>
    <cellStyle name="40% - Акцент5 106" xfId="7963" xr:uid="{00000000-0005-0000-0000-0000301D0000}"/>
    <cellStyle name="40% - Акцент5 106 2" xfId="7964" xr:uid="{00000000-0005-0000-0000-0000311D0000}"/>
    <cellStyle name="40% - Акцент5 107" xfId="7965" xr:uid="{00000000-0005-0000-0000-0000321D0000}"/>
    <cellStyle name="40% - Акцент5 107 2" xfId="7966" xr:uid="{00000000-0005-0000-0000-0000331D0000}"/>
    <cellStyle name="40% - Акцент5 108" xfId="7967" xr:uid="{00000000-0005-0000-0000-0000341D0000}"/>
    <cellStyle name="40% - Акцент5 108 2" xfId="7968" xr:uid="{00000000-0005-0000-0000-0000351D0000}"/>
    <cellStyle name="40% - Акцент5 109" xfId="7969" xr:uid="{00000000-0005-0000-0000-0000361D0000}"/>
    <cellStyle name="40% - Акцент5 109 2" xfId="7970" xr:uid="{00000000-0005-0000-0000-0000371D0000}"/>
    <cellStyle name="40% - Акцент5 11" xfId="7971" xr:uid="{00000000-0005-0000-0000-0000381D0000}"/>
    <cellStyle name="40% - Акцент5 110" xfId="7972" xr:uid="{00000000-0005-0000-0000-0000391D0000}"/>
    <cellStyle name="40% - Акцент5 110 2" xfId="7973" xr:uid="{00000000-0005-0000-0000-00003A1D0000}"/>
    <cellStyle name="40% - Акцент5 111" xfId="7974" xr:uid="{00000000-0005-0000-0000-00003B1D0000}"/>
    <cellStyle name="40% - Акцент5 111 2" xfId="7975" xr:uid="{00000000-0005-0000-0000-00003C1D0000}"/>
    <cellStyle name="40% - Акцент5 112" xfId="7976" xr:uid="{00000000-0005-0000-0000-00003D1D0000}"/>
    <cellStyle name="40% - Акцент5 112 2" xfId="7977" xr:uid="{00000000-0005-0000-0000-00003E1D0000}"/>
    <cellStyle name="40% - Акцент5 113" xfId="7978" xr:uid="{00000000-0005-0000-0000-00003F1D0000}"/>
    <cellStyle name="40% - Акцент5 113 2" xfId="7979" xr:uid="{00000000-0005-0000-0000-0000401D0000}"/>
    <cellStyle name="40% - Акцент5 114" xfId="7980" xr:uid="{00000000-0005-0000-0000-0000411D0000}"/>
    <cellStyle name="40% - Акцент5 114 2" xfId="7981" xr:uid="{00000000-0005-0000-0000-0000421D0000}"/>
    <cellStyle name="40% - Акцент5 115" xfId="7982" xr:uid="{00000000-0005-0000-0000-0000431D0000}"/>
    <cellStyle name="40% - Акцент5 115 2" xfId="7983" xr:uid="{00000000-0005-0000-0000-0000441D0000}"/>
    <cellStyle name="40% - Акцент5 116" xfId="7984" xr:uid="{00000000-0005-0000-0000-0000451D0000}"/>
    <cellStyle name="40% - Акцент5 116 2" xfId="7985" xr:uid="{00000000-0005-0000-0000-0000461D0000}"/>
    <cellStyle name="40% - Акцент5 117" xfId="7986" xr:uid="{00000000-0005-0000-0000-0000471D0000}"/>
    <cellStyle name="40% - Акцент5 117 2" xfId="7987" xr:uid="{00000000-0005-0000-0000-0000481D0000}"/>
    <cellStyle name="40% - Акцент5 118" xfId="7988" xr:uid="{00000000-0005-0000-0000-0000491D0000}"/>
    <cellStyle name="40% - Акцент5 118 2" xfId="7989" xr:uid="{00000000-0005-0000-0000-00004A1D0000}"/>
    <cellStyle name="40% - Акцент5 119" xfId="7990" xr:uid="{00000000-0005-0000-0000-00004B1D0000}"/>
    <cellStyle name="40% - Акцент5 119 2" xfId="7991" xr:uid="{00000000-0005-0000-0000-00004C1D0000}"/>
    <cellStyle name="40% - Акцент5 12" xfId="7992" xr:uid="{00000000-0005-0000-0000-00004D1D0000}"/>
    <cellStyle name="40% - Акцент5 120" xfId="7993" xr:uid="{00000000-0005-0000-0000-00004E1D0000}"/>
    <cellStyle name="40% - Акцент5 120 2" xfId="7994" xr:uid="{00000000-0005-0000-0000-00004F1D0000}"/>
    <cellStyle name="40% - Акцент5 121" xfId="7995" xr:uid="{00000000-0005-0000-0000-0000501D0000}"/>
    <cellStyle name="40% - Акцент5 121 2" xfId="7996" xr:uid="{00000000-0005-0000-0000-0000511D0000}"/>
    <cellStyle name="40% - Акцент5 122" xfId="7997" xr:uid="{00000000-0005-0000-0000-0000521D0000}"/>
    <cellStyle name="40% - Акцент5 122 2" xfId="7998" xr:uid="{00000000-0005-0000-0000-0000531D0000}"/>
    <cellStyle name="40% - Акцент5 123" xfId="7999" xr:uid="{00000000-0005-0000-0000-0000541D0000}"/>
    <cellStyle name="40% - Акцент5 123 2" xfId="8000" xr:uid="{00000000-0005-0000-0000-0000551D0000}"/>
    <cellStyle name="40% - Акцент5 124" xfId="8001" xr:uid="{00000000-0005-0000-0000-0000561D0000}"/>
    <cellStyle name="40% - Акцент5 124 2" xfId="8002" xr:uid="{00000000-0005-0000-0000-0000571D0000}"/>
    <cellStyle name="40% - Акцент5 125" xfId="8003" xr:uid="{00000000-0005-0000-0000-0000581D0000}"/>
    <cellStyle name="40% - Акцент5 125 2" xfId="8004" xr:uid="{00000000-0005-0000-0000-0000591D0000}"/>
    <cellStyle name="40% - Акцент5 126" xfId="8005" xr:uid="{00000000-0005-0000-0000-00005A1D0000}"/>
    <cellStyle name="40% - Акцент5 126 2" xfId="8006" xr:uid="{00000000-0005-0000-0000-00005B1D0000}"/>
    <cellStyle name="40% - Акцент5 127" xfId="8007" xr:uid="{00000000-0005-0000-0000-00005C1D0000}"/>
    <cellStyle name="40% - Акцент5 127 2" xfId="8008" xr:uid="{00000000-0005-0000-0000-00005D1D0000}"/>
    <cellStyle name="40% - Акцент5 128" xfId="8009" xr:uid="{00000000-0005-0000-0000-00005E1D0000}"/>
    <cellStyle name="40% - Акцент5 128 2" xfId="8010" xr:uid="{00000000-0005-0000-0000-00005F1D0000}"/>
    <cellStyle name="40% - Акцент5 129" xfId="8011" xr:uid="{00000000-0005-0000-0000-0000601D0000}"/>
    <cellStyle name="40% - Акцент5 129 2" xfId="8012" xr:uid="{00000000-0005-0000-0000-0000611D0000}"/>
    <cellStyle name="40% - Акцент5 13" xfId="8013" xr:uid="{00000000-0005-0000-0000-0000621D0000}"/>
    <cellStyle name="40% - Акцент5 130" xfId="8014" xr:uid="{00000000-0005-0000-0000-0000631D0000}"/>
    <cellStyle name="40% - Акцент5 130 2" xfId="8015" xr:uid="{00000000-0005-0000-0000-0000641D0000}"/>
    <cellStyle name="40% - Акцент5 131" xfId="8016" xr:uid="{00000000-0005-0000-0000-0000651D0000}"/>
    <cellStyle name="40% - Акцент5 131 2" xfId="8017" xr:uid="{00000000-0005-0000-0000-0000661D0000}"/>
    <cellStyle name="40% - Акцент5 132" xfId="8018" xr:uid="{00000000-0005-0000-0000-0000671D0000}"/>
    <cellStyle name="40% - Акцент5 132 2" xfId="8019" xr:uid="{00000000-0005-0000-0000-0000681D0000}"/>
    <cellStyle name="40% - Акцент5 133" xfId="8020" xr:uid="{00000000-0005-0000-0000-0000691D0000}"/>
    <cellStyle name="40% - Акцент5 133 2" xfId="8021" xr:uid="{00000000-0005-0000-0000-00006A1D0000}"/>
    <cellStyle name="40% - Акцент5 134" xfId="8022" xr:uid="{00000000-0005-0000-0000-00006B1D0000}"/>
    <cellStyle name="40% - Акцент5 134 2" xfId="8023" xr:uid="{00000000-0005-0000-0000-00006C1D0000}"/>
    <cellStyle name="40% - Акцент5 135" xfId="8024" xr:uid="{00000000-0005-0000-0000-00006D1D0000}"/>
    <cellStyle name="40% - Акцент5 135 2" xfId="8025" xr:uid="{00000000-0005-0000-0000-00006E1D0000}"/>
    <cellStyle name="40% - Акцент5 136" xfId="8026" xr:uid="{00000000-0005-0000-0000-00006F1D0000}"/>
    <cellStyle name="40% - Акцент5 136 2" xfId="8027" xr:uid="{00000000-0005-0000-0000-0000701D0000}"/>
    <cellStyle name="40% - Акцент5 137" xfId="8028" xr:uid="{00000000-0005-0000-0000-0000711D0000}"/>
    <cellStyle name="40% - Акцент5 137 2" xfId="8029" xr:uid="{00000000-0005-0000-0000-0000721D0000}"/>
    <cellStyle name="40% - Акцент5 138" xfId="8030" xr:uid="{00000000-0005-0000-0000-0000731D0000}"/>
    <cellStyle name="40% - Акцент5 138 2" xfId="8031" xr:uid="{00000000-0005-0000-0000-0000741D0000}"/>
    <cellStyle name="40% - Акцент5 139" xfId="8032" xr:uid="{00000000-0005-0000-0000-0000751D0000}"/>
    <cellStyle name="40% - Акцент5 139 2" xfId="8033" xr:uid="{00000000-0005-0000-0000-0000761D0000}"/>
    <cellStyle name="40% - Акцент5 14" xfId="8034" xr:uid="{00000000-0005-0000-0000-0000771D0000}"/>
    <cellStyle name="40% - Акцент5 140" xfId="8035" xr:uid="{00000000-0005-0000-0000-0000781D0000}"/>
    <cellStyle name="40% - Акцент5 140 2" xfId="8036" xr:uid="{00000000-0005-0000-0000-0000791D0000}"/>
    <cellStyle name="40% - Акцент5 141" xfId="8037" xr:uid="{00000000-0005-0000-0000-00007A1D0000}"/>
    <cellStyle name="40% - Акцент5 141 2" xfId="8038" xr:uid="{00000000-0005-0000-0000-00007B1D0000}"/>
    <cellStyle name="40% - Акцент5 142" xfId="8039" xr:uid="{00000000-0005-0000-0000-00007C1D0000}"/>
    <cellStyle name="40% - Акцент5 142 2" xfId="8040" xr:uid="{00000000-0005-0000-0000-00007D1D0000}"/>
    <cellStyle name="40% - Акцент5 143" xfId="8041" xr:uid="{00000000-0005-0000-0000-00007E1D0000}"/>
    <cellStyle name="40% - Акцент5 143 2" xfId="8042" xr:uid="{00000000-0005-0000-0000-00007F1D0000}"/>
    <cellStyle name="40% - Акцент5 144" xfId="8043" xr:uid="{00000000-0005-0000-0000-0000801D0000}"/>
    <cellStyle name="40% - Акцент5 144 2" xfId="8044" xr:uid="{00000000-0005-0000-0000-0000811D0000}"/>
    <cellStyle name="40% - Акцент5 145" xfId="8045" xr:uid="{00000000-0005-0000-0000-0000821D0000}"/>
    <cellStyle name="40% - Акцент5 145 2" xfId="8046" xr:uid="{00000000-0005-0000-0000-0000831D0000}"/>
    <cellStyle name="40% - Акцент5 146" xfId="8047" xr:uid="{00000000-0005-0000-0000-0000841D0000}"/>
    <cellStyle name="40% - Акцент5 146 2" xfId="8048" xr:uid="{00000000-0005-0000-0000-0000851D0000}"/>
    <cellStyle name="40% - Акцент5 147" xfId="8049" xr:uid="{00000000-0005-0000-0000-0000861D0000}"/>
    <cellStyle name="40% - Акцент5 147 2" xfId="8050" xr:uid="{00000000-0005-0000-0000-0000871D0000}"/>
    <cellStyle name="40% - Акцент5 148" xfId="8051" xr:uid="{00000000-0005-0000-0000-0000881D0000}"/>
    <cellStyle name="40% - Акцент5 148 2" xfId="8052" xr:uid="{00000000-0005-0000-0000-0000891D0000}"/>
    <cellStyle name="40% - Акцент5 149" xfId="8053" xr:uid="{00000000-0005-0000-0000-00008A1D0000}"/>
    <cellStyle name="40% - Акцент5 149 2" xfId="8054" xr:uid="{00000000-0005-0000-0000-00008B1D0000}"/>
    <cellStyle name="40% - Акцент5 15" xfId="8055" xr:uid="{00000000-0005-0000-0000-00008C1D0000}"/>
    <cellStyle name="40% - Акцент5 150" xfId="8056" xr:uid="{00000000-0005-0000-0000-00008D1D0000}"/>
    <cellStyle name="40% - Акцент5 150 2" xfId="8057" xr:uid="{00000000-0005-0000-0000-00008E1D0000}"/>
    <cellStyle name="40% - Акцент5 151" xfId="8058" xr:uid="{00000000-0005-0000-0000-00008F1D0000}"/>
    <cellStyle name="40% - Акцент5 151 2" xfId="8059" xr:uid="{00000000-0005-0000-0000-0000901D0000}"/>
    <cellStyle name="40% - Акцент5 152" xfId="8060" xr:uid="{00000000-0005-0000-0000-0000911D0000}"/>
    <cellStyle name="40% - Акцент5 152 2" xfId="8061" xr:uid="{00000000-0005-0000-0000-0000921D0000}"/>
    <cellStyle name="40% - Акцент5 153" xfId="8062" xr:uid="{00000000-0005-0000-0000-0000931D0000}"/>
    <cellStyle name="40% - Акцент5 153 2" xfId="8063" xr:uid="{00000000-0005-0000-0000-0000941D0000}"/>
    <cellStyle name="40% - Акцент5 154" xfId="8064" xr:uid="{00000000-0005-0000-0000-0000951D0000}"/>
    <cellStyle name="40% - Акцент5 154 2" xfId="8065" xr:uid="{00000000-0005-0000-0000-0000961D0000}"/>
    <cellStyle name="40% - Акцент5 155" xfId="8066" xr:uid="{00000000-0005-0000-0000-0000971D0000}"/>
    <cellStyle name="40% - Акцент5 155 2" xfId="8067" xr:uid="{00000000-0005-0000-0000-0000981D0000}"/>
    <cellStyle name="40% - Акцент5 156" xfId="8068" xr:uid="{00000000-0005-0000-0000-0000991D0000}"/>
    <cellStyle name="40% - Акцент5 156 2" xfId="8069" xr:uid="{00000000-0005-0000-0000-00009A1D0000}"/>
    <cellStyle name="40% - Акцент5 157" xfId="8070" xr:uid="{00000000-0005-0000-0000-00009B1D0000}"/>
    <cellStyle name="40% - Акцент5 157 2" xfId="8071" xr:uid="{00000000-0005-0000-0000-00009C1D0000}"/>
    <cellStyle name="40% - Акцент5 158" xfId="8072" xr:uid="{00000000-0005-0000-0000-00009D1D0000}"/>
    <cellStyle name="40% - Акцент5 158 2" xfId="8073" xr:uid="{00000000-0005-0000-0000-00009E1D0000}"/>
    <cellStyle name="40% - Акцент5 159" xfId="8074" xr:uid="{00000000-0005-0000-0000-00009F1D0000}"/>
    <cellStyle name="40% - Акцент5 159 2" xfId="8075" xr:uid="{00000000-0005-0000-0000-0000A01D0000}"/>
    <cellStyle name="40% - Акцент5 16" xfId="8076" xr:uid="{00000000-0005-0000-0000-0000A11D0000}"/>
    <cellStyle name="40% - Акцент5 160" xfId="8077" xr:uid="{00000000-0005-0000-0000-0000A21D0000}"/>
    <cellStyle name="40% - Акцент5 160 2" xfId="8078" xr:uid="{00000000-0005-0000-0000-0000A31D0000}"/>
    <cellStyle name="40% - Акцент5 161" xfId="8079" xr:uid="{00000000-0005-0000-0000-0000A41D0000}"/>
    <cellStyle name="40% - Акцент5 161 2" xfId="8080" xr:uid="{00000000-0005-0000-0000-0000A51D0000}"/>
    <cellStyle name="40% - Акцент5 162" xfId="8081" xr:uid="{00000000-0005-0000-0000-0000A61D0000}"/>
    <cellStyle name="40% - Акцент5 162 2" xfId="8082" xr:uid="{00000000-0005-0000-0000-0000A71D0000}"/>
    <cellStyle name="40% - Акцент5 163" xfId="8083" xr:uid="{00000000-0005-0000-0000-0000A81D0000}"/>
    <cellStyle name="40% - Акцент5 163 2" xfId="8084" xr:uid="{00000000-0005-0000-0000-0000A91D0000}"/>
    <cellStyle name="40% - Акцент5 164" xfId="8085" xr:uid="{00000000-0005-0000-0000-0000AA1D0000}"/>
    <cellStyle name="40% - Акцент5 164 2" xfId="8086" xr:uid="{00000000-0005-0000-0000-0000AB1D0000}"/>
    <cellStyle name="40% - Акцент5 165" xfId="8087" xr:uid="{00000000-0005-0000-0000-0000AC1D0000}"/>
    <cellStyle name="40% - Акцент5 165 2" xfId="8088" xr:uid="{00000000-0005-0000-0000-0000AD1D0000}"/>
    <cellStyle name="40% - Акцент5 166" xfId="8089" xr:uid="{00000000-0005-0000-0000-0000AE1D0000}"/>
    <cellStyle name="40% - Акцент5 166 2" xfId="8090" xr:uid="{00000000-0005-0000-0000-0000AF1D0000}"/>
    <cellStyle name="40% - Акцент5 167" xfId="8091" xr:uid="{00000000-0005-0000-0000-0000B01D0000}"/>
    <cellStyle name="40% - Акцент5 167 2" xfId="8092" xr:uid="{00000000-0005-0000-0000-0000B11D0000}"/>
    <cellStyle name="40% - Акцент5 168" xfId="8093" xr:uid="{00000000-0005-0000-0000-0000B21D0000}"/>
    <cellStyle name="40% - Акцент5 168 2" xfId="8094" xr:uid="{00000000-0005-0000-0000-0000B31D0000}"/>
    <cellStyle name="40% - Акцент5 169" xfId="8095" xr:uid="{00000000-0005-0000-0000-0000B41D0000}"/>
    <cellStyle name="40% - Акцент5 169 2" xfId="8096" xr:uid="{00000000-0005-0000-0000-0000B51D0000}"/>
    <cellStyle name="40% - Акцент5 17" xfId="8097" xr:uid="{00000000-0005-0000-0000-0000B61D0000}"/>
    <cellStyle name="40% - Акцент5 170" xfId="8098" xr:uid="{00000000-0005-0000-0000-0000B71D0000}"/>
    <cellStyle name="40% - Акцент5 170 2" xfId="8099" xr:uid="{00000000-0005-0000-0000-0000B81D0000}"/>
    <cellStyle name="40% - Акцент5 171" xfId="8100" xr:uid="{00000000-0005-0000-0000-0000B91D0000}"/>
    <cellStyle name="40% - Акцент5 171 2" xfId="8101" xr:uid="{00000000-0005-0000-0000-0000BA1D0000}"/>
    <cellStyle name="40% - Акцент5 172" xfId="8102" xr:uid="{00000000-0005-0000-0000-0000BB1D0000}"/>
    <cellStyle name="40% - Акцент5 172 2" xfId="8103" xr:uid="{00000000-0005-0000-0000-0000BC1D0000}"/>
    <cellStyle name="40% - Акцент5 173" xfId="8104" xr:uid="{00000000-0005-0000-0000-0000BD1D0000}"/>
    <cellStyle name="40% - Акцент5 173 2" xfId="8105" xr:uid="{00000000-0005-0000-0000-0000BE1D0000}"/>
    <cellStyle name="40% - Акцент5 174" xfId="8106" xr:uid="{00000000-0005-0000-0000-0000BF1D0000}"/>
    <cellStyle name="40% - Акцент5 174 2" xfId="8107" xr:uid="{00000000-0005-0000-0000-0000C01D0000}"/>
    <cellStyle name="40% - Акцент5 175" xfId="8108" xr:uid="{00000000-0005-0000-0000-0000C11D0000}"/>
    <cellStyle name="40% - Акцент5 175 2" xfId="8109" xr:uid="{00000000-0005-0000-0000-0000C21D0000}"/>
    <cellStyle name="40% - Акцент5 176" xfId="8110" xr:uid="{00000000-0005-0000-0000-0000C31D0000}"/>
    <cellStyle name="40% - Акцент5 176 2" xfId="8111" xr:uid="{00000000-0005-0000-0000-0000C41D0000}"/>
    <cellStyle name="40% - Акцент5 177" xfId="8112" xr:uid="{00000000-0005-0000-0000-0000C51D0000}"/>
    <cellStyle name="40% - Акцент5 177 2" xfId="8113" xr:uid="{00000000-0005-0000-0000-0000C61D0000}"/>
    <cellStyle name="40% - Акцент5 178" xfId="8114" xr:uid="{00000000-0005-0000-0000-0000C71D0000}"/>
    <cellStyle name="40% - Акцент5 178 2" xfId="8115" xr:uid="{00000000-0005-0000-0000-0000C81D0000}"/>
    <cellStyle name="40% - Акцент5 179" xfId="8116" xr:uid="{00000000-0005-0000-0000-0000C91D0000}"/>
    <cellStyle name="40% - Акцент5 179 2" xfId="8117" xr:uid="{00000000-0005-0000-0000-0000CA1D0000}"/>
    <cellStyle name="40% - Акцент5 18" xfId="8118" xr:uid="{00000000-0005-0000-0000-0000CB1D0000}"/>
    <cellStyle name="40% - Акцент5 180" xfId="8119" xr:uid="{00000000-0005-0000-0000-0000CC1D0000}"/>
    <cellStyle name="40% - Акцент5 180 2" xfId="8120" xr:uid="{00000000-0005-0000-0000-0000CD1D0000}"/>
    <cellStyle name="40% - Акцент5 181" xfId="8121" xr:uid="{00000000-0005-0000-0000-0000CE1D0000}"/>
    <cellStyle name="40% - Акцент5 181 2" xfId="8122" xr:uid="{00000000-0005-0000-0000-0000CF1D0000}"/>
    <cellStyle name="40% - Акцент5 182" xfId="8123" xr:uid="{00000000-0005-0000-0000-0000D01D0000}"/>
    <cellStyle name="40% - Акцент5 182 2" xfId="8124" xr:uid="{00000000-0005-0000-0000-0000D11D0000}"/>
    <cellStyle name="40% - Акцент5 183" xfId="8125" xr:uid="{00000000-0005-0000-0000-0000D21D0000}"/>
    <cellStyle name="40% - Акцент5 183 2" xfId="8126" xr:uid="{00000000-0005-0000-0000-0000D31D0000}"/>
    <cellStyle name="40% - Акцент5 184" xfId="8127" xr:uid="{00000000-0005-0000-0000-0000D41D0000}"/>
    <cellStyle name="40% - Акцент5 184 2" xfId="8128" xr:uid="{00000000-0005-0000-0000-0000D51D0000}"/>
    <cellStyle name="40% - Акцент5 185" xfId="8129" xr:uid="{00000000-0005-0000-0000-0000D61D0000}"/>
    <cellStyle name="40% - Акцент5 185 2" xfId="8130" xr:uid="{00000000-0005-0000-0000-0000D71D0000}"/>
    <cellStyle name="40% - Акцент5 186" xfId="8131" xr:uid="{00000000-0005-0000-0000-0000D81D0000}"/>
    <cellStyle name="40% - Акцент5 186 2" xfId="8132" xr:uid="{00000000-0005-0000-0000-0000D91D0000}"/>
    <cellStyle name="40% - Акцент5 187" xfId="8133" xr:uid="{00000000-0005-0000-0000-0000DA1D0000}"/>
    <cellStyle name="40% - Акцент5 187 2" xfId="8134" xr:uid="{00000000-0005-0000-0000-0000DB1D0000}"/>
    <cellStyle name="40% - Акцент5 188" xfId="8135" xr:uid="{00000000-0005-0000-0000-0000DC1D0000}"/>
    <cellStyle name="40% - Акцент5 188 2" xfId="8136" xr:uid="{00000000-0005-0000-0000-0000DD1D0000}"/>
    <cellStyle name="40% - Акцент5 189" xfId="8137" xr:uid="{00000000-0005-0000-0000-0000DE1D0000}"/>
    <cellStyle name="40% - Акцент5 189 2" xfId="8138" xr:uid="{00000000-0005-0000-0000-0000DF1D0000}"/>
    <cellStyle name="40% - Акцент5 19" xfId="8139" xr:uid="{00000000-0005-0000-0000-0000E01D0000}"/>
    <cellStyle name="40% - Акцент5 190" xfId="8140" xr:uid="{00000000-0005-0000-0000-0000E11D0000}"/>
    <cellStyle name="40% - Акцент5 190 2" xfId="8141" xr:uid="{00000000-0005-0000-0000-0000E21D0000}"/>
    <cellStyle name="40% - Акцент5 191" xfId="8142" xr:uid="{00000000-0005-0000-0000-0000E31D0000}"/>
    <cellStyle name="40% - Акцент5 191 2" xfId="8143" xr:uid="{00000000-0005-0000-0000-0000E41D0000}"/>
    <cellStyle name="40% - Акцент5 192" xfId="8144" xr:uid="{00000000-0005-0000-0000-0000E51D0000}"/>
    <cellStyle name="40% - Акцент5 192 2" xfId="8145" xr:uid="{00000000-0005-0000-0000-0000E61D0000}"/>
    <cellStyle name="40% - Акцент5 193" xfId="8146" xr:uid="{00000000-0005-0000-0000-0000E71D0000}"/>
    <cellStyle name="40% - Акцент5 193 2" xfId="8147" xr:uid="{00000000-0005-0000-0000-0000E81D0000}"/>
    <cellStyle name="40% - Акцент5 194" xfId="8148" xr:uid="{00000000-0005-0000-0000-0000E91D0000}"/>
    <cellStyle name="40% - Акцент5 194 2" xfId="8149" xr:uid="{00000000-0005-0000-0000-0000EA1D0000}"/>
    <cellStyle name="40% - Акцент5 195" xfId="8150" xr:uid="{00000000-0005-0000-0000-0000EB1D0000}"/>
    <cellStyle name="40% - Акцент5 195 2" xfId="8151" xr:uid="{00000000-0005-0000-0000-0000EC1D0000}"/>
    <cellStyle name="40% - Акцент5 196" xfId="8152" xr:uid="{00000000-0005-0000-0000-0000ED1D0000}"/>
    <cellStyle name="40% - Акцент5 196 2" xfId="8153" xr:uid="{00000000-0005-0000-0000-0000EE1D0000}"/>
    <cellStyle name="40% - Акцент5 197" xfId="8154" xr:uid="{00000000-0005-0000-0000-0000EF1D0000}"/>
    <cellStyle name="40% - Акцент5 197 2" xfId="8155" xr:uid="{00000000-0005-0000-0000-0000F01D0000}"/>
    <cellStyle name="40% - Акцент5 198" xfId="8156" xr:uid="{00000000-0005-0000-0000-0000F11D0000}"/>
    <cellStyle name="40% - Акцент5 198 2" xfId="8157" xr:uid="{00000000-0005-0000-0000-0000F21D0000}"/>
    <cellStyle name="40% - Акцент5 199" xfId="8158" xr:uid="{00000000-0005-0000-0000-0000F31D0000}"/>
    <cellStyle name="40% - Акцент5 199 2" xfId="8159" xr:uid="{00000000-0005-0000-0000-0000F41D0000}"/>
    <cellStyle name="40% - Акцент5 2" xfId="8160" xr:uid="{00000000-0005-0000-0000-0000F51D0000}"/>
    <cellStyle name="40% - Акцент5 2 2" xfId="8161" xr:uid="{00000000-0005-0000-0000-0000F61D0000}"/>
    <cellStyle name="40% - Акцент5 2 2 2" xfId="8162" xr:uid="{00000000-0005-0000-0000-0000F71D0000}"/>
    <cellStyle name="40% - Акцент5 2 3" xfId="8163" xr:uid="{00000000-0005-0000-0000-0000F81D0000}"/>
    <cellStyle name="40% - Акцент5 2 4" xfId="8164" xr:uid="{00000000-0005-0000-0000-0000F91D0000}"/>
    <cellStyle name="40% - Акцент5 2 5" xfId="8165" xr:uid="{00000000-0005-0000-0000-0000FA1D0000}"/>
    <cellStyle name="40% - Акцент5 2 6" xfId="8166" xr:uid="{00000000-0005-0000-0000-0000FB1D0000}"/>
    <cellStyle name="40% - Акцент5 2 7" xfId="8167" xr:uid="{00000000-0005-0000-0000-0000FC1D0000}"/>
    <cellStyle name="40% - Акцент5 20" xfId="8168" xr:uid="{00000000-0005-0000-0000-0000FD1D0000}"/>
    <cellStyle name="40% - Акцент5 20 2" xfId="8169" xr:uid="{00000000-0005-0000-0000-0000FE1D0000}"/>
    <cellStyle name="40% - Акцент5 200" xfId="8170" xr:uid="{00000000-0005-0000-0000-0000FF1D0000}"/>
    <cellStyle name="40% - Акцент5 200 2" xfId="8171" xr:uid="{00000000-0005-0000-0000-0000001E0000}"/>
    <cellStyle name="40% - Акцент5 201" xfId="8172" xr:uid="{00000000-0005-0000-0000-0000011E0000}"/>
    <cellStyle name="40% - Акцент5 201 2" xfId="8173" xr:uid="{00000000-0005-0000-0000-0000021E0000}"/>
    <cellStyle name="40% - Акцент5 202" xfId="8174" xr:uid="{00000000-0005-0000-0000-0000031E0000}"/>
    <cellStyle name="40% - Акцент5 202 2" xfId="8175" xr:uid="{00000000-0005-0000-0000-0000041E0000}"/>
    <cellStyle name="40% - Акцент5 203" xfId="8176" xr:uid="{00000000-0005-0000-0000-0000051E0000}"/>
    <cellStyle name="40% - Акцент5 203 2" xfId="8177" xr:uid="{00000000-0005-0000-0000-0000061E0000}"/>
    <cellStyle name="40% - Акцент5 204" xfId="8178" xr:uid="{00000000-0005-0000-0000-0000071E0000}"/>
    <cellStyle name="40% - Акцент5 204 2" xfId="8179" xr:uid="{00000000-0005-0000-0000-0000081E0000}"/>
    <cellStyle name="40% - Акцент5 205" xfId="8180" xr:uid="{00000000-0005-0000-0000-0000091E0000}"/>
    <cellStyle name="40% - Акцент5 205 2" xfId="8181" xr:uid="{00000000-0005-0000-0000-00000A1E0000}"/>
    <cellStyle name="40% - Акцент5 206" xfId="8182" xr:uid="{00000000-0005-0000-0000-00000B1E0000}"/>
    <cellStyle name="40% - Акцент5 206 2" xfId="8183" xr:uid="{00000000-0005-0000-0000-00000C1E0000}"/>
    <cellStyle name="40% - Акцент5 207" xfId="8184" xr:uid="{00000000-0005-0000-0000-00000D1E0000}"/>
    <cellStyle name="40% - Акцент5 207 2" xfId="8185" xr:uid="{00000000-0005-0000-0000-00000E1E0000}"/>
    <cellStyle name="40% - Акцент5 208" xfId="8186" xr:uid="{00000000-0005-0000-0000-00000F1E0000}"/>
    <cellStyle name="40% - Акцент5 208 2" xfId="8187" xr:uid="{00000000-0005-0000-0000-0000101E0000}"/>
    <cellStyle name="40% - Акцент5 209" xfId="8188" xr:uid="{00000000-0005-0000-0000-0000111E0000}"/>
    <cellStyle name="40% - Акцент5 209 2" xfId="8189" xr:uid="{00000000-0005-0000-0000-0000121E0000}"/>
    <cellStyle name="40% - Акцент5 21" xfId="8190" xr:uid="{00000000-0005-0000-0000-0000131E0000}"/>
    <cellStyle name="40% - Акцент5 21 2" xfId="8191" xr:uid="{00000000-0005-0000-0000-0000141E0000}"/>
    <cellStyle name="40% - Акцент5 210" xfId="8192" xr:uid="{00000000-0005-0000-0000-0000151E0000}"/>
    <cellStyle name="40% - Акцент5 210 2" xfId="8193" xr:uid="{00000000-0005-0000-0000-0000161E0000}"/>
    <cellStyle name="40% - Акцент5 211" xfId="8194" xr:uid="{00000000-0005-0000-0000-0000171E0000}"/>
    <cellStyle name="40% - Акцент5 211 2" xfId="8195" xr:uid="{00000000-0005-0000-0000-0000181E0000}"/>
    <cellStyle name="40% - Акцент5 212" xfId="8196" xr:uid="{00000000-0005-0000-0000-0000191E0000}"/>
    <cellStyle name="40% - Акцент5 212 2" xfId="8197" xr:uid="{00000000-0005-0000-0000-00001A1E0000}"/>
    <cellStyle name="40% - Акцент5 213" xfId="8198" xr:uid="{00000000-0005-0000-0000-00001B1E0000}"/>
    <cellStyle name="40% - Акцент5 213 2" xfId="8199" xr:uid="{00000000-0005-0000-0000-00001C1E0000}"/>
    <cellStyle name="40% - Акцент5 214" xfId="8200" xr:uid="{00000000-0005-0000-0000-00001D1E0000}"/>
    <cellStyle name="40% - Акцент5 214 2" xfId="8201" xr:uid="{00000000-0005-0000-0000-00001E1E0000}"/>
    <cellStyle name="40% - Акцент5 215" xfId="8202" xr:uid="{00000000-0005-0000-0000-00001F1E0000}"/>
    <cellStyle name="40% - Акцент5 215 2" xfId="8203" xr:uid="{00000000-0005-0000-0000-0000201E0000}"/>
    <cellStyle name="40% - Акцент5 216" xfId="8204" xr:uid="{00000000-0005-0000-0000-0000211E0000}"/>
    <cellStyle name="40% - Акцент5 216 2" xfId="8205" xr:uid="{00000000-0005-0000-0000-0000221E0000}"/>
    <cellStyle name="40% - Акцент5 217" xfId="8206" xr:uid="{00000000-0005-0000-0000-0000231E0000}"/>
    <cellStyle name="40% - Акцент5 217 2" xfId="8207" xr:uid="{00000000-0005-0000-0000-0000241E0000}"/>
    <cellStyle name="40% - Акцент5 217 3" xfId="8208" xr:uid="{00000000-0005-0000-0000-0000251E0000}"/>
    <cellStyle name="40% - Акцент5 218" xfId="8209" xr:uid="{00000000-0005-0000-0000-0000261E0000}"/>
    <cellStyle name="40% - Акцент5 219" xfId="8210" xr:uid="{00000000-0005-0000-0000-0000271E0000}"/>
    <cellStyle name="40% - Акцент5 22" xfId="8211" xr:uid="{00000000-0005-0000-0000-0000281E0000}"/>
    <cellStyle name="40% - Акцент5 22 2" xfId="8212" xr:uid="{00000000-0005-0000-0000-0000291E0000}"/>
    <cellStyle name="40% - Акцент5 220" xfId="8213" xr:uid="{00000000-0005-0000-0000-00002A1E0000}"/>
    <cellStyle name="40% - Акцент5 221" xfId="8214" xr:uid="{00000000-0005-0000-0000-00002B1E0000}"/>
    <cellStyle name="40% - Акцент5 222" xfId="8215" xr:uid="{00000000-0005-0000-0000-00002C1E0000}"/>
    <cellStyle name="40% - Акцент5 223" xfId="8216" xr:uid="{00000000-0005-0000-0000-00002D1E0000}"/>
    <cellStyle name="40% - Акцент5 224" xfId="8217" xr:uid="{00000000-0005-0000-0000-00002E1E0000}"/>
    <cellStyle name="40% - Акцент5 225" xfId="8218" xr:uid="{00000000-0005-0000-0000-00002F1E0000}"/>
    <cellStyle name="40% - Акцент5 226" xfId="8219" xr:uid="{00000000-0005-0000-0000-0000301E0000}"/>
    <cellStyle name="40% - Акцент5 227" xfId="8220" xr:uid="{00000000-0005-0000-0000-0000311E0000}"/>
    <cellStyle name="40% - Акцент5 228" xfId="8221" xr:uid="{00000000-0005-0000-0000-0000321E0000}"/>
    <cellStyle name="40% - Акцент5 229" xfId="8222" xr:uid="{00000000-0005-0000-0000-0000331E0000}"/>
    <cellStyle name="40% - Акцент5 23" xfId="8223" xr:uid="{00000000-0005-0000-0000-0000341E0000}"/>
    <cellStyle name="40% - Акцент5 23 2" xfId="8224" xr:uid="{00000000-0005-0000-0000-0000351E0000}"/>
    <cellStyle name="40% - Акцент5 230" xfId="8225" xr:uid="{00000000-0005-0000-0000-0000361E0000}"/>
    <cellStyle name="40% - Акцент5 231" xfId="8226" xr:uid="{00000000-0005-0000-0000-0000371E0000}"/>
    <cellStyle name="40% - Акцент5 232" xfId="8227" xr:uid="{00000000-0005-0000-0000-0000381E0000}"/>
    <cellStyle name="40% - Акцент5 233" xfId="8228" xr:uid="{00000000-0005-0000-0000-0000391E0000}"/>
    <cellStyle name="40% - Акцент5 234" xfId="8229" xr:uid="{00000000-0005-0000-0000-00003A1E0000}"/>
    <cellStyle name="40% - Акцент5 235" xfId="8230" xr:uid="{00000000-0005-0000-0000-00003B1E0000}"/>
    <cellStyle name="40% - Акцент5 236" xfId="8231" xr:uid="{00000000-0005-0000-0000-00003C1E0000}"/>
    <cellStyle name="40% - Акцент5 237" xfId="8232" xr:uid="{00000000-0005-0000-0000-00003D1E0000}"/>
    <cellStyle name="40% - Акцент5 238" xfId="8233" xr:uid="{00000000-0005-0000-0000-00003E1E0000}"/>
    <cellStyle name="40% - Акцент5 239" xfId="8234" xr:uid="{00000000-0005-0000-0000-00003F1E0000}"/>
    <cellStyle name="40% - Акцент5 24" xfId="8235" xr:uid="{00000000-0005-0000-0000-0000401E0000}"/>
    <cellStyle name="40% - Акцент5 24 2" xfId="8236" xr:uid="{00000000-0005-0000-0000-0000411E0000}"/>
    <cellStyle name="40% - Акцент5 240" xfId="8237" xr:uid="{00000000-0005-0000-0000-0000421E0000}"/>
    <cellStyle name="40% - Акцент5 241" xfId="8238" xr:uid="{00000000-0005-0000-0000-0000431E0000}"/>
    <cellStyle name="40% - Акцент5 242" xfId="8239" xr:uid="{00000000-0005-0000-0000-0000441E0000}"/>
    <cellStyle name="40% - Акцент5 243" xfId="8240" xr:uid="{00000000-0005-0000-0000-0000451E0000}"/>
    <cellStyle name="40% - Акцент5 244" xfId="8241" xr:uid="{00000000-0005-0000-0000-0000461E0000}"/>
    <cellStyle name="40% - Акцент5 245" xfId="8242" xr:uid="{00000000-0005-0000-0000-0000471E0000}"/>
    <cellStyle name="40% - Акцент5 246" xfId="8243" xr:uid="{00000000-0005-0000-0000-0000481E0000}"/>
    <cellStyle name="40% - Акцент5 247" xfId="8244" xr:uid="{00000000-0005-0000-0000-0000491E0000}"/>
    <cellStyle name="40% - Акцент5 248" xfId="8245" xr:uid="{00000000-0005-0000-0000-00004A1E0000}"/>
    <cellStyle name="40% - Акцент5 249" xfId="8246" xr:uid="{00000000-0005-0000-0000-00004B1E0000}"/>
    <cellStyle name="40% - Акцент5 25" xfId="8247" xr:uid="{00000000-0005-0000-0000-00004C1E0000}"/>
    <cellStyle name="40% - Акцент5 25 2" xfId="8248" xr:uid="{00000000-0005-0000-0000-00004D1E0000}"/>
    <cellStyle name="40% - Акцент5 250" xfId="8249" xr:uid="{00000000-0005-0000-0000-00004E1E0000}"/>
    <cellStyle name="40% - Акцент5 251" xfId="8250" xr:uid="{00000000-0005-0000-0000-00004F1E0000}"/>
    <cellStyle name="40% - Акцент5 252" xfId="8251" xr:uid="{00000000-0005-0000-0000-0000501E0000}"/>
    <cellStyle name="40% - Акцент5 253" xfId="8252" xr:uid="{00000000-0005-0000-0000-0000511E0000}"/>
    <cellStyle name="40% - Акцент5 254" xfId="8253" xr:uid="{00000000-0005-0000-0000-0000521E0000}"/>
    <cellStyle name="40% - Акцент5 255" xfId="8254" xr:uid="{00000000-0005-0000-0000-0000531E0000}"/>
    <cellStyle name="40% - Акцент5 26" xfId="8255" xr:uid="{00000000-0005-0000-0000-0000541E0000}"/>
    <cellStyle name="40% - Акцент5 26 2" xfId="8256" xr:uid="{00000000-0005-0000-0000-0000551E0000}"/>
    <cellStyle name="40% - Акцент5 27" xfId="8257" xr:uid="{00000000-0005-0000-0000-0000561E0000}"/>
    <cellStyle name="40% - Акцент5 27 2" xfId="8258" xr:uid="{00000000-0005-0000-0000-0000571E0000}"/>
    <cellStyle name="40% - Акцент5 28" xfId="8259" xr:uid="{00000000-0005-0000-0000-0000581E0000}"/>
    <cellStyle name="40% - Акцент5 28 2" xfId="8260" xr:uid="{00000000-0005-0000-0000-0000591E0000}"/>
    <cellStyle name="40% - Акцент5 29" xfId="8261" xr:uid="{00000000-0005-0000-0000-00005A1E0000}"/>
    <cellStyle name="40% - Акцент5 29 2" xfId="8262" xr:uid="{00000000-0005-0000-0000-00005B1E0000}"/>
    <cellStyle name="40% - Акцент5 3" xfId="8263" xr:uid="{00000000-0005-0000-0000-00005C1E0000}"/>
    <cellStyle name="40% - Акцент5 30" xfId="8264" xr:uid="{00000000-0005-0000-0000-00005D1E0000}"/>
    <cellStyle name="40% - Акцент5 30 2" xfId="8265" xr:uid="{00000000-0005-0000-0000-00005E1E0000}"/>
    <cellStyle name="40% - Акцент5 31" xfId="8266" xr:uid="{00000000-0005-0000-0000-00005F1E0000}"/>
    <cellStyle name="40% - Акцент5 31 2" xfId="8267" xr:uid="{00000000-0005-0000-0000-0000601E0000}"/>
    <cellStyle name="40% - Акцент5 32" xfId="8268" xr:uid="{00000000-0005-0000-0000-0000611E0000}"/>
    <cellStyle name="40% - Акцент5 32 2" xfId="8269" xr:uid="{00000000-0005-0000-0000-0000621E0000}"/>
    <cellStyle name="40% - Акцент5 33" xfId="8270" xr:uid="{00000000-0005-0000-0000-0000631E0000}"/>
    <cellStyle name="40% - Акцент5 33 2" xfId="8271" xr:uid="{00000000-0005-0000-0000-0000641E0000}"/>
    <cellStyle name="40% - Акцент5 34" xfId="8272" xr:uid="{00000000-0005-0000-0000-0000651E0000}"/>
    <cellStyle name="40% - Акцент5 34 2" xfId="8273" xr:uid="{00000000-0005-0000-0000-0000661E0000}"/>
    <cellStyle name="40% - Акцент5 35" xfId="8274" xr:uid="{00000000-0005-0000-0000-0000671E0000}"/>
    <cellStyle name="40% - Акцент5 35 2" xfId="8275" xr:uid="{00000000-0005-0000-0000-0000681E0000}"/>
    <cellStyle name="40% - Акцент5 36" xfId="8276" xr:uid="{00000000-0005-0000-0000-0000691E0000}"/>
    <cellStyle name="40% - Акцент5 36 2" xfId="8277" xr:uid="{00000000-0005-0000-0000-00006A1E0000}"/>
    <cellStyle name="40% - Акцент5 37" xfId="8278" xr:uid="{00000000-0005-0000-0000-00006B1E0000}"/>
    <cellStyle name="40% - Акцент5 37 2" xfId="8279" xr:uid="{00000000-0005-0000-0000-00006C1E0000}"/>
    <cellStyle name="40% - Акцент5 38" xfId="8280" xr:uid="{00000000-0005-0000-0000-00006D1E0000}"/>
    <cellStyle name="40% - Акцент5 38 2" xfId="8281" xr:uid="{00000000-0005-0000-0000-00006E1E0000}"/>
    <cellStyle name="40% - Акцент5 39" xfId="8282" xr:uid="{00000000-0005-0000-0000-00006F1E0000}"/>
    <cellStyle name="40% - Акцент5 39 2" xfId="8283" xr:uid="{00000000-0005-0000-0000-0000701E0000}"/>
    <cellStyle name="40% - Акцент5 4" xfId="8284" xr:uid="{00000000-0005-0000-0000-0000711E0000}"/>
    <cellStyle name="40% - Акцент5 40" xfId="8285" xr:uid="{00000000-0005-0000-0000-0000721E0000}"/>
    <cellStyle name="40% - Акцент5 40 2" xfId="8286" xr:uid="{00000000-0005-0000-0000-0000731E0000}"/>
    <cellStyle name="40% - Акцент5 41" xfId="8287" xr:uid="{00000000-0005-0000-0000-0000741E0000}"/>
    <cellStyle name="40% - Акцент5 41 2" xfId="8288" xr:uid="{00000000-0005-0000-0000-0000751E0000}"/>
    <cellStyle name="40% - Акцент5 42" xfId="8289" xr:uid="{00000000-0005-0000-0000-0000761E0000}"/>
    <cellStyle name="40% - Акцент5 42 2" xfId="8290" xr:uid="{00000000-0005-0000-0000-0000771E0000}"/>
    <cellStyle name="40% - Акцент5 43" xfId="8291" xr:uid="{00000000-0005-0000-0000-0000781E0000}"/>
    <cellStyle name="40% - Акцент5 43 2" xfId="8292" xr:uid="{00000000-0005-0000-0000-0000791E0000}"/>
    <cellStyle name="40% - Акцент5 44" xfId="8293" xr:uid="{00000000-0005-0000-0000-00007A1E0000}"/>
    <cellStyle name="40% - Акцент5 44 2" xfId="8294" xr:uid="{00000000-0005-0000-0000-00007B1E0000}"/>
    <cellStyle name="40% - Акцент5 45" xfId="8295" xr:uid="{00000000-0005-0000-0000-00007C1E0000}"/>
    <cellStyle name="40% - Акцент5 45 2" xfId="8296" xr:uid="{00000000-0005-0000-0000-00007D1E0000}"/>
    <cellStyle name="40% - Акцент5 46" xfId="8297" xr:uid="{00000000-0005-0000-0000-00007E1E0000}"/>
    <cellStyle name="40% - Акцент5 46 2" xfId="8298" xr:uid="{00000000-0005-0000-0000-00007F1E0000}"/>
    <cellStyle name="40% - Акцент5 47" xfId="8299" xr:uid="{00000000-0005-0000-0000-0000801E0000}"/>
    <cellStyle name="40% - Акцент5 47 2" xfId="8300" xr:uid="{00000000-0005-0000-0000-0000811E0000}"/>
    <cellStyle name="40% - Акцент5 48" xfId="8301" xr:uid="{00000000-0005-0000-0000-0000821E0000}"/>
    <cellStyle name="40% - Акцент5 48 2" xfId="8302" xr:uid="{00000000-0005-0000-0000-0000831E0000}"/>
    <cellStyle name="40% - Акцент5 49" xfId="8303" xr:uid="{00000000-0005-0000-0000-0000841E0000}"/>
    <cellStyle name="40% - Акцент5 49 2" xfId="8304" xr:uid="{00000000-0005-0000-0000-0000851E0000}"/>
    <cellStyle name="40% - Акцент5 5" xfId="8305" xr:uid="{00000000-0005-0000-0000-0000861E0000}"/>
    <cellStyle name="40% - Акцент5 50" xfId="8306" xr:uid="{00000000-0005-0000-0000-0000871E0000}"/>
    <cellStyle name="40% - Акцент5 50 2" xfId="8307" xr:uid="{00000000-0005-0000-0000-0000881E0000}"/>
    <cellStyle name="40% - Акцент5 51" xfId="8308" xr:uid="{00000000-0005-0000-0000-0000891E0000}"/>
    <cellStyle name="40% - Акцент5 51 2" xfId="8309" xr:uid="{00000000-0005-0000-0000-00008A1E0000}"/>
    <cellStyle name="40% - Акцент5 52" xfId="8310" xr:uid="{00000000-0005-0000-0000-00008B1E0000}"/>
    <cellStyle name="40% - Акцент5 52 2" xfId="8311" xr:uid="{00000000-0005-0000-0000-00008C1E0000}"/>
    <cellStyle name="40% - Акцент5 53" xfId="8312" xr:uid="{00000000-0005-0000-0000-00008D1E0000}"/>
    <cellStyle name="40% - Акцент5 53 2" xfId="8313" xr:uid="{00000000-0005-0000-0000-00008E1E0000}"/>
    <cellStyle name="40% - Акцент5 54" xfId="8314" xr:uid="{00000000-0005-0000-0000-00008F1E0000}"/>
    <cellStyle name="40% - Акцент5 54 2" xfId="8315" xr:uid="{00000000-0005-0000-0000-0000901E0000}"/>
    <cellStyle name="40% - Акцент5 55" xfId="8316" xr:uid="{00000000-0005-0000-0000-0000911E0000}"/>
    <cellStyle name="40% - Акцент5 55 2" xfId="8317" xr:uid="{00000000-0005-0000-0000-0000921E0000}"/>
    <cellStyle name="40% - Акцент5 56" xfId="8318" xr:uid="{00000000-0005-0000-0000-0000931E0000}"/>
    <cellStyle name="40% - Акцент5 56 2" xfId="8319" xr:uid="{00000000-0005-0000-0000-0000941E0000}"/>
    <cellStyle name="40% - Акцент5 57" xfId="8320" xr:uid="{00000000-0005-0000-0000-0000951E0000}"/>
    <cellStyle name="40% - Акцент5 57 2" xfId="8321" xr:uid="{00000000-0005-0000-0000-0000961E0000}"/>
    <cellStyle name="40% - Акцент5 58" xfId="8322" xr:uid="{00000000-0005-0000-0000-0000971E0000}"/>
    <cellStyle name="40% - Акцент5 58 2" xfId="8323" xr:uid="{00000000-0005-0000-0000-0000981E0000}"/>
    <cellStyle name="40% - Акцент5 59" xfId="8324" xr:uid="{00000000-0005-0000-0000-0000991E0000}"/>
    <cellStyle name="40% - Акцент5 59 2" xfId="8325" xr:uid="{00000000-0005-0000-0000-00009A1E0000}"/>
    <cellStyle name="40% - Акцент5 6" xfId="8326" xr:uid="{00000000-0005-0000-0000-00009B1E0000}"/>
    <cellStyle name="40% - Акцент5 60" xfId="8327" xr:uid="{00000000-0005-0000-0000-00009C1E0000}"/>
    <cellStyle name="40% - Акцент5 60 2" xfId="8328" xr:uid="{00000000-0005-0000-0000-00009D1E0000}"/>
    <cellStyle name="40% - Акцент5 61" xfId="8329" xr:uid="{00000000-0005-0000-0000-00009E1E0000}"/>
    <cellStyle name="40% - Акцент5 61 2" xfId="8330" xr:uid="{00000000-0005-0000-0000-00009F1E0000}"/>
    <cellStyle name="40% - Акцент5 62" xfId="8331" xr:uid="{00000000-0005-0000-0000-0000A01E0000}"/>
    <cellStyle name="40% - Акцент5 62 2" xfId="8332" xr:uid="{00000000-0005-0000-0000-0000A11E0000}"/>
    <cellStyle name="40% - Акцент5 63" xfId="8333" xr:uid="{00000000-0005-0000-0000-0000A21E0000}"/>
    <cellStyle name="40% - Акцент5 63 2" xfId="8334" xr:uid="{00000000-0005-0000-0000-0000A31E0000}"/>
    <cellStyle name="40% - Акцент5 64" xfId="8335" xr:uid="{00000000-0005-0000-0000-0000A41E0000}"/>
    <cellStyle name="40% - Акцент5 64 2" xfId="8336" xr:uid="{00000000-0005-0000-0000-0000A51E0000}"/>
    <cellStyle name="40% - Акцент5 65" xfId="8337" xr:uid="{00000000-0005-0000-0000-0000A61E0000}"/>
    <cellStyle name="40% - Акцент5 65 2" xfId="8338" xr:uid="{00000000-0005-0000-0000-0000A71E0000}"/>
    <cellStyle name="40% - Акцент5 66" xfId="8339" xr:uid="{00000000-0005-0000-0000-0000A81E0000}"/>
    <cellStyle name="40% - Акцент5 66 2" xfId="8340" xr:uid="{00000000-0005-0000-0000-0000A91E0000}"/>
    <cellStyle name="40% - Акцент5 67" xfId="8341" xr:uid="{00000000-0005-0000-0000-0000AA1E0000}"/>
    <cellStyle name="40% - Акцент5 67 2" xfId="8342" xr:uid="{00000000-0005-0000-0000-0000AB1E0000}"/>
    <cellStyle name="40% - Акцент5 68" xfId="8343" xr:uid="{00000000-0005-0000-0000-0000AC1E0000}"/>
    <cellStyle name="40% - Акцент5 68 2" xfId="8344" xr:uid="{00000000-0005-0000-0000-0000AD1E0000}"/>
    <cellStyle name="40% - Акцент5 69" xfId="8345" xr:uid="{00000000-0005-0000-0000-0000AE1E0000}"/>
    <cellStyle name="40% - Акцент5 69 2" xfId="8346" xr:uid="{00000000-0005-0000-0000-0000AF1E0000}"/>
    <cellStyle name="40% - Акцент5 7" xfId="8347" xr:uid="{00000000-0005-0000-0000-0000B01E0000}"/>
    <cellStyle name="40% - Акцент5 70" xfId="8348" xr:uid="{00000000-0005-0000-0000-0000B11E0000}"/>
    <cellStyle name="40% - Акцент5 70 2" xfId="8349" xr:uid="{00000000-0005-0000-0000-0000B21E0000}"/>
    <cellStyle name="40% - Акцент5 71" xfId="8350" xr:uid="{00000000-0005-0000-0000-0000B31E0000}"/>
    <cellStyle name="40% - Акцент5 71 2" xfId="8351" xr:uid="{00000000-0005-0000-0000-0000B41E0000}"/>
    <cellStyle name="40% - Акцент5 72" xfId="8352" xr:uid="{00000000-0005-0000-0000-0000B51E0000}"/>
    <cellStyle name="40% - Акцент5 72 2" xfId="8353" xr:uid="{00000000-0005-0000-0000-0000B61E0000}"/>
    <cellStyle name="40% - Акцент5 73" xfId="8354" xr:uid="{00000000-0005-0000-0000-0000B71E0000}"/>
    <cellStyle name="40% - Акцент5 73 2" xfId="8355" xr:uid="{00000000-0005-0000-0000-0000B81E0000}"/>
    <cellStyle name="40% - Акцент5 74" xfId="8356" xr:uid="{00000000-0005-0000-0000-0000B91E0000}"/>
    <cellStyle name="40% - Акцент5 74 2" xfId="8357" xr:uid="{00000000-0005-0000-0000-0000BA1E0000}"/>
    <cellStyle name="40% - Акцент5 75" xfId="8358" xr:uid="{00000000-0005-0000-0000-0000BB1E0000}"/>
    <cellStyle name="40% - Акцент5 75 2" xfId="8359" xr:uid="{00000000-0005-0000-0000-0000BC1E0000}"/>
    <cellStyle name="40% - Акцент5 76" xfId="8360" xr:uid="{00000000-0005-0000-0000-0000BD1E0000}"/>
    <cellStyle name="40% - Акцент5 76 2" xfId="8361" xr:uid="{00000000-0005-0000-0000-0000BE1E0000}"/>
    <cellStyle name="40% - Акцент5 77" xfId="8362" xr:uid="{00000000-0005-0000-0000-0000BF1E0000}"/>
    <cellStyle name="40% - Акцент5 77 2" xfId="8363" xr:uid="{00000000-0005-0000-0000-0000C01E0000}"/>
    <cellStyle name="40% - Акцент5 78" xfId="8364" xr:uid="{00000000-0005-0000-0000-0000C11E0000}"/>
    <cellStyle name="40% - Акцент5 78 2" xfId="8365" xr:uid="{00000000-0005-0000-0000-0000C21E0000}"/>
    <cellStyle name="40% - Акцент5 79" xfId="8366" xr:uid="{00000000-0005-0000-0000-0000C31E0000}"/>
    <cellStyle name="40% - Акцент5 79 2" xfId="8367" xr:uid="{00000000-0005-0000-0000-0000C41E0000}"/>
    <cellStyle name="40% - Акцент5 8" xfId="8368" xr:uid="{00000000-0005-0000-0000-0000C51E0000}"/>
    <cellStyle name="40% - Акцент5 80" xfId="8369" xr:uid="{00000000-0005-0000-0000-0000C61E0000}"/>
    <cellStyle name="40% - Акцент5 80 2" xfId="8370" xr:uid="{00000000-0005-0000-0000-0000C71E0000}"/>
    <cellStyle name="40% - Акцент5 81" xfId="8371" xr:uid="{00000000-0005-0000-0000-0000C81E0000}"/>
    <cellStyle name="40% - Акцент5 81 2" xfId="8372" xr:uid="{00000000-0005-0000-0000-0000C91E0000}"/>
    <cellStyle name="40% - Акцент5 82" xfId="8373" xr:uid="{00000000-0005-0000-0000-0000CA1E0000}"/>
    <cellStyle name="40% - Акцент5 82 2" xfId="8374" xr:uid="{00000000-0005-0000-0000-0000CB1E0000}"/>
    <cellStyle name="40% - Акцент5 83" xfId="8375" xr:uid="{00000000-0005-0000-0000-0000CC1E0000}"/>
    <cellStyle name="40% - Акцент5 83 2" xfId="8376" xr:uid="{00000000-0005-0000-0000-0000CD1E0000}"/>
    <cellStyle name="40% - Акцент5 84" xfId="8377" xr:uid="{00000000-0005-0000-0000-0000CE1E0000}"/>
    <cellStyle name="40% - Акцент5 84 2" xfId="8378" xr:uid="{00000000-0005-0000-0000-0000CF1E0000}"/>
    <cellStyle name="40% - Акцент5 85" xfId="8379" xr:uid="{00000000-0005-0000-0000-0000D01E0000}"/>
    <cellStyle name="40% - Акцент5 85 2" xfId="8380" xr:uid="{00000000-0005-0000-0000-0000D11E0000}"/>
    <cellStyle name="40% - Акцент5 86" xfId="8381" xr:uid="{00000000-0005-0000-0000-0000D21E0000}"/>
    <cellStyle name="40% - Акцент5 86 2" xfId="8382" xr:uid="{00000000-0005-0000-0000-0000D31E0000}"/>
    <cellStyle name="40% - Акцент5 87" xfId="8383" xr:uid="{00000000-0005-0000-0000-0000D41E0000}"/>
    <cellStyle name="40% - Акцент5 87 2" xfId="8384" xr:uid="{00000000-0005-0000-0000-0000D51E0000}"/>
    <cellStyle name="40% - Акцент5 88" xfId="8385" xr:uid="{00000000-0005-0000-0000-0000D61E0000}"/>
    <cellStyle name="40% - Акцент5 88 2" xfId="8386" xr:uid="{00000000-0005-0000-0000-0000D71E0000}"/>
    <cellStyle name="40% - Акцент5 89" xfId="8387" xr:uid="{00000000-0005-0000-0000-0000D81E0000}"/>
    <cellStyle name="40% - Акцент5 89 2" xfId="8388" xr:uid="{00000000-0005-0000-0000-0000D91E0000}"/>
    <cellStyle name="40% - Акцент5 9" xfId="8389" xr:uid="{00000000-0005-0000-0000-0000DA1E0000}"/>
    <cellStyle name="40% - Акцент5 90" xfId="8390" xr:uid="{00000000-0005-0000-0000-0000DB1E0000}"/>
    <cellStyle name="40% - Акцент5 90 2" xfId="8391" xr:uid="{00000000-0005-0000-0000-0000DC1E0000}"/>
    <cellStyle name="40% - Акцент5 91" xfId="8392" xr:uid="{00000000-0005-0000-0000-0000DD1E0000}"/>
    <cellStyle name="40% - Акцент5 91 2" xfId="8393" xr:uid="{00000000-0005-0000-0000-0000DE1E0000}"/>
    <cellStyle name="40% - Акцент5 92" xfId="8394" xr:uid="{00000000-0005-0000-0000-0000DF1E0000}"/>
    <cellStyle name="40% - Акцент5 92 2" xfId="8395" xr:uid="{00000000-0005-0000-0000-0000E01E0000}"/>
    <cellStyle name="40% - Акцент5 93" xfId="8396" xr:uid="{00000000-0005-0000-0000-0000E11E0000}"/>
    <cellStyle name="40% - Акцент5 93 2" xfId="8397" xr:uid="{00000000-0005-0000-0000-0000E21E0000}"/>
    <cellStyle name="40% - Акцент5 94" xfId="8398" xr:uid="{00000000-0005-0000-0000-0000E31E0000}"/>
    <cellStyle name="40% - Акцент5 94 2" xfId="8399" xr:uid="{00000000-0005-0000-0000-0000E41E0000}"/>
    <cellStyle name="40% - Акцент5 95" xfId="8400" xr:uid="{00000000-0005-0000-0000-0000E51E0000}"/>
    <cellStyle name="40% - Акцент5 95 2" xfId="8401" xr:uid="{00000000-0005-0000-0000-0000E61E0000}"/>
    <cellStyle name="40% - Акцент5 96" xfId="8402" xr:uid="{00000000-0005-0000-0000-0000E71E0000}"/>
    <cellStyle name="40% - Акцент5 96 2" xfId="8403" xr:uid="{00000000-0005-0000-0000-0000E81E0000}"/>
    <cellStyle name="40% - Акцент5 97" xfId="8404" xr:uid="{00000000-0005-0000-0000-0000E91E0000}"/>
    <cellStyle name="40% - Акцент5 97 2" xfId="8405" xr:uid="{00000000-0005-0000-0000-0000EA1E0000}"/>
    <cellStyle name="40% - Акцент5 98" xfId="8406" xr:uid="{00000000-0005-0000-0000-0000EB1E0000}"/>
    <cellStyle name="40% - Акцент5 98 2" xfId="8407" xr:uid="{00000000-0005-0000-0000-0000EC1E0000}"/>
    <cellStyle name="40% - Акцент5 99" xfId="8408" xr:uid="{00000000-0005-0000-0000-0000ED1E0000}"/>
    <cellStyle name="40% - Акцент5 99 2" xfId="8409" xr:uid="{00000000-0005-0000-0000-0000EE1E0000}"/>
    <cellStyle name="40% - Акцент6 10" xfId="8410" xr:uid="{00000000-0005-0000-0000-0000EF1E0000}"/>
    <cellStyle name="40% - Акцент6 100" xfId="8411" xr:uid="{00000000-0005-0000-0000-0000F01E0000}"/>
    <cellStyle name="40% - Акцент6 100 2" xfId="8412" xr:uid="{00000000-0005-0000-0000-0000F11E0000}"/>
    <cellStyle name="40% - Акцент6 101" xfId="8413" xr:uid="{00000000-0005-0000-0000-0000F21E0000}"/>
    <cellStyle name="40% - Акцент6 101 2" xfId="8414" xr:uid="{00000000-0005-0000-0000-0000F31E0000}"/>
    <cellStyle name="40% - Акцент6 102" xfId="8415" xr:uid="{00000000-0005-0000-0000-0000F41E0000}"/>
    <cellStyle name="40% - Акцент6 102 2" xfId="8416" xr:uid="{00000000-0005-0000-0000-0000F51E0000}"/>
    <cellStyle name="40% - Акцент6 103" xfId="8417" xr:uid="{00000000-0005-0000-0000-0000F61E0000}"/>
    <cellStyle name="40% - Акцент6 103 2" xfId="8418" xr:uid="{00000000-0005-0000-0000-0000F71E0000}"/>
    <cellStyle name="40% - Акцент6 104" xfId="8419" xr:uid="{00000000-0005-0000-0000-0000F81E0000}"/>
    <cellStyle name="40% - Акцент6 104 2" xfId="8420" xr:uid="{00000000-0005-0000-0000-0000F91E0000}"/>
    <cellStyle name="40% - Акцент6 105" xfId="8421" xr:uid="{00000000-0005-0000-0000-0000FA1E0000}"/>
    <cellStyle name="40% - Акцент6 105 2" xfId="8422" xr:uid="{00000000-0005-0000-0000-0000FB1E0000}"/>
    <cellStyle name="40% - Акцент6 106" xfId="8423" xr:uid="{00000000-0005-0000-0000-0000FC1E0000}"/>
    <cellStyle name="40% - Акцент6 106 2" xfId="8424" xr:uid="{00000000-0005-0000-0000-0000FD1E0000}"/>
    <cellStyle name="40% - Акцент6 107" xfId="8425" xr:uid="{00000000-0005-0000-0000-0000FE1E0000}"/>
    <cellStyle name="40% - Акцент6 107 2" xfId="8426" xr:uid="{00000000-0005-0000-0000-0000FF1E0000}"/>
    <cellStyle name="40% - Акцент6 108" xfId="8427" xr:uid="{00000000-0005-0000-0000-0000001F0000}"/>
    <cellStyle name="40% - Акцент6 108 2" xfId="8428" xr:uid="{00000000-0005-0000-0000-0000011F0000}"/>
    <cellStyle name="40% - Акцент6 109" xfId="8429" xr:uid="{00000000-0005-0000-0000-0000021F0000}"/>
    <cellStyle name="40% - Акцент6 109 2" xfId="8430" xr:uid="{00000000-0005-0000-0000-0000031F0000}"/>
    <cellStyle name="40% - Акцент6 11" xfId="8431" xr:uid="{00000000-0005-0000-0000-0000041F0000}"/>
    <cellStyle name="40% - Акцент6 110" xfId="8432" xr:uid="{00000000-0005-0000-0000-0000051F0000}"/>
    <cellStyle name="40% - Акцент6 110 2" xfId="8433" xr:uid="{00000000-0005-0000-0000-0000061F0000}"/>
    <cellStyle name="40% - Акцент6 111" xfId="8434" xr:uid="{00000000-0005-0000-0000-0000071F0000}"/>
    <cellStyle name="40% - Акцент6 111 2" xfId="8435" xr:uid="{00000000-0005-0000-0000-0000081F0000}"/>
    <cellStyle name="40% - Акцент6 112" xfId="8436" xr:uid="{00000000-0005-0000-0000-0000091F0000}"/>
    <cellStyle name="40% - Акцент6 112 2" xfId="8437" xr:uid="{00000000-0005-0000-0000-00000A1F0000}"/>
    <cellStyle name="40% - Акцент6 113" xfId="8438" xr:uid="{00000000-0005-0000-0000-00000B1F0000}"/>
    <cellStyle name="40% - Акцент6 113 2" xfId="8439" xr:uid="{00000000-0005-0000-0000-00000C1F0000}"/>
    <cellStyle name="40% - Акцент6 114" xfId="8440" xr:uid="{00000000-0005-0000-0000-00000D1F0000}"/>
    <cellStyle name="40% - Акцент6 114 2" xfId="8441" xr:uid="{00000000-0005-0000-0000-00000E1F0000}"/>
    <cellStyle name="40% - Акцент6 115" xfId="8442" xr:uid="{00000000-0005-0000-0000-00000F1F0000}"/>
    <cellStyle name="40% - Акцент6 115 2" xfId="8443" xr:uid="{00000000-0005-0000-0000-0000101F0000}"/>
    <cellStyle name="40% - Акцент6 116" xfId="8444" xr:uid="{00000000-0005-0000-0000-0000111F0000}"/>
    <cellStyle name="40% - Акцент6 116 2" xfId="8445" xr:uid="{00000000-0005-0000-0000-0000121F0000}"/>
    <cellStyle name="40% - Акцент6 117" xfId="8446" xr:uid="{00000000-0005-0000-0000-0000131F0000}"/>
    <cellStyle name="40% - Акцент6 117 2" xfId="8447" xr:uid="{00000000-0005-0000-0000-0000141F0000}"/>
    <cellStyle name="40% - Акцент6 118" xfId="8448" xr:uid="{00000000-0005-0000-0000-0000151F0000}"/>
    <cellStyle name="40% - Акцент6 118 2" xfId="8449" xr:uid="{00000000-0005-0000-0000-0000161F0000}"/>
    <cellStyle name="40% - Акцент6 119" xfId="8450" xr:uid="{00000000-0005-0000-0000-0000171F0000}"/>
    <cellStyle name="40% - Акцент6 119 2" xfId="8451" xr:uid="{00000000-0005-0000-0000-0000181F0000}"/>
    <cellStyle name="40% - Акцент6 12" xfId="8452" xr:uid="{00000000-0005-0000-0000-0000191F0000}"/>
    <cellStyle name="40% - Акцент6 120" xfId="8453" xr:uid="{00000000-0005-0000-0000-00001A1F0000}"/>
    <cellStyle name="40% - Акцент6 120 2" xfId="8454" xr:uid="{00000000-0005-0000-0000-00001B1F0000}"/>
    <cellStyle name="40% - Акцент6 121" xfId="8455" xr:uid="{00000000-0005-0000-0000-00001C1F0000}"/>
    <cellStyle name="40% - Акцент6 121 2" xfId="8456" xr:uid="{00000000-0005-0000-0000-00001D1F0000}"/>
    <cellStyle name="40% - Акцент6 122" xfId="8457" xr:uid="{00000000-0005-0000-0000-00001E1F0000}"/>
    <cellStyle name="40% - Акцент6 122 2" xfId="8458" xr:uid="{00000000-0005-0000-0000-00001F1F0000}"/>
    <cellStyle name="40% - Акцент6 123" xfId="8459" xr:uid="{00000000-0005-0000-0000-0000201F0000}"/>
    <cellStyle name="40% - Акцент6 123 2" xfId="8460" xr:uid="{00000000-0005-0000-0000-0000211F0000}"/>
    <cellStyle name="40% - Акцент6 124" xfId="8461" xr:uid="{00000000-0005-0000-0000-0000221F0000}"/>
    <cellStyle name="40% - Акцент6 124 2" xfId="8462" xr:uid="{00000000-0005-0000-0000-0000231F0000}"/>
    <cellStyle name="40% - Акцент6 125" xfId="8463" xr:uid="{00000000-0005-0000-0000-0000241F0000}"/>
    <cellStyle name="40% - Акцент6 125 2" xfId="8464" xr:uid="{00000000-0005-0000-0000-0000251F0000}"/>
    <cellStyle name="40% - Акцент6 126" xfId="8465" xr:uid="{00000000-0005-0000-0000-0000261F0000}"/>
    <cellStyle name="40% - Акцент6 126 2" xfId="8466" xr:uid="{00000000-0005-0000-0000-0000271F0000}"/>
    <cellStyle name="40% - Акцент6 127" xfId="8467" xr:uid="{00000000-0005-0000-0000-0000281F0000}"/>
    <cellStyle name="40% - Акцент6 127 2" xfId="8468" xr:uid="{00000000-0005-0000-0000-0000291F0000}"/>
    <cellStyle name="40% - Акцент6 128" xfId="8469" xr:uid="{00000000-0005-0000-0000-00002A1F0000}"/>
    <cellStyle name="40% - Акцент6 128 2" xfId="8470" xr:uid="{00000000-0005-0000-0000-00002B1F0000}"/>
    <cellStyle name="40% - Акцент6 129" xfId="8471" xr:uid="{00000000-0005-0000-0000-00002C1F0000}"/>
    <cellStyle name="40% - Акцент6 129 2" xfId="8472" xr:uid="{00000000-0005-0000-0000-00002D1F0000}"/>
    <cellStyle name="40% - Акцент6 13" xfId="8473" xr:uid="{00000000-0005-0000-0000-00002E1F0000}"/>
    <cellStyle name="40% - Акцент6 130" xfId="8474" xr:uid="{00000000-0005-0000-0000-00002F1F0000}"/>
    <cellStyle name="40% - Акцент6 130 2" xfId="8475" xr:uid="{00000000-0005-0000-0000-0000301F0000}"/>
    <cellStyle name="40% - Акцент6 131" xfId="8476" xr:uid="{00000000-0005-0000-0000-0000311F0000}"/>
    <cellStyle name="40% - Акцент6 131 2" xfId="8477" xr:uid="{00000000-0005-0000-0000-0000321F0000}"/>
    <cellStyle name="40% - Акцент6 132" xfId="8478" xr:uid="{00000000-0005-0000-0000-0000331F0000}"/>
    <cellStyle name="40% - Акцент6 132 2" xfId="8479" xr:uid="{00000000-0005-0000-0000-0000341F0000}"/>
    <cellStyle name="40% - Акцент6 133" xfId="8480" xr:uid="{00000000-0005-0000-0000-0000351F0000}"/>
    <cellStyle name="40% - Акцент6 133 2" xfId="8481" xr:uid="{00000000-0005-0000-0000-0000361F0000}"/>
    <cellStyle name="40% - Акцент6 134" xfId="8482" xr:uid="{00000000-0005-0000-0000-0000371F0000}"/>
    <cellStyle name="40% - Акцент6 134 2" xfId="8483" xr:uid="{00000000-0005-0000-0000-0000381F0000}"/>
    <cellStyle name="40% - Акцент6 135" xfId="8484" xr:uid="{00000000-0005-0000-0000-0000391F0000}"/>
    <cellStyle name="40% - Акцент6 135 2" xfId="8485" xr:uid="{00000000-0005-0000-0000-00003A1F0000}"/>
    <cellStyle name="40% - Акцент6 136" xfId="8486" xr:uid="{00000000-0005-0000-0000-00003B1F0000}"/>
    <cellStyle name="40% - Акцент6 136 2" xfId="8487" xr:uid="{00000000-0005-0000-0000-00003C1F0000}"/>
    <cellStyle name="40% - Акцент6 137" xfId="8488" xr:uid="{00000000-0005-0000-0000-00003D1F0000}"/>
    <cellStyle name="40% - Акцент6 137 2" xfId="8489" xr:uid="{00000000-0005-0000-0000-00003E1F0000}"/>
    <cellStyle name="40% - Акцент6 138" xfId="8490" xr:uid="{00000000-0005-0000-0000-00003F1F0000}"/>
    <cellStyle name="40% - Акцент6 138 2" xfId="8491" xr:uid="{00000000-0005-0000-0000-0000401F0000}"/>
    <cellStyle name="40% - Акцент6 139" xfId="8492" xr:uid="{00000000-0005-0000-0000-0000411F0000}"/>
    <cellStyle name="40% - Акцент6 139 2" xfId="8493" xr:uid="{00000000-0005-0000-0000-0000421F0000}"/>
    <cellStyle name="40% - Акцент6 14" xfId="8494" xr:uid="{00000000-0005-0000-0000-0000431F0000}"/>
    <cellStyle name="40% - Акцент6 140" xfId="8495" xr:uid="{00000000-0005-0000-0000-0000441F0000}"/>
    <cellStyle name="40% - Акцент6 140 2" xfId="8496" xr:uid="{00000000-0005-0000-0000-0000451F0000}"/>
    <cellStyle name="40% - Акцент6 141" xfId="8497" xr:uid="{00000000-0005-0000-0000-0000461F0000}"/>
    <cellStyle name="40% - Акцент6 141 2" xfId="8498" xr:uid="{00000000-0005-0000-0000-0000471F0000}"/>
    <cellStyle name="40% - Акцент6 142" xfId="8499" xr:uid="{00000000-0005-0000-0000-0000481F0000}"/>
    <cellStyle name="40% - Акцент6 142 2" xfId="8500" xr:uid="{00000000-0005-0000-0000-0000491F0000}"/>
    <cellStyle name="40% - Акцент6 143" xfId="8501" xr:uid="{00000000-0005-0000-0000-00004A1F0000}"/>
    <cellStyle name="40% - Акцент6 143 2" xfId="8502" xr:uid="{00000000-0005-0000-0000-00004B1F0000}"/>
    <cellStyle name="40% - Акцент6 144" xfId="8503" xr:uid="{00000000-0005-0000-0000-00004C1F0000}"/>
    <cellStyle name="40% - Акцент6 144 2" xfId="8504" xr:uid="{00000000-0005-0000-0000-00004D1F0000}"/>
    <cellStyle name="40% - Акцент6 145" xfId="8505" xr:uid="{00000000-0005-0000-0000-00004E1F0000}"/>
    <cellStyle name="40% - Акцент6 145 2" xfId="8506" xr:uid="{00000000-0005-0000-0000-00004F1F0000}"/>
    <cellStyle name="40% - Акцент6 146" xfId="8507" xr:uid="{00000000-0005-0000-0000-0000501F0000}"/>
    <cellStyle name="40% - Акцент6 146 2" xfId="8508" xr:uid="{00000000-0005-0000-0000-0000511F0000}"/>
    <cellStyle name="40% - Акцент6 147" xfId="8509" xr:uid="{00000000-0005-0000-0000-0000521F0000}"/>
    <cellStyle name="40% - Акцент6 147 2" xfId="8510" xr:uid="{00000000-0005-0000-0000-0000531F0000}"/>
    <cellStyle name="40% - Акцент6 148" xfId="8511" xr:uid="{00000000-0005-0000-0000-0000541F0000}"/>
    <cellStyle name="40% - Акцент6 148 2" xfId="8512" xr:uid="{00000000-0005-0000-0000-0000551F0000}"/>
    <cellStyle name="40% - Акцент6 149" xfId="8513" xr:uid="{00000000-0005-0000-0000-0000561F0000}"/>
    <cellStyle name="40% - Акцент6 149 2" xfId="8514" xr:uid="{00000000-0005-0000-0000-0000571F0000}"/>
    <cellStyle name="40% - Акцент6 15" xfId="8515" xr:uid="{00000000-0005-0000-0000-0000581F0000}"/>
    <cellStyle name="40% - Акцент6 150" xfId="8516" xr:uid="{00000000-0005-0000-0000-0000591F0000}"/>
    <cellStyle name="40% - Акцент6 150 2" xfId="8517" xr:uid="{00000000-0005-0000-0000-00005A1F0000}"/>
    <cellStyle name="40% - Акцент6 151" xfId="8518" xr:uid="{00000000-0005-0000-0000-00005B1F0000}"/>
    <cellStyle name="40% - Акцент6 151 2" xfId="8519" xr:uid="{00000000-0005-0000-0000-00005C1F0000}"/>
    <cellStyle name="40% - Акцент6 152" xfId="8520" xr:uid="{00000000-0005-0000-0000-00005D1F0000}"/>
    <cellStyle name="40% - Акцент6 152 2" xfId="8521" xr:uid="{00000000-0005-0000-0000-00005E1F0000}"/>
    <cellStyle name="40% - Акцент6 153" xfId="8522" xr:uid="{00000000-0005-0000-0000-00005F1F0000}"/>
    <cellStyle name="40% - Акцент6 153 2" xfId="8523" xr:uid="{00000000-0005-0000-0000-0000601F0000}"/>
    <cellStyle name="40% - Акцент6 154" xfId="8524" xr:uid="{00000000-0005-0000-0000-0000611F0000}"/>
    <cellStyle name="40% - Акцент6 154 2" xfId="8525" xr:uid="{00000000-0005-0000-0000-0000621F0000}"/>
    <cellStyle name="40% - Акцент6 155" xfId="8526" xr:uid="{00000000-0005-0000-0000-0000631F0000}"/>
    <cellStyle name="40% - Акцент6 155 2" xfId="8527" xr:uid="{00000000-0005-0000-0000-0000641F0000}"/>
    <cellStyle name="40% - Акцент6 156" xfId="8528" xr:uid="{00000000-0005-0000-0000-0000651F0000}"/>
    <cellStyle name="40% - Акцент6 156 2" xfId="8529" xr:uid="{00000000-0005-0000-0000-0000661F0000}"/>
    <cellStyle name="40% - Акцент6 157" xfId="8530" xr:uid="{00000000-0005-0000-0000-0000671F0000}"/>
    <cellStyle name="40% - Акцент6 157 2" xfId="8531" xr:uid="{00000000-0005-0000-0000-0000681F0000}"/>
    <cellStyle name="40% - Акцент6 158" xfId="8532" xr:uid="{00000000-0005-0000-0000-0000691F0000}"/>
    <cellStyle name="40% - Акцент6 158 2" xfId="8533" xr:uid="{00000000-0005-0000-0000-00006A1F0000}"/>
    <cellStyle name="40% - Акцент6 159" xfId="8534" xr:uid="{00000000-0005-0000-0000-00006B1F0000}"/>
    <cellStyle name="40% - Акцент6 159 2" xfId="8535" xr:uid="{00000000-0005-0000-0000-00006C1F0000}"/>
    <cellStyle name="40% - Акцент6 16" xfId="8536" xr:uid="{00000000-0005-0000-0000-00006D1F0000}"/>
    <cellStyle name="40% - Акцент6 160" xfId="8537" xr:uid="{00000000-0005-0000-0000-00006E1F0000}"/>
    <cellStyle name="40% - Акцент6 160 2" xfId="8538" xr:uid="{00000000-0005-0000-0000-00006F1F0000}"/>
    <cellStyle name="40% - Акцент6 161" xfId="8539" xr:uid="{00000000-0005-0000-0000-0000701F0000}"/>
    <cellStyle name="40% - Акцент6 161 2" xfId="8540" xr:uid="{00000000-0005-0000-0000-0000711F0000}"/>
    <cellStyle name="40% - Акцент6 162" xfId="8541" xr:uid="{00000000-0005-0000-0000-0000721F0000}"/>
    <cellStyle name="40% - Акцент6 162 2" xfId="8542" xr:uid="{00000000-0005-0000-0000-0000731F0000}"/>
    <cellStyle name="40% - Акцент6 163" xfId="8543" xr:uid="{00000000-0005-0000-0000-0000741F0000}"/>
    <cellStyle name="40% - Акцент6 163 2" xfId="8544" xr:uid="{00000000-0005-0000-0000-0000751F0000}"/>
    <cellStyle name="40% - Акцент6 164" xfId="8545" xr:uid="{00000000-0005-0000-0000-0000761F0000}"/>
    <cellStyle name="40% - Акцент6 164 2" xfId="8546" xr:uid="{00000000-0005-0000-0000-0000771F0000}"/>
    <cellStyle name="40% - Акцент6 165" xfId="8547" xr:uid="{00000000-0005-0000-0000-0000781F0000}"/>
    <cellStyle name="40% - Акцент6 165 2" xfId="8548" xr:uid="{00000000-0005-0000-0000-0000791F0000}"/>
    <cellStyle name="40% - Акцент6 166" xfId="8549" xr:uid="{00000000-0005-0000-0000-00007A1F0000}"/>
    <cellStyle name="40% - Акцент6 166 2" xfId="8550" xr:uid="{00000000-0005-0000-0000-00007B1F0000}"/>
    <cellStyle name="40% - Акцент6 167" xfId="8551" xr:uid="{00000000-0005-0000-0000-00007C1F0000}"/>
    <cellStyle name="40% - Акцент6 167 2" xfId="8552" xr:uid="{00000000-0005-0000-0000-00007D1F0000}"/>
    <cellStyle name="40% - Акцент6 168" xfId="8553" xr:uid="{00000000-0005-0000-0000-00007E1F0000}"/>
    <cellStyle name="40% - Акцент6 168 2" xfId="8554" xr:uid="{00000000-0005-0000-0000-00007F1F0000}"/>
    <cellStyle name="40% - Акцент6 169" xfId="8555" xr:uid="{00000000-0005-0000-0000-0000801F0000}"/>
    <cellStyle name="40% - Акцент6 169 2" xfId="8556" xr:uid="{00000000-0005-0000-0000-0000811F0000}"/>
    <cellStyle name="40% - Акцент6 17" xfId="8557" xr:uid="{00000000-0005-0000-0000-0000821F0000}"/>
    <cellStyle name="40% - Акцент6 170" xfId="8558" xr:uid="{00000000-0005-0000-0000-0000831F0000}"/>
    <cellStyle name="40% - Акцент6 170 2" xfId="8559" xr:uid="{00000000-0005-0000-0000-0000841F0000}"/>
    <cellStyle name="40% - Акцент6 171" xfId="8560" xr:uid="{00000000-0005-0000-0000-0000851F0000}"/>
    <cellStyle name="40% - Акцент6 171 2" xfId="8561" xr:uid="{00000000-0005-0000-0000-0000861F0000}"/>
    <cellStyle name="40% - Акцент6 172" xfId="8562" xr:uid="{00000000-0005-0000-0000-0000871F0000}"/>
    <cellStyle name="40% - Акцент6 172 2" xfId="8563" xr:uid="{00000000-0005-0000-0000-0000881F0000}"/>
    <cellStyle name="40% - Акцент6 173" xfId="8564" xr:uid="{00000000-0005-0000-0000-0000891F0000}"/>
    <cellStyle name="40% - Акцент6 173 2" xfId="8565" xr:uid="{00000000-0005-0000-0000-00008A1F0000}"/>
    <cellStyle name="40% - Акцент6 174" xfId="8566" xr:uid="{00000000-0005-0000-0000-00008B1F0000}"/>
    <cellStyle name="40% - Акцент6 174 2" xfId="8567" xr:uid="{00000000-0005-0000-0000-00008C1F0000}"/>
    <cellStyle name="40% - Акцент6 175" xfId="8568" xr:uid="{00000000-0005-0000-0000-00008D1F0000}"/>
    <cellStyle name="40% - Акцент6 175 2" xfId="8569" xr:uid="{00000000-0005-0000-0000-00008E1F0000}"/>
    <cellStyle name="40% - Акцент6 176" xfId="8570" xr:uid="{00000000-0005-0000-0000-00008F1F0000}"/>
    <cellStyle name="40% - Акцент6 176 2" xfId="8571" xr:uid="{00000000-0005-0000-0000-0000901F0000}"/>
    <cellStyle name="40% - Акцент6 177" xfId="8572" xr:uid="{00000000-0005-0000-0000-0000911F0000}"/>
    <cellStyle name="40% - Акцент6 177 2" xfId="8573" xr:uid="{00000000-0005-0000-0000-0000921F0000}"/>
    <cellStyle name="40% - Акцент6 178" xfId="8574" xr:uid="{00000000-0005-0000-0000-0000931F0000}"/>
    <cellStyle name="40% - Акцент6 178 2" xfId="8575" xr:uid="{00000000-0005-0000-0000-0000941F0000}"/>
    <cellStyle name="40% - Акцент6 179" xfId="8576" xr:uid="{00000000-0005-0000-0000-0000951F0000}"/>
    <cellStyle name="40% - Акцент6 179 2" xfId="8577" xr:uid="{00000000-0005-0000-0000-0000961F0000}"/>
    <cellStyle name="40% - Акцент6 18" xfId="8578" xr:uid="{00000000-0005-0000-0000-0000971F0000}"/>
    <cellStyle name="40% - Акцент6 180" xfId="8579" xr:uid="{00000000-0005-0000-0000-0000981F0000}"/>
    <cellStyle name="40% - Акцент6 180 2" xfId="8580" xr:uid="{00000000-0005-0000-0000-0000991F0000}"/>
    <cellStyle name="40% - Акцент6 181" xfId="8581" xr:uid="{00000000-0005-0000-0000-00009A1F0000}"/>
    <cellStyle name="40% - Акцент6 181 2" xfId="8582" xr:uid="{00000000-0005-0000-0000-00009B1F0000}"/>
    <cellStyle name="40% - Акцент6 182" xfId="8583" xr:uid="{00000000-0005-0000-0000-00009C1F0000}"/>
    <cellStyle name="40% - Акцент6 182 2" xfId="8584" xr:uid="{00000000-0005-0000-0000-00009D1F0000}"/>
    <cellStyle name="40% - Акцент6 183" xfId="8585" xr:uid="{00000000-0005-0000-0000-00009E1F0000}"/>
    <cellStyle name="40% - Акцент6 183 2" xfId="8586" xr:uid="{00000000-0005-0000-0000-00009F1F0000}"/>
    <cellStyle name="40% - Акцент6 184" xfId="8587" xr:uid="{00000000-0005-0000-0000-0000A01F0000}"/>
    <cellStyle name="40% - Акцент6 184 2" xfId="8588" xr:uid="{00000000-0005-0000-0000-0000A11F0000}"/>
    <cellStyle name="40% - Акцент6 185" xfId="8589" xr:uid="{00000000-0005-0000-0000-0000A21F0000}"/>
    <cellStyle name="40% - Акцент6 185 2" xfId="8590" xr:uid="{00000000-0005-0000-0000-0000A31F0000}"/>
    <cellStyle name="40% - Акцент6 186" xfId="8591" xr:uid="{00000000-0005-0000-0000-0000A41F0000}"/>
    <cellStyle name="40% - Акцент6 186 2" xfId="8592" xr:uid="{00000000-0005-0000-0000-0000A51F0000}"/>
    <cellStyle name="40% - Акцент6 187" xfId="8593" xr:uid="{00000000-0005-0000-0000-0000A61F0000}"/>
    <cellStyle name="40% - Акцент6 187 2" xfId="8594" xr:uid="{00000000-0005-0000-0000-0000A71F0000}"/>
    <cellStyle name="40% - Акцент6 188" xfId="8595" xr:uid="{00000000-0005-0000-0000-0000A81F0000}"/>
    <cellStyle name="40% - Акцент6 188 2" xfId="8596" xr:uid="{00000000-0005-0000-0000-0000A91F0000}"/>
    <cellStyle name="40% - Акцент6 189" xfId="8597" xr:uid="{00000000-0005-0000-0000-0000AA1F0000}"/>
    <cellStyle name="40% - Акцент6 189 2" xfId="8598" xr:uid="{00000000-0005-0000-0000-0000AB1F0000}"/>
    <cellStyle name="40% - Акцент6 19" xfId="8599" xr:uid="{00000000-0005-0000-0000-0000AC1F0000}"/>
    <cellStyle name="40% - Акцент6 190" xfId="8600" xr:uid="{00000000-0005-0000-0000-0000AD1F0000}"/>
    <cellStyle name="40% - Акцент6 190 2" xfId="8601" xr:uid="{00000000-0005-0000-0000-0000AE1F0000}"/>
    <cellStyle name="40% - Акцент6 191" xfId="8602" xr:uid="{00000000-0005-0000-0000-0000AF1F0000}"/>
    <cellStyle name="40% - Акцент6 191 2" xfId="8603" xr:uid="{00000000-0005-0000-0000-0000B01F0000}"/>
    <cellStyle name="40% - Акцент6 192" xfId="8604" xr:uid="{00000000-0005-0000-0000-0000B11F0000}"/>
    <cellStyle name="40% - Акцент6 192 2" xfId="8605" xr:uid="{00000000-0005-0000-0000-0000B21F0000}"/>
    <cellStyle name="40% - Акцент6 193" xfId="8606" xr:uid="{00000000-0005-0000-0000-0000B31F0000}"/>
    <cellStyle name="40% - Акцент6 193 2" xfId="8607" xr:uid="{00000000-0005-0000-0000-0000B41F0000}"/>
    <cellStyle name="40% - Акцент6 194" xfId="8608" xr:uid="{00000000-0005-0000-0000-0000B51F0000}"/>
    <cellStyle name="40% - Акцент6 194 2" xfId="8609" xr:uid="{00000000-0005-0000-0000-0000B61F0000}"/>
    <cellStyle name="40% - Акцент6 195" xfId="8610" xr:uid="{00000000-0005-0000-0000-0000B71F0000}"/>
    <cellStyle name="40% - Акцент6 195 2" xfId="8611" xr:uid="{00000000-0005-0000-0000-0000B81F0000}"/>
    <cellStyle name="40% - Акцент6 196" xfId="8612" xr:uid="{00000000-0005-0000-0000-0000B91F0000}"/>
    <cellStyle name="40% - Акцент6 196 2" xfId="8613" xr:uid="{00000000-0005-0000-0000-0000BA1F0000}"/>
    <cellStyle name="40% - Акцент6 197" xfId="8614" xr:uid="{00000000-0005-0000-0000-0000BB1F0000}"/>
    <cellStyle name="40% - Акцент6 197 2" xfId="8615" xr:uid="{00000000-0005-0000-0000-0000BC1F0000}"/>
    <cellStyle name="40% - Акцент6 198" xfId="8616" xr:uid="{00000000-0005-0000-0000-0000BD1F0000}"/>
    <cellStyle name="40% - Акцент6 198 2" xfId="8617" xr:uid="{00000000-0005-0000-0000-0000BE1F0000}"/>
    <cellStyle name="40% - Акцент6 199" xfId="8618" xr:uid="{00000000-0005-0000-0000-0000BF1F0000}"/>
    <cellStyle name="40% - Акцент6 199 2" xfId="8619" xr:uid="{00000000-0005-0000-0000-0000C01F0000}"/>
    <cellStyle name="40% - Акцент6 2" xfId="8620" xr:uid="{00000000-0005-0000-0000-0000C11F0000}"/>
    <cellStyle name="40% - Акцент6 2 2" xfId="8621" xr:uid="{00000000-0005-0000-0000-0000C21F0000}"/>
    <cellStyle name="40% - Акцент6 2 2 2" xfId="8622" xr:uid="{00000000-0005-0000-0000-0000C31F0000}"/>
    <cellStyle name="40% - Акцент6 2 3" xfId="8623" xr:uid="{00000000-0005-0000-0000-0000C41F0000}"/>
    <cellStyle name="40% - Акцент6 2 4" xfId="8624" xr:uid="{00000000-0005-0000-0000-0000C51F0000}"/>
    <cellStyle name="40% - Акцент6 2 5" xfId="8625" xr:uid="{00000000-0005-0000-0000-0000C61F0000}"/>
    <cellStyle name="40% - Акцент6 2 6" xfId="8626" xr:uid="{00000000-0005-0000-0000-0000C71F0000}"/>
    <cellStyle name="40% - Акцент6 2 7" xfId="8627" xr:uid="{00000000-0005-0000-0000-0000C81F0000}"/>
    <cellStyle name="40% - Акцент6 20" xfId="8628" xr:uid="{00000000-0005-0000-0000-0000C91F0000}"/>
    <cellStyle name="40% - Акцент6 20 2" xfId="8629" xr:uid="{00000000-0005-0000-0000-0000CA1F0000}"/>
    <cellStyle name="40% - Акцент6 200" xfId="8630" xr:uid="{00000000-0005-0000-0000-0000CB1F0000}"/>
    <cellStyle name="40% - Акцент6 200 2" xfId="8631" xr:uid="{00000000-0005-0000-0000-0000CC1F0000}"/>
    <cellStyle name="40% - Акцент6 201" xfId="8632" xr:uid="{00000000-0005-0000-0000-0000CD1F0000}"/>
    <cellStyle name="40% - Акцент6 201 2" xfId="8633" xr:uid="{00000000-0005-0000-0000-0000CE1F0000}"/>
    <cellStyle name="40% - Акцент6 202" xfId="8634" xr:uid="{00000000-0005-0000-0000-0000CF1F0000}"/>
    <cellStyle name="40% - Акцент6 202 2" xfId="8635" xr:uid="{00000000-0005-0000-0000-0000D01F0000}"/>
    <cellStyle name="40% - Акцент6 203" xfId="8636" xr:uid="{00000000-0005-0000-0000-0000D11F0000}"/>
    <cellStyle name="40% - Акцент6 203 2" xfId="8637" xr:uid="{00000000-0005-0000-0000-0000D21F0000}"/>
    <cellStyle name="40% - Акцент6 204" xfId="8638" xr:uid="{00000000-0005-0000-0000-0000D31F0000}"/>
    <cellStyle name="40% - Акцент6 204 2" xfId="8639" xr:uid="{00000000-0005-0000-0000-0000D41F0000}"/>
    <cellStyle name="40% - Акцент6 205" xfId="8640" xr:uid="{00000000-0005-0000-0000-0000D51F0000}"/>
    <cellStyle name="40% - Акцент6 205 2" xfId="8641" xr:uid="{00000000-0005-0000-0000-0000D61F0000}"/>
    <cellStyle name="40% - Акцент6 206" xfId="8642" xr:uid="{00000000-0005-0000-0000-0000D71F0000}"/>
    <cellStyle name="40% - Акцент6 206 2" xfId="8643" xr:uid="{00000000-0005-0000-0000-0000D81F0000}"/>
    <cellStyle name="40% - Акцент6 207" xfId="8644" xr:uid="{00000000-0005-0000-0000-0000D91F0000}"/>
    <cellStyle name="40% - Акцент6 207 2" xfId="8645" xr:uid="{00000000-0005-0000-0000-0000DA1F0000}"/>
    <cellStyle name="40% - Акцент6 208" xfId="8646" xr:uid="{00000000-0005-0000-0000-0000DB1F0000}"/>
    <cellStyle name="40% - Акцент6 208 2" xfId="8647" xr:uid="{00000000-0005-0000-0000-0000DC1F0000}"/>
    <cellStyle name="40% - Акцент6 209" xfId="8648" xr:uid="{00000000-0005-0000-0000-0000DD1F0000}"/>
    <cellStyle name="40% - Акцент6 209 2" xfId="8649" xr:uid="{00000000-0005-0000-0000-0000DE1F0000}"/>
    <cellStyle name="40% - Акцент6 21" xfId="8650" xr:uid="{00000000-0005-0000-0000-0000DF1F0000}"/>
    <cellStyle name="40% - Акцент6 21 2" xfId="8651" xr:uid="{00000000-0005-0000-0000-0000E01F0000}"/>
    <cellStyle name="40% - Акцент6 210" xfId="8652" xr:uid="{00000000-0005-0000-0000-0000E11F0000}"/>
    <cellStyle name="40% - Акцент6 210 2" xfId="8653" xr:uid="{00000000-0005-0000-0000-0000E21F0000}"/>
    <cellStyle name="40% - Акцент6 211" xfId="8654" xr:uid="{00000000-0005-0000-0000-0000E31F0000}"/>
    <cellStyle name="40% - Акцент6 211 2" xfId="8655" xr:uid="{00000000-0005-0000-0000-0000E41F0000}"/>
    <cellStyle name="40% - Акцент6 212" xfId="8656" xr:uid="{00000000-0005-0000-0000-0000E51F0000}"/>
    <cellStyle name="40% - Акцент6 212 2" xfId="8657" xr:uid="{00000000-0005-0000-0000-0000E61F0000}"/>
    <cellStyle name="40% - Акцент6 213" xfId="8658" xr:uid="{00000000-0005-0000-0000-0000E71F0000}"/>
    <cellStyle name="40% - Акцент6 213 2" xfId="8659" xr:uid="{00000000-0005-0000-0000-0000E81F0000}"/>
    <cellStyle name="40% - Акцент6 214" xfId="8660" xr:uid="{00000000-0005-0000-0000-0000E91F0000}"/>
    <cellStyle name="40% - Акцент6 214 2" xfId="8661" xr:uid="{00000000-0005-0000-0000-0000EA1F0000}"/>
    <cellStyle name="40% - Акцент6 215" xfId="8662" xr:uid="{00000000-0005-0000-0000-0000EB1F0000}"/>
    <cellStyle name="40% - Акцент6 215 2" xfId="8663" xr:uid="{00000000-0005-0000-0000-0000EC1F0000}"/>
    <cellStyle name="40% - Акцент6 216" xfId="8664" xr:uid="{00000000-0005-0000-0000-0000ED1F0000}"/>
    <cellStyle name="40% - Акцент6 216 2" xfId="8665" xr:uid="{00000000-0005-0000-0000-0000EE1F0000}"/>
    <cellStyle name="40% - Акцент6 217" xfId="8666" xr:uid="{00000000-0005-0000-0000-0000EF1F0000}"/>
    <cellStyle name="40% - Акцент6 217 2" xfId="8667" xr:uid="{00000000-0005-0000-0000-0000F01F0000}"/>
    <cellStyle name="40% - Акцент6 217 3" xfId="8668" xr:uid="{00000000-0005-0000-0000-0000F11F0000}"/>
    <cellStyle name="40% - Акцент6 218" xfId="8669" xr:uid="{00000000-0005-0000-0000-0000F21F0000}"/>
    <cellStyle name="40% - Акцент6 219" xfId="8670" xr:uid="{00000000-0005-0000-0000-0000F31F0000}"/>
    <cellStyle name="40% - Акцент6 22" xfId="8671" xr:uid="{00000000-0005-0000-0000-0000F41F0000}"/>
    <cellStyle name="40% - Акцент6 22 2" xfId="8672" xr:uid="{00000000-0005-0000-0000-0000F51F0000}"/>
    <cellStyle name="40% - Акцент6 220" xfId="8673" xr:uid="{00000000-0005-0000-0000-0000F61F0000}"/>
    <cellStyle name="40% - Акцент6 221" xfId="8674" xr:uid="{00000000-0005-0000-0000-0000F71F0000}"/>
    <cellStyle name="40% - Акцент6 222" xfId="8675" xr:uid="{00000000-0005-0000-0000-0000F81F0000}"/>
    <cellStyle name="40% - Акцент6 223" xfId="8676" xr:uid="{00000000-0005-0000-0000-0000F91F0000}"/>
    <cellStyle name="40% - Акцент6 224" xfId="8677" xr:uid="{00000000-0005-0000-0000-0000FA1F0000}"/>
    <cellStyle name="40% - Акцент6 225" xfId="8678" xr:uid="{00000000-0005-0000-0000-0000FB1F0000}"/>
    <cellStyle name="40% - Акцент6 226" xfId="8679" xr:uid="{00000000-0005-0000-0000-0000FC1F0000}"/>
    <cellStyle name="40% - Акцент6 227" xfId="8680" xr:uid="{00000000-0005-0000-0000-0000FD1F0000}"/>
    <cellStyle name="40% - Акцент6 228" xfId="8681" xr:uid="{00000000-0005-0000-0000-0000FE1F0000}"/>
    <cellStyle name="40% - Акцент6 229" xfId="8682" xr:uid="{00000000-0005-0000-0000-0000FF1F0000}"/>
    <cellStyle name="40% - Акцент6 23" xfId="8683" xr:uid="{00000000-0005-0000-0000-000000200000}"/>
    <cellStyle name="40% - Акцент6 23 2" xfId="8684" xr:uid="{00000000-0005-0000-0000-000001200000}"/>
    <cellStyle name="40% - Акцент6 230" xfId="8685" xr:uid="{00000000-0005-0000-0000-000002200000}"/>
    <cellStyle name="40% - Акцент6 231" xfId="8686" xr:uid="{00000000-0005-0000-0000-000003200000}"/>
    <cellStyle name="40% - Акцент6 232" xfId="8687" xr:uid="{00000000-0005-0000-0000-000004200000}"/>
    <cellStyle name="40% - Акцент6 233" xfId="8688" xr:uid="{00000000-0005-0000-0000-000005200000}"/>
    <cellStyle name="40% - Акцент6 234" xfId="8689" xr:uid="{00000000-0005-0000-0000-000006200000}"/>
    <cellStyle name="40% - Акцент6 235" xfId="8690" xr:uid="{00000000-0005-0000-0000-000007200000}"/>
    <cellStyle name="40% - Акцент6 236" xfId="8691" xr:uid="{00000000-0005-0000-0000-000008200000}"/>
    <cellStyle name="40% - Акцент6 237" xfId="8692" xr:uid="{00000000-0005-0000-0000-000009200000}"/>
    <cellStyle name="40% - Акцент6 238" xfId="8693" xr:uid="{00000000-0005-0000-0000-00000A200000}"/>
    <cellStyle name="40% - Акцент6 239" xfId="8694" xr:uid="{00000000-0005-0000-0000-00000B200000}"/>
    <cellStyle name="40% - Акцент6 24" xfId="8695" xr:uid="{00000000-0005-0000-0000-00000C200000}"/>
    <cellStyle name="40% - Акцент6 24 2" xfId="8696" xr:uid="{00000000-0005-0000-0000-00000D200000}"/>
    <cellStyle name="40% - Акцент6 240" xfId="8697" xr:uid="{00000000-0005-0000-0000-00000E200000}"/>
    <cellStyle name="40% - Акцент6 241" xfId="8698" xr:uid="{00000000-0005-0000-0000-00000F200000}"/>
    <cellStyle name="40% - Акцент6 242" xfId="8699" xr:uid="{00000000-0005-0000-0000-000010200000}"/>
    <cellStyle name="40% - Акцент6 243" xfId="8700" xr:uid="{00000000-0005-0000-0000-000011200000}"/>
    <cellStyle name="40% - Акцент6 244" xfId="8701" xr:uid="{00000000-0005-0000-0000-000012200000}"/>
    <cellStyle name="40% - Акцент6 245" xfId="8702" xr:uid="{00000000-0005-0000-0000-000013200000}"/>
    <cellStyle name="40% - Акцент6 246" xfId="8703" xr:uid="{00000000-0005-0000-0000-000014200000}"/>
    <cellStyle name="40% - Акцент6 247" xfId="8704" xr:uid="{00000000-0005-0000-0000-000015200000}"/>
    <cellStyle name="40% - Акцент6 248" xfId="8705" xr:uid="{00000000-0005-0000-0000-000016200000}"/>
    <cellStyle name="40% - Акцент6 249" xfId="8706" xr:uid="{00000000-0005-0000-0000-000017200000}"/>
    <cellStyle name="40% - Акцент6 25" xfId="8707" xr:uid="{00000000-0005-0000-0000-000018200000}"/>
    <cellStyle name="40% - Акцент6 25 2" xfId="8708" xr:uid="{00000000-0005-0000-0000-000019200000}"/>
    <cellStyle name="40% - Акцент6 250" xfId="8709" xr:uid="{00000000-0005-0000-0000-00001A200000}"/>
    <cellStyle name="40% - Акцент6 251" xfId="8710" xr:uid="{00000000-0005-0000-0000-00001B200000}"/>
    <cellStyle name="40% - Акцент6 252" xfId="8711" xr:uid="{00000000-0005-0000-0000-00001C200000}"/>
    <cellStyle name="40% - Акцент6 253" xfId="8712" xr:uid="{00000000-0005-0000-0000-00001D200000}"/>
    <cellStyle name="40% - Акцент6 254" xfId="8713" xr:uid="{00000000-0005-0000-0000-00001E200000}"/>
    <cellStyle name="40% - Акцент6 255" xfId="8714" xr:uid="{00000000-0005-0000-0000-00001F200000}"/>
    <cellStyle name="40% - Акцент6 26" xfId="8715" xr:uid="{00000000-0005-0000-0000-000020200000}"/>
    <cellStyle name="40% - Акцент6 26 2" xfId="8716" xr:uid="{00000000-0005-0000-0000-000021200000}"/>
    <cellStyle name="40% - Акцент6 27" xfId="8717" xr:uid="{00000000-0005-0000-0000-000022200000}"/>
    <cellStyle name="40% - Акцент6 27 2" xfId="8718" xr:uid="{00000000-0005-0000-0000-000023200000}"/>
    <cellStyle name="40% - Акцент6 28" xfId="8719" xr:uid="{00000000-0005-0000-0000-000024200000}"/>
    <cellStyle name="40% - Акцент6 28 2" xfId="8720" xr:uid="{00000000-0005-0000-0000-000025200000}"/>
    <cellStyle name="40% - Акцент6 29" xfId="8721" xr:uid="{00000000-0005-0000-0000-000026200000}"/>
    <cellStyle name="40% - Акцент6 29 2" xfId="8722" xr:uid="{00000000-0005-0000-0000-000027200000}"/>
    <cellStyle name="40% - Акцент6 3" xfId="8723" xr:uid="{00000000-0005-0000-0000-000028200000}"/>
    <cellStyle name="40% - Акцент6 30" xfId="8724" xr:uid="{00000000-0005-0000-0000-000029200000}"/>
    <cellStyle name="40% - Акцент6 30 2" xfId="8725" xr:uid="{00000000-0005-0000-0000-00002A200000}"/>
    <cellStyle name="40% - Акцент6 31" xfId="8726" xr:uid="{00000000-0005-0000-0000-00002B200000}"/>
    <cellStyle name="40% - Акцент6 31 2" xfId="8727" xr:uid="{00000000-0005-0000-0000-00002C200000}"/>
    <cellStyle name="40% - Акцент6 32" xfId="8728" xr:uid="{00000000-0005-0000-0000-00002D200000}"/>
    <cellStyle name="40% - Акцент6 32 2" xfId="8729" xr:uid="{00000000-0005-0000-0000-00002E200000}"/>
    <cellStyle name="40% - Акцент6 33" xfId="8730" xr:uid="{00000000-0005-0000-0000-00002F200000}"/>
    <cellStyle name="40% - Акцент6 33 2" xfId="8731" xr:uid="{00000000-0005-0000-0000-000030200000}"/>
    <cellStyle name="40% - Акцент6 34" xfId="8732" xr:uid="{00000000-0005-0000-0000-000031200000}"/>
    <cellStyle name="40% - Акцент6 34 2" xfId="8733" xr:uid="{00000000-0005-0000-0000-000032200000}"/>
    <cellStyle name="40% - Акцент6 35" xfId="8734" xr:uid="{00000000-0005-0000-0000-000033200000}"/>
    <cellStyle name="40% - Акцент6 35 2" xfId="8735" xr:uid="{00000000-0005-0000-0000-000034200000}"/>
    <cellStyle name="40% - Акцент6 36" xfId="8736" xr:uid="{00000000-0005-0000-0000-000035200000}"/>
    <cellStyle name="40% - Акцент6 36 2" xfId="8737" xr:uid="{00000000-0005-0000-0000-000036200000}"/>
    <cellStyle name="40% - Акцент6 37" xfId="8738" xr:uid="{00000000-0005-0000-0000-000037200000}"/>
    <cellStyle name="40% - Акцент6 37 2" xfId="8739" xr:uid="{00000000-0005-0000-0000-000038200000}"/>
    <cellStyle name="40% - Акцент6 38" xfId="8740" xr:uid="{00000000-0005-0000-0000-000039200000}"/>
    <cellStyle name="40% - Акцент6 38 2" xfId="8741" xr:uid="{00000000-0005-0000-0000-00003A200000}"/>
    <cellStyle name="40% - Акцент6 39" xfId="8742" xr:uid="{00000000-0005-0000-0000-00003B200000}"/>
    <cellStyle name="40% - Акцент6 39 2" xfId="8743" xr:uid="{00000000-0005-0000-0000-00003C200000}"/>
    <cellStyle name="40% - Акцент6 4" xfId="8744" xr:uid="{00000000-0005-0000-0000-00003D200000}"/>
    <cellStyle name="40% - Акцент6 40" xfId="8745" xr:uid="{00000000-0005-0000-0000-00003E200000}"/>
    <cellStyle name="40% - Акцент6 40 2" xfId="8746" xr:uid="{00000000-0005-0000-0000-00003F200000}"/>
    <cellStyle name="40% - Акцент6 41" xfId="8747" xr:uid="{00000000-0005-0000-0000-000040200000}"/>
    <cellStyle name="40% - Акцент6 41 2" xfId="8748" xr:uid="{00000000-0005-0000-0000-000041200000}"/>
    <cellStyle name="40% - Акцент6 42" xfId="8749" xr:uid="{00000000-0005-0000-0000-000042200000}"/>
    <cellStyle name="40% - Акцент6 42 2" xfId="8750" xr:uid="{00000000-0005-0000-0000-000043200000}"/>
    <cellStyle name="40% - Акцент6 43" xfId="8751" xr:uid="{00000000-0005-0000-0000-000044200000}"/>
    <cellStyle name="40% - Акцент6 43 2" xfId="8752" xr:uid="{00000000-0005-0000-0000-000045200000}"/>
    <cellStyle name="40% - Акцент6 44" xfId="8753" xr:uid="{00000000-0005-0000-0000-000046200000}"/>
    <cellStyle name="40% - Акцент6 44 2" xfId="8754" xr:uid="{00000000-0005-0000-0000-000047200000}"/>
    <cellStyle name="40% - Акцент6 45" xfId="8755" xr:uid="{00000000-0005-0000-0000-000048200000}"/>
    <cellStyle name="40% - Акцент6 45 2" xfId="8756" xr:uid="{00000000-0005-0000-0000-000049200000}"/>
    <cellStyle name="40% - Акцент6 46" xfId="8757" xr:uid="{00000000-0005-0000-0000-00004A200000}"/>
    <cellStyle name="40% - Акцент6 46 2" xfId="8758" xr:uid="{00000000-0005-0000-0000-00004B200000}"/>
    <cellStyle name="40% - Акцент6 47" xfId="8759" xr:uid="{00000000-0005-0000-0000-00004C200000}"/>
    <cellStyle name="40% - Акцент6 47 2" xfId="8760" xr:uid="{00000000-0005-0000-0000-00004D200000}"/>
    <cellStyle name="40% - Акцент6 48" xfId="8761" xr:uid="{00000000-0005-0000-0000-00004E200000}"/>
    <cellStyle name="40% - Акцент6 48 2" xfId="8762" xr:uid="{00000000-0005-0000-0000-00004F200000}"/>
    <cellStyle name="40% - Акцент6 49" xfId="8763" xr:uid="{00000000-0005-0000-0000-000050200000}"/>
    <cellStyle name="40% - Акцент6 49 2" xfId="8764" xr:uid="{00000000-0005-0000-0000-000051200000}"/>
    <cellStyle name="40% - Акцент6 5" xfId="8765" xr:uid="{00000000-0005-0000-0000-000052200000}"/>
    <cellStyle name="40% - Акцент6 50" xfId="8766" xr:uid="{00000000-0005-0000-0000-000053200000}"/>
    <cellStyle name="40% - Акцент6 50 2" xfId="8767" xr:uid="{00000000-0005-0000-0000-000054200000}"/>
    <cellStyle name="40% - Акцент6 51" xfId="8768" xr:uid="{00000000-0005-0000-0000-000055200000}"/>
    <cellStyle name="40% - Акцент6 51 2" xfId="8769" xr:uid="{00000000-0005-0000-0000-000056200000}"/>
    <cellStyle name="40% - Акцент6 52" xfId="8770" xr:uid="{00000000-0005-0000-0000-000057200000}"/>
    <cellStyle name="40% - Акцент6 52 2" xfId="8771" xr:uid="{00000000-0005-0000-0000-000058200000}"/>
    <cellStyle name="40% - Акцент6 53" xfId="8772" xr:uid="{00000000-0005-0000-0000-000059200000}"/>
    <cellStyle name="40% - Акцент6 53 2" xfId="8773" xr:uid="{00000000-0005-0000-0000-00005A200000}"/>
    <cellStyle name="40% - Акцент6 54" xfId="8774" xr:uid="{00000000-0005-0000-0000-00005B200000}"/>
    <cellStyle name="40% - Акцент6 54 2" xfId="8775" xr:uid="{00000000-0005-0000-0000-00005C200000}"/>
    <cellStyle name="40% - Акцент6 55" xfId="8776" xr:uid="{00000000-0005-0000-0000-00005D200000}"/>
    <cellStyle name="40% - Акцент6 55 2" xfId="8777" xr:uid="{00000000-0005-0000-0000-00005E200000}"/>
    <cellStyle name="40% - Акцент6 56" xfId="8778" xr:uid="{00000000-0005-0000-0000-00005F200000}"/>
    <cellStyle name="40% - Акцент6 56 2" xfId="8779" xr:uid="{00000000-0005-0000-0000-000060200000}"/>
    <cellStyle name="40% - Акцент6 57" xfId="8780" xr:uid="{00000000-0005-0000-0000-000061200000}"/>
    <cellStyle name="40% - Акцент6 57 2" xfId="8781" xr:uid="{00000000-0005-0000-0000-000062200000}"/>
    <cellStyle name="40% - Акцент6 58" xfId="8782" xr:uid="{00000000-0005-0000-0000-000063200000}"/>
    <cellStyle name="40% - Акцент6 58 2" xfId="8783" xr:uid="{00000000-0005-0000-0000-000064200000}"/>
    <cellStyle name="40% - Акцент6 59" xfId="8784" xr:uid="{00000000-0005-0000-0000-000065200000}"/>
    <cellStyle name="40% - Акцент6 59 2" xfId="8785" xr:uid="{00000000-0005-0000-0000-000066200000}"/>
    <cellStyle name="40% - Акцент6 6" xfId="8786" xr:uid="{00000000-0005-0000-0000-000067200000}"/>
    <cellStyle name="40% - Акцент6 60" xfId="8787" xr:uid="{00000000-0005-0000-0000-000068200000}"/>
    <cellStyle name="40% - Акцент6 60 2" xfId="8788" xr:uid="{00000000-0005-0000-0000-000069200000}"/>
    <cellStyle name="40% - Акцент6 61" xfId="8789" xr:uid="{00000000-0005-0000-0000-00006A200000}"/>
    <cellStyle name="40% - Акцент6 61 2" xfId="8790" xr:uid="{00000000-0005-0000-0000-00006B200000}"/>
    <cellStyle name="40% - Акцент6 62" xfId="8791" xr:uid="{00000000-0005-0000-0000-00006C200000}"/>
    <cellStyle name="40% - Акцент6 62 2" xfId="8792" xr:uid="{00000000-0005-0000-0000-00006D200000}"/>
    <cellStyle name="40% - Акцент6 63" xfId="8793" xr:uid="{00000000-0005-0000-0000-00006E200000}"/>
    <cellStyle name="40% - Акцент6 63 2" xfId="8794" xr:uid="{00000000-0005-0000-0000-00006F200000}"/>
    <cellStyle name="40% - Акцент6 64" xfId="8795" xr:uid="{00000000-0005-0000-0000-000070200000}"/>
    <cellStyle name="40% - Акцент6 64 2" xfId="8796" xr:uid="{00000000-0005-0000-0000-000071200000}"/>
    <cellStyle name="40% - Акцент6 65" xfId="8797" xr:uid="{00000000-0005-0000-0000-000072200000}"/>
    <cellStyle name="40% - Акцент6 65 2" xfId="8798" xr:uid="{00000000-0005-0000-0000-000073200000}"/>
    <cellStyle name="40% - Акцент6 66" xfId="8799" xr:uid="{00000000-0005-0000-0000-000074200000}"/>
    <cellStyle name="40% - Акцент6 66 2" xfId="8800" xr:uid="{00000000-0005-0000-0000-000075200000}"/>
    <cellStyle name="40% - Акцент6 67" xfId="8801" xr:uid="{00000000-0005-0000-0000-000076200000}"/>
    <cellStyle name="40% - Акцент6 67 2" xfId="8802" xr:uid="{00000000-0005-0000-0000-000077200000}"/>
    <cellStyle name="40% - Акцент6 68" xfId="8803" xr:uid="{00000000-0005-0000-0000-000078200000}"/>
    <cellStyle name="40% - Акцент6 68 2" xfId="8804" xr:uid="{00000000-0005-0000-0000-000079200000}"/>
    <cellStyle name="40% - Акцент6 69" xfId="8805" xr:uid="{00000000-0005-0000-0000-00007A200000}"/>
    <cellStyle name="40% - Акцент6 69 2" xfId="8806" xr:uid="{00000000-0005-0000-0000-00007B200000}"/>
    <cellStyle name="40% - Акцент6 7" xfId="8807" xr:uid="{00000000-0005-0000-0000-00007C200000}"/>
    <cellStyle name="40% - Акцент6 70" xfId="8808" xr:uid="{00000000-0005-0000-0000-00007D200000}"/>
    <cellStyle name="40% - Акцент6 70 2" xfId="8809" xr:uid="{00000000-0005-0000-0000-00007E200000}"/>
    <cellStyle name="40% - Акцент6 71" xfId="8810" xr:uid="{00000000-0005-0000-0000-00007F200000}"/>
    <cellStyle name="40% - Акцент6 71 2" xfId="8811" xr:uid="{00000000-0005-0000-0000-000080200000}"/>
    <cellStyle name="40% - Акцент6 72" xfId="8812" xr:uid="{00000000-0005-0000-0000-000081200000}"/>
    <cellStyle name="40% - Акцент6 72 2" xfId="8813" xr:uid="{00000000-0005-0000-0000-000082200000}"/>
    <cellStyle name="40% - Акцент6 73" xfId="8814" xr:uid="{00000000-0005-0000-0000-000083200000}"/>
    <cellStyle name="40% - Акцент6 73 2" xfId="8815" xr:uid="{00000000-0005-0000-0000-000084200000}"/>
    <cellStyle name="40% - Акцент6 74" xfId="8816" xr:uid="{00000000-0005-0000-0000-000085200000}"/>
    <cellStyle name="40% - Акцент6 74 2" xfId="8817" xr:uid="{00000000-0005-0000-0000-000086200000}"/>
    <cellStyle name="40% - Акцент6 75" xfId="8818" xr:uid="{00000000-0005-0000-0000-000087200000}"/>
    <cellStyle name="40% - Акцент6 75 2" xfId="8819" xr:uid="{00000000-0005-0000-0000-000088200000}"/>
    <cellStyle name="40% - Акцент6 76" xfId="8820" xr:uid="{00000000-0005-0000-0000-000089200000}"/>
    <cellStyle name="40% - Акцент6 76 2" xfId="8821" xr:uid="{00000000-0005-0000-0000-00008A200000}"/>
    <cellStyle name="40% - Акцент6 77" xfId="8822" xr:uid="{00000000-0005-0000-0000-00008B200000}"/>
    <cellStyle name="40% - Акцент6 77 2" xfId="8823" xr:uid="{00000000-0005-0000-0000-00008C200000}"/>
    <cellStyle name="40% - Акцент6 78" xfId="8824" xr:uid="{00000000-0005-0000-0000-00008D200000}"/>
    <cellStyle name="40% - Акцент6 78 2" xfId="8825" xr:uid="{00000000-0005-0000-0000-00008E200000}"/>
    <cellStyle name="40% - Акцент6 79" xfId="8826" xr:uid="{00000000-0005-0000-0000-00008F200000}"/>
    <cellStyle name="40% - Акцент6 79 2" xfId="8827" xr:uid="{00000000-0005-0000-0000-000090200000}"/>
    <cellStyle name="40% - Акцент6 8" xfId="8828" xr:uid="{00000000-0005-0000-0000-000091200000}"/>
    <cellStyle name="40% - Акцент6 80" xfId="8829" xr:uid="{00000000-0005-0000-0000-000092200000}"/>
    <cellStyle name="40% - Акцент6 80 2" xfId="8830" xr:uid="{00000000-0005-0000-0000-000093200000}"/>
    <cellStyle name="40% - Акцент6 81" xfId="8831" xr:uid="{00000000-0005-0000-0000-000094200000}"/>
    <cellStyle name="40% - Акцент6 81 2" xfId="8832" xr:uid="{00000000-0005-0000-0000-000095200000}"/>
    <cellStyle name="40% - Акцент6 82" xfId="8833" xr:uid="{00000000-0005-0000-0000-000096200000}"/>
    <cellStyle name="40% - Акцент6 82 2" xfId="8834" xr:uid="{00000000-0005-0000-0000-000097200000}"/>
    <cellStyle name="40% - Акцент6 83" xfId="8835" xr:uid="{00000000-0005-0000-0000-000098200000}"/>
    <cellStyle name="40% - Акцент6 83 2" xfId="8836" xr:uid="{00000000-0005-0000-0000-000099200000}"/>
    <cellStyle name="40% - Акцент6 84" xfId="8837" xr:uid="{00000000-0005-0000-0000-00009A200000}"/>
    <cellStyle name="40% - Акцент6 84 2" xfId="8838" xr:uid="{00000000-0005-0000-0000-00009B200000}"/>
    <cellStyle name="40% - Акцент6 85" xfId="8839" xr:uid="{00000000-0005-0000-0000-00009C200000}"/>
    <cellStyle name="40% - Акцент6 85 2" xfId="8840" xr:uid="{00000000-0005-0000-0000-00009D200000}"/>
    <cellStyle name="40% - Акцент6 86" xfId="8841" xr:uid="{00000000-0005-0000-0000-00009E200000}"/>
    <cellStyle name="40% - Акцент6 86 2" xfId="8842" xr:uid="{00000000-0005-0000-0000-00009F200000}"/>
    <cellStyle name="40% - Акцент6 87" xfId="8843" xr:uid="{00000000-0005-0000-0000-0000A0200000}"/>
    <cellStyle name="40% - Акцент6 87 2" xfId="8844" xr:uid="{00000000-0005-0000-0000-0000A1200000}"/>
    <cellStyle name="40% - Акцент6 88" xfId="8845" xr:uid="{00000000-0005-0000-0000-0000A2200000}"/>
    <cellStyle name="40% - Акцент6 88 2" xfId="8846" xr:uid="{00000000-0005-0000-0000-0000A3200000}"/>
    <cellStyle name="40% - Акцент6 89" xfId="8847" xr:uid="{00000000-0005-0000-0000-0000A4200000}"/>
    <cellStyle name="40% - Акцент6 89 2" xfId="8848" xr:uid="{00000000-0005-0000-0000-0000A5200000}"/>
    <cellStyle name="40% - Акцент6 9" xfId="8849" xr:uid="{00000000-0005-0000-0000-0000A6200000}"/>
    <cellStyle name="40% - Акцент6 90" xfId="8850" xr:uid="{00000000-0005-0000-0000-0000A7200000}"/>
    <cellStyle name="40% - Акцент6 90 2" xfId="8851" xr:uid="{00000000-0005-0000-0000-0000A8200000}"/>
    <cellStyle name="40% - Акцент6 91" xfId="8852" xr:uid="{00000000-0005-0000-0000-0000A9200000}"/>
    <cellStyle name="40% - Акцент6 91 2" xfId="8853" xr:uid="{00000000-0005-0000-0000-0000AA200000}"/>
    <cellStyle name="40% - Акцент6 92" xfId="8854" xr:uid="{00000000-0005-0000-0000-0000AB200000}"/>
    <cellStyle name="40% - Акцент6 92 2" xfId="8855" xr:uid="{00000000-0005-0000-0000-0000AC200000}"/>
    <cellStyle name="40% - Акцент6 93" xfId="8856" xr:uid="{00000000-0005-0000-0000-0000AD200000}"/>
    <cellStyle name="40% - Акцент6 93 2" xfId="8857" xr:uid="{00000000-0005-0000-0000-0000AE200000}"/>
    <cellStyle name="40% - Акцент6 94" xfId="8858" xr:uid="{00000000-0005-0000-0000-0000AF200000}"/>
    <cellStyle name="40% - Акцент6 94 2" xfId="8859" xr:uid="{00000000-0005-0000-0000-0000B0200000}"/>
    <cellStyle name="40% - Акцент6 95" xfId="8860" xr:uid="{00000000-0005-0000-0000-0000B1200000}"/>
    <cellStyle name="40% - Акцент6 95 2" xfId="8861" xr:uid="{00000000-0005-0000-0000-0000B2200000}"/>
    <cellStyle name="40% - Акцент6 96" xfId="8862" xr:uid="{00000000-0005-0000-0000-0000B3200000}"/>
    <cellStyle name="40% - Акцент6 96 2" xfId="8863" xr:uid="{00000000-0005-0000-0000-0000B4200000}"/>
    <cellStyle name="40% - Акцент6 97" xfId="8864" xr:uid="{00000000-0005-0000-0000-0000B5200000}"/>
    <cellStyle name="40% - Акцент6 97 2" xfId="8865" xr:uid="{00000000-0005-0000-0000-0000B6200000}"/>
    <cellStyle name="40% - Акцент6 98" xfId="8866" xr:uid="{00000000-0005-0000-0000-0000B7200000}"/>
    <cellStyle name="40% - Акцент6 98 2" xfId="8867" xr:uid="{00000000-0005-0000-0000-0000B8200000}"/>
    <cellStyle name="40% - Акцент6 99" xfId="8868" xr:uid="{00000000-0005-0000-0000-0000B9200000}"/>
    <cellStyle name="40% - Акцент6 99 2" xfId="8869" xr:uid="{00000000-0005-0000-0000-0000BA200000}"/>
    <cellStyle name="60% - Accent1" xfId="8870" xr:uid="{00000000-0005-0000-0000-0000BB200000}"/>
    <cellStyle name="60% - Accent2" xfId="8871" xr:uid="{00000000-0005-0000-0000-0000BC200000}"/>
    <cellStyle name="60% - Accent3" xfId="8872" xr:uid="{00000000-0005-0000-0000-0000BD200000}"/>
    <cellStyle name="60% - Accent4" xfId="8873" xr:uid="{00000000-0005-0000-0000-0000BE200000}"/>
    <cellStyle name="60% - Accent5" xfId="8874" xr:uid="{00000000-0005-0000-0000-0000BF200000}"/>
    <cellStyle name="60% - Accent6" xfId="8875" xr:uid="{00000000-0005-0000-0000-0000C0200000}"/>
    <cellStyle name="60% - Акцент1 10" xfId="8876" xr:uid="{00000000-0005-0000-0000-0000C1200000}"/>
    <cellStyle name="60% - Акцент1 100" xfId="8877" xr:uid="{00000000-0005-0000-0000-0000C2200000}"/>
    <cellStyle name="60% - Акцент1 101" xfId="8878" xr:uid="{00000000-0005-0000-0000-0000C3200000}"/>
    <cellStyle name="60% - Акцент1 102" xfId="8879" xr:uid="{00000000-0005-0000-0000-0000C4200000}"/>
    <cellStyle name="60% - Акцент1 103" xfId="8880" xr:uid="{00000000-0005-0000-0000-0000C5200000}"/>
    <cellStyle name="60% - Акцент1 104" xfId="8881" xr:uid="{00000000-0005-0000-0000-0000C6200000}"/>
    <cellStyle name="60% - Акцент1 105" xfId="8882" xr:uid="{00000000-0005-0000-0000-0000C7200000}"/>
    <cellStyle name="60% - Акцент1 106" xfId="8883" xr:uid="{00000000-0005-0000-0000-0000C8200000}"/>
    <cellStyle name="60% - Акцент1 107" xfId="8884" xr:uid="{00000000-0005-0000-0000-0000C9200000}"/>
    <cellStyle name="60% - Акцент1 108" xfId="8885" xr:uid="{00000000-0005-0000-0000-0000CA200000}"/>
    <cellStyle name="60% - Акцент1 109" xfId="8886" xr:uid="{00000000-0005-0000-0000-0000CB200000}"/>
    <cellStyle name="60% - Акцент1 11" xfId="8887" xr:uid="{00000000-0005-0000-0000-0000CC200000}"/>
    <cellStyle name="60% - Акцент1 110" xfId="8888" xr:uid="{00000000-0005-0000-0000-0000CD200000}"/>
    <cellStyle name="60% - Акцент1 111" xfId="8889" xr:uid="{00000000-0005-0000-0000-0000CE200000}"/>
    <cellStyle name="60% - Акцент1 112" xfId="8890" xr:uid="{00000000-0005-0000-0000-0000CF200000}"/>
    <cellStyle name="60% - Акцент1 113" xfId="8891" xr:uid="{00000000-0005-0000-0000-0000D0200000}"/>
    <cellStyle name="60% - Акцент1 114" xfId="8892" xr:uid="{00000000-0005-0000-0000-0000D1200000}"/>
    <cellStyle name="60% - Акцент1 115" xfId="8893" xr:uid="{00000000-0005-0000-0000-0000D2200000}"/>
    <cellStyle name="60% - Акцент1 116" xfId="8894" xr:uid="{00000000-0005-0000-0000-0000D3200000}"/>
    <cellStyle name="60% - Акцент1 117" xfId="8895" xr:uid="{00000000-0005-0000-0000-0000D4200000}"/>
    <cellStyle name="60% - Акцент1 118" xfId="8896" xr:uid="{00000000-0005-0000-0000-0000D5200000}"/>
    <cellStyle name="60% - Акцент1 119" xfId="8897" xr:uid="{00000000-0005-0000-0000-0000D6200000}"/>
    <cellStyle name="60% - Акцент1 12" xfId="8898" xr:uid="{00000000-0005-0000-0000-0000D7200000}"/>
    <cellStyle name="60% - Акцент1 120" xfId="8899" xr:uid="{00000000-0005-0000-0000-0000D8200000}"/>
    <cellStyle name="60% - Акцент1 121" xfId="8900" xr:uid="{00000000-0005-0000-0000-0000D9200000}"/>
    <cellStyle name="60% - Акцент1 122" xfId="8901" xr:uid="{00000000-0005-0000-0000-0000DA200000}"/>
    <cellStyle name="60% - Акцент1 123" xfId="8902" xr:uid="{00000000-0005-0000-0000-0000DB200000}"/>
    <cellStyle name="60% - Акцент1 124" xfId="8903" xr:uid="{00000000-0005-0000-0000-0000DC200000}"/>
    <cellStyle name="60% - Акцент1 125" xfId="8904" xr:uid="{00000000-0005-0000-0000-0000DD200000}"/>
    <cellStyle name="60% - Акцент1 126" xfId="8905" xr:uid="{00000000-0005-0000-0000-0000DE200000}"/>
    <cellStyle name="60% - Акцент1 127" xfId="8906" xr:uid="{00000000-0005-0000-0000-0000DF200000}"/>
    <cellStyle name="60% - Акцент1 128" xfId="8907" xr:uid="{00000000-0005-0000-0000-0000E0200000}"/>
    <cellStyle name="60% - Акцент1 129" xfId="8908" xr:uid="{00000000-0005-0000-0000-0000E1200000}"/>
    <cellStyle name="60% - Акцент1 13" xfId="8909" xr:uid="{00000000-0005-0000-0000-0000E2200000}"/>
    <cellStyle name="60% - Акцент1 130" xfId="8910" xr:uid="{00000000-0005-0000-0000-0000E3200000}"/>
    <cellStyle name="60% - Акцент1 131" xfId="8911" xr:uid="{00000000-0005-0000-0000-0000E4200000}"/>
    <cellStyle name="60% - Акцент1 132" xfId="8912" xr:uid="{00000000-0005-0000-0000-0000E5200000}"/>
    <cellStyle name="60% - Акцент1 133" xfId="8913" xr:uid="{00000000-0005-0000-0000-0000E6200000}"/>
    <cellStyle name="60% - Акцент1 134" xfId="8914" xr:uid="{00000000-0005-0000-0000-0000E7200000}"/>
    <cellStyle name="60% - Акцент1 135" xfId="8915" xr:uid="{00000000-0005-0000-0000-0000E8200000}"/>
    <cellStyle name="60% - Акцент1 136" xfId="8916" xr:uid="{00000000-0005-0000-0000-0000E9200000}"/>
    <cellStyle name="60% - Акцент1 137" xfId="8917" xr:uid="{00000000-0005-0000-0000-0000EA200000}"/>
    <cellStyle name="60% - Акцент1 138" xfId="8918" xr:uid="{00000000-0005-0000-0000-0000EB200000}"/>
    <cellStyle name="60% - Акцент1 139" xfId="8919" xr:uid="{00000000-0005-0000-0000-0000EC200000}"/>
    <cellStyle name="60% - Акцент1 14" xfId="8920" xr:uid="{00000000-0005-0000-0000-0000ED200000}"/>
    <cellStyle name="60% - Акцент1 140" xfId="8921" xr:uid="{00000000-0005-0000-0000-0000EE200000}"/>
    <cellStyle name="60% - Акцент1 141" xfId="8922" xr:uid="{00000000-0005-0000-0000-0000EF200000}"/>
    <cellStyle name="60% - Акцент1 142" xfId="8923" xr:uid="{00000000-0005-0000-0000-0000F0200000}"/>
    <cellStyle name="60% - Акцент1 143" xfId="8924" xr:uid="{00000000-0005-0000-0000-0000F1200000}"/>
    <cellStyle name="60% - Акцент1 144" xfId="8925" xr:uid="{00000000-0005-0000-0000-0000F2200000}"/>
    <cellStyle name="60% - Акцент1 145" xfId="8926" xr:uid="{00000000-0005-0000-0000-0000F3200000}"/>
    <cellStyle name="60% - Акцент1 146" xfId="8927" xr:uid="{00000000-0005-0000-0000-0000F4200000}"/>
    <cellStyle name="60% - Акцент1 147" xfId="8928" xr:uid="{00000000-0005-0000-0000-0000F5200000}"/>
    <cellStyle name="60% - Акцент1 148" xfId="8929" xr:uid="{00000000-0005-0000-0000-0000F6200000}"/>
    <cellStyle name="60% - Акцент1 149" xfId="8930" xr:uid="{00000000-0005-0000-0000-0000F7200000}"/>
    <cellStyle name="60% - Акцент1 15" xfId="8931" xr:uid="{00000000-0005-0000-0000-0000F8200000}"/>
    <cellStyle name="60% - Акцент1 150" xfId="8932" xr:uid="{00000000-0005-0000-0000-0000F9200000}"/>
    <cellStyle name="60% - Акцент1 151" xfId="8933" xr:uid="{00000000-0005-0000-0000-0000FA200000}"/>
    <cellStyle name="60% - Акцент1 152" xfId="8934" xr:uid="{00000000-0005-0000-0000-0000FB200000}"/>
    <cellStyle name="60% - Акцент1 16" xfId="8935" xr:uid="{00000000-0005-0000-0000-0000FC200000}"/>
    <cellStyle name="60% - Акцент1 17" xfId="8936" xr:uid="{00000000-0005-0000-0000-0000FD200000}"/>
    <cellStyle name="60% - Акцент1 18" xfId="8937" xr:uid="{00000000-0005-0000-0000-0000FE200000}"/>
    <cellStyle name="60% - Акцент1 19" xfId="8938" xr:uid="{00000000-0005-0000-0000-0000FF200000}"/>
    <cellStyle name="60% - Акцент1 2" xfId="8939" xr:uid="{00000000-0005-0000-0000-000000210000}"/>
    <cellStyle name="60% - Акцент1 2 2" xfId="8940" xr:uid="{00000000-0005-0000-0000-000001210000}"/>
    <cellStyle name="60% - Акцент1 2 3" xfId="8941" xr:uid="{00000000-0005-0000-0000-000002210000}"/>
    <cellStyle name="60% - Акцент1 2 4" xfId="8942" xr:uid="{00000000-0005-0000-0000-000003210000}"/>
    <cellStyle name="60% - Акцент1 2 5" xfId="8943" xr:uid="{00000000-0005-0000-0000-000004210000}"/>
    <cellStyle name="60% - Акцент1 2 6" xfId="8944" xr:uid="{00000000-0005-0000-0000-000005210000}"/>
    <cellStyle name="60% - Акцент1 2 7" xfId="8945" xr:uid="{00000000-0005-0000-0000-000006210000}"/>
    <cellStyle name="60% - Акцент1 20" xfId="8946" xr:uid="{00000000-0005-0000-0000-000007210000}"/>
    <cellStyle name="60% - Акцент1 20 2" xfId="8947" xr:uid="{00000000-0005-0000-0000-000008210000}"/>
    <cellStyle name="60% - Акцент1 21" xfId="8948" xr:uid="{00000000-0005-0000-0000-000009210000}"/>
    <cellStyle name="60% - Акцент1 22" xfId="8949" xr:uid="{00000000-0005-0000-0000-00000A210000}"/>
    <cellStyle name="60% - Акцент1 23" xfId="8950" xr:uid="{00000000-0005-0000-0000-00000B210000}"/>
    <cellStyle name="60% - Акцент1 24" xfId="8951" xr:uid="{00000000-0005-0000-0000-00000C210000}"/>
    <cellStyle name="60% - Акцент1 25" xfId="8952" xr:uid="{00000000-0005-0000-0000-00000D210000}"/>
    <cellStyle name="60% - Акцент1 26" xfId="8953" xr:uid="{00000000-0005-0000-0000-00000E210000}"/>
    <cellStyle name="60% - Акцент1 27" xfId="8954" xr:uid="{00000000-0005-0000-0000-00000F210000}"/>
    <cellStyle name="60% - Акцент1 28" xfId="8955" xr:uid="{00000000-0005-0000-0000-000010210000}"/>
    <cellStyle name="60% - Акцент1 29" xfId="8956" xr:uid="{00000000-0005-0000-0000-000011210000}"/>
    <cellStyle name="60% - Акцент1 3" xfId="8957" xr:uid="{00000000-0005-0000-0000-000012210000}"/>
    <cellStyle name="60% - Акцент1 30" xfId="8958" xr:uid="{00000000-0005-0000-0000-000013210000}"/>
    <cellStyle name="60% - Акцент1 31" xfId="8959" xr:uid="{00000000-0005-0000-0000-000014210000}"/>
    <cellStyle name="60% - Акцент1 32" xfId="8960" xr:uid="{00000000-0005-0000-0000-000015210000}"/>
    <cellStyle name="60% - Акцент1 33" xfId="8961" xr:uid="{00000000-0005-0000-0000-000016210000}"/>
    <cellStyle name="60% - Акцент1 34" xfId="8962" xr:uid="{00000000-0005-0000-0000-000017210000}"/>
    <cellStyle name="60% - Акцент1 35" xfId="8963" xr:uid="{00000000-0005-0000-0000-000018210000}"/>
    <cellStyle name="60% - Акцент1 36" xfId="8964" xr:uid="{00000000-0005-0000-0000-000019210000}"/>
    <cellStyle name="60% - Акцент1 37" xfId="8965" xr:uid="{00000000-0005-0000-0000-00001A210000}"/>
    <cellStyle name="60% - Акцент1 38" xfId="8966" xr:uid="{00000000-0005-0000-0000-00001B210000}"/>
    <cellStyle name="60% - Акцент1 39" xfId="8967" xr:uid="{00000000-0005-0000-0000-00001C210000}"/>
    <cellStyle name="60% - Акцент1 4" xfId="8968" xr:uid="{00000000-0005-0000-0000-00001D210000}"/>
    <cellStyle name="60% - Акцент1 40" xfId="8969" xr:uid="{00000000-0005-0000-0000-00001E210000}"/>
    <cellStyle name="60% - Акцент1 41" xfId="8970" xr:uid="{00000000-0005-0000-0000-00001F210000}"/>
    <cellStyle name="60% - Акцент1 42" xfId="8971" xr:uid="{00000000-0005-0000-0000-000020210000}"/>
    <cellStyle name="60% - Акцент1 43" xfId="8972" xr:uid="{00000000-0005-0000-0000-000021210000}"/>
    <cellStyle name="60% - Акцент1 44" xfId="8973" xr:uid="{00000000-0005-0000-0000-000022210000}"/>
    <cellStyle name="60% - Акцент1 45" xfId="8974" xr:uid="{00000000-0005-0000-0000-000023210000}"/>
    <cellStyle name="60% - Акцент1 46" xfId="8975" xr:uid="{00000000-0005-0000-0000-000024210000}"/>
    <cellStyle name="60% - Акцент1 47" xfId="8976" xr:uid="{00000000-0005-0000-0000-000025210000}"/>
    <cellStyle name="60% - Акцент1 48" xfId="8977" xr:uid="{00000000-0005-0000-0000-000026210000}"/>
    <cellStyle name="60% - Акцент1 49" xfId="8978" xr:uid="{00000000-0005-0000-0000-000027210000}"/>
    <cellStyle name="60% - Акцент1 5" xfId="8979" xr:uid="{00000000-0005-0000-0000-000028210000}"/>
    <cellStyle name="60% - Акцент1 50" xfId="8980" xr:uid="{00000000-0005-0000-0000-000029210000}"/>
    <cellStyle name="60% - Акцент1 51" xfId="8981" xr:uid="{00000000-0005-0000-0000-00002A210000}"/>
    <cellStyle name="60% - Акцент1 52" xfId="8982" xr:uid="{00000000-0005-0000-0000-00002B210000}"/>
    <cellStyle name="60% - Акцент1 53" xfId="8983" xr:uid="{00000000-0005-0000-0000-00002C210000}"/>
    <cellStyle name="60% - Акцент1 54" xfId="8984" xr:uid="{00000000-0005-0000-0000-00002D210000}"/>
    <cellStyle name="60% - Акцент1 55" xfId="8985" xr:uid="{00000000-0005-0000-0000-00002E210000}"/>
    <cellStyle name="60% - Акцент1 56" xfId="8986" xr:uid="{00000000-0005-0000-0000-00002F210000}"/>
    <cellStyle name="60% - Акцент1 57" xfId="8987" xr:uid="{00000000-0005-0000-0000-000030210000}"/>
    <cellStyle name="60% - Акцент1 58" xfId="8988" xr:uid="{00000000-0005-0000-0000-000031210000}"/>
    <cellStyle name="60% - Акцент1 59" xfId="8989" xr:uid="{00000000-0005-0000-0000-000032210000}"/>
    <cellStyle name="60% - Акцент1 6" xfId="8990" xr:uid="{00000000-0005-0000-0000-000033210000}"/>
    <cellStyle name="60% - Акцент1 60" xfId="8991" xr:uid="{00000000-0005-0000-0000-000034210000}"/>
    <cellStyle name="60% - Акцент1 61" xfId="8992" xr:uid="{00000000-0005-0000-0000-000035210000}"/>
    <cellStyle name="60% - Акцент1 62" xfId="8993" xr:uid="{00000000-0005-0000-0000-000036210000}"/>
    <cellStyle name="60% - Акцент1 63" xfId="8994" xr:uid="{00000000-0005-0000-0000-000037210000}"/>
    <cellStyle name="60% - Акцент1 64" xfId="8995" xr:uid="{00000000-0005-0000-0000-000038210000}"/>
    <cellStyle name="60% - Акцент1 65" xfId="8996" xr:uid="{00000000-0005-0000-0000-000039210000}"/>
    <cellStyle name="60% - Акцент1 66" xfId="8997" xr:uid="{00000000-0005-0000-0000-00003A210000}"/>
    <cellStyle name="60% - Акцент1 67" xfId="8998" xr:uid="{00000000-0005-0000-0000-00003B210000}"/>
    <cellStyle name="60% - Акцент1 68" xfId="8999" xr:uid="{00000000-0005-0000-0000-00003C210000}"/>
    <cellStyle name="60% - Акцент1 69" xfId="9000" xr:uid="{00000000-0005-0000-0000-00003D210000}"/>
    <cellStyle name="60% - Акцент1 7" xfId="9001" xr:uid="{00000000-0005-0000-0000-00003E210000}"/>
    <cellStyle name="60% - Акцент1 70" xfId="9002" xr:uid="{00000000-0005-0000-0000-00003F210000}"/>
    <cellStyle name="60% - Акцент1 71" xfId="9003" xr:uid="{00000000-0005-0000-0000-000040210000}"/>
    <cellStyle name="60% - Акцент1 72" xfId="9004" xr:uid="{00000000-0005-0000-0000-000041210000}"/>
    <cellStyle name="60% - Акцент1 73" xfId="9005" xr:uid="{00000000-0005-0000-0000-000042210000}"/>
    <cellStyle name="60% - Акцент1 74" xfId="9006" xr:uid="{00000000-0005-0000-0000-000043210000}"/>
    <cellStyle name="60% - Акцент1 75" xfId="9007" xr:uid="{00000000-0005-0000-0000-000044210000}"/>
    <cellStyle name="60% - Акцент1 76" xfId="9008" xr:uid="{00000000-0005-0000-0000-000045210000}"/>
    <cellStyle name="60% - Акцент1 77" xfId="9009" xr:uid="{00000000-0005-0000-0000-000046210000}"/>
    <cellStyle name="60% - Акцент1 78" xfId="9010" xr:uid="{00000000-0005-0000-0000-000047210000}"/>
    <cellStyle name="60% - Акцент1 79" xfId="9011" xr:uid="{00000000-0005-0000-0000-000048210000}"/>
    <cellStyle name="60% - Акцент1 8" xfId="9012" xr:uid="{00000000-0005-0000-0000-000049210000}"/>
    <cellStyle name="60% - Акцент1 80" xfId="9013" xr:uid="{00000000-0005-0000-0000-00004A210000}"/>
    <cellStyle name="60% - Акцент1 81" xfId="9014" xr:uid="{00000000-0005-0000-0000-00004B210000}"/>
    <cellStyle name="60% - Акцент1 82" xfId="9015" xr:uid="{00000000-0005-0000-0000-00004C210000}"/>
    <cellStyle name="60% - Акцент1 83" xfId="9016" xr:uid="{00000000-0005-0000-0000-00004D210000}"/>
    <cellStyle name="60% - Акцент1 84" xfId="9017" xr:uid="{00000000-0005-0000-0000-00004E210000}"/>
    <cellStyle name="60% - Акцент1 85" xfId="9018" xr:uid="{00000000-0005-0000-0000-00004F210000}"/>
    <cellStyle name="60% - Акцент1 86" xfId="9019" xr:uid="{00000000-0005-0000-0000-000050210000}"/>
    <cellStyle name="60% - Акцент1 87" xfId="9020" xr:uid="{00000000-0005-0000-0000-000051210000}"/>
    <cellStyle name="60% - Акцент1 88" xfId="9021" xr:uid="{00000000-0005-0000-0000-000052210000}"/>
    <cellStyle name="60% - Акцент1 89" xfId="9022" xr:uid="{00000000-0005-0000-0000-000053210000}"/>
    <cellStyle name="60% - Акцент1 9" xfId="9023" xr:uid="{00000000-0005-0000-0000-000054210000}"/>
    <cellStyle name="60% - Акцент1 90" xfId="9024" xr:uid="{00000000-0005-0000-0000-000055210000}"/>
    <cellStyle name="60% - Акцент1 91" xfId="9025" xr:uid="{00000000-0005-0000-0000-000056210000}"/>
    <cellStyle name="60% - Акцент1 92" xfId="9026" xr:uid="{00000000-0005-0000-0000-000057210000}"/>
    <cellStyle name="60% - Акцент1 93" xfId="9027" xr:uid="{00000000-0005-0000-0000-000058210000}"/>
    <cellStyle name="60% - Акцент1 94" xfId="9028" xr:uid="{00000000-0005-0000-0000-000059210000}"/>
    <cellStyle name="60% - Акцент1 95" xfId="9029" xr:uid="{00000000-0005-0000-0000-00005A210000}"/>
    <cellStyle name="60% - Акцент1 96" xfId="9030" xr:uid="{00000000-0005-0000-0000-00005B210000}"/>
    <cellStyle name="60% - Акцент1 97" xfId="9031" xr:uid="{00000000-0005-0000-0000-00005C210000}"/>
    <cellStyle name="60% - Акцент1 98" xfId="9032" xr:uid="{00000000-0005-0000-0000-00005D210000}"/>
    <cellStyle name="60% - Акцент1 99" xfId="9033" xr:uid="{00000000-0005-0000-0000-00005E210000}"/>
    <cellStyle name="60% - Акцент2 10" xfId="9034" xr:uid="{00000000-0005-0000-0000-00005F210000}"/>
    <cellStyle name="60% - Акцент2 100" xfId="9035" xr:uid="{00000000-0005-0000-0000-000060210000}"/>
    <cellStyle name="60% - Акцент2 101" xfId="9036" xr:uid="{00000000-0005-0000-0000-000061210000}"/>
    <cellStyle name="60% - Акцент2 102" xfId="9037" xr:uid="{00000000-0005-0000-0000-000062210000}"/>
    <cellStyle name="60% - Акцент2 103" xfId="9038" xr:uid="{00000000-0005-0000-0000-000063210000}"/>
    <cellStyle name="60% - Акцент2 104" xfId="9039" xr:uid="{00000000-0005-0000-0000-000064210000}"/>
    <cellStyle name="60% - Акцент2 105" xfId="9040" xr:uid="{00000000-0005-0000-0000-000065210000}"/>
    <cellStyle name="60% - Акцент2 106" xfId="9041" xr:uid="{00000000-0005-0000-0000-000066210000}"/>
    <cellStyle name="60% - Акцент2 107" xfId="9042" xr:uid="{00000000-0005-0000-0000-000067210000}"/>
    <cellStyle name="60% - Акцент2 108" xfId="9043" xr:uid="{00000000-0005-0000-0000-000068210000}"/>
    <cellStyle name="60% - Акцент2 109" xfId="9044" xr:uid="{00000000-0005-0000-0000-000069210000}"/>
    <cellStyle name="60% - Акцент2 11" xfId="9045" xr:uid="{00000000-0005-0000-0000-00006A210000}"/>
    <cellStyle name="60% - Акцент2 110" xfId="9046" xr:uid="{00000000-0005-0000-0000-00006B210000}"/>
    <cellStyle name="60% - Акцент2 111" xfId="9047" xr:uid="{00000000-0005-0000-0000-00006C210000}"/>
    <cellStyle name="60% - Акцент2 112" xfId="9048" xr:uid="{00000000-0005-0000-0000-00006D210000}"/>
    <cellStyle name="60% - Акцент2 113" xfId="9049" xr:uid="{00000000-0005-0000-0000-00006E210000}"/>
    <cellStyle name="60% - Акцент2 114" xfId="9050" xr:uid="{00000000-0005-0000-0000-00006F210000}"/>
    <cellStyle name="60% - Акцент2 115" xfId="9051" xr:uid="{00000000-0005-0000-0000-000070210000}"/>
    <cellStyle name="60% - Акцент2 116" xfId="9052" xr:uid="{00000000-0005-0000-0000-000071210000}"/>
    <cellStyle name="60% - Акцент2 117" xfId="9053" xr:uid="{00000000-0005-0000-0000-000072210000}"/>
    <cellStyle name="60% - Акцент2 118" xfId="9054" xr:uid="{00000000-0005-0000-0000-000073210000}"/>
    <cellStyle name="60% - Акцент2 119" xfId="9055" xr:uid="{00000000-0005-0000-0000-000074210000}"/>
    <cellStyle name="60% - Акцент2 12" xfId="9056" xr:uid="{00000000-0005-0000-0000-000075210000}"/>
    <cellStyle name="60% - Акцент2 120" xfId="9057" xr:uid="{00000000-0005-0000-0000-000076210000}"/>
    <cellStyle name="60% - Акцент2 121" xfId="9058" xr:uid="{00000000-0005-0000-0000-000077210000}"/>
    <cellStyle name="60% - Акцент2 122" xfId="9059" xr:uid="{00000000-0005-0000-0000-000078210000}"/>
    <cellStyle name="60% - Акцент2 123" xfId="9060" xr:uid="{00000000-0005-0000-0000-000079210000}"/>
    <cellStyle name="60% - Акцент2 124" xfId="9061" xr:uid="{00000000-0005-0000-0000-00007A210000}"/>
    <cellStyle name="60% - Акцент2 125" xfId="9062" xr:uid="{00000000-0005-0000-0000-00007B210000}"/>
    <cellStyle name="60% - Акцент2 126" xfId="9063" xr:uid="{00000000-0005-0000-0000-00007C210000}"/>
    <cellStyle name="60% - Акцент2 127" xfId="9064" xr:uid="{00000000-0005-0000-0000-00007D210000}"/>
    <cellStyle name="60% - Акцент2 128" xfId="9065" xr:uid="{00000000-0005-0000-0000-00007E210000}"/>
    <cellStyle name="60% - Акцент2 129" xfId="9066" xr:uid="{00000000-0005-0000-0000-00007F210000}"/>
    <cellStyle name="60% - Акцент2 13" xfId="9067" xr:uid="{00000000-0005-0000-0000-000080210000}"/>
    <cellStyle name="60% - Акцент2 130" xfId="9068" xr:uid="{00000000-0005-0000-0000-000081210000}"/>
    <cellStyle name="60% - Акцент2 131" xfId="9069" xr:uid="{00000000-0005-0000-0000-000082210000}"/>
    <cellStyle name="60% - Акцент2 132" xfId="9070" xr:uid="{00000000-0005-0000-0000-000083210000}"/>
    <cellStyle name="60% - Акцент2 133" xfId="9071" xr:uid="{00000000-0005-0000-0000-000084210000}"/>
    <cellStyle name="60% - Акцент2 134" xfId="9072" xr:uid="{00000000-0005-0000-0000-000085210000}"/>
    <cellStyle name="60% - Акцент2 135" xfId="9073" xr:uid="{00000000-0005-0000-0000-000086210000}"/>
    <cellStyle name="60% - Акцент2 136" xfId="9074" xr:uid="{00000000-0005-0000-0000-000087210000}"/>
    <cellStyle name="60% - Акцент2 137" xfId="9075" xr:uid="{00000000-0005-0000-0000-000088210000}"/>
    <cellStyle name="60% - Акцент2 138" xfId="9076" xr:uid="{00000000-0005-0000-0000-000089210000}"/>
    <cellStyle name="60% - Акцент2 139" xfId="9077" xr:uid="{00000000-0005-0000-0000-00008A210000}"/>
    <cellStyle name="60% - Акцент2 14" xfId="9078" xr:uid="{00000000-0005-0000-0000-00008B210000}"/>
    <cellStyle name="60% - Акцент2 140" xfId="9079" xr:uid="{00000000-0005-0000-0000-00008C210000}"/>
    <cellStyle name="60% - Акцент2 141" xfId="9080" xr:uid="{00000000-0005-0000-0000-00008D210000}"/>
    <cellStyle name="60% - Акцент2 142" xfId="9081" xr:uid="{00000000-0005-0000-0000-00008E210000}"/>
    <cellStyle name="60% - Акцент2 143" xfId="9082" xr:uid="{00000000-0005-0000-0000-00008F210000}"/>
    <cellStyle name="60% - Акцент2 144" xfId="9083" xr:uid="{00000000-0005-0000-0000-000090210000}"/>
    <cellStyle name="60% - Акцент2 145" xfId="9084" xr:uid="{00000000-0005-0000-0000-000091210000}"/>
    <cellStyle name="60% - Акцент2 146" xfId="9085" xr:uid="{00000000-0005-0000-0000-000092210000}"/>
    <cellStyle name="60% - Акцент2 147" xfId="9086" xr:uid="{00000000-0005-0000-0000-000093210000}"/>
    <cellStyle name="60% - Акцент2 148" xfId="9087" xr:uid="{00000000-0005-0000-0000-000094210000}"/>
    <cellStyle name="60% - Акцент2 149" xfId="9088" xr:uid="{00000000-0005-0000-0000-000095210000}"/>
    <cellStyle name="60% - Акцент2 15" xfId="9089" xr:uid="{00000000-0005-0000-0000-000096210000}"/>
    <cellStyle name="60% - Акцент2 150" xfId="9090" xr:uid="{00000000-0005-0000-0000-000097210000}"/>
    <cellStyle name="60% - Акцент2 151" xfId="9091" xr:uid="{00000000-0005-0000-0000-000098210000}"/>
    <cellStyle name="60% - Акцент2 152" xfId="9092" xr:uid="{00000000-0005-0000-0000-000099210000}"/>
    <cellStyle name="60% - Акцент2 16" xfId="9093" xr:uid="{00000000-0005-0000-0000-00009A210000}"/>
    <cellStyle name="60% - Акцент2 17" xfId="9094" xr:uid="{00000000-0005-0000-0000-00009B210000}"/>
    <cellStyle name="60% - Акцент2 18" xfId="9095" xr:uid="{00000000-0005-0000-0000-00009C210000}"/>
    <cellStyle name="60% - Акцент2 19" xfId="9096" xr:uid="{00000000-0005-0000-0000-00009D210000}"/>
    <cellStyle name="60% - Акцент2 2" xfId="9097" xr:uid="{00000000-0005-0000-0000-00009E210000}"/>
    <cellStyle name="60% - Акцент2 2 2" xfId="9098" xr:uid="{00000000-0005-0000-0000-00009F210000}"/>
    <cellStyle name="60% - Акцент2 2 3" xfId="9099" xr:uid="{00000000-0005-0000-0000-0000A0210000}"/>
    <cellStyle name="60% - Акцент2 2 4" xfId="9100" xr:uid="{00000000-0005-0000-0000-0000A1210000}"/>
    <cellStyle name="60% - Акцент2 2 5" xfId="9101" xr:uid="{00000000-0005-0000-0000-0000A2210000}"/>
    <cellStyle name="60% - Акцент2 2 6" xfId="9102" xr:uid="{00000000-0005-0000-0000-0000A3210000}"/>
    <cellStyle name="60% - Акцент2 2 7" xfId="9103" xr:uid="{00000000-0005-0000-0000-0000A4210000}"/>
    <cellStyle name="60% - Акцент2 20" xfId="9104" xr:uid="{00000000-0005-0000-0000-0000A5210000}"/>
    <cellStyle name="60% - Акцент2 20 2" xfId="9105" xr:uid="{00000000-0005-0000-0000-0000A6210000}"/>
    <cellStyle name="60% - Акцент2 21" xfId="9106" xr:uid="{00000000-0005-0000-0000-0000A7210000}"/>
    <cellStyle name="60% - Акцент2 22" xfId="9107" xr:uid="{00000000-0005-0000-0000-0000A8210000}"/>
    <cellStyle name="60% - Акцент2 23" xfId="9108" xr:uid="{00000000-0005-0000-0000-0000A9210000}"/>
    <cellStyle name="60% - Акцент2 24" xfId="9109" xr:uid="{00000000-0005-0000-0000-0000AA210000}"/>
    <cellStyle name="60% - Акцент2 25" xfId="9110" xr:uid="{00000000-0005-0000-0000-0000AB210000}"/>
    <cellStyle name="60% - Акцент2 26" xfId="9111" xr:uid="{00000000-0005-0000-0000-0000AC210000}"/>
    <cellStyle name="60% - Акцент2 27" xfId="9112" xr:uid="{00000000-0005-0000-0000-0000AD210000}"/>
    <cellStyle name="60% - Акцент2 28" xfId="9113" xr:uid="{00000000-0005-0000-0000-0000AE210000}"/>
    <cellStyle name="60% - Акцент2 29" xfId="9114" xr:uid="{00000000-0005-0000-0000-0000AF210000}"/>
    <cellStyle name="60% - Акцент2 3" xfId="9115" xr:uid="{00000000-0005-0000-0000-0000B0210000}"/>
    <cellStyle name="60% - Акцент2 30" xfId="9116" xr:uid="{00000000-0005-0000-0000-0000B1210000}"/>
    <cellStyle name="60% - Акцент2 31" xfId="9117" xr:uid="{00000000-0005-0000-0000-0000B2210000}"/>
    <cellStyle name="60% - Акцент2 32" xfId="9118" xr:uid="{00000000-0005-0000-0000-0000B3210000}"/>
    <cellStyle name="60% - Акцент2 33" xfId="9119" xr:uid="{00000000-0005-0000-0000-0000B4210000}"/>
    <cellStyle name="60% - Акцент2 34" xfId="9120" xr:uid="{00000000-0005-0000-0000-0000B5210000}"/>
    <cellStyle name="60% - Акцент2 35" xfId="9121" xr:uid="{00000000-0005-0000-0000-0000B6210000}"/>
    <cellStyle name="60% - Акцент2 36" xfId="9122" xr:uid="{00000000-0005-0000-0000-0000B7210000}"/>
    <cellStyle name="60% - Акцент2 37" xfId="9123" xr:uid="{00000000-0005-0000-0000-0000B8210000}"/>
    <cellStyle name="60% - Акцент2 38" xfId="9124" xr:uid="{00000000-0005-0000-0000-0000B9210000}"/>
    <cellStyle name="60% - Акцент2 39" xfId="9125" xr:uid="{00000000-0005-0000-0000-0000BA210000}"/>
    <cellStyle name="60% - Акцент2 4" xfId="9126" xr:uid="{00000000-0005-0000-0000-0000BB210000}"/>
    <cellStyle name="60% - Акцент2 40" xfId="9127" xr:uid="{00000000-0005-0000-0000-0000BC210000}"/>
    <cellStyle name="60% - Акцент2 41" xfId="9128" xr:uid="{00000000-0005-0000-0000-0000BD210000}"/>
    <cellStyle name="60% - Акцент2 42" xfId="9129" xr:uid="{00000000-0005-0000-0000-0000BE210000}"/>
    <cellStyle name="60% - Акцент2 43" xfId="9130" xr:uid="{00000000-0005-0000-0000-0000BF210000}"/>
    <cellStyle name="60% - Акцент2 44" xfId="9131" xr:uid="{00000000-0005-0000-0000-0000C0210000}"/>
    <cellStyle name="60% - Акцент2 45" xfId="9132" xr:uid="{00000000-0005-0000-0000-0000C1210000}"/>
    <cellStyle name="60% - Акцент2 46" xfId="9133" xr:uid="{00000000-0005-0000-0000-0000C2210000}"/>
    <cellStyle name="60% - Акцент2 47" xfId="9134" xr:uid="{00000000-0005-0000-0000-0000C3210000}"/>
    <cellStyle name="60% - Акцент2 48" xfId="9135" xr:uid="{00000000-0005-0000-0000-0000C4210000}"/>
    <cellStyle name="60% - Акцент2 49" xfId="9136" xr:uid="{00000000-0005-0000-0000-0000C5210000}"/>
    <cellStyle name="60% - Акцент2 5" xfId="9137" xr:uid="{00000000-0005-0000-0000-0000C6210000}"/>
    <cellStyle name="60% - Акцент2 50" xfId="9138" xr:uid="{00000000-0005-0000-0000-0000C7210000}"/>
    <cellStyle name="60% - Акцент2 51" xfId="9139" xr:uid="{00000000-0005-0000-0000-0000C8210000}"/>
    <cellStyle name="60% - Акцент2 52" xfId="9140" xr:uid="{00000000-0005-0000-0000-0000C9210000}"/>
    <cellStyle name="60% - Акцент2 53" xfId="9141" xr:uid="{00000000-0005-0000-0000-0000CA210000}"/>
    <cellStyle name="60% - Акцент2 54" xfId="9142" xr:uid="{00000000-0005-0000-0000-0000CB210000}"/>
    <cellStyle name="60% - Акцент2 55" xfId="9143" xr:uid="{00000000-0005-0000-0000-0000CC210000}"/>
    <cellStyle name="60% - Акцент2 56" xfId="9144" xr:uid="{00000000-0005-0000-0000-0000CD210000}"/>
    <cellStyle name="60% - Акцент2 57" xfId="9145" xr:uid="{00000000-0005-0000-0000-0000CE210000}"/>
    <cellStyle name="60% - Акцент2 58" xfId="9146" xr:uid="{00000000-0005-0000-0000-0000CF210000}"/>
    <cellStyle name="60% - Акцент2 59" xfId="9147" xr:uid="{00000000-0005-0000-0000-0000D0210000}"/>
    <cellStyle name="60% - Акцент2 6" xfId="9148" xr:uid="{00000000-0005-0000-0000-0000D1210000}"/>
    <cellStyle name="60% - Акцент2 60" xfId="9149" xr:uid="{00000000-0005-0000-0000-0000D2210000}"/>
    <cellStyle name="60% - Акцент2 61" xfId="9150" xr:uid="{00000000-0005-0000-0000-0000D3210000}"/>
    <cellStyle name="60% - Акцент2 62" xfId="9151" xr:uid="{00000000-0005-0000-0000-0000D4210000}"/>
    <cellStyle name="60% - Акцент2 63" xfId="9152" xr:uid="{00000000-0005-0000-0000-0000D5210000}"/>
    <cellStyle name="60% - Акцент2 64" xfId="9153" xr:uid="{00000000-0005-0000-0000-0000D6210000}"/>
    <cellStyle name="60% - Акцент2 65" xfId="9154" xr:uid="{00000000-0005-0000-0000-0000D7210000}"/>
    <cellStyle name="60% - Акцент2 66" xfId="9155" xr:uid="{00000000-0005-0000-0000-0000D8210000}"/>
    <cellStyle name="60% - Акцент2 67" xfId="9156" xr:uid="{00000000-0005-0000-0000-0000D9210000}"/>
    <cellStyle name="60% - Акцент2 68" xfId="9157" xr:uid="{00000000-0005-0000-0000-0000DA210000}"/>
    <cellStyle name="60% - Акцент2 69" xfId="9158" xr:uid="{00000000-0005-0000-0000-0000DB210000}"/>
    <cellStyle name="60% - Акцент2 7" xfId="9159" xr:uid="{00000000-0005-0000-0000-0000DC210000}"/>
    <cellStyle name="60% - Акцент2 70" xfId="9160" xr:uid="{00000000-0005-0000-0000-0000DD210000}"/>
    <cellStyle name="60% - Акцент2 71" xfId="9161" xr:uid="{00000000-0005-0000-0000-0000DE210000}"/>
    <cellStyle name="60% - Акцент2 72" xfId="9162" xr:uid="{00000000-0005-0000-0000-0000DF210000}"/>
    <cellStyle name="60% - Акцент2 73" xfId="9163" xr:uid="{00000000-0005-0000-0000-0000E0210000}"/>
    <cellStyle name="60% - Акцент2 74" xfId="9164" xr:uid="{00000000-0005-0000-0000-0000E1210000}"/>
    <cellStyle name="60% - Акцент2 75" xfId="9165" xr:uid="{00000000-0005-0000-0000-0000E2210000}"/>
    <cellStyle name="60% - Акцент2 76" xfId="9166" xr:uid="{00000000-0005-0000-0000-0000E3210000}"/>
    <cellStyle name="60% - Акцент2 77" xfId="9167" xr:uid="{00000000-0005-0000-0000-0000E4210000}"/>
    <cellStyle name="60% - Акцент2 78" xfId="9168" xr:uid="{00000000-0005-0000-0000-0000E5210000}"/>
    <cellStyle name="60% - Акцент2 79" xfId="9169" xr:uid="{00000000-0005-0000-0000-0000E6210000}"/>
    <cellStyle name="60% - Акцент2 8" xfId="9170" xr:uid="{00000000-0005-0000-0000-0000E7210000}"/>
    <cellStyle name="60% - Акцент2 80" xfId="9171" xr:uid="{00000000-0005-0000-0000-0000E8210000}"/>
    <cellStyle name="60% - Акцент2 81" xfId="9172" xr:uid="{00000000-0005-0000-0000-0000E9210000}"/>
    <cellStyle name="60% - Акцент2 82" xfId="9173" xr:uid="{00000000-0005-0000-0000-0000EA210000}"/>
    <cellStyle name="60% - Акцент2 83" xfId="9174" xr:uid="{00000000-0005-0000-0000-0000EB210000}"/>
    <cellStyle name="60% - Акцент2 84" xfId="9175" xr:uid="{00000000-0005-0000-0000-0000EC210000}"/>
    <cellStyle name="60% - Акцент2 85" xfId="9176" xr:uid="{00000000-0005-0000-0000-0000ED210000}"/>
    <cellStyle name="60% - Акцент2 86" xfId="9177" xr:uid="{00000000-0005-0000-0000-0000EE210000}"/>
    <cellStyle name="60% - Акцент2 87" xfId="9178" xr:uid="{00000000-0005-0000-0000-0000EF210000}"/>
    <cellStyle name="60% - Акцент2 88" xfId="9179" xr:uid="{00000000-0005-0000-0000-0000F0210000}"/>
    <cellStyle name="60% - Акцент2 89" xfId="9180" xr:uid="{00000000-0005-0000-0000-0000F1210000}"/>
    <cellStyle name="60% - Акцент2 9" xfId="9181" xr:uid="{00000000-0005-0000-0000-0000F2210000}"/>
    <cellStyle name="60% - Акцент2 90" xfId="9182" xr:uid="{00000000-0005-0000-0000-0000F3210000}"/>
    <cellStyle name="60% - Акцент2 91" xfId="9183" xr:uid="{00000000-0005-0000-0000-0000F4210000}"/>
    <cellStyle name="60% - Акцент2 92" xfId="9184" xr:uid="{00000000-0005-0000-0000-0000F5210000}"/>
    <cellStyle name="60% - Акцент2 93" xfId="9185" xr:uid="{00000000-0005-0000-0000-0000F6210000}"/>
    <cellStyle name="60% - Акцент2 94" xfId="9186" xr:uid="{00000000-0005-0000-0000-0000F7210000}"/>
    <cellStyle name="60% - Акцент2 95" xfId="9187" xr:uid="{00000000-0005-0000-0000-0000F8210000}"/>
    <cellStyle name="60% - Акцент2 96" xfId="9188" xr:uid="{00000000-0005-0000-0000-0000F9210000}"/>
    <cellStyle name="60% - Акцент2 97" xfId="9189" xr:uid="{00000000-0005-0000-0000-0000FA210000}"/>
    <cellStyle name="60% - Акцент2 98" xfId="9190" xr:uid="{00000000-0005-0000-0000-0000FB210000}"/>
    <cellStyle name="60% - Акцент2 99" xfId="9191" xr:uid="{00000000-0005-0000-0000-0000FC210000}"/>
    <cellStyle name="60% - Акцент3 10" xfId="9192" xr:uid="{00000000-0005-0000-0000-0000FD210000}"/>
    <cellStyle name="60% - Акцент3 100" xfId="9193" xr:uid="{00000000-0005-0000-0000-0000FE210000}"/>
    <cellStyle name="60% - Акцент3 101" xfId="9194" xr:uid="{00000000-0005-0000-0000-0000FF210000}"/>
    <cellStyle name="60% - Акцент3 102" xfId="9195" xr:uid="{00000000-0005-0000-0000-000000220000}"/>
    <cellStyle name="60% - Акцент3 103" xfId="9196" xr:uid="{00000000-0005-0000-0000-000001220000}"/>
    <cellStyle name="60% - Акцент3 104" xfId="9197" xr:uid="{00000000-0005-0000-0000-000002220000}"/>
    <cellStyle name="60% - Акцент3 105" xfId="9198" xr:uid="{00000000-0005-0000-0000-000003220000}"/>
    <cellStyle name="60% - Акцент3 106" xfId="9199" xr:uid="{00000000-0005-0000-0000-000004220000}"/>
    <cellStyle name="60% - Акцент3 107" xfId="9200" xr:uid="{00000000-0005-0000-0000-000005220000}"/>
    <cellStyle name="60% - Акцент3 108" xfId="9201" xr:uid="{00000000-0005-0000-0000-000006220000}"/>
    <cellStyle name="60% - Акцент3 109" xfId="9202" xr:uid="{00000000-0005-0000-0000-000007220000}"/>
    <cellStyle name="60% - Акцент3 11" xfId="9203" xr:uid="{00000000-0005-0000-0000-000008220000}"/>
    <cellStyle name="60% - Акцент3 110" xfId="9204" xr:uid="{00000000-0005-0000-0000-000009220000}"/>
    <cellStyle name="60% - Акцент3 111" xfId="9205" xr:uid="{00000000-0005-0000-0000-00000A220000}"/>
    <cellStyle name="60% - Акцент3 112" xfId="9206" xr:uid="{00000000-0005-0000-0000-00000B220000}"/>
    <cellStyle name="60% - Акцент3 113" xfId="9207" xr:uid="{00000000-0005-0000-0000-00000C220000}"/>
    <cellStyle name="60% - Акцент3 114" xfId="9208" xr:uid="{00000000-0005-0000-0000-00000D220000}"/>
    <cellStyle name="60% - Акцент3 115" xfId="9209" xr:uid="{00000000-0005-0000-0000-00000E220000}"/>
    <cellStyle name="60% - Акцент3 116" xfId="9210" xr:uid="{00000000-0005-0000-0000-00000F220000}"/>
    <cellStyle name="60% - Акцент3 117" xfId="9211" xr:uid="{00000000-0005-0000-0000-000010220000}"/>
    <cellStyle name="60% - Акцент3 118" xfId="9212" xr:uid="{00000000-0005-0000-0000-000011220000}"/>
    <cellStyle name="60% - Акцент3 119" xfId="9213" xr:uid="{00000000-0005-0000-0000-000012220000}"/>
    <cellStyle name="60% - Акцент3 12" xfId="9214" xr:uid="{00000000-0005-0000-0000-000013220000}"/>
    <cellStyle name="60% - Акцент3 120" xfId="9215" xr:uid="{00000000-0005-0000-0000-000014220000}"/>
    <cellStyle name="60% - Акцент3 121" xfId="9216" xr:uid="{00000000-0005-0000-0000-000015220000}"/>
    <cellStyle name="60% - Акцент3 122" xfId="9217" xr:uid="{00000000-0005-0000-0000-000016220000}"/>
    <cellStyle name="60% - Акцент3 123" xfId="9218" xr:uid="{00000000-0005-0000-0000-000017220000}"/>
    <cellStyle name="60% - Акцент3 124" xfId="9219" xr:uid="{00000000-0005-0000-0000-000018220000}"/>
    <cellStyle name="60% - Акцент3 125" xfId="9220" xr:uid="{00000000-0005-0000-0000-000019220000}"/>
    <cellStyle name="60% - Акцент3 126" xfId="9221" xr:uid="{00000000-0005-0000-0000-00001A220000}"/>
    <cellStyle name="60% - Акцент3 127" xfId="9222" xr:uid="{00000000-0005-0000-0000-00001B220000}"/>
    <cellStyle name="60% - Акцент3 128" xfId="9223" xr:uid="{00000000-0005-0000-0000-00001C220000}"/>
    <cellStyle name="60% - Акцент3 129" xfId="9224" xr:uid="{00000000-0005-0000-0000-00001D220000}"/>
    <cellStyle name="60% - Акцент3 13" xfId="9225" xr:uid="{00000000-0005-0000-0000-00001E220000}"/>
    <cellStyle name="60% - Акцент3 130" xfId="9226" xr:uid="{00000000-0005-0000-0000-00001F220000}"/>
    <cellStyle name="60% - Акцент3 131" xfId="9227" xr:uid="{00000000-0005-0000-0000-000020220000}"/>
    <cellStyle name="60% - Акцент3 132" xfId="9228" xr:uid="{00000000-0005-0000-0000-000021220000}"/>
    <cellStyle name="60% - Акцент3 133" xfId="9229" xr:uid="{00000000-0005-0000-0000-000022220000}"/>
    <cellStyle name="60% - Акцент3 134" xfId="9230" xr:uid="{00000000-0005-0000-0000-000023220000}"/>
    <cellStyle name="60% - Акцент3 135" xfId="9231" xr:uid="{00000000-0005-0000-0000-000024220000}"/>
    <cellStyle name="60% - Акцент3 136" xfId="9232" xr:uid="{00000000-0005-0000-0000-000025220000}"/>
    <cellStyle name="60% - Акцент3 137" xfId="9233" xr:uid="{00000000-0005-0000-0000-000026220000}"/>
    <cellStyle name="60% - Акцент3 138" xfId="9234" xr:uid="{00000000-0005-0000-0000-000027220000}"/>
    <cellStyle name="60% - Акцент3 139" xfId="9235" xr:uid="{00000000-0005-0000-0000-000028220000}"/>
    <cellStyle name="60% - Акцент3 14" xfId="9236" xr:uid="{00000000-0005-0000-0000-000029220000}"/>
    <cellStyle name="60% - Акцент3 140" xfId="9237" xr:uid="{00000000-0005-0000-0000-00002A220000}"/>
    <cellStyle name="60% - Акцент3 141" xfId="9238" xr:uid="{00000000-0005-0000-0000-00002B220000}"/>
    <cellStyle name="60% - Акцент3 142" xfId="9239" xr:uid="{00000000-0005-0000-0000-00002C220000}"/>
    <cellStyle name="60% - Акцент3 143" xfId="9240" xr:uid="{00000000-0005-0000-0000-00002D220000}"/>
    <cellStyle name="60% - Акцент3 144" xfId="9241" xr:uid="{00000000-0005-0000-0000-00002E220000}"/>
    <cellStyle name="60% - Акцент3 145" xfId="9242" xr:uid="{00000000-0005-0000-0000-00002F220000}"/>
    <cellStyle name="60% - Акцент3 146" xfId="9243" xr:uid="{00000000-0005-0000-0000-000030220000}"/>
    <cellStyle name="60% - Акцент3 147" xfId="9244" xr:uid="{00000000-0005-0000-0000-000031220000}"/>
    <cellStyle name="60% - Акцент3 148" xfId="9245" xr:uid="{00000000-0005-0000-0000-000032220000}"/>
    <cellStyle name="60% - Акцент3 149" xfId="9246" xr:uid="{00000000-0005-0000-0000-000033220000}"/>
    <cellStyle name="60% - Акцент3 15" xfId="9247" xr:uid="{00000000-0005-0000-0000-000034220000}"/>
    <cellStyle name="60% - Акцент3 150" xfId="9248" xr:uid="{00000000-0005-0000-0000-000035220000}"/>
    <cellStyle name="60% - Акцент3 151" xfId="9249" xr:uid="{00000000-0005-0000-0000-000036220000}"/>
    <cellStyle name="60% - Акцент3 152" xfId="9250" xr:uid="{00000000-0005-0000-0000-000037220000}"/>
    <cellStyle name="60% - Акцент3 16" xfId="9251" xr:uid="{00000000-0005-0000-0000-000038220000}"/>
    <cellStyle name="60% - Акцент3 17" xfId="9252" xr:uid="{00000000-0005-0000-0000-000039220000}"/>
    <cellStyle name="60% - Акцент3 18" xfId="9253" xr:uid="{00000000-0005-0000-0000-00003A220000}"/>
    <cellStyle name="60% - Акцент3 19" xfId="9254" xr:uid="{00000000-0005-0000-0000-00003B220000}"/>
    <cellStyle name="60% - Акцент3 2" xfId="9255" xr:uid="{00000000-0005-0000-0000-00003C220000}"/>
    <cellStyle name="60% - Акцент3 2 2" xfId="9256" xr:uid="{00000000-0005-0000-0000-00003D220000}"/>
    <cellStyle name="60% - Акцент3 2 3" xfId="9257" xr:uid="{00000000-0005-0000-0000-00003E220000}"/>
    <cellStyle name="60% - Акцент3 2 4" xfId="9258" xr:uid="{00000000-0005-0000-0000-00003F220000}"/>
    <cellStyle name="60% - Акцент3 2 5" xfId="9259" xr:uid="{00000000-0005-0000-0000-000040220000}"/>
    <cellStyle name="60% - Акцент3 2 6" xfId="9260" xr:uid="{00000000-0005-0000-0000-000041220000}"/>
    <cellStyle name="60% - Акцент3 2 7" xfId="9261" xr:uid="{00000000-0005-0000-0000-000042220000}"/>
    <cellStyle name="60% - Акцент3 20" xfId="9262" xr:uid="{00000000-0005-0000-0000-000043220000}"/>
    <cellStyle name="60% - Акцент3 20 2" xfId="9263" xr:uid="{00000000-0005-0000-0000-000044220000}"/>
    <cellStyle name="60% - Акцент3 21" xfId="9264" xr:uid="{00000000-0005-0000-0000-000045220000}"/>
    <cellStyle name="60% - Акцент3 22" xfId="9265" xr:uid="{00000000-0005-0000-0000-000046220000}"/>
    <cellStyle name="60% - Акцент3 23" xfId="9266" xr:uid="{00000000-0005-0000-0000-000047220000}"/>
    <cellStyle name="60% - Акцент3 24" xfId="9267" xr:uid="{00000000-0005-0000-0000-000048220000}"/>
    <cellStyle name="60% - Акцент3 25" xfId="9268" xr:uid="{00000000-0005-0000-0000-000049220000}"/>
    <cellStyle name="60% - Акцент3 26" xfId="9269" xr:uid="{00000000-0005-0000-0000-00004A220000}"/>
    <cellStyle name="60% - Акцент3 27" xfId="9270" xr:uid="{00000000-0005-0000-0000-00004B220000}"/>
    <cellStyle name="60% - Акцент3 28" xfId="9271" xr:uid="{00000000-0005-0000-0000-00004C220000}"/>
    <cellStyle name="60% - Акцент3 29" xfId="9272" xr:uid="{00000000-0005-0000-0000-00004D220000}"/>
    <cellStyle name="60% - Акцент3 3" xfId="9273" xr:uid="{00000000-0005-0000-0000-00004E220000}"/>
    <cellStyle name="60% - Акцент3 30" xfId="9274" xr:uid="{00000000-0005-0000-0000-00004F220000}"/>
    <cellStyle name="60% - Акцент3 31" xfId="9275" xr:uid="{00000000-0005-0000-0000-000050220000}"/>
    <cellStyle name="60% - Акцент3 32" xfId="9276" xr:uid="{00000000-0005-0000-0000-000051220000}"/>
    <cellStyle name="60% - Акцент3 33" xfId="9277" xr:uid="{00000000-0005-0000-0000-000052220000}"/>
    <cellStyle name="60% - Акцент3 34" xfId="9278" xr:uid="{00000000-0005-0000-0000-000053220000}"/>
    <cellStyle name="60% - Акцент3 35" xfId="9279" xr:uid="{00000000-0005-0000-0000-000054220000}"/>
    <cellStyle name="60% - Акцент3 36" xfId="9280" xr:uid="{00000000-0005-0000-0000-000055220000}"/>
    <cellStyle name="60% - Акцент3 37" xfId="9281" xr:uid="{00000000-0005-0000-0000-000056220000}"/>
    <cellStyle name="60% - Акцент3 38" xfId="9282" xr:uid="{00000000-0005-0000-0000-000057220000}"/>
    <cellStyle name="60% - Акцент3 39" xfId="9283" xr:uid="{00000000-0005-0000-0000-000058220000}"/>
    <cellStyle name="60% - Акцент3 4" xfId="9284" xr:uid="{00000000-0005-0000-0000-000059220000}"/>
    <cellStyle name="60% - Акцент3 40" xfId="9285" xr:uid="{00000000-0005-0000-0000-00005A220000}"/>
    <cellStyle name="60% - Акцент3 41" xfId="9286" xr:uid="{00000000-0005-0000-0000-00005B220000}"/>
    <cellStyle name="60% - Акцент3 42" xfId="9287" xr:uid="{00000000-0005-0000-0000-00005C220000}"/>
    <cellStyle name="60% - Акцент3 43" xfId="9288" xr:uid="{00000000-0005-0000-0000-00005D220000}"/>
    <cellStyle name="60% - Акцент3 44" xfId="9289" xr:uid="{00000000-0005-0000-0000-00005E220000}"/>
    <cellStyle name="60% - Акцент3 45" xfId="9290" xr:uid="{00000000-0005-0000-0000-00005F220000}"/>
    <cellStyle name="60% - Акцент3 46" xfId="9291" xr:uid="{00000000-0005-0000-0000-000060220000}"/>
    <cellStyle name="60% - Акцент3 47" xfId="9292" xr:uid="{00000000-0005-0000-0000-000061220000}"/>
    <cellStyle name="60% - Акцент3 48" xfId="9293" xr:uid="{00000000-0005-0000-0000-000062220000}"/>
    <cellStyle name="60% - Акцент3 49" xfId="9294" xr:uid="{00000000-0005-0000-0000-000063220000}"/>
    <cellStyle name="60% - Акцент3 5" xfId="9295" xr:uid="{00000000-0005-0000-0000-000064220000}"/>
    <cellStyle name="60% - Акцент3 50" xfId="9296" xr:uid="{00000000-0005-0000-0000-000065220000}"/>
    <cellStyle name="60% - Акцент3 51" xfId="9297" xr:uid="{00000000-0005-0000-0000-000066220000}"/>
    <cellStyle name="60% - Акцент3 52" xfId="9298" xr:uid="{00000000-0005-0000-0000-000067220000}"/>
    <cellStyle name="60% - Акцент3 53" xfId="9299" xr:uid="{00000000-0005-0000-0000-000068220000}"/>
    <cellStyle name="60% - Акцент3 54" xfId="9300" xr:uid="{00000000-0005-0000-0000-000069220000}"/>
    <cellStyle name="60% - Акцент3 55" xfId="9301" xr:uid="{00000000-0005-0000-0000-00006A220000}"/>
    <cellStyle name="60% - Акцент3 56" xfId="9302" xr:uid="{00000000-0005-0000-0000-00006B220000}"/>
    <cellStyle name="60% - Акцент3 57" xfId="9303" xr:uid="{00000000-0005-0000-0000-00006C220000}"/>
    <cellStyle name="60% - Акцент3 58" xfId="9304" xr:uid="{00000000-0005-0000-0000-00006D220000}"/>
    <cellStyle name="60% - Акцент3 59" xfId="9305" xr:uid="{00000000-0005-0000-0000-00006E220000}"/>
    <cellStyle name="60% - Акцент3 6" xfId="9306" xr:uid="{00000000-0005-0000-0000-00006F220000}"/>
    <cellStyle name="60% - Акцент3 60" xfId="9307" xr:uid="{00000000-0005-0000-0000-000070220000}"/>
    <cellStyle name="60% - Акцент3 61" xfId="9308" xr:uid="{00000000-0005-0000-0000-000071220000}"/>
    <cellStyle name="60% - Акцент3 62" xfId="9309" xr:uid="{00000000-0005-0000-0000-000072220000}"/>
    <cellStyle name="60% - Акцент3 63" xfId="9310" xr:uid="{00000000-0005-0000-0000-000073220000}"/>
    <cellStyle name="60% - Акцент3 64" xfId="9311" xr:uid="{00000000-0005-0000-0000-000074220000}"/>
    <cellStyle name="60% - Акцент3 65" xfId="9312" xr:uid="{00000000-0005-0000-0000-000075220000}"/>
    <cellStyle name="60% - Акцент3 66" xfId="9313" xr:uid="{00000000-0005-0000-0000-000076220000}"/>
    <cellStyle name="60% - Акцент3 67" xfId="9314" xr:uid="{00000000-0005-0000-0000-000077220000}"/>
    <cellStyle name="60% - Акцент3 68" xfId="9315" xr:uid="{00000000-0005-0000-0000-000078220000}"/>
    <cellStyle name="60% - Акцент3 69" xfId="9316" xr:uid="{00000000-0005-0000-0000-000079220000}"/>
    <cellStyle name="60% - Акцент3 7" xfId="9317" xr:uid="{00000000-0005-0000-0000-00007A220000}"/>
    <cellStyle name="60% - Акцент3 70" xfId="9318" xr:uid="{00000000-0005-0000-0000-00007B220000}"/>
    <cellStyle name="60% - Акцент3 71" xfId="9319" xr:uid="{00000000-0005-0000-0000-00007C220000}"/>
    <cellStyle name="60% - Акцент3 72" xfId="9320" xr:uid="{00000000-0005-0000-0000-00007D220000}"/>
    <cellStyle name="60% - Акцент3 73" xfId="9321" xr:uid="{00000000-0005-0000-0000-00007E220000}"/>
    <cellStyle name="60% - Акцент3 74" xfId="9322" xr:uid="{00000000-0005-0000-0000-00007F220000}"/>
    <cellStyle name="60% - Акцент3 75" xfId="9323" xr:uid="{00000000-0005-0000-0000-000080220000}"/>
    <cellStyle name="60% - Акцент3 76" xfId="9324" xr:uid="{00000000-0005-0000-0000-000081220000}"/>
    <cellStyle name="60% - Акцент3 77" xfId="9325" xr:uid="{00000000-0005-0000-0000-000082220000}"/>
    <cellStyle name="60% - Акцент3 78" xfId="9326" xr:uid="{00000000-0005-0000-0000-000083220000}"/>
    <cellStyle name="60% - Акцент3 79" xfId="9327" xr:uid="{00000000-0005-0000-0000-000084220000}"/>
    <cellStyle name="60% - Акцент3 8" xfId="9328" xr:uid="{00000000-0005-0000-0000-000085220000}"/>
    <cellStyle name="60% - Акцент3 80" xfId="9329" xr:uid="{00000000-0005-0000-0000-000086220000}"/>
    <cellStyle name="60% - Акцент3 81" xfId="9330" xr:uid="{00000000-0005-0000-0000-000087220000}"/>
    <cellStyle name="60% - Акцент3 82" xfId="9331" xr:uid="{00000000-0005-0000-0000-000088220000}"/>
    <cellStyle name="60% - Акцент3 83" xfId="9332" xr:uid="{00000000-0005-0000-0000-000089220000}"/>
    <cellStyle name="60% - Акцент3 84" xfId="9333" xr:uid="{00000000-0005-0000-0000-00008A220000}"/>
    <cellStyle name="60% - Акцент3 85" xfId="9334" xr:uid="{00000000-0005-0000-0000-00008B220000}"/>
    <cellStyle name="60% - Акцент3 86" xfId="9335" xr:uid="{00000000-0005-0000-0000-00008C220000}"/>
    <cellStyle name="60% - Акцент3 87" xfId="9336" xr:uid="{00000000-0005-0000-0000-00008D220000}"/>
    <cellStyle name="60% - Акцент3 88" xfId="9337" xr:uid="{00000000-0005-0000-0000-00008E220000}"/>
    <cellStyle name="60% - Акцент3 89" xfId="9338" xr:uid="{00000000-0005-0000-0000-00008F220000}"/>
    <cellStyle name="60% - Акцент3 9" xfId="9339" xr:uid="{00000000-0005-0000-0000-000090220000}"/>
    <cellStyle name="60% - Акцент3 90" xfId="9340" xr:uid="{00000000-0005-0000-0000-000091220000}"/>
    <cellStyle name="60% - Акцент3 91" xfId="9341" xr:uid="{00000000-0005-0000-0000-000092220000}"/>
    <cellStyle name="60% - Акцент3 92" xfId="9342" xr:uid="{00000000-0005-0000-0000-000093220000}"/>
    <cellStyle name="60% - Акцент3 93" xfId="9343" xr:uid="{00000000-0005-0000-0000-000094220000}"/>
    <cellStyle name="60% - Акцент3 94" xfId="9344" xr:uid="{00000000-0005-0000-0000-000095220000}"/>
    <cellStyle name="60% - Акцент3 95" xfId="9345" xr:uid="{00000000-0005-0000-0000-000096220000}"/>
    <cellStyle name="60% - Акцент3 96" xfId="9346" xr:uid="{00000000-0005-0000-0000-000097220000}"/>
    <cellStyle name="60% - Акцент3 97" xfId="9347" xr:uid="{00000000-0005-0000-0000-000098220000}"/>
    <cellStyle name="60% - Акцент3 98" xfId="9348" xr:uid="{00000000-0005-0000-0000-000099220000}"/>
    <cellStyle name="60% - Акцент3 99" xfId="9349" xr:uid="{00000000-0005-0000-0000-00009A220000}"/>
    <cellStyle name="60% - Акцент4 10" xfId="9350" xr:uid="{00000000-0005-0000-0000-00009B220000}"/>
    <cellStyle name="60% - Акцент4 100" xfId="9351" xr:uid="{00000000-0005-0000-0000-00009C220000}"/>
    <cellStyle name="60% - Акцент4 101" xfId="9352" xr:uid="{00000000-0005-0000-0000-00009D220000}"/>
    <cellStyle name="60% - Акцент4 102" xfId="9353" xr:uid="{00000000-0005-0000-0000-00009E220000}"/>
    <cellStyle name="60% - Акцент4 103" xfId="9354" xr:uid="{00000000-0005-0000-0000-00009F220000}"/>
    <cellStyle name="60% - Акцент4 104" xfId="9355" xr:uid="{00000000-0005-0000-0000-0000A0220000}"/>
    <cellStyle name="60% - Акцент4 105" xfId="9356" xr:uid="{00000000-0005-0000-0000-0000A1220000}"/>
    <cellStyle name="60% - Акцент4 106" xfId="9357" xr:uid="{00000000-0005-0000-0000-0000A2220000}"/>
    <cellStyle name="60% - Акцент4 107" xfId="9358" xr:uid="{00000000-0005-0000-0000-0000A3220000}"/>
    <cellStyle name="60% - Акцент4 108" xfId="9359" xr:uid="{00000000-0005-0000-0000-0000A4220000}"/>
    <cellStyle name="60% - Акцент4 109" xfId="9360" xr:uid="{00000000-0005-0000-0000-0000A5220000}"/>
    <cellStyle name="60% - Акцент4 11" xfId="9361" xr:uid="{00000000-0005-0000-0000-0000A6220000}"/>
    <cellStyle name="60% - Акцент4 110" xfId="9362" xr:uid="{00000000-0005-0000-0000-0000A7220000}"/>
    <cellStyle name="60% - Акцент4 111" xfId="9363" xr:uid="{00000000-0005-0000-0000-0000A8220000}"/>
    <cellStyle name="60% - Акцент4 112" xfId="9364" xr:uid="{00000000-0005-0000-0000-0000A9220000}"/>
    <cellStyle name="60% - Акцент4 113" xfId="9365" xr:uid="{00000000-0005-0000-0000-0000AA220000}"/>
    <cellStyle name="60% - Акцент4 114" xfId="9366" xr:uid="{00000000-0005-0000-0000-0000AB220000}"/>
    <cellStyle name="60% - Акцент4 115" xfId="9367" xr:uid="{00000000-0005-0000-0000-0000AC220000}"/>
    <cellStyle name="60% - Акцент4 116" xfId="9368" xr:uid="{00000000-0005-0000-0000-0000AD220000}"/>
    <cellStyle name="60% - Акцент4 117" xfId="9369" xr:uid="{00000000-0005-0000-0000-0000AE220000}"/>
    <cellStyle name="60% - Акцент4 118" xfId="9370" xr:uid="{00000000-0005-0000-0000-0000AF220000}"/>
    <cellStyle name="60% - Акцент4 119" xfId="9371" xr:uid="{00000000-0005-0000-0000-0000B0220000}"/>
    <cellStyle name="60% - Акцент4 12" xfId="9372" xr:uid="{00000000-0005-0000-0000-0000B1220000}"/>
    <cellStyle name="60% - Акцент4 120" xfId="9373" xr:uid="{00000000-0005-0000-0000-0000B2220000}"/>
    <cellStyle name="60% - Акцент4 121" xfId="9374" xr:uid="{00000000-0005-0000-0000-0000B3220000}"/>
    <cellStyle name="60% - Акцент4 122" xfId="9375" xr:uid="{00000000-0005-0000-0000-0000B4220000}"/>
    <cellStyle name="60% - Акцент4 123" xfId="9376" xr:uid="{00000000-0005-0000-0000-0000B5220000}"/>
    <cellStyle name="60% - Акцент4 124" xfId="9377" xr:uid="{00000000-0005-0000-0000-0000B6220000}"/>
    <cellStyle name="60% - Акцент4 125" xfId="9378" xr:uid="{00000000-0005-0000-0000-0000B7220000}"/>
    <cellStyle name="60% - Акцент4 126" xfId="9379" xr:uid="{00000000-0005-0000-0000-0000B8220000}"/>
    <cellStyle name="60% - Акцент4 127" xfId="9380" xr:uid="{00000000-0005-0000-0000-0000B9220000}"/>
    <cellStyle name="60% - Акцент4 128" xfId="9381" xr:uid="{00000000-0005-0000-0000-0000BA220000}"/>
    <cellStyle name="60% - Акцент4 129" xfId="9382" xr:uid="{00000000-0005-0000-0000-0000BB220000}"/>
    <cellStyle name="60% - Акцент4 13" xfId="9383" xr:uid="{00000000-0005-0000-0000-0000BC220000}"/>
    <cellStyle name="60% - Акцент4 130" xfId="9384" xr:uid="{00000000-0005-0000-0000-0000BD220000}"/>
    <cellStyle name="60% - Акцент4 131" xfId="9385" xr:uid="{00000000-0005-0000-0000-0000BE220000}"/>
    <cellStyle name="60% - Акцент4 132" xfId="9386" xr:uid="{00000000-0005-0000-0000-0000BF220000}"/>
    <cellStyle name="60% - Акцент4 133" xfId="9387" xr:uid="{00000000-0005-0000-0000-0000C0220000}"/>
    <cellStyle name="60% - Акцент4 134" xfId="9388" xr:uid="{00000000-0005-0000-0000-0000C1220000}"/>
    <cellStyle name="60% - Акцент4 135" xfId="9389" xr:uid="{00000000-0005-0000-0000-0000C2220000}"/>
    <cellStyle name="60% - Акцент4 136" xfId="9390" xr:uid="{00000000-0005-0000-0000-0000C3220000}"/>
    <cellStyle name="60% - Акцент4 137" xfId="9391" xr:uid="{00000000-0005-0000-0000-0000C4220000}"/>
    <cellStyle name="60% - Акцент4 138" xfId="9392" xr:uid="{00000000-0005-0000-0000-0000C5220000}"/>
    <cellStyle name="60% - Акцент4 139" xfId="9393" xr:uid="{00000000-0005-0000-0000-0000C6220000}"/>
    <cellStyle name="60% - Акцент4 14" xfId="9394" xr:uid="{00000000-0005-0000-0000-0000C7220000}"/>
    <cellStyle name="60% - Акцент4 140" xfId="9395" xr:uid="{00000000-0005-0000-0000-0000C8220000}"/>
    <cellStyle name="60% - Акцент4 141" xfId="9396" xr:uid="{00000000-0005-0000-0000-0000C9220000}"/>
    <cellStyle name="60% - Акцент4 142" xfId="9397" xr:uid="{00000000-0005-0000-0000-0000CA220000}"/>
    <cellStyle name="60% - Акцент4 143" xfId="9398" xr:uid="{00000000-0005-0000-0000-0000CB220000}"/>
    <cellStyle name="60% - Акцент4 144" xfId="9399" xr:uid="{00000000-0005-0000-0000-0000CC220000}"/>
    <cellStyle name="60% - Акцент4 145" xfId="9400" xr:uid="{00000000-0005-0000-0000-0000CD220000}"/>
    <cellStyle name="60% - Акцент4 146" xfId="9401" xr:uid="{00000000-0005-0000-0000-0000CE220000}"/>
    <cellStyle name="60% - Акцент4 147" xfId="9402" xr:uid="{00000000-0005-0000-0000-0000CF220000}"/>
    <cellStyle name="60% - Акцент4 148" xfId="9403" xr:uid="{00000000-0005-0000-0000-0000D0220000}"/>
    <cellStyle name="60% - Акцент4 149" xfId="9404" xr:uid="{00000000-0005-0000-0000-0000D1220000}"/>
    <cellStyle name="60% - Акцент4 15" xfId="9405" xr:uid="{00000000-0005-0000-0000-0000D2220000}"/>
    <cellStyle name="60% - Акцент4 150" xfId="9406" xr:uid="{00000000-0005-0000-0000-0000D3220000}"/>
    <cellStyle name="60% - Акцент4 151" xfId="9407" xr:uid="{00000000-0005-0000-0000-0000D4220000}"/>
    <cellStyle name="60% - Акцент4 152" xfId="9408" xr:uid="{00000000-0005-0000-0000-0000D5220000}"/>
    <cellStyle name="60% - Акцент4 16" xfId="9409" xr:uid="{00000000-0005-0000-0000-0000D6220000}"/>
    <cellStyle name="60% - Акцент4 17" xfId="9410" xr:uid="{00000000-0005-0000-0000-0000D7220000}"/>
    <cellStyle name="60% - Акцент4 18" xfId="9411" xr:uid="{00000000-0005-0000-0000-0000D8220000}"/>
    <cellStyle name="60% - Акцент4 19" xfId="9412" xr:uid="{00000000-0005-0000-0000-0000D9220000}"/>
    <cellStyle name="60% - Акцент4 2" xfId="9413" xr:uid="{00000000-0005-0000-0000-0000DA220000}"/>
    <cellStyle name="60% - Акцент4 2 2" xfId="9414" xr:uid="{00000000-0005-0000-0000-0000DB220000}"/>
    <cellStyle name="60% - Акцент4 2 3" xfId="9415" xr:uid="{00000000-0005-0000-0000-0000DC220000}"/>
    <cellStyle name="60% - Акцент4 2 4" xfId="9416" xr:uid="{00000000-0005-0000-0000-0000DD220000}"/>
    <cellStyle name="60% - Акцент4 2 5" xfId="9417" xr:uid="{00000000-0005-0000-0000-0000DE220000}"/>
    <cellStyle name="60% - Акцент4 2 6" xfId="9418" xr:uid="{00000000-0005-0000-0000-0000DF220000}"/>
    <cellStyle name="60% - Акцент4 2 7" xfId="9419" xr:uid="{00000000-0005-0000-0000-0000E0220000}"/>
    <cellStyle name="60% - Акцент4 20" xfId="9420" xr:uid="{00000000-0005-0000-0000-0000E1220000}"/>
    <cellStyle name="60% - Акцент4 20 2" xfId="9421" xr:uid="{00000000-0005-0000-0000-0000E2220000}"/>
    <cellStyle name="60% - Акцент4 21" xfId="9422" xr:uid="{00000000-0005-0000-0000-0000E3220000}"/>
    <cellStyle name="60% - Акцент4 22" xfId="9423" xr:uid="{00000000-0005-0000-0000-0000E4220000}"/>
    <cellStyle name="60% - Акцент4 23" xfId="9424" xr:uid="{00000000-0005-0000-0000-0000E5220000}"/>
    <cellStyle name="60% - Акцент4 24" xfId="9425" xr:uid="{00000000-0005-0000-0000-0000E6220000}"/>
    <cellStyle name="60% - Акцент4 25" xfId="9426" xr:uid="{00000000-0005-0000-0000-0000E7220000}"/>
    <cellStyle name="60% - Акцент4 26" xfId="9427" xr:uid="{00000000-0005-0000-0000-0000E8220000}"/>
    <cellStyle name="60% - Акцент4 27" xfId="9428" xr:uid="{00000000-0005-0000-0000-0000E9220000}"/>
    <cellStyle name="60% - Акцент4 28" xfId="9429" xr:uid="{00000000-0005-0000-0000-0000EA220000}"/>
    <cellStyle name="60% - Акцент4 29" xfId="9430" xr:uid="{00000000-0005-0000-0000-0000EB220000}"/>
    <cellStyle name="60% - Акцент4 3" xfId="9431" xr:uid="{00000000-0005-0000-0000-0000EC220000}"/>
    <cellStyle name="60% - Акцент4 30" xfId="9432" xr:uid="{00000000-0005-0000-0000-0000ED220000}"/>
    <cellStyle name="60% - Акцент4 31" xfId="9433" xr:uid="{00000000-0005-0000-0000-0000EE220000}"/>
    <cellStyle name="60% - Акцент4 32" xfId="9434" xr:uid="{00000000-0005-0000-0000-0000EF220000}"/>
    <cellStyle name="60% - Акцент4 33" xfId="9435" xr:uid="{00000000-0005-0000-0000-0000F0220000}"/>
    <cellStyle name="60% - Акцент4 34" xfId="9436" xr:uid="{00000000-0005-0000-0000-0000F1220000}"/>
    <cellStyle name="60% - Акцент4 35" xfId="9437" xr:uid="{00000000-0005-0000-0000-0000F2220000}"/>
    <cellStyle name="60% - Акцент4 36" xfId="9438" xr:uid="{00000000-0005-0000-0000-0000F3220000}"/>
    <cellStyle name="60% - Акцент4 37" xfId="9439" xr:uid="{00000000-0005-0000-0000-0000F4220000}"/>
    <cellStyle name="60% - Акцент4 38" xfId="9440" xr:uid="{00000000-0005-0000-0000-0000F5220000}"/>
    <cellStyle name="60% - Акцент4 39" xfId="9441" xr:uid="{00000000-0005-0000-0000-0000F6220000}"/>
    <cellStyle name="60% - Акцент4 4" xfId="9442" xr:uid="{00000000-0005-0000-0000-0000F7220000}"/>
    <cellStyle name="60% - Акцент4 40" xfId="9443" xr:uid="{00000000-0005-0000-0000-0000F8220000}"/>
    <cellStyle name="60% - Акцент4 41" xfId="9444" xr:uid="{00000000-0005-0000-0000-0000F9220000}"/>
    <cellStyle name="60% - Акцент4 42" xfId="9445" xr:uid="{00000000-0005-0000-0000-0000FA220000}"/>
    <cellStyle name="60% - Акцент4 43" xfId="9446" xr:uid="{00000000-0005-0000-0000-0000FB220000}"/>
    <cellStyle name="60% - Акцент4 44" xfId="9447" xr:uid="{00000000-0005-0000-0000-0000FC220000}"/>
    <cellStyle name="60% - Акцент4 45" xfId="9448" xr:uid="{00000000-0005-0000-0000-0000FD220000}"/>
    <cellStyle name="60% - Акцент4 46" xfId="9449" xr:uid="{00000000-0005-0000-0000-0000FE220000}"/>
    <cellStyle name="60% - Акцент4 47" xfId="9450" xr:uid="{00000000-0005-0000-0000-0000FF220000}"/>
    <cellStyle name="60% - Акцент4 48" xfId="9451" xr:uid="{00000000-0005-0000-0000-000000230000}"/>
    <cellStyle name="60% - Акцент4 49" xfId="9452" xr:uid="{00000000-0005-0000-0000-000001230000}"/>
    <cellStyle name="60% - Акцент4 5" xfId="9453" xr:uid="{00000000-0005-0000-0000-000002230000}"/>
    <cellStyle name="60% - Акцент4 50" xfId="9454" xr:uid="{00000000-0005-0000-0000-000003230000}"/>
    <cellStyle name="60% - Акцент4 51" xfId="9455" xr:uid="{00000000-0005-0000-0000-000004230000}"/>
    <cellStyle name="60% - Акцент4 52" xfId="9456" xr:uid="{00000000-0005-0000-0000-000005230000}"/>
    <cellStyle name="60% - Акцент4 53" xfId="9457" xr:uid="{00000000-0005-0000-0000-000006230000}"/>
    <cellStyle name="60% - Акцент4 54" xfId="9458" xr:uid="{00000000-0005-0000-0000-000007230000}"/>
    <cellStyle name="60% - Акцент4 55" xfId="9459" xr:uid="{00000000-0005-0000-0000-000008230000}"/>
    <cellStyle name="60% - Акцент4 56" xfId="9460" xr:uid="{00000000-0005-0000-0000-000009230000}"/>
    <cellStyle name="60% - Акцент4 57" xfId="9461" xr:uid="{00000000-0005-0000-0000-00000A230000}"/>
    <cellStyle name="60% - Акцент4 58" xfId="9462" xr:uid="{00000000-0005-0000-0000-00000B230000}"/>
    <cellStyle name="60% - Акцент4 59" xfId="9463" xr:uid="{00000000-0005-0000-0000-00000C230000}"/>
    <cellStyle name="60% - Акцент4 6" xfId="9464" xr:uid="{00000000-0005-0000-0000-00000D230000}"/>
    <cellStyle name="60% - Акцент4 60" xfId="9465" xr:uid="{00000000-0005-0000-0000-00000E230000}"/>
    <cellStyle name="60% - Акцент4 61" xfId="9466" xr:uid="{00000000-0005-0000-0000-00000F230000}"/>
    <cellStyle name="60% - Акцент4 62" xfId="9467" xr:uid="{00000000-0005-0000-0000-000010230000}"/>
    <cellStyle name="60% - Акцент4 63" xfId="9468" xr:uid="{00000000-0005-0000-0000-000011230000}"/>
    <cellStyle name="60% - Акцент4 64" xfId="9469" xr:uid="{00000000-0005-0000-0000-000012230000}"/>
    <cellStyle name="60% - Акцент4 65" xfId="9470" xr:uid="{00000000-0005-0000-0000-000013230000}"/>
    <cellStyle name="60% - Акцент4 66" xfId="9471" xr:uid="{00000000-0005-0000-0000-000014230000}"/>
    <cellStyle name="60% - Акцент4 67" xfId="9472" xr:uid="{00000000-0005-0000-0000-000015230000}"/>
    <cellStyle name="60% - Акцент4 68" xfId="9473" xr:uid="{00000000-0005-0000-0000-000016230000}"/>
    <cellStyle name="60% - Акцент4 69" xfId="9474" xr:uid="{00000000-0005-0000-0000-000017230000}"/>
    <cellStyle name="60% - Акцент4 7" xfId="9475" xr:uid="{00000000-0005-0000-0000-000018230000}"/>
    <cellStyle name="60% - Акцент4 70" xfId="9476" xr:uid="{00000000-0005-0000-0000-000019230000}"/>
    <cellStyle name="60% - Акцент4 71" xfId="9477" xr:uid="{00000000-0005-0000-0000-00001A230000}"/>
    <cellStyle name="60% - Акцент4 72" xfId="9478" xr:uid="{00000000-0005-0000-0000-00001B230000}"/>
    <cellStyle name="60% - Акцент4 73" xfId="9479" xr:uid="{00000000-0005-0000-0000-00001C230000}"/>
    <cellStyle name="60% - Акцент4 74" xfId="9480" xr:uid="{00000000-0005-0000-0000-00001D230000}"/>
    <cellStyle name="60% - Акцент4 75" xfId="9481" xr:uid="{00000000-0005-0000-0000-00001E230000}"/>
    <cellStyle name="60% - Акцент4 76" xfId="9482" xr:uid="{00000000-0005-0000-0000-00001F230000}"/>
    <cellStyle name="60% - Акцент4 77" xfId="9483" xr:uid="{00000000-0005-0000-0000-000020230000}"/>
    <cellStyle name="60% - Акцент4 78" xfId="9484" xr:uid="{00000000-0005-0000-0000-000021230000}"/>
    <cellStyle name="60% - Акцент4 79" xfId="9485" xr:uid="{00000000-0005-0000-0000-000022230000}"/>
    <cellStyle name="60% - Акцент4 8" xfId="9486" xr:uid="{00000000-0005-0000-0000-000023230000}"/>
    <cellStyle name="60% - Акцент4 80" xfId="9487" xr:uid="{00000000-0005-0000-0000-000024230000}"/>
    <cellStyle name="60% - Акцент4 81" xfId="9488" xr:uid="{00000000-0005-0000-0000-000025230000}"/>
    <cellStyle name="60% - Акцент4 82" xfId="9489" xr:uid="{00000000-0005-0000-0000-000026230000}"/>
    <cellStyle name="60% - Акцент4 83" xfId="9490" xr:uid="{00000000-0005-0000-0000-000027230000}"/>
    <cellStyle name="60% - Акцент4 84" xfId="9491" xr:uid="{00000000-0005-0000-0000-000028230000}"/>
    <cellStyle name="60% - Акцент4 85" xfId="9492" xr:uid="{00000000-0005-0000-0000-000029230000}"/>
    <cellStyle name="60% - Акцент4 86" xfId="9493" xr:uid="{00000000-0005-0000-0000-00002A230000}"/>
    <cellStyle name="60% - Акцент4 87" xfId="9494" xr:uid="{00000000-0005-0000-0000-00002B230000}"/>
    <cellStyle name="60% - Акцент4 88" xfId="9495" xr:uid="{00000000-0005-0000-0000-00002C230000}"/>
    <cellStyle name="60% - Акцент4 89" xfId="9496" xr:uid="{00000000-0005-0000-0000-00002D230000}"/>
    <cellStyle name="60% - Акцент4 9" xfId="9497" xr:uid="{00000000-0005-0000-0000-00002E230000}"/>
    <cellStyle name="60% - Акцент4 90" xfId="9498" xr:uid="{00000000-0005-0000-0000-00002F230000}"/>
    <cellStyle name="60% - Акцент4 91" xfId="9499" xr:uid="{00000000-0005-0000-0000-000030230000}"/>
    <cellStyle name="60% - Акцент4 92" xfId="9500" xr:uid="{00000000-0005-0000-0000-000031230000}"/>
    <cellStyle name="60% - Акцент4 93" xfId="9501" xr:uid="{00000000-0005-0000-0000-000032230000}"/>
    <cellStyle name="60% - Акцент4 94" xfId="9502" xr:uid="{00000000-0005-0000-0000-000033230000}"/>
    <cellStyle name="60% - Акцент4 95" xfId="9503" xr:uid="{00000000-0005-0000-0000-000034230000}"/>
    <cellStyle name="60% - Акцент4 96" xfId="9504" xr:uid="{00000000-0005-0000-0000-000035230000}"/>
    <cellStyle name="60% - Акцент4 97" xfId="9505" xr:uid="{00000000-0005-0000-0000-000036230000}"/>
    <cellStyle name="60% - Акцент4 98" xfId="9506" xr:uid="{00000000-0005-0000-0000-000037230000}"/>
    <cellStyle name="60% - Акцент4 99" xfId="9507" xr:uid="{00000000-0005-0000-0000-000038230000}"/>
    <cellStyle name="60% - Акцент5 10" xfId="9508" xr:uid="{00000000-0005-0000-0000-000039230000}"/>
    <cellStyle name="60% - Акцент5 100" xfId="9509" xr:uid="{00000000-0005-0000-0000-00003A230000}"/>
    <cellStyle name="60% - Акцент5 101" xfId="9510" xr:uid="{00000000-0005-0000-0000-00003B230000}"/>
    <cellStyle name="60% - Акцент5 102" xfId="9511" xr:uid="{00000000-0005-0000-0000-00003C230000}"/>
    <cellStyle name="60% - Акцент5 103" xfId="9512" xr:uid="{00000000-0005-0000-0000-00003D230000}"/>
    <cellStyle name="60% - Акцент5 104" xfId="9513" xr:uid="{00000000-0005-0000-0000-00003E230000}"/>
    <cellStyle name="60% - Акцент5 105" xfId="9514" xr:uid="{00000000-0005-0000-0000-00003F230000}"/>
    <cellStyle name="60% - Акцент5 106" xfId="9515" xr:uid="{00000000-0005-0000-0000-000040230000}"/>
    <cellStyle name="60% - Акцент5 107" xfId="9516" xr:uid="{00000000-0005-0000-0000-000041230000}"/>
    <cellStyle name="60% - Акцент5 108" xfId="9517" xr:uid="{00000000-0005-0000-0000-000042230000}"/>
    <cellStyle name="60% - Акцент5 109" xfId="9518" xr:uid="{00000000-0005-0000-0000-000043230000}"/>
    <cellStyle name="60% - Акцент5 11" xfId="9519" xr:uid="{00000000-0005-0000-0000-000044230000}"/>
    <cellStyle name="60% - Акцент5 110" xfId="9520" xr:uid="{00000000-0005-0000-0000-000045230000}"/>
    <cellStyle name="60% - Акцент5 111" xfId="9521" xr:uid="{00000000-0005-0000-0000-000046230000}"/>
    <cellStyle name="60% - Акцент5 112" xfId="9522" xr:uid="{00000000-0005-0000-0000-000047230000}"/>
    <cellStyle name="60% - Акцент5 113" xfId="9523" xr:uid="{00000000-0005-0000-0000-000048230000}"/>
    <cellStyle name="60% - Акцент5 114" xfId="9524" xr:uid="{00000000-0005-0000-0000-000049230000}"/>
    <cellStyle name="60% - Акцент5 115" xfId="9525" xr:uid="{00000000-0005-0000-0000-00004A230000}"/>
    <cellStyle name="60% - Акцент5 116" xfId="9526" xr:uid="{00000000-0005-0000-0000-00004B230000}"/>
    <cellStyle name="60% - Акцент5 117" xfId="9527" xr:uid="{00000000-0005-0000-0000-00004C230000}"/>
    <cellStyle name="60% - Акцент5 118" xfId="9528" xr:uid="{00000000-0005-0000-0000-00004D230000}"/>
    <cellStyle name="60% - Акцент5 119" xfId="9529" xr:uid="{00000000-0005-0000-0000-00004E230000}"/>
    <cellStyle name="60% - Акцент5 12" xfId="9530" xr:uid="{00000000-0005-0000-0000-00004F230000}"/>
    <cellStyle name="60% - Акцент5 120" xfId="9531" xr:uid="{00000000-0005-0000-0000-000050230000}"/>
    <cellStyle name="60% - Акцент5 121" xfId="9532" xr:uid="{00000000-0005-0000-0000-000051230000}"/>
    <cellStyle name="60% - Акцент5 122" xfId="9533" xr:uid="{00000000-0005-0000-0000-000052230000}"/>
    <cellStyle name="60% - Акцент5 123" xfId="9534" xr:uid="{00000000-0005-0000-0000-000053230000}"/>
    <cellStyle name="60% - Акцент5 124" xfId="9535" xr:uid="{00000000-0005-0000-0000-000054230000}"/>
    <cellStyle name="60% - Акцент5 125" xfId="9536" xr:uid="{00000000-0005-0000-0000-000055230000}"/>
    <cellStyle name="60% - Акцент5 126" xfId="9537" xr:uid="{00000000-0005-0000-0000-000056230000}"/>
    <cellStyle name="60% - Акцент5 127" xfId="9538" xr:uid="{00000000-0005-0000-0000-000057230000}"/>
    <cellStyle name="60% - Акцент5 128" xfId="9539" xr:uid="{00000000-0005-0000-0000-000058230000}"/>
    <cellStyle name="60% - Акцент5 129" xfId="9540" xr:uid="{00000000-0005-0000-0000-000059230000}"/>
    <cellStyle name="60% - Акцент5 13" xfId="9541" xr:uid="{00000000-0005-0000-0000-00005A230000}"/>
    <cellStyle name="60% - Акцент5 130" xfId="9542" xr:uid="{00000000-0005-0000-0000-00005B230000}"/>
    <cellStyle name="60% - Акцент5 131" xfId="9543" xr:uid="{00000000-0005-0000-0000-00005C230000}"/>
    <cellStyle name="60% - Акцент5 132" xfId="9544" xr:uid="{00000000-0005-0000-0000-00005D230000}"/>
    <cellStyle name="60% - Акцент5 133" xfId="9545" xr:uid="{00000000-0005-0000-0000-00005E230000}"/>
    <cellStyle name="60% - Акцент5 134" xfId="9546" xr:uid="{00000000-0005-0000-0000-00005F230000}"/>
    <cellStyle name="60% - Акцент5 135" xfId="9547" xr:uid="{00000000-0005-0000-0000-000060230000}"/>
    <cellStyle name="60% - Акцент5 136" xfId="9548" xr:uid="{00000000-0005-0000-0000-000061230000}"/>
    <cellStyle name="60% - Акцент5 137" xfId="9549" xr:uid="{00000000-0005-0000-0000-000062230000}"/>
    <cellStyle name="60% - Акцент5 138" xfId="9550" xr:uid="{00000000-0005-0000-0000-000063230000}"/>
    <cellStyle name="60% - Акцент5 139" xfId="9551" xr:uid="{00000000-0005-0000-0000-000064230000}"/>
    <cellStyle name="60% - Акцент5 14" xfId="9552" xr:uid="{00000000-0005-0000-0000-000065230000}"/>
    <cellStyle name="60% - Акцент5 140" xfId="9553" xr:uid="{00000000-0005-0000-0000-000066230000}"/>
    <cellStyle name="60% - Акцент5 141" xfId="9554" xr:uid="{00000000-0005-0000-0000-000067230000}"/>
    <cellStyle name="60% - Акцент5 142" xfId="9555" xr:uid="{00000000-0005-0000-0000-000068230000}"/>
    <cellStyle name="60% - Акцент5 143" xfId="9556" xr:uid="{00000000-0005-0000-0000-000069230000}"/>
    <cellStyle name="60% - Акцент5 144" xfId="9557" xr:uid="{00000000-0005-0000-0000-00006A230000}"/>
    <cellStyle name="60% - Акцент5 145" xfId="9558" xr:uid="{00000000-0005-0000-0000-00006B230000}"/>
    <cellStyle name="60% - Акцент5 146" xfId="9559" xr:uid="{00000000-0005-0000-0000-00006C230000}"/>
    <cellStyle name="60% - Акцент5 147" xfId="9560" xr:uid="{00000000-0005-0000-0000-00006D230000}"/>
    <cellStyle name="60% - Акцент5 148" xfId="9561" xr:uid="{00000000-0005-0000-0000-00006E230000}"/>
    <cellStyle name="60% - Акцент5 149" xfId="9562" xr:uid="{00000000-0005-0000-0000-00006F230000}"/>
    <cellStyle name="60% - Акцент5 15" xfId="9563" xr:uid="{00000000-0005-0000-0000-000070230000}"/>
    <cellStyle name="60% - Акцент5 150" xfId="9564" xr:uid="{00000000-0005-0000-0000-000071230000}"/>
    <cellStyle name="60% - Акцент5 151" xfId="9565" xr:uid="{00000000-0005-0000-0000-000072230000}"/>
    <cellStyle name="60% - Акцент5 152" xfId="9566" xr:uid="{00000000-0005-0000-0000-000073230000}"/>
    <cellStyle name="60% - Акцент5 16" xfId="9567" xr:uid="{00000000-0005-0000-0000-000074230000}"/>
    <cellStyle name="60% - Акцент5 17" xfId="9568" xr:uid="{00000000-0005-0000-0000-000075230000}"/>
    <cellStyle name="60% - Акцент5 18" xfId="9569" xr:uid="{00000000-0005-0000-0000-000076230000}"/>
    <cellStyle name="60% - Акцент5 19" xfId="9570" xr:uid="{00000000-0005-0000-0000-000077230000}"/>
    <cellStyle name="60% - Акцент5 2" xfId="9571" xr:uid="{00000000-0005-0000-0000-000078230000}"/>
    <cellStyle name="60% - Акцент5 2 2" xfId="9572" xr:uid="{00000000-0005-0000-0000-000079230000}"/>
    <cellStyle name="60% - Акцент5 2 3" xfId="9573" xr:uid="{00000000-0005-0000-0000-00007A230000}"/>
    <cellStyle name="60% - Акцент5 2 4" xfId="9574" xr:uid="{00000000-0005-0000-0000-00007B230000}"/>
    <cellStyle name="60% - Акцент5 2 5" xfId="9575" xr:uid="{00000000-0005-0000-0000-00007C230000}"/>
    <cellStyle name="60% - Акцент5 2 6" xfId="9576" xr:uid="{00000000-0005-0000-0000-00007D230000}"/>
    <cellStyle name="60% - Акцент5 2 7" xfId="9577" xr:uid="{00000000-0005-0000-0000-00007E230000}"/>
    <cellStyle name="60% - Акцент5 20" xfId="9578" xr:uid="{00000000-0005-0000-0000-00007F230000}"/>
    <cellStyle name="60% - Акцент5 20 2" xfId="9579" xr:uid="{00000000-0005-0000-0000-000080230000}"/>
    <cellStyle name="60% - Акцент5 21" xfId="9580" xr:uid="{00000000-0005-0000-0000-000081230000}"/>
    <cellStyle name="60% - Акцент5 22" xfId="9581" xr:uid="{00000000-0005-0000-0000-000082230000}"/>
    <cellStyle name="60% - Акцент5 23" xfId="9582" xr:uid="{00000000-0005-0000-0000-000083230000}"/>
    <cellStyle name="60% - Акцент5 24" xfId="9583" xr:uid="{00000000-0005-0000-0000-000084230000}"/>
    <cellStyle name="60% - Акцент5 25" xfId="9584" xr:uid="{00000000-0005-0000-0000-000085230000}"/>
    <cellStyle name="60% - Акцент5 26" xfId="9585" xr:uid="{00000000-0005-0000-0000-000086230000}"/>
    <cellStyle name="60% - Акцент5 27" xfId="9586" xr:uid="{00000000-0005-0000-0000-000087230000}"/>
    <cellStyle name="60% - Акцент5 28" xfId="9587" xr:uid="{00000000-0005-0000-0000-000088230000}"/>
    <cellStyle name="60% - Акцент5 29" xfId="9588" xr:uid="{00000000-0005-0000-0000-000089230000}"/>
    <cellStyle name="60% - Акцент5 3" xfId="9589" xr:uid="{00000000-0005-0000-0000-00008A230000}"/>
    <cellStyle name="60% - Акцент5 30" xfId="9590" xr:uid="{00000000-0005-0000-0000-00008B230000}"/>
    <cellStyle name="60% - Акцент5 31" xfId="9591" xr:uid="{00000000-0005-0000-0000-00008C230000}"/>
    <cellStyle name="60% - Акцент5 32" xfId="9592" xr:uid="{00000000-0005-0000-0000-00008D230000}"/>
    <cellStyle name="60% - Акцент5 33" xfId="9593" xr:uid="{00000000-0005-0000-0000-00008E230000}"/>
    <cellStyle name="60% - Акцент5 34" xfId="9594" xr:uid="{00000000-0005-0000-0000-00008F230000}"/>
    <cellStyle name="60% - Акцент5 35" xfId="9595" xr:uid="{00000000-0005-0000-0000-000090230000}"/>
    <cellStyle name="60% - Акцент5 36" xfId="9596" xr:uid="{00000000-0005-0000-0000-000091230000}"/>
    <cellStyle name="60% - Акцент5 37" xfId="9597" xr:uid="{00000000-0005-0000-0000-000092230000}"/>
    <cellStyle name="60% - Акцент5 38" xfId="9598" xr:uid="{00000000-0005-0000-0000-000093230000}"/>
    <cellStyle name="60% - Акцент5 39" xfId="9599" xr:uid="{00000000-0005-0000-0000-000094230000}"/>
    <cellStyle name="60% - Акцент5 4" xfId="9600" xr:uid="{00000000-0005-0000-0000-000095230000}"/>
    <cellStyle name="60% - Акцент5 40" xfId="9601" xr:uid="{00000000-0005-0000-0000-000096230000}"/>
    <cellStyle name="60% - Акцент5 41" xfId="9602" xr:uid="{00000000-0005-0000-0000-000097230000}"/>
    <cellStyle name="60% - Акцент5 42" xfId="9603" xr:uid="{00000000-0005-0000-0000-000098230000}"/>
    <cellStyle name="60% - Акцент5 43" xfId="9604" xr:uid="{00000000-0005-0000-0000-000099230000}"/>
    <cellStyle name="60% - Акцент5 44" xfId="9605" xr:uid="{00000000-0005-0000-0000-00009A230000}"/>
    <cellStyle name="60% - Акцент5 45" xfId="9606" xr:uid="{00000000-0005-0000-0000-00009B230000}"/>
    <cellStyle name="60% - Акцент5 46" xfId="9607" xr:uid="{00000000-0005-0000-0000-00009C230000}"/>
    <cellStyle name="60% - Акцент5 47" xfId="9608" xr:uid="{00000000-0005-0000-0000-00009D230000}"/>
    <cellStyle name="60% - Акцент5 48" xfId="9609" xr:uid="{00000000-0005-0000-0000-00009E230000}"/>
    <cellStyle name="60% - Акцент5 49" xfId="9610" xr:uid="{00000000-0005-0000-0000-00009F230000}"/>
    <cellStyle name="60% - Акцент5 5" xfId="9611" xr:uid="{00000000-0005-0000-0000-0000A0230000}"/>
    <cellStyle name="60% - Акцент5 50" xfId="9612" xr:uid="{00000000-0005-0000-0000-0000A1230000}"/>
    <cellStyle name="60% - Акцент5 51" xfId="9613" xr:uid="{00000000-0005-0000-0000-0000A2230000}"/>
    <cellStyle name="60% - Акцент5 52" xfId="9614" xr:uid="{00000000-0005-0000-0000-0000A3230000}"/>
    <cellStyle name="60% - Акцент5 53" xfId="9615" xr:uid="{00000000-0005-0000-0000-0000A4230000}"/>
    <cellStyle name="60% - Акцент5 54" xfId="9616" xr:uid="{00000000-0005-0000-0000-0000A5230000}"/>
    <cellStyle name="60% - Акцент5 55" xfId="9617" xr:uid="{00000000-0005-0000-0000-0000A6230000}"/>
    <cellStyle name="60% - Акцент5 56" xfId="9618" xr:uid="{00000000-0005-0000-0000-0000A7230000}"/>
    <cellStyle name="60% - Акцент5 57" xfId="9619" xr:uid="{00000000-0005-0000-0000-0000A8230000}"/>
    <cellStyle name="60% - Акцент5 58" xfId="9620" xr:uid="{00000000-0005-0000-0000-0000A9230000}"/>
    <cellStyle name="60% - Акцент5 59" xfId="9621" xr:uid="{00000000-0005-0000-0000-0000AA230000}"/>
    <cellStyle name="60% - Акцент5 6" xfId="9622" xr:uid="{00000000-0005-0000-0000-0000AB230000}"/>
    <cellStyle name="60% - Акцент5 60" xfId="9623" xr:uid="{00000000-0005-0000-0000-0000AC230000}"/>
    <cellStyle name="60% - Акцент5 61" xfId="9624" xr:uid="{00000000-0005-0000-0000-0000AD230000}"/>
    <cellStyle name="60% - Акцент5 62" xfId="9625" xr:uid="{00000000-0005-0000-0000-0000AE230000}"/>
    <cellStyle name="60% - Акцент5 63" xfId="9626" xr:uid="{00000000-0005-0000-0000-0000AF230000}"/>
    <cellStyle name="60% - Акцент5 64" xfId="9627" xr:uid="{00000000-0005-0000-0000-0000B0230000}"/>
    <cellStyle name="60% - Акцент5 65" xfId="9628" xr:uid="{00000000-0005-0000-0000-0000B1230000}"/>
    <cellStyle name="60% - Акцент5 66" xfId="9629" xr:uid="{00000000-0005-0000-0000-0000B2230000}"/>
    <cellStyle name="60% - Акцент5 67" xfId="9630" xr:uid="{00000000-0005-0000-0000-0000B3230000}"/>
    <cellStyle name="60% - Акцент5 68" xfId="9631" xr:uid="{00000000-0005-0000-0000-0000B4230000}"/>
    <cellStyle name="60% - Акцент5 69" xfId="9632" xr:uid="{00000000-0005-0000-0000-0000B5230000}"/>
    <cellStyle name="60% - Акцент5 7" xfId="9633" xr:uid="{00000000-0005-0000-0000-0000B6230000}"/>
    <cellStyle name="60% - Акцент5 70" xfId="9634" xr:uid="{00000000-0005-0000-0000-0000B7230000}"/>
    <cellStyle name="60% - Акцент5 71" xfId="9635" xr:uid="{00000000-0005-0000-0000-0000B8230000}"/>
    <cellStyle name="60% - Акцент5 72" xfId="9636" xr:uid="{00000000-0005-0000-0000-0000B9230000}"/>
    <cellStyle name="60% - Акцент5 73" xfId="9637" xr:uid="{00000000-0005-0000-0000-0000BA230000}"/>
    <cellStyle name="60% - Акцент5 74" xfId="9638" xr:uid="{00000000-0005-0000-0000-0000BB230000}"/>
    <cellStyle name="60% - Акцент5 75" xfId="9639" xr:uid="{00000000-0005-0000-0000-0000BC230000}"/>
    <cellStyle name="60% - Акцент5 76" xfId="9640" xr:uid="{00000000-0005-0000-0000-0000BD230000}"/>
    <cellStyle name="60% - Акцент5 77" xfId="9641" xr:uid="{00000000-0005-0000-0000-0000BE230000}"/>
    <cellStyle name="60% - Акцент5 78" xfId="9642" xr:uid="{00000000-0005-0000-0000-0000BF230000}"/>
    <cellStyle name="60% - Акцент5 79" xfId="9643" xr:uid="{00000000-0005-0000-0000-0000C0230000}"/>
    <cellStyle name="60% - Акцент5 8" xfId="9644" xr:uid="{00000000-0005-0000-0000-0000C1230000}"/>
    <cellStyle name="60% - Акцент5 80" xfId="9645" xr:uid="{00000000-0005-0000-0000-0000C2230000}"/>
    <cellStyle name="60% - Акцент5 81" xfId="9646" xr:uid="{00000000-0005-0000-0000-0000C3230000}"/>
    <cellStyle name="60% - Акцент5 82" xfId="9647" xr:uid="{00000000-0005-0000-0000-0000C4230000}"/>
    <cellStyle name="60% - Акцент5 83" xfId="9648" xr:uid="{00000000-0005-0000-0000-0000C5230000}"/>
    <cellStyle name="60% - Акцент5 84" xfId="9649" xr:uid="{00000000-0005-0000-0000-0000C6230000}"/>
    <cellStyle name="60% - Акцент5 85" xfId="9650" xr:uid="{00000000-0005-0000-0000-0000C7230000}"/>
    <cellStyle name="60% - Акцент5 86" xfId="9651" xr:uid="{00000000-0005-0000-0000-0000C8230000}"/>
    <cellStyle name="60% - Акцент5 87" xfId="9652" xr:uid="{00000000-0005-0000-0000-0000C9230000}"/>
    <cellStyle name="60% - Акцент5 88" xfId="9653" xr:uid="{00000000-0005-0000-0000-0000CA230000}"/>
    <cellStyle name="60% - Акцент5 89" xfId="9654" xr:uid="{00000000-0005-0000-0000-0000CB230000}"/>
    <cellStyle name="60% - Акцент5 9" xfId="9655" xr:uid="{00000000-0005-0000-0000-0000CC230000}"/>
    <cellStyle name="60% - Акцент5 90" xfId="9656" xr:uid="{00000000-0005-0000-0000-0000CD230000}"/>
    <cellStyle name="60% - Акцент5 91" xfId="9657" xr:uid="{00000000-0005-0000-0000-0000CE230000}"/>
    <cellStyle name="60% - Акцент5 92" xfId="9658" xr:uid="{00000000-0005-0000-0000-0000CF230000}"/>
    <cellStyle name="60% - Акцент5 93" xfId="9659" xr:uid="{00000000-0005-0000-0000-0000D0230000}"/>
    <cellStyle name="60% - Акцент5 94" xfId="9660" xr:uid="{00000000-0005-0000-0000-0000D1230000}"/>
    <cellStyle name="60% - Акцент5 95" xfId="9661" xr:uid="{00000000-0005-0000-0000-0000D2230000}"/>
    <cellStyle name="60% - Акцент5 96" xfId="9662" xr:uid="{00000000-0005-0000-0000-0000D3230000}"/>
    <cellStyle name="60% - Акцент5 97" xfId="9663" xr:uid="{00000000-0005-0000-0000-0000D4230000}"/>
    <cellStyle name="60% - Акцент5 98" xfId="9664" xr:uid="{00000000-0005-0000-0000-0000D5230000}"/>
    <cellStyle name="60% - Акцент5 99" xfId="9665" xr:uid="{00000000-0005-0000-0000-0000D6230000}"/>
    <cellStyle name="60% - Акцент6 10" xfId="9666" xr:uid="{00000000-0005-0000-0000-0000D7230000}"/>
    <cellStyle name="60% - Акцент6 100" xfId="9667" xr:uid="{00000000-0005-0000-0000-0000D8230000}"/>
    <cellStyle name="60% - Акцент6 101" xfId="9668" xr:uid="{00000000-0005-0000-0000-0000D9230000}"/>
    <cellStyle name="60% - Акцент6 102" xfId="9669" xr:uid="{00000000-0005-0000-0000-0000DA230000}"/>
    <cellStyle name="60% - Акцент6 103" xfId="9670" xr:uid="{00000000-0005-0000-0000-0000DB230000}"/>
    <cellStyle name="60% - Акцент6 104" xfId="9671" xr:uid="{00000000-0005-0000-0000-0000DC230000}"/>
    <cellStyle name="60% - Акцент6 105" xfId="9672" xr:uid="{00000000-0005-0000-0000-0000DD230000}"/>
    <cellStyle name="60% - Акцент6 106" xfId="9673" xr:uid="{00000000-0005-0000-0000-0000DE230000}"/>
    <cellStyle name="60% - Акцент6 107" xfId="9674" xr:uid="{00000000-0005-0000-0000-0000DF230000}"/>
    <cellStyle name="60% - Акцент6 108" xfId="9675" xr:uid="{00000000-0005-0000-0000-0000E0230000}"/>
    <cellStyle name="60% - Акцент6 109" xfId="9676" xr:uid="{00000000-0005-0000-0000-0000E1230000}"/>
    <cellStyle name="60% - Акцент6 11" xfId="9677" xr:uid="{00000000-0005-0000-0000-0000E2230000}"/>
    <cellStyle name="60% - Акцент6 110" xfId="9678" xr:uid="{00000000-0005-0000-0000-0000E3230000}"/>
    <cellStyle name="60% - Акцент6 111" xfId="9679" xr:uid="{00000000-0005-0000-0000-0000E4230000}"/>
    <cellStyle name="60% - Акцент6 112" xfId="9680" xr:uid="{00000000-0005-0000-0000-0000E5230000}"/>
    <cellStyle name="60% - Акцент6 113" xfId="9681" xr:uid="{00000000-0005-0000-0000-0000E6230000}"/>
    <cellStyle name="60% - Акцент6 114" xfId="9682" xr:uid="{00000000-0005-0000-0000-0000E7230000}"/>
    <cellStyle name="60% - Акцент6 115" xfId="9683" xr:uid="{00000000-0005-0000-0000-0000E8230000}"/>
    <cellStyle name="60% - Акцент6 116" xfId="9684" xr:uid="{00000000-0005-0000-0000-0000E9230000}"/>
    <cellStyle name="60% - Акцент6 117" xfId="9685" xr:uid="{00000000-0005-0000-0000-0000EA230000}"/>
    <cellStyle name="60% - Акцент6 118" xfId="9686" xr:uid="{00000000-0005-0000-0000-0000EB230000}"/>
    <cellStyle name="60% - Акцент6 119" xfId="9687" xr:uid="{00000000-0005-0000-0000-0000EC230000}"/>
    <cellStyle name="60% - Акцент6 12" xfId="9688" xr:uid="{00000000-0005-0000-0000-0000ED230000}"/>
    <cellStyle name="60% - Акцент6 120" xfId="9689" xr:uid="{00000000-0005-0000-0000-0000EE230000}"/>
    <cellStyle name="60% - Акцент6 121" xfId="9690" xr:uid="{00000000-0005-0000-0000-0000EF230000}"/>
    <cellStyle name="60% - Акцент6 122" xfId="9691" xr:uid="{00000000-0005-0000-0000-0000F0230000}"/>
    <cellStyle name="60% - Акцент6 123" xfId="9692" xr:uid="{00000000-0005-0000-0000-0000F1230000}"/>
    <cellStyle name="60% - Акцент6 124" xfId="9693" xr:uid="{00000000-0005-0000-0000-0000F2230000}"/>
    <cellStyle name="60% - Акцент6 125" xfId="9694" xr:uid="{00000000-0005-0000-0000-0000F3230000}"/>
    <cellStyle name="60% - Акцент6 126" xfId="9695" xr:uid="{00000000-0005-0000-0000-0000F4230000}"/>
    <cellStyle name="60% - Акцент6 127" xfId="9696" xr:uid="{00000000-0005-0000-0000-0000F5230000}"/>
    <cellStyle name="60% - Акцент6 128" xfId="9697" xr:uid="{00000000-0005-0000-0000-0000F6230000}"/>
    <cellStyle name="60% - Акцент6 129" xfId="9698" xr:uid="{00000000-0005-0000-0000-0000F7230000}"/>
    <cellStyle name="60% - Акцент6 13" xfId="9699" xr:uid="{00000000-0005-0000-0000-0000F8230000}"/>
    <cellStyle name="60% - Акцент6 130" xfId="9700" xr:uid="{00000000-0005-0000-0000-0000F9230000}"/>
    <cellStyle name="60% - Акцент6 131" xfId="9701" xr:uid="{00000000-0005-0000-0000-0000FA230000}"/>
    <cellStyle name="60% - Акцент6 132" xfId="9702" xr:uid="{00000000-0005-0000-0000-0000FB230000}"/>
    <cellStyle name="60% - Акцент6 133" xfId="9703" xr:uid="{00000000-0005-0000-0000-0000FC230000}"/>
    <cellStyle name="60% - Акцент6 134" xfId="9704" xr:uid="{00000000-0005-0000-0000-0000FD230000}"/>
    <cellStyle name="60% - Акцент6 135" xfId="9705" xr:uid="{00000000-0005-0000-0000-0000FE230000}"/>
    <cellStyle name="60% - Акцент6 136" xfId="9706" xr:uid="{00000000-0005-0000-0000-0000FF230000}"/>
    <cellStyle name="60% - Акцент6 137" xfId="9707" xr:uid="{00000000-0005-0000-0000-000000240000}"/>
    <cellStyle name="60% - Акцент6 138" xfId="9708" xr:uid="{00000000-0005-0000-0000-000001240000}"/>
    <cellStyle name="60% - Акцент6 139" xfId="9709" xr:uid="{00000000-0005-0000-0000-000002240000}"/>
    <cellStyle name="60% - Акцент6 14" xfId="9710" xr:uid="{00000000-0005-0000-0000-000003240000}"/>
    <cellStyle name="60% - Акцент6 140" xfId="9711" xr:uid="{00000000-0005-0000-0000-000004240000}"/>
    <cellStyle name="60% - Акцент6 141" xfId="9712" xr:uid="{00000000-0005-0000-0000-000005240000}"/>
    <cellStyle name="60% - Акцент6 142" xfId="9713" xr:uid="{00000000-0005-0000-0000-000006240000}"/>
    <cellStyle name="60% - Акцент6 143" xfId="9714" xr:uid="{00000000-0005-0000-0000-000007240000}"/>
    <cellStyle name="60% - Акцент6 144" xfId="9715" xr:uid="{00000000-0005-0000-0000-000008240000}"/>
    <cellStyle name="60% - Акцент6 145" xfId="9716" xr:uid="{00000000-0005-0000-0000-000009240000}"/>
    <cellStyle name="60% - Акцент6 146" xfId="9717" xr:uid="{00000000-0005-0000-0000-00000A240000}"/>
    <cellStyle name="60% - Акцент6 147" xfId="9718" xr:uid="{00000000-0005-0000-0000-00000B240000}"/>
    <cellStyle name="60% - Акцент6 148" xfId="9719" xr:uid="{00000000-0005-0000-0000-00000C240000}"/>
    <cellStyle name="60% - Акцент6 149" xfId="9720" xr:uid="{00000000-0005-0000-0000-00000D240000}"/>
    <cellStyle name="60% - Акцент6 15" xfId="9721" xr:uid="{00000000-0005-0000-0000-00000E240000}"/>
    <cellStyle name="60% - Акцент6 150" xfId="9722" xr:uid="{00000000-0005-0000-0000-00000F240000}"/>
    <cellStyle name="60% - Акцент6 151" xfId="9723" xr:uid="{00000000-0005-0000-0000-000010240000}"/>
    <cellStyle name="60% - Акцент6 152" xfId="9724" xr:uid="{00000000-0005-0000-0000-000011240000}"/>
    <cellStyle name="60% - Акцент6 16" xfId="9725" xr:uid="{00000000-0005-0000-0000-000012240000}"/>
    <cellStyle name="60% - Акцент6 17" xfId="9726" xr:uid="{00000000-0005-0000-0000-000013240000}"/>
    <cellStyle name="60% - Акцент6 18" xfId="9727" xr:uid="{00000000-0005-0000-0000-000014240000}"/>
    <cellStyle name="60% - Акцент6 19" xfId="9728" xr:uid="{00000000-0005-0000-0000-000015240000}"/>
    <cellStyle name="60% - Акцент6 2" xfId="9729" xr:uid="{00000000-0005-0000-0000-000016240000}"/>
    <cellStyle name="60% - Акцент6 2 2" xfId="9730" xr:uid="{00000000-0005-0000-0000-000017240000}"/>
    <cellStyle name="60% - Акцент6 2 3" xfId="9731" xr:uid="{00000000-0005-0000-0000-000018240000}"/>
    <cellStyle name="60% - Акцент6 2 4" xfId="9732" xr:uid="{00000000-0005-0000-0000-000019240000}"/>
    <cellStyle name="60% - Акцент6 2 5" xfId="9733" xr:uid="{00000000-0005-0000-0000-00001A240000}"/>
    <cellStyle name="60% - Акцент6 2 6" xfId="9734" xr:uid="{00000000-0005-0000-0000-00001B240000}"/>
    <cellStyle name="60% - Акцент6 2 7" xfId="9735" xr:uid="{00000000-0005-0000-0000-00001C240000}"/>
    <cellStyle name="60% - Акцент6 20" xfId="9736" xr:uid="{00000000-0005-0000-0000-00001D240000}"/>
    <cellStyle name="60% - Акцент6 20 2" xfId="9737" xr:uid="{00000000-0005-0000-0000-00001E240000}"/>
    <cellStyle name="60% - Акцент6 21" xfId="9738" xr:uid="{00000000-0005-0000-0000-00001F240000}"/>
    <cellStyle name="60% - Акцент6 22" xfId="9739" xr:uid="{00000000-0005-0000-0000-000020240000}"/>
    <cellStyle name="60% - Акцент6 23" xfId="9740" xr:uid="{00000000-0005-0000-0000-000021240000}"/>
    <cellStyle name="60% - Акцент6 24" xfId="9741" xr:uid="{00000000-0005-0000-0000-000022240000}"/>
    <cellStyle name="60% - Акцент6 25" xfId="9742" xr:uid="{00000000-0005-0000-0000-000023240000}"/>
    <cellStyle name="60% - Акцент6 26" xfId="9743" xr:uid="{00000000-0005-0000-0000-000024240000}"/>
    <cellStyle name="60% - Акцент6 27" xfId="9744" xr:uid="{00000000-0005-0000-0000-000025240000}"/>
    <cellStyle name="60% - Акцент6 28" xfId="9745" xr:uid="{00000000-0005-0000-0000-000026240000}"/>
    <cellStyle name="60% - Акцент6 29" xfId="9746" xr:uid="{00000000-0005-0000-0000-000027240000}"/>
    <cellStyle name="60% - Акцент6 3" xfId="9747" xr:uid="{00000000-0005-0000-0000-000028240000}"/>
    <cellStyle name="60% - Акцент6 30" xfId="9748" xr:uid="{00000000-0005-0000-0000-000029240000}"/>
    <cellStyle name="60% - Акцент6 31" xfId="9749" xr:uid="{00000000-0005-0000-0000-00002A240000}"/>
    <cellStyle name="60% - Акцент6 32" xfId="9750" xr:uid="{00000000-0005-0000-0000-00002B240000}"/>
    <cellStyle name="60% - Акцент6 33" xfId="9751" xr:uid="{00000000-0005-0000-0000-00002C240000}"/>
    <cellStyle name="60% - Акцент6 34" xfId="9752" xr:uid="{00000000-0005-0000-0000-00002D240000}"/>
    <cellStyle name="60% - Акцент6 35" xfId="9753" xr:uid="{00000000-0005-0000-0000-00002E240000}"/>
    <cellStyle name="60% - Акцент6 36" xfId="9754" xr:uid="{00000000-0005-0000-0000-00002F240000}"/>
    <cellStyle name="60% - Акцент6 37" xfId="9755" xr:uid="{00000000-0005-0000-0000-000030240000}"/>
    <cellStyle name="60% - Акцент6 38" xfId="9756" xr:uid="{00000000-0005-0000-0000-000031240000}"/>
    <cellStyle name="60% - Акцент6 39" xfId="9757" xr:uid="{00000000-0005-0000-0000-000032240000}"/>
    <cellStyle name="60% - Акцент6 4" xfId="9758" xr:uid="{00000000-0005-0000-0000-000033240000}"/>
    <cellStyle name="60% - Акцент6 40" xfId="9759" xr:uid="{00000000-0005-0000-0000-000034240000}"/>
    <cellStyle name="60% - Акцент6 41" xfId="9760" xr:uid="{00000000-0005-0000-0000-000035240000}"/>
    <cellStyle name="60% - Акцент6 42" xfId="9761" xr:uid="{00000000-0005-0000-0000-000036240000}"/>
    <cellStyle name="60% - Акцент6 43" xfId="9762" xr:uid="{00000000-0005-0000-0000-000037240000}"/>
    <cellStyle name="60% - Акцент6 44" xfId="9763" xr:uid="{00000000-0005-0000-0000-000038240000}"/>
    <cellStyle name="60% - Акцент6 45" xfId="9764" xr:uid="{00000000-0005-0000-0000-000039240000}"/>
    <cellStyle name="60% - Акцент6 46" xfId="9765" xr:uid="{00000000-0005-0000-0000-00003A240000}"/>
    <cellStyle name="60% - Акцент6 47" xfId="9766" xr:uid="{00000000-0005-0000-0000-00003B240000}"/>
    <cellStyle name="60% - Акцент6 48" xfId="9767" xr:uid="{00000000-0005-0000-0000-00003C240000}"/>
    <cellStyle name="60% - Акцент6 49" xfId="9768" xr:uid="{00000000-0005-0000-0000-00003D240000}"/>
    <cellStyle name="60% - Акцент6 5" xfId="9769" xr:uid="{00000000-0005-0000-0000-00003E240000}"/>
    <cellStyle name="60% - Акцент6 50" xfId="9770" xr:uid="{00000000-0005-0000-0000-00003F240000}"/>
    <cellStyle name="60% - Акцент6 51" xfId="9771" xr:uid="{00000000-0005-0000-0000-000040240000}"/>
    <cellStyle name="60% - Акцент6 52" xfId="9772" xr:uid="{00000000-0005-0000-0000-000041240000}"/>
    <cellStyle name="60% - Акцент6 53" xfId="9773" xr:uid="{00000000-0005-0000-0000-000042240000}"/>
    <cellStyle name="60% - Акцент6 54" xfId="9774" xr:uid="{00000000-0005-0000-0000-000043240000}"/>
    <cellStyle name="60% - Акцент6 55" xfId="9775" xr:uid="{00000000-0005-0000-0000-000044240000}"/>
    <cellStyle name="60% - Акцент6 56" xfId="9776" xr:uid="{00000000-0005-0000-0000-000045240000}"/>
    <cellStyle name="60% - Акцент6 57" xfId="9777" xr:uid="{00000000-0005-0000-0000-000046240000}"/>
    <cellStyle name="60% - Акцент6 58" xfId="9778" xr:uid="{00000000-0005-0000-0000-000047240000}"/>
    <cellStyle name="60% - Акцент6 59" xfId="9779" xr:uid="{00000000-0005-0000-0000-000048240000}"/>
    <cellStyle name="60% - Акцент6 6" xfId="9780" xr:uid="{00000000-0005-0000-0000-000049240000}"/>
    <cellStyle name="60% - Акцент6 60" xfId="9781" xr:uid="{00000000-0005-0000-0000-00004A240000}"/>
    <cellStyle name="60% - Акцент6 61" xfId="9782" xr:uid="{00000000-0005-0000-0000-00004B240000}"/>
    <cellStyle name="60% - Акцент6 62" xfId="9783" xr:uid="{00000000-0005-0000-0000-00004C240000}"/>
    <cellStyle name="60% - Акцент6 63" xfId="9784" xr:uid="{00000000-0005-0000-0000-00004D240000}"/>
    <cellStyle name="60% - Акцент6 64" xfId="9785" xr:uid="{00000000-0005-0000-0000-00004E240000}"/>
    <cellStyle name="60% - Акцент6 65" xfId="9786" xr:uid="{00000000-0005-0000-0000-00004F240000}"/>
    <cellStyle name="60% - Акцент6 66" xfId="9787" xr:uid="{00000000-0005-0000-0000-000050240000}"/>
    <cellStyle name="60% - Акцент6 67" xfId="9788" xr:uid="{00000000-0005-0000-0000-000051240000}"/>
    <cellStyle name="60% - Акцент6 68" xfId="9789" xr:uid="{00000000-0005-0000-0000-000052240000}"/>
    <cellStyle name="60% - Акцент6 69" xfId="9790" xr:uid="{00000000-0005-0000-0000-000053240000}"/>
    <cellStyle name="60% - Акцент6 7" xfId="9791" xr:uid="{00000000-0005-0000-0000-000054240000}"/>
    <cellStyle name="60% - Акцент6 70" xfId="9792" xr:uid="{00000000-0005-0000-0000-000055240000}"/>
    <cellStyle name="60% - Акцент6 71" xfId="9793" xr:uid="{00000000-0005-0000-0000-000056240000}"/>
    <cellStyle name="60% - Акцент6 72" xfId="9794" xr:uid="{00000000-0005-0000-0000-000057240000}"/>
    <cellStyle name="60% - Акцент6 73" xfId="9795" xr:uid="{00000000-0005-0000-0000-000058240000}"/>
    <cellStyle name="60% - Акцент6 74" xfId="9796" xr:uid="{00000000-0005-0000-0000-000059240000}"/>
    <cellStyle name="60% - Акцент6 75" xfId="9797" xr:uid="{00000000-0005-0000-0000-00005A240000}"/>
    <cellStyle name="60% - Акцент6 76" xfId="9798" xr:uid="{00000000-0005-0000-0000-00005B240000}"/>
    <cellStyle name="60% - Акцент6 77" xfId="9799" xr:uid="{00000000-0005-0000-0000-00005C240000}"/>
    <cellStyle name="60% - Акцент6 78" xfId="9800" xr:uid="{00000000-0005-0000-0000-00005D240000}"/>
    <cellStyle name="60% - Акцент6 79" xfId="9801" xr:uid="{00000000-0005-0000-0000-00005E240000}"/>
    <cellStyle name="60% - Акцент6 8" xfId="9802" xr:uid="{00000000-0005-0000-0000-00005F240000}"/>
    <cellStyle name="60% - Акцент6 80" xfId="9803" xr:uid="{00000000-0005-0000-0000-000060240000}"/>
    <cellStyle name="60% - Акцент6 81" xfId="9804" xr:uid="{00000000-0005-0000-0000-000061240000}"/>
    <cellStyle name="60% - Акцент6 82" xfId="9805" xr:uid="{00000000-0005-0000-0000-000062240000}"/>
    <cellStyle name="60% - Акцент6 83" xfId="9806" xr:uid="{00000000-0005-0000-0000-000063240000}"/>
    <cellStyle name="60% - Акцент6 84" xfId="9807" xr:uid="{00000000-0005-0000-0000-000064240000}"/>
    <cellStyle name="60% - Акцент6 85" xfId="9808" xr:uid="{00000000-0005-0000-0000-000065240000}"/>
    <cellStyle name="60% - Акцент6 86" xfId="9809" xr:uid="{00000000-0005-0000-0000-000066240000}"/>
    <cellStyle name="60% - Акцент6 87" xfId="9810" xr:uid="{00000000-0005-0000-0000-000067240000}"/>
    <cellStyle name="60% - Акцент6 88" xfId="9811" xr:uid="{00000000-0005-0000-0000-000068240000}"/>
    <cellStyle name="60% - Акцент6 89" xfId="9812" xr:uid="{00000000-0005-0000-0000-000069240000}"/>
    <cellStyle name="60% - Акцент6 9" xfId="9813" xr:uid="{00000000-0005-0000-0000-00006A240000}"/>
    <cellStyle name="60% - Акцент6 90" xfId="9814" xr:uid="{00000000-0005-0000-0000-00006B240000}"/>
    <cellStyle name="60% - Акцент6 91" xfId="9815" xr:uid="{00000000-0005-0000-0000-00006C240000}"/>
    <cellStyle name="60% - Акцент6 92" xfId="9816" xr:uid="{00000000-0005-0000-0000-00006D240000}"/>
    <cellStyle name="60% - Акцент6 93" xfId="9817" xr:uid="{00000000-0005-0000-0000-00006E240000}"/>
    <cellStyle name="60% - Акцент6 94" xfId="9818" xr:uid="{00000000-0005-0000-0000-00006F240000}"/>
    <cellStyle name="60% - Акцент6 95" xfId="9819" xr:uid="{00000000-0005-0000-0000-000070240000}"/>
    <cellStyle name="60% - Акцент6 96" xfId="9820" xr:uid="{00000000-0005-0000-0000-000071240000}"/>
    <cellStyle name="60% - Акцент6 97" xfId="9821" xr:uid="{00000000-0005-0000-0000-000072240000}"/>
    <cellStyle name="60% - Акцент6 98" xfId="9822" xr:uid="{00000000-0005-0000-0000-000073240000}"/>
    <cellStyle name="60% - Акцент6 99" xfId="9823" xr:uid="{00000000-0005-0000-0000-000074240000}"/>
    <cellStyle name="8pt" xfId="9824" xr:uid="{00000000-0005-0000-0000-000075240000}"/>
    <cellStyle name="8pt 2" xfId="9825" xr:uid="{00000000-0005-0000-0000-000076240000}"/>
    <cellStyle name="8pt 2 2" xfId="9826" xr:uid="{00000000-0005-0000-0000-000077240000}"/>
    <cellStyle name="8pt 3" xfId="9827" xr:uid="{00000000-0005-0000-0000-000078240000}"/>
    <cellStyle name="8pt 3 2" xfId="9828" xr:uid="{00000000-0005-0000-0000-000079240000}"/>
    <cellStyle name="8pt 4" xfId="9829" xr:uid="{00000000-0005-0000-0000-00007A240000}"/>
    <cellStyle name="8pt 4 2" xfId="9830" xr:uid="{00000000-0005-0000-0000-00007B240000}"/>
    <cellStyle name="8pt 5" xfId="9831" xr:uid="{00000000-0005-0000-0000-00007C240000}"/>
    <cellStyle name="Aaia?iue [0]_vaqduGfTSN7qyUJNWHRlcWo3H" xfId="9832" xr:uid="{00000000-0005-0000-0000-00007D240000}"/>
    <cellStyle name="Aaia?iue_vaqduGfTSN7qyUJNWHRlcWo3H" xfId="9833" xr:uid="{00000000-0005-0000-0000-00007E240000}"/>
    <cellStyle name="Äåíåæíûé [0]_vaqduGfTSN7qyUJNWHRlcWo3H" xfId="9834" xr:uid="{00000000-0005-0000-0000-00007F240000}"/>
    <cellStyle name="Äåíåæíûé_vaqduGfTSN7qyUJNWHRlcWo3H" xfId="9835" xr:uid="{00000000-0005-0000-0000-000080240000}"/>
    <cellStyle name="Accent1" xfId="9836" xr:uid="{00000000-0005-0000-0000-000081240000}"/>
    <cellStyle name="Accent1 - 20%" xfId="2" xr:uid="{00000000-0005-0000-0000-000082240000}"/>
    <cellStyle name="Accent1 - 40%" xfId="3" xr:uid="{00000000-0005-0000-0000-000083240000}"/>
    <cellStyle name="Accent1 - 60%" xfId="4" xr:uid="{00000000-0005-0000-0000-000084240000}"/>
    <cellStyle name="Accent1_акции по годам 2009-2012" xfId="9837" xr:uid="{00000000-0005-0000-0000-000085240000}"/>
    <cellStyle name="Accent2" xfId="9838" xr:uid="{00000000-0005-0000-0000-000086240000}"/>
    <cellStyle name="Accent2 - 20%" xfId="5" xr:uid="{00000000-0005-0000-0000-000087240000}"/>
    <cellStyle name="Accent2 - 40%" xfId="6" xr:uid="{00000000-0005-0000-0000-000088240000}"/>
    <cellStyle name="Accent2 - 60%" xfId="7" xr:uid="{00000000-0005-0000-0000-000089240000}"/>
    <cellStyle name="Accent2_акции по годам 2009-2012" xfId="9839" xr:uid="{00000000-0005-0000-0000-00008A240000}"/>
    <cellStyle name="Accent3" xfId="9840" xr:uid="{00000000-0005-0000-0000-00008B240000}"/>
    <cellStyle name="Accent3 - 20%" xfId="8" xr:uid="{00000000-0005-0000-0000-00008C240000}"/>
    <cellStyle name="Accent3 - 40%" xfId="9" xr:uid="{00000000-0005-0000-0000-00008D240000}"/>
    <cellStyle name="Accent3 - 60%" xfId="10" xr:uid="{00000000-0005-0000-0000-00008E240000}"/>
    <cellStyle name="Accent3_FI_GL_VEDOM_1" xfId="9841" xr:uid="{00000000-0005-0000-0000-00008F240000}"/>
    <cellStyle name="Accent4" xfId="9842" xr:uid="{00000000-0005-0000-0000-000090240000}"/>
    <cellStyle name="Accent4 - 20%" xfId="11" xr:uid="{00000000-0005-0000-0000-000091240000}"/>
    <cellStyle name="Accent4 - 40%" xfId="12" xr:uid="{00000000-0005-0000-0000-000092240000}"/>
    <cellStyle name="Accent4 - 60%" xfId="13" xr:uid="{00000000-0005-0000-0000-000093240000}"/>
    <cellStyle name="Accent4_FI_GL_VEDOM_1" xfId="9843" xr:uid="{00000000-0005-0000-0000-000094240000}"/>
    <cellStyle name="Accent5" xfId="9844" xr:uid="{00000000-0005-0000-0000-000095240000}"/>
    <cellStyle name="Accent5 - 20%" xfId="14" xr:uid="{00000000-0005-0000-0000-000096240000}"/>
    <cellStyle name="Accent5 - 40%" xfId="15" xr:uid="{00000000-0005-0000-0000-000097240000}"/>
    <cellStyle name="Accent5 - 60%" xfId="16" xr:uid="{00000000-0005-0000-0000-000098240000}"/>
    <cellStyle name="Accent5_FI_GL_VEDOM_1" xfId="9845" xr:uid="{00000000-0005-0000-0000-000099240000}"/>
    <cellStyle name="Accent6" xfId="9846" xr:uid="{00000000-0005-0000-0000-00009A240000}"/>
    <cellStyle name="Accent6 - 20%" xfId="17" xr:uid="{00000000-0005-0000-0000-00009B240000}"/>
    <cellStyle name="Accent6 - 40%" xfId="18" xr:uid="{00000000-0005-0000-0000-00009C240000}"/>
    <cellStyle name="Accent6 - 60%" xfId="19" xr:uid="{00000000-0005-0000-0000-00009D240000}"/>
    <cellStyle name="Accent6 2" xfId="9847" xr:uid="{00000000-0005-0000-0000-00009E240000}"/>
    <cellStyle name="Accent6 3" xfId="9848" xr:uid="{00000000-0005-0000-0000-00009F240000}"/>
    <cellStyle name="Accent6 4" xfId="9849" xr:uid="{00000000-0005-0000-0000-0000A0240000}"/>
    <cellStyle name="Accent6 5" xfId="9850" xr:uid="{00000000-0005-0000-0000-0000A1240000}"/>
    <cellStyle name="Accent6 6" xfId="9851" xr:uid="{00000000-0005-0000-0000-0000A2240000}"/>
    <cellStyle name="Accent6_FI_GL_VEDOM_1" xfId="9852" xr:uid="{00000000-0005-0000-0000-0000A3240000}"/>
    <cellStyle name="acct" xfId="9853" xr:uid="{00000000-0005-0000-0000-0000A4240000}"/>
    <cellStyle name="AeE­ [0]_?A°??µAoC?" xfId="9854" xr:uid="{00000000-0005-0000-0000-0000A5240000}"/>
    <cellStyle name="AeE­_?A°??µAoC?" xfId="9855" xr:uid="{00000000-0005-0000-0000-0000A6240000}"/>
    <cellStyle name="Aeia?nnueea" xfId="9856" xr:uid="{00000000-0005-0000-0000-0000A7240000}"/>
    <cellStyle name="Aeia?nnueea 2" xfId="9857" xr:uid="{00000000-0005-0000-0000-0000A8240000}"/>
    <cellStyle name="Aeia?nnueea 3" xfId="9858" xr:uid="{00000000-0005-0000-0000-0000A9240000}"/>
    <cellStyle name="Aeia?nnueea 4" xfId="9859" xr:uid="{00000000-0005-0000-0000-0000AA240000}"/>
    <cellStyle name="AFE" xfId="9860" xr:uid="{00000000-0005-0000-0000-0000AB240000}"/>
    <cellStyle name="AFE 2" xfId="9861" xr:uid="{00000000-0005-0000-0000-0000AC240000}"/>
    <cellStyle name="AFE 3" xfId="9862" xr:uid="{00000000-0005-0000-0000-0000AD240000}"/>
    <cellStyle name="AFE 4" xfId="9863" xr:uid="{00000000-0005-0000-0000-0000AE240000}"/>
    <cellStyle name="Annotations Cell - PerformancePoint" xfId="9864" xr:uid="{00000000-0005-0000-0000-0000AF240000}"/>
    <cellStyle name="Arial 10" xfId="9865" xr:uid="{00000000-0005-0000-0000-0000B0240000}"/>
    <cellStyle name="Arial 10 2" xfId="9866" xr:uid="{00000000-0005-0000-0000-0000B1240000}"/>
    <cellStyle name="Arial 10 3" xfId="9867" xr:uid="{00000000-0005-0000-0000-0000B2240000}"/>
    <cellStyle name="Arial 10 4" xfId="9868" xr:uid="{00000000-0005-0000-0000-0000B3240000}"/>
    <cellStyle name="Arial 12" xfId="9869" xr:uid="{00000000-0005-0000-0000-0000B4240000}"/>
    <cellStyle name="Arial 12 2" xfId="9870" xr:uid="{00000000-0005-0000-0000-0000B5240000}"/>
    <cellStyle name="Arial 12 3" xfId="9871" xr:uid="{00000000-0005-0000-0000-0000B6240000}"/>
    <cellStyle name="Arial 12 4" xfId="9872" xr:uid="{00000000-0005-0000-0000-0000B7240000}"/>
    <cellStyle name="Arial007000001514155735" xfId="9873" xr:uid="{00000000-0005-0000-0000-0000B8240000}"/>
    <cellStyle name="Arial007000001514155735 2" xfId="9874" xr:uid="{00000000-0005-0000-0000-0000B9240000}"/>
    <cellStyle name="Arial007000001514155735 2 2" xfId="9875" xr:uid="{00000000-0005-0000-0000-0000BA240000}"/>
    <cellStyle name="Arial007000001514155735 3" xfId="9876" xr:uid="{00000000-0005-0000-0000-0000BB240000}"/>
    <cellStyle name="Arial007000001514155735 3 2" xfId="9877" xr:uid="{00000000-0005-0000-0000-0000BC240000}"/>
    <cellStyle name="Arial0070000015536870911" xfId="9878" xr:uid="{00000000-0005-0000-0000-0000BD240000}"/>
    <cellStyle name="Arial0070000015536870911 2" xfId="9879" xr:uid="{00000000-0005-0000-0000-0000BE240000}"/>
    <cellStyle name="Arial0070000015536870911 2 2" xfId="9880" xr:uid="{00000000-0005-0000-0000-0000BF240000}"/>
    <cellStyle name="Arial0070000015536870911 3" xfId="9881" xr:uid="{00000000-0005-0000-0000-0000C0240000}"/>
    <cellStyle name="Arial0070000015536870911 3 2" xfId="9882" xr:uid="{00000000-0005-0000-0000-0000C1240000}"/>
    <cellStyle name="Arial007000001565535" xfId="9883" xr:uid="{00000000-0005-0000-0000-0000C2240000}"/>
    <cellStyle name="Arial007000001565535 2" xfId="9884" xr:uid="{00000000-0005-0000-0000-0000C3240000}"/>
    <cellStyle name="Arial007000001565535 2 2" xfId="9885" xr:uid="{00000000-0005-0000-0000-0000C4240000}"/>
    <cellStyle name="Arial007000001565535 3" xfId="9886" xr:uid="{00000000-0005-0000-0000-0000C5240000}"/>
    <cellStyle name="Arial007000001565535 3 2" xfId="9887" xr:uid="{00000000-0005-0000-0000-0000C6240000}"/>
    <cellStyle name="Arial0110010000536870911" xfId="9888" xr:uid="{00000000-0005-0000-0000-0000C7240000}"/>
    <cellStyle name="Arial01101000015536870911" xfId="9889" xr:uid="{00000000-0005-0000-0000-0000C8240000}"/>
    <cellStyle name="Arial01101000015536870911 2" xfId="9890" xr:uid="{00000000-0005-0000-0000-0000C9240000}"/>
    <cellStyle name="Arial01101000015536870911 2 2" xfId="9891" xr:uid="{00000000-0005-0000-0000-0000CA240000}"/>
    <cellStyle name="Arial01101000015536870911 2 2 2" xfId="9892" xr:uid="{00000000-0005-0000-0000-0000CB240000}"/>
    <cellStyle name="Arial01101000015536870911 2 3" xfId="9893" xr:uid="{00000000-0005-0000-0000-0000CC240000}"/>
    <cellStyle name="Arial01101000015536870911 2 3 2" xfId="9894" xr:uid="{00000000-0005-0000-0000-0000CD240000}"/>
    <cellStyle name="Arial01101000015536870911 2 4" xfId="9895" xr:uid="{00000000-0005-0000-0000-0000CE240000}"/>
    <cellStyle name="Arial01101000015536870911 3" xfId="9896" xr:uid="{00000000-0005-0000-0000-0000CF240000}"/>
    <cellStyle name="Arial01101000015536870911 3 2" xfId="9897" xr:uid="{00000000-0005-0000-0000-0000D0240000}"/>
    <cellStyle name="Arial01101000015536870911 3 2 2" xfId="9898" xr:uid="{00000000-0005-0000-0000-0000D1240000}"/>
    <cellStyle name="Arial01101000015536870911 3 3" xfId="9899" xr:uid="{00000000-0005-0000-0000-0000D2240000}"/>
    <cellStyle name="Arial01101000015536870911 3 3 2" xfId="9900" xr:uid="{00000000-0005-0000-0000-0000D3240000}"/>
    <cellStyle name="Arial01101000015536870911 3 4" xfId="9901" xr:uid="{00000000-0005-0000-0000-0000D4240000}"/>
    <cellStyle name="Arial01101000015536870911 4" xfId="9902" xr:uid="{00000000-0005-0000-0000-0000D5240000}"/>
    <cellStyle name="Arial01101000015536870911 4 2" xfId="9903" xr:uid="{00000000-0005-0000-0000-0000D6240000}"/>
    <cellStyle name="Arial01101000015536870911 5" xfId="9904" xr:uid="{00000000-0005-0000-0000-0000D7240000}"/>
    <cellStyle name="Arial01101000015536870911 5 2" xfId="9905" xr:uid="{00000000-0005-0000-0000-0000D8240000}"/>
    <cellStyle name="Arial01101000015536870911 6" xfId="9906" xr:uid="{00000000-0005-0000-0000-0000D9240000}"/>
    <cellStyle name="Arial01121000015536870911" xfId="9907" xr:uid="{00000000-0005-0000-0000-0000DA240000}"/>
    <cellStyle name="Arial017000001516777215" xfId="20" xr:uid="{00000000-0005-0000-0000-0000DB240000}"/>
    <cellStyle name="Arial017010000536870911" xfId="9908" xr:uid="{00000000-0005-0000-0000-0000DC240000}"/>
    <cellStyle name="Arial018000000536870911" xfId="9909" xr:uid="{00000000-0005-0000-0000-0000DD240000}"/>
    <cellStyle name="Arial10110100001516777215" xfId="21" xr:uid="{00000000-0005-0000-0000-0000DE240000}"/>
    <cellStyle name="Arial10170100015536870911" xfId="9910" xr:uid="{00000000-0005-0000-0000-0000DF240000}"/>
    <cellStyle name="Arial10170100015536870911 2" xfId="9911" xr:uid="{00000000-0005-0000-0000-0000E0240000}"/>
    <cellStyle name="Arial10170100015536870911 2 2" xfId="9912" xr:uid="{00000000-0005-0000-0000-0000E1240000}"/>
    <cellStyle name="Arial10170100015536870911 3" xfId="9913" xr:uid="{00000000-0005-0000-0000-0000E2240000}"/>
    <cellStyle name="Arial10170100015536870911 3 2" xfId="9914" xr:uid="{00000000-0005-0000-0000-0000E3240000}"/>
    <cellStyle name="Arial10170100015536870911 4" xfId="9915" xr:uid="{00000000-0005-0000-0000-0000E4240000}"/>
    <cellStyle name="Arial107000000536870911" xfId="9916" xr:uid="{00000000-0005-0000-0000-0000E5240000}"/>
    <cellStyle name="Arial107000001514155735" xfId="9917" xr:uid="{00000000-0005-0000-0000-0000E6240000}"/>
    <cellStyle name="Arial107000001514155735 2" xfId="9918" xr:uid="{00000000-0005-0000-0000-0000E7240000}"/>
    <cellStyle name="Arial107000001514155735 2 2" xfId="9919" xr:uid="{00000000-0005-0000-0000-0000E8240000}"/>
    <cellStyle name="Arial107000001514155735 3" xfId="9920" xr:uid="{00000000-0005-0000-0000-0000E9240000}"/>
    <cellStyle name="Arial107000001514155735 3 2" xfId="9921" xr:uid="{00000000-0005-0000-0000-0000EA240000}"/>
    <cellStyle name="Arial107000001514155735 4" xfId="9922" xr:uid="{00000000-0005-0000-0000-0000EB240000}"/>
    <cellStyle name="Arial107000001514155735FMT" xfId="9923" xr:uid="{00000000-0005-0000-0000-0000EC240000}"/>
    <cellStyle name="Arial107000001514155735FMT 2" xfId="9924" xr:uid="{00000000-0005-0000-0000-0000ED240000}"/>
    <cellStyle name="Arial107000001514155735FMT 2 2" xfId="9925" xr:uid="{00000000-0005-0000-0000-0000EE240000}"/>
    <cellStyle name="Arial107000001514155735FMT 3" xfId="9926" xr:uid="{00000000-0005-0000-0000-0000EF240000}"/>
    <cellStyle name="Arial107000001514155735FMT 3 2" xfId="9927" xr:uid="{00000000-0005-0000-0000-0000F0240000}"/>
    <cellStyle name="Arial107000001514155735FMT 4" xfId="9928" xr:uid="{00000000-0005-0000-0000-0000F1240000}"/>
    <cellStyle name="Arial1070000015536870911" xfId="9929" xr:uid="{00000000-0005-0000-0000-0000F2240000}"/>
    <cellStyle name="Arial1070000015536870911 2" xfId="9930" xr:uid="{00000000-0005-0000-0000-0000F3240000}"/>
    <cellStyle name="Arial1070000015536870911 2 2" xfId="9931" xr:uid="{00000000-0005-0000-0000-0000F4240000}"/>
    <cellStyle name="Arial1070000015536870911 3" xfId="9932" xr:uid="{00000000-0005-0000-0000-0000F5240000}"/>
    <cellStyle name="Arial1070000015536870911 3 2" xfId="9933" xr:uid="{00000000-0005-0000-0000-0000F6240000}"/>
    <cellStyle name="Arial1070000015536870911 4" xfId="9934" xr:uid="{00000000-0005-0000-0000-0000F7240000}"/>
    <cellStyle name="Arial1070000015536870911FMT" xfId="9935" xr:uid="{00000000-0005-0000-0000-0000F8240000}"/>
    <cellStyle name="Arial1070000015536870911FMT 2" xfId="9936" xr:uid="{00000000-0005-0000-0000-0000F9240000}"/>
    <cellStyle name="Arial1070000015536870911FMT 2 2" xfId="9937" xr:uid="{00000000-0005-0000-0000-0000FA240000}"/>
    <cellStyle name="Arial1070000015536870911FMT 3" xfId="9938" xr:uid="{00000000-0005-0000-0000-0000FB240000}"/>
    <cellStyle name="Arial1070000015536870911FMT 3 2" xfId="9939" xr:uid="{00000000-0005-0000-0000-0000FC240000}"/>
    <cellStyle name="Arial1070000015536870911FMT 4" xfId="9940" xr:uid="{00000000-0005-0000-0000-0000FD240000}"/>
    <cellStyle name="Arial107000001565535" xfId="9941" xr:uid="{00000000-0005-0000-0000-0000FE240000}"/>
    <cellStyle name="Arial107000001565535 2" xfId="9942" xr:uid="{00000000-0005-0000-0000-0000FF240000}"/>
    <cellStyle name="Arial107000001565535 2 2" xfId="9943" xr:uid="{00000000-0005-0000-0000-000000250000}"/>
    <cellStyle name="Arial107000001565535 3" xfId="9944" xr:uid="{00000000-0005-0000-0000-000001250000}"/>
    <cellStyle name="Arial107000001565535 3 2" xfId="9945" xr:uid="{00000000-0005-0000-0000-000002250000}"/>
    <cellStyle name="Arial107000001565535 4" xfId="9946" xr:uid="{00000000-0005-0000-0000-000003250000}"/>
    <cellStyle name="Arial107000001565535FMT" xfId="9947" xr:uid="{00000000-0005-0000-0000-000004250000}"/>
    <cellStyle name="Arial107000001565535FMT 2" xfId="9948" xr:uid="{00000000-0005-0000-0000-000005250000}"/>
    <cellStyle name="Arial107000001565535FMT 2 2" xfId="9949" xr:uid="{00000000-0005-0000-0000-000006250000}"/>
    <cellStyle name="Arial107000001565535FMT 3" xfId="9950" xr:uid="{00000000-0005-0000-0000-000007250000}"/>
    <cellStyle name="Arial107000001565535FMT 3 2" xfId="9951" xr:uid="{00000000-0005-0000-0000-000008250000}"/>
    <cellStyle name="Arial107000001565535FMT 4" xfId="9952" xr:uid="{00000000-0005-0000-0000-000009250000}"/>
    <cellStyle name="Arial11100000-2147483640016777215" xfId="22" xr:uid="{00000000-0005-0000-0000-00000A250000}"/>
    <cellStyle name="Arial117100000536870911" xfId="9953" xr:uid="{00000000-0005-0000-0000-00000B250000}"/>
    <cellStyle name="Arial118000000536870911" xfId="9954" xr:uid="{00000000-0005-0000-0000-00000C250000}"/>
    <cellStyle name="Arial21100000-2147483640016777215" xfId="23" xr:uid="{00000000-0005-0000-0000-00000D250000}"/>
    <cellStyle name="Arial2110100000536870911" xfId="9955" xr:uid="{00000000-0005-0000-0000-00000E250000}"/>
    <cellStyle name="Arial21101000015536870911" xfId="9956" xr:uid="{00000000-0005-0000-0000-00000F250000}"/>
    <cellStyle name="Arial21101000015536870911 2" xfId="9957" xr:uid="{00000000-0005-0000-0000-000010250000}"/>
    <cellStyle name="Arial21101000015536870911 2 2" xfId="9958" xr:uid="{00000000-0005-0000-0000-000011250000}"/>
    <cellStyle name="Arial21101000015536870911 2 2 2" xfId="9959" xr:uid="{00000000-0005-0000-0000-000012250000}"/>
    <cellStyle name="Arial21101000015536870911 2 3" xfId="9960" xr:uid="{00000000-0005-0000-0000-000013250000}"/>
    <cellStyle name="Arial21101000015536870911 2 3 2" xfId="9961" xr:uid="{00000000-0005-0000-0000-000014250000}"/>
    <cellStyle name="Arial21101000015536870911 2 4" xfId="9962" xr:uid="{00000000-0005-0000-0000-000015250000}"/>
    <cellStyle name="Arial21101000015536870911 3" xfId="9963" xr:uid="{00000000-0005-0000-0000-000016250000}"/>
    <cellStyle name="Arial21101000015536870911 3 2" xfId="9964" xr:uid="{00000000-0005-0000-0000-000017250000}"/>
    <cellStyle name="Arial21101000015536870911 3 2 2" xfId="9965" xr:uid="{00000000-0005-0000-0000-000018250000}"/>
    <cellStyle name="Arial21101000015536870911 3 3" xfId="9966" xr:uid="{00000000-0005-0000-0000-000019250000}"/>
    <cellStyle name="Arial21101000015536870911 3 3 2" xfId="9967" xr:uid="{00000000-0005-0000-0000-00001A250000}"/>
    <cellStyle name="Arial21101000015536870911 3 4" xfId="9968" xr:uid="{00000000-0005-0000-0000-00001B250000}"/>
    <cellStyle name="Arial21101000015536870911 4" xfId="9969" xr:uid="{00000000-0005-0000-0000-00001C250000}"/>
    <cellStyle name="Arial21101000015536870911 4 2" xfId="9970" xr:uid="{00000000-0005-0000-0000-00001D250000}"/>
    <cellStyle name="Arial21101000015536870911 5" xfId="9971" xr:uid="{00000000-0005-0000-0000-00001E250000}"/>
    <cellStyle name="Arial21101000015536870911 5 2" xfId="9972" xr:uid="{00000000-0005-0000-0000-00001F250000}"/>
    <cellStyle name="Arial21101000015536870911 6" xfId="9973" xr:uid="{00000000-0005-0000-0000-000020250000}"/>
    <cellStyle name="Arial2112100000536870911" xfId="9974" xr:uid="{00000000-0005-0000-0000-000021250000}"/>
    <cellStyle name="Arial2170000015536870911" xfId="9975" xr:uid="{00000000-0005-0000-0000-000022250000}"/>
    <cellStyle name="Arial2170000015536870911 2" xfId="9976" xr:uid="{00000000-0005-0000-0000-000023250000}"/>
    <cellStyle name="Arial2170000015536870911 2 2" xfId="9977" xr:uid="{00000000-0005-0000-0000-000024250000}"/>
    <cellStyle name="Arial2170000015536870911 3" xfId="9978" xr:uid="{00000000-0005-0000-0000-000025250000}"/>
    <cellStyle name="Arial2170000015536870911 3 2" xfId="9979" xr:uid="{00000000-0005-0000-0000-000026250000}"/>
    <cellStyle name="Arial2170000015536870911 4" xfId="9980" xr:uid="{00000000-0005-0000-0000-000027250000}"/>
    <cellStyle name="Arial2170000015536870911FMT" xfId="9981" xr:uid="{00000000-0005-0000-0000-000028250000}"/>
    <cellStyle name="Arial2170000015536870911FMT 2" xfId="9982" xr:uid="{00000000-0005-0000-0000-000029250000}"/>
    <cellStyle name="Arial2170000015536870911FMT 2 2" xfId="9983" xr:uid="{00000000-0005-0000-0000-00002A250000}"/>
    <cellStyle name="Arial2170000015536870911FMT 3" xfId="9984" xr:uid="{00000000-0005-0000-0000-00002B250000}"/>
    <cellStyle name="Arial2170000015536870911FMT 3 2" xfId="9985" xr:uid="{00000000-0005-0000-0000-00002C250000}"/>
    <cellStyle name="Arial2170000015536870911FMT 4" xfId="9986" xr:uid="{00000000-0005-0000-0000-00002D250000}"/>
    <cellStyle name="Arial81120100-2147483640016777215" xfId="24" xr:uid="{00000000-0005-0000-0000-00002E250000}"/>
    <cellStyle name="Bad" xfId="9987" xr:uid="{00000000-0005-0000-0000-00002F250000}"/>
    <cellStyle name="Balance" xfId="9988" xr:uid="{00000000-0005-0000-0000-000030250000}"/>
    <cellStyle name="Balance 2" xfId="9989" xr:uid="{00000000-0005-0000-0000-000031250000}"/>
    <cellStyle name="Balance 3" xfId="9990" xr:uid="{00000000-0005-0000-0000-000032250000}"/>
    <cellStyle name="Balance 4" xfId="9991" xr:uid="{00000000-0005-0000-0000-000033250000}"/>
    <cellStyle name="BalanceBold" xfId="9992" xr:uid="{00000000-0005-0000-0000-000034250000}"/>
    <cellStyle name="BalanceBold 2" xfId="9993" xr:uid="{00000000-0005-0000-0000-000035250000}"/>
    <cellStyle name="BalanceBold 3" xfId="9994" xr:uid="{00000000-0005-0000-0000-000036250000}"/>
    <cellStyle name="BalanceBold 4" xfId="9995" xr:uid="{00000000-0005-0000-0000-000037250000}"/>
    <cellStyle name="BLACK" xfId="9996" xr:uid="{00000000-0005-0000-0000-000038250000}"/>
    <cellStyle name="BLACK 2" xfId="9997" xr:uid="{00000000-0005-0000-0000-000039250000}"/>
    <cellStyle name="BLACK 2 2" xfId="9998" xr:uid="{00000000-0005-0000-0000-00003A250000}"/>
    <cellStyle name="BLACK 3" xfId="9999" xr:uid="{00000000-0005-0000-0000-00003B250000}"/>
    <cellStyle name="BLACK 3 2" xfId="10000" xr:uid="{00000000-0005-0000-0000-00003C250000}"/>
    <cellStyle name="BLACK 4" xfId="10001" xr:uid="{00000000-0005-0000-0000-00003D250000}"/>
    <cellStyle name="BLACK 4 2" xfId="10002" xr:uid="{00000000-0005-0000-0000-00003E250000}"/>
    <cellStyle name="BLACK 5" xfId="10003" xr:uid="{00000000-0005-0000-0000-00003F250000}"/>
    <cellStyle name="Blue" xfId="10004" xr:uid="{00000000-0005-0000-0000-000040250000}"/>
    <cellStyle name="Body" xfId="10005" xr:uid="{00000000-0005-0000-0000-000041250000}"/>
    <cellStyle name="Body 2" xfId="10006" xr:uid="{00000000-0005-0000-0000-000042250000}"/>
    <cellStyle name="Body 2 2" xfId="10007" xr:uid="{00000000-0005-0000-0000-000043250000}"/>
    <cellStyle name="Body 3" xfId="10008" xr:uid="{00000000-0005-0000-0000-000044250000}"/>
    <cellStyle name="Body 3 2" xfId="10009" xr:uid="{00000000-0005-0000-0000-000045250000}"/>
    <cellStyle name="Body 4" xfId="10010" xr:uid="{00000000-0005-0000-0000-000046250000}"/>
    <cellStyle name="Body 4 2" xfId="10011" xr:uid="{00000000-0005-0000-0000-000047250000}"/>
    <cellStyle name="Body 5" xfId="10012" xr:uid="{00000000-0005-0000-0000-000048250000}"/>
    <cellStyle name="British Pound" xfId="10013" xr:uid="{00000000-0005-0000-0000-000049250000}"/>
    <cellStyle name="C?AO_?A°??µAoC?" xfId="10014" xr:uid="{00000000-0005-0000-0000-00004A250000}"/>
    <cellStyle name="Calc Currency (0)" xfId="10015" xr:uid="{00000000-0005-0000-0000-00004B250000}"/>
    <cellStyle name="Calc Currency (0) 2" xfId="10016" xr:uid="{00000000-0005-0000-0000-00004C250000}"/>
    <cellStyle name="Calc Currency (0) 3" xfId="10017" xr:uid="{00000000-0005-0000-0000-00004D250000}"/>
    <cellStyle name="Calc Currency (0) 4" xfId="10018" xr:uid="{00000000-0005-0000-0000-00004E250000}"/>
    <cellStyle name="Calc Currency (2)" xfId="10019" xr:uid="{00000000-0005-0000-0000-00004F250000}"/>
    <cellStyle name="Calc Percent (0)" xfId="10020" xr:uid="{00000000-0005-0000-0000-000050250000}"/>
    <cellStyle name="Calc Percent (1)" xfId="10021" xr:uid="{00000000-0005-0000-0000-000051250000}"/>
    <cellStyle name="Calc Percent (2)" xfId="10022" xr:uid="{00000000-0005-0000-0000-000052250000}"/>
    <cellStyle name="Calc Units (0)" xfId="10023" xr:uid="{00000000-0005-0000-0000-000053250000}"/>
    <cellStyle name="Calc Units (1)" xfId="10024" xr:uid="{00000000-0005-0000-0000-000054250000}"/>
    <cellStyle name="Calc Units (2)" xfId="10025" xr:uid="{00000000-0005-0000-0000-000055250000}"/>
    <cellStyle name="Calculation" xfId="10026" xr:uid="{00000000-0005-0000-0000-000056250000}"/>
    <cellStyle name="Calculation 10" xfId="10027" xr:uid="{00000000-0005-0000-0000-000057250000}"/>
    <cellStyle name="Calculation 11" xfId="10028" xr:uid="{00000000-0005-0000-0000-000058250000}"/>
    <cellStyle name="Calculation 12" xfId="10029" xr:uid="{00000000-0005-0000-0000-000059250000}"/>
    <cellStyle name="Calculation 13" xfId="10030" xr:uid="{00000000-0005-0000-0000-00005A250000}"/>
    <cellStyle name="Calculation 14" xfId="10031" xr:uid="{00000000-0005-0000-0000-00005B250000}"/>
    <cellStyle name="Calculation 2" xfId="10032" xr:uid="{00000000-0005-0000-0000-00005C250000}"/>
    <cellStyle name="Calculation 2 2" xfId="10033" xr:uid="{00000000-0005-0000-0000-00005D250000}"/>
    <cellStyle name="Calculation 2 2 2" xfId="10034" xr:uid="{00000000-0005-0000-0000-00005E250000}"/>
    <cellStyle name="Calculation 2 3" xfId="10035" xr:uid="{00000000-0005-0000-0000-00005F250000}"/>
    <cellStyle name="Calculation 2 3 2" xfId="10036" xr:uid="{00000000-0005-0000-0000-000060250000}"/>
    <cellStyle name="Calculation 2 4" xfId="10037" xr:uid="{00000000-0005-0000-0000-000061250000}"/>
    <cellStyle name="Calculation 3" xfId="10038" xr:uid="{00000000-0005-0000-0000-000062250000}"/>
    <cellStyle name="Calculation 3 2" xfId="10039" xr:uid="{00000000-0005-0000-0000-000063250000}"/>
    <cellStyle name="Calculation 3 2 2" xfId="10040" xr:uid="{00000000-0005-0000-0000-000064250000}"/>
    <cellStyle name="Calculation 3 3" xfId="10041" xr:uid="{00000000-0005-0000-0000-000065250000}"/>
    <cellStyle name="Calculation 3 3 2" xfId="10042" xr:uid="{00000000-0005-0000-0000-000066250000}"/>
    <cellStyle name="Calculation 3 4" xfId="10043" xr:uid="{00000000-0005-0000-0000-000067250000}"/>
    <cellStyle name="Calculation 4" xfId="10044" xr:uid="{00000000-0005-0000-0000-000068250000}"/>
    <cellStyle name="Calculation 4 2" xfId="10045" xr:uid="{00000000-0005-0000-0000-000069250000}"/>
    <cellStyle name="Calculation 5" xfId="10046" xr:uid="{00000000-0005-0000-0000-00006A250000}"/>
    <cellStyle name="Calculation 5 2" xfId="10047" xr:uid="{00000000-0005-0000-0000-00006B250000}"/>
    <cellStyle name="Calculation 6" xfId="10048" xr:uid="{00000000-0005-0000-0000-00006C250000}"/>
    <cellStyle name="Calculation 7" xfId="10049" xr:uid="{00000000-0005-0000-0000-00006D250000}"/>
    <cellStyle name="Calculation 8" xfId="10050" xr:uid="{00000000-0005-0000-0000-00006E250000}"/>
    <cellStyle name="Calculation 9" xfId="10051" xr:uid="{00000000-0005-0000-0000-00006F250000}"/>
    <cellStyle name="Case" xfId="10052" xr:uid="{00000000-0005-0000-0000-000070250000}"/>
    <cellStyle name="Case 2" xfId="10053" xr:uid="{00000000-0005-0000-0000-000071250000}"/>
    <cellStyle name="Case 3" xfId="10054" xr:uid="{00000000-0005-0000-0000-000072250000}"/>
    <cellStyle name="Case 4" xfId="10055" xr:uid="{00000000-0005-0000-0000-000073250000}"/>
    <cellStyle name="Center Across" xfId="10056" xr:uid="{00000000-0005-0000-0000-000074250000}"/>
    <cellStyle name="Center Across 2" xfId="10057" xr:uid="{00000000-0005-0000-0000-000075250000}"/>
    <cellStyle name="Center Across 3" xfId="10058" xr:uid="{00000000-0005-0000-0000-000076250000}"/>
    <cellStyle name="Center Across 4" xfId="10059" xr:uid="{00000000-0005-0000-0000-000077250000}"/>
    <cellStyle name="Check" xfId="10060" xr:uid="{00000000-0005-0000-0000-000078250000}"/>
    <cellStyle name="Check Cell" xfId="10061" xr:uid="{00000000-0005-0000-0000-000079250000}"/>
    <cellStyle name="Code" xfId="10062" xr:uid="{00000000-0005-0000-0000-00007A250000}"/>
    <cellStyle name="Column Heading" xfId="10063" xr:uid="{00000000-0005-0000-0000-00007B250000}"/>
    <cellStyle name="Column Heading 2" xfId="10064" xr:uid="{00000000-0005-0000-0000-00007C250000}"/>
    <cellStyle name="Column Heading 3" xfId="10065" xr:uid="{00000000-0005-0000-0000-00007D250000}"/>
    <cellStyle name="Column Heading 4" xfId="10066" xr:uid="{00000000-0005-0000-0000-00007E250000}"/>
    <cellStyle name="Comma [0]_#6 Temps &amp; Contractors" xfId="10067" xr:uid="{00000000-0005-0000-0000-00007F250000}"/>
    <cellStyle name="Comma [00]" xfId="10068" xr:uid="{00000000-0005-0000-0000-000080250000}"/>
    <cellStyle name="Comma [1]" xfId="10069" xr:uid="{00000000-0005-0000-0000-000081250000}"/>
    <cellStyle name="Comma [1] 2" xfId="10070" xr:uid="{00000000-0005-0000-0000-000082250000}"/>
    <cellStyle name="Comma [1] 3" xfId="10071" xr:uid="{00000000-0005-0000-0000-000083250000}"/>
    <cellStyle name="Comma [1] 4" xfId="10072" xr:uid="{00000000-0005-0000-0000-000084250000}"/>
    <cellStyle name="Comma 0" xfId="10073" xr:uid="{00000000-0005-0000-0000-000085250000}"/>
    <cellStyle name="Comma 0 2" xfId="10074" xr:uid="{00000000-0005-0000-0000-000086250000}"/>
    <cellStyle name="Comma 0 3" xfId="10075" xr:uid="{00000000-0005-0000-0000-000087250000}"/>
    <cellStyle name="Comma 0 4" xfId="10076" xr:uid="{00000000-0005-0000-0000-000088250000}"/>
    <cellStyle name="Comma 0*" xfId="10077" xr:uid="{00000000-0005-0000-0000-000089250000}"/>
    <cellStyle name="Comma 0* 2" xfId="10078" xr:uid="{00000000-0005-0000-0000-00008A250000}"/>
    <cellStyle name="Comma 0* 3" xfId="10079" xr:uid="{00000000-0005-0000-0000-00008B250000}"/>
    <cellStyle name="Comma 0* 4" xfId="10080" xr:uid="{00000000-0005-0000-0000-00008C250000}"/>
    <cellStyle name="Comma 2" xfId="10081" xr:uid="{00000000-0005-0000-0000-00008D250000}"/>
    <cellStyle name="Comma 2 2" xfId="10082" xr:uid="{00000000-0005-0000-0000-00008E250000}"/>
    <cellStyle name="Comma 2 3" xfId="10083" xr:uid="{00000000-0005-0000-0000-00008F250000}"/>
    <cellStyle name="Comma 2 4" xfId="10084" xr:uid="{00000000-0005-0000-0000-000090250000}"/>
    <cellStyle name="Comma 3" xfId="10085" xr:uid="{00000000-0005-0000-0000-000091250000}"/>
    <cellStyle name="Comma_#6 Temps &amp; Contractors" xfId="10086" xr:uid="{00000000-0005-0000-0000-000092250000}"/>
    <cellStyle name="Comma0" xfId="10087" xr:uid="{00000000-0005-0000-0000-000093250000}"/>
    <cellStyle name="Currency [0]_#6 Temps &amp; Contractors" xfId="10088" xr:uid="{00000000-0005-0000-0000-000094250000}"/>
    <cellStyle name="Currency [00]" xfId="10089" xr:uid="{00000000-0005-0000-0000-000095250000}"/>
    <cellStyle name="Currency [1]" xfId="10090" xr:uid="{00000000-0005-0000-0000-000096250000}"/>
    <cellStyle name="Currency 0" xfId="10091" xr:uid="{00000000-0005-0000-0000-000097250000}"/>
    <cellStyle name="Currency 0 2" xfId="10092" xr:uid="{00000000-0005-0000-0000-000098250000}"/>
    <cellStyle name="Currency 0 3" xfId="10093" xr:uid="{00000000-0005-0000-0000-000099250000}"/>
    <cellStyle name="Currency 0 4" xfId="10094" xr:uid="{00000000-0005-0000-0000-00009A250000}"/>
    <cellStyle name="Currency 2" xfId="10095" xr:uid="{00000000-0005-0000-0000-00009B250000}"/>
    <cellStyle name="Currency 2 2" xfId="10096" xr:uid="{00000000-0005-0000-0000-00009C250000}"/>
    <cellStyle name="Currency 2 3" xfId="10097" xr:uid="{00000000-0005-0000-0000-00009D250000}"/>
    <cellStyle name="Currency 2 4" xfId="10098" xr:uid="{00000000-0005-0000-0000-00009E250000}"/>
    <cellStyle name="Currency_#6 Temps &amp; Contractors" xfId="10099" xr:uid="{00000000-0005-0000-0000-00009F250000}"/>
    <cellStyle name="Currency0" xfId="10100" xr:uid="{00000000-0005-0000-0000-0000A0250000}"/>
    <cellStyle name="D001" xfId="10101" xr:uid="{00000000-0005-0000-0000-0000A1250000}"/>
    <cellStyle name="D002" xfId="10102" xr:uid="{00000000-0005-0000-0000-0000A2250000}"/>
    <cellStyle name="D003" xfId="10103" xr:uid="{00000000-0005-0000-0000-0000A3250000}"/>
    <cellStyle name="D004" xfId="10104" xr:uid="{00000000-0005-0000-0000-0000A4250000}"/>
    <cellStyle name="D005" xfId="10105" xr:uid="{00000000-0005-0000-0000-0000A5250000}"/>
    <cellStyle name="D006" xfId="10106" xr:uid="{00000000-0005-0000-0000-0000A6250000}"/>
    <cellStyle name="D007" xfId="10107" xr:uid="{00000000-0005-0000-0000-0000A7250000}"/>
    <cellStyle name="D008" xfId="10108" xr:uid="{00000000-0005-0000-0000-0000A8250000}"/>
    <cellStyle name="D009" xfId="10109" xr:uid="{00000000-0005-0000-0000-0000A9250000}"/>
    <cellStyle name="D010" xfId="10110" xr:uid="{00000000-0005-0000-0000-0000AA250000}"/>
    <cellStyle name="D011" xfId="10111" xr:uid="{00000000-0005-0000-0000-0000AB250000}"/>
    <cellStyle name="D012" xfId="10112" xr:uid="{00000000-0005-0000-0000-0000AC250000}"/>
    <cellStyle name="D013" xfId="10113" xr:uid="{00000000-0005-0000-0000-0000AD250000}"/>
    <cellStyle name="D014" xfId="10114" xr:uid="{00000000-0005-0000-0000-0000AE250000}"/>
    <cellStyle name="D015" xfId="10115" xr:uid="{00000000-0005-0000-0000-0000AF250000}"/>
    <cellStyle name="D016" xfId="10116" xr:uid="{00000000-0005-0000-0000-0000B0250000}"/>
    <cellStyle name="D017" xfId="10117" xr:uid="{00000000-0005-0000-0000-0000B1250000}"/>
    <cellStyle name="D018" xfId="10118" xr:uid="{00000000-0005-0000-0000-0000B2250000}"/>
    <cellStyle name="D019" xfId="10119" xr:uid="{00000000-0005-0000-0000-0000B3250000}"/>
    <cellStyle name="D020" xfId="10120" xr:uid="{00000000-0005-0000-0000-0000B4250000}"/>
    <cellStyle name="Data" xfId="10121" xr:uid="{00000000-0005-0000-0000-0000B5250000}"/>
    <cellStyle name="Data 2" xfId="10122" xr:uid="{00000000-0005-0000-0000-0000B6250000}"/>
    <cellStyle name="Data 3" xfId="10123" xr:uid="{00000000-0005-0000-0000-0000B7250000}"/>
    <cellStyle name="Data 4" xfId="10124" xr:uid="{00000000-0005-0000-0000-0000B8250000}"/>
    <cellStyle name="Data Cell - PerformancePoint" xfId="10125" xr:uid="{00000000-0005-0000-0000-0000B9250000}"/>
    <cellStyle name="Data Entry Cell - PerformancePoint" xfId="10126" xr:uid="{00000000-0005-0000-0000-0000BA250000}"/>
    <cellStyle name="Data style" xfId="25" xr:uid="{00000000-0005-0000-0000-0000BB250000}"/>
    <cellStyle name="DataBold" xfId="10127" xr:uid="{00000000-0005-0000-0000-0000BC250000}"/>
    <cellStyle name="DataBold 2" xfId="10128" xr:uid="{00000000-0005-0000-0000-0000BD250000}"/>
    <cellStyle name="DataBold 3" xfId="10129" xr:uid="{00000000-0005-0000-0000-0000BE250000}"/>
    <cellStyle name="DataBold 4" xfId="10130" xr:uid="{00000000-0005-0000-0000-0000BF250000}"/>
    <cellStyle name="Date" xfId="10131" xr:uid="{00000000-0005-0000-0000-0000C0250000}"/>
    <cellStyle name="Date Aligned" xfId="10132" xr:uid="{00000000-0005-0000-0000-0000C1250000}"/>
    <cellStyle name="Date Aligned 2" xfId="10133" xr:uid="{00000000-0005-0000-0000-0000C2250000}"/>
    <cellStyle name="Date Aligned 3" xfId="10134" xr:uid="{00000000-0005-0000-0000-0000C3250000}"/>
    <cellStyle name="Date Aligned 4" xfId="10135" xr:uid="{00000000-0005-0000-0000-0000C4250000}"/>
    <cellStyle name="Date Short" xfId="10136" xr:uid="{00000000-0005-0000-0000-0000C5250000}"/>
    <cellStyle name="Date_07.12.2005  КЭШ и баланс " xfId="10137" xr:uid="{00000000-0005-0000-0000-0000C6250000}"/>
    <cellStyle name="Dec_0" xfId="10138" xr:uid="{00000000-0005-0000-0000-0000C7250000}"/>
    <cellStyle name="Deviant" xfId="10139" xr:uid="{00000000-0005-0000-0000-0000C8250000}"/>
    <cellStyle name="Dezimal [0]_PERSONAL" xfId="10140" xr:uid="{00000000-0005-0000-0000-0000C9250000}"/>
    <cellStyle name="Dezimal_PERSONAL" xfId="10141" xr:uid="{00000000-0005-0000-0000-0000CA250000}"/>
    <cellStyle name="Dollars" xfId="10142" xr:uid="{00000000-0005-0000-0000-0000CB250000}"/>
    <cellStyle name="Dotted Line" xfId="10143" xr:uid="{00000000-0005-0000-0000-0000CC250000}"/>
    <cellStyle name="Dotted Line 2" xfId="10144" xr:uid="{00000000-0005-0000-0000-0000CD250000}"/>
    <cellStyle name="Dotted Line 3" xfId="10145" xr:uid="{00000000-0005-0000-0000-0000CE250000}"/>
    <cellStyle name="Dotted Line 4" xfId="10146" xr:uid="{00000000-0005-0000-0000-0000CF250000}"/>
    <cellStyle name="Double Accounting" xfId="10147" xr:uid="{00000000-0005-0000-0000-0000D0250000}"/>
    <cellStyle name="Double Accounting 2" xfId="10148" xr:uid="{00000000-0005-0000-0000-0000D1250000}"/>
    <cellStyle name="Double Accounting 3" xfId="10149" xr:uid="{00000000-0005-0000-0000-0000D2250000}"/>
    <cellStyle name="Double Accounting 4" xfId="10150" xr:uid="{00000000-0005-0000-0000-0000D3250000}"/>
    <cellStyle name="E&amp;Y House" xfId="10151" xr:uid="{00000000-0005-0000-0000-0000D4250000}"/>
    <cellStyle name="E&amp;Y House 2" xfId="10152" xr:uid="{00000000-0005-0000-0000-0000D5250000}"/>
    <cellStyle name="E&amp;Y House 2 2" xfId="10153" xr:uid="{00000000-0005-0000-0000-0000D6250000}"/>
    <cellStyle name="E&amp;Y House 3" xfId="10154" xr:uid="{00000000-0005-0000-0000-0000D7250000}"/>
    <cellStyle name="E&amp;Y House 3 2" xfId="10155" xr:uid="{00000000-0005-0000-0000-0000D8250000}"/>
    <cellStyle name="E&amp;Y House 4" xfId="10156" xr:uid="{00000000-0005-0000-0000-0000D9250000}"/>
    <cellStyle name="E&amp;Y House 4 2" xfId="10157" xr:uid="{00000000-0005-0000-0000-0000DA250000}"/>
    <cellStyle name="E&amp;Y House 5" xfId="10158" xr:uid="{00000000-0005-0000-0000-0000DB250000}"/>
    <cellStyle name="Emphasis 1" xfId="26" xr:uid="{00000000-0005-0000-0000-0000DC250000}"/>
    <cellStyle name="Emphasis 2" xfId="27" xr:uid="{00000000-0005-0000-0000-0000DD250000}"/>
    <cellStyle name="Emphasis 3" xfId="28" xr:uid="{00000000-0005-0000-0000-0000DE250000}"/>
    <cellStyle name="Enter Currency (0)" xfId="10159" xr:uid="{00000000-0005-0000-0000-0000DF250000}"/>
    <cellStyle name="Enter Currency (2)" xfId="10160" xr:uid="{00000000-0005-0000-0000-0000E0250000}"/>
    <cellStyle name="Enter Units (0)" xfId="10161" xr:uid="{00000000-0005-0000-0000-0000E1250000}"/>
    <cellStyle name="Enter Units (1)" xfId="10162" xr:uid="{00000000-0005-0000-0000-0000E2250000}"/>
    <cellStyle name="Enter Units (2)" xfId="10163" xr:uid="{00000000-0005-0000-0000-0000E3250000}"/>
    <cellStyle name="Euro" xfId="10164" xr:uid="{00000000-0005-0000-0000-0000E4250000}"/>
    <cellStyle name="Explanatory Text" xfId="10165" xr:uid="{00000000-0005-0000-0000-0000E5250000}"/>
    <cellStyle name="Ezres [0]_Document" xfId="10166" xr:uid="{00000000-0005-0000-0000-0000E6250000}"/>
    <cellStyle name="Ezres_Document" xfId="10167" xr:uid="{00000000-0005-0000-0000-0000E7250000}"/>
    <cellStyle name="F001" xfId="10168" xr:uid="{00000000-0005-0000-0000-0000E8250000}"/>
    <cellStyle name="F002" xfId="10169" xr:uid="{00000000-0005-0000-0000-0000E9250000}"/>
    <cellStyle name="F003" xfId="10170" xr:uid="{00000000-0005-0000-0000-0000EA250000}"/>
    <cellStyle name="F004" xfId="10171" xr:uid="{00000000-0005-0000-0000-0000EB250000}"/>
    <cellStyle name="F005" xfId="10172" xr:uid="{00000000-0005-0000-0000-0000EC250000}"/>
    <cellStyle name="F006" xfId="10173" xr:uid="{00000000-0005-0000-0000-0000ED250000}"/>
    <cellStyle name="F007" xfId="10174" xr:uid="{00000000-0005-0000-0000-0000EE250000}"/>
    <cellStyle name="F008" xfId="10175" xr:uid="{00000000-0005-0000-0000-0000EF250000}"/>
    <cellStyle name="F009" xfId="10176" xr:uid="{00000000-0005-0000-0000-0000F0250000}"/>
    <cellStyle name="F010" xfId="10177" xr:uid="{00000000-0005-0000-0000-0000F1250000}"/>
    <cellStyle name="F011" xfId="10178" xr:uid="{00000000-0005-0000-0000-0000F2250000}"/>
    <cellStyle name="F012" xfId="10179" xr:uid="{00000000-0005-0000-0000-0000F3250000}"/>
    <cellStyle name="F013" xfId="10180" xr:uid="{00000000-0005-0000-0000-0000F4250000}"/>
    <cellStyle name="F014" xfId="10181" xr:uid="{00000000-0005-0000-0000-0000F5250000}"/>
    <cellStyle name="F015" xfId="10182" xr:uid="{00000000-0005-0000-0000-0000F6250000}"/>
    <cellStyle name="F016" xfId="10183" xr:uid="{00000000-0005-0000-0000-0000F7250000}"/>
    <cellStyle name="F017" xfId="10184" xr:uid="{00000000-0005-0000-0000-0000F8250000}"/>
    <cellStyle name="F018" xfId="10185" xr:uid="{00000000-0005-0000-0000-0000F9250000}"/>
    <cellStyle name="F019" xfId="10186" xr:uid="{00000000-0005-0000-0000-0000FA250000}"/>
    <cellStyle name="F020" xfId="10187" xr:uid="{00000000-0005-0000-0000-0000FB250000}"/>
    <cellStyle name="F021" xfId="10188" xr:uid="{00000000-0005-0000-0000-0000FC250000}"/>
    <cellStyle name="F022" xfId="10189" xr:uid="{00000000-0005-0000-0000-0000FD250000}"/>
    <cellStyle name="F023" xfId="10190" xr:uid="{00000000-0005-0000-0000-0000FE250000}"/>
    <cellStyle name="F024" xfId="10191" xr:uid="{00000000-0005-0000-0000-0000FF250000}"/>
    <cellStyle name="F025" xfId="10192" xr:uid="{00000000-0005-0000-0000-000000260000}"/>
    <cellStyle name="F026" xfId="10193" xr:uid="{00000000-0005-0000-0000-000001260000}"/>
    <cellStyle name="F027" xfId="10194" xr:uid="{00000000-0005-0000-0000-000002260000}"/>
    <cellStyle name="F028" xfId="10195" xr:uid="{00000000-0005-0000-0000-000003260000}"/>
    <cellStyle name="F029" xfId="10196" xr:uid="{00000000-0005-0000-0000-000004260000}"/>
    <cellStyle name="F030" xfId="10197" xr:uid="{00000000-0005-0000-0000-000005260000}"/>
    <cellStyle name="F031" xfId="10198" xr:uid="{00000000-0005-0000-0000-000006260000}"/>
    <cellStyle name="F032" xfId="10199" xr:uid="{00000000-0005-0000-0000-000007260000}"/>
    <cellStyle name="F033" xfId="10200" xr:uid="{00000000-0005-0000-0000-000008260000}"/>
    <cellStyle name="F034" xfId="10201" xr:uid="{00000000-0005-0000-0000-000009260000}"/>
    <cellStyle name="F035" xfId="10202" xr:uid="{00000000-0005-0000-0000-00000A260000}"/>
    <cellStyle name="F036" xfId="10203" xr:uid="{00000000-0005-0000-0000-00000B260000}"/>
    <cellStyle name="F037" xfId="10204" xr:uid="{00000000-0005-0000-0000-00000C260000}"/>
    <cellStyle name="F038" xfId="10205" xr:uid="{00000000-0005-0000-0000-00000D260000}"/>
    <cellStyle name="F039" xfId="10206" xr:uid="{00000000-0005-0000-0000-00000E260000}"/>
    <cellStyle name="F040" xfId="10207" xr:uid="{00000000-0005-0000-0000-00000F260000}"/>
    <cellStyle name="F041" xfId="10208" xr:uid="{00000000-0005-0000-0000-000010260000}"/>
    <cellStyle name="F042" xfId="10209" xr:uid="{00000000-0005-0000-0000-000011260000}"/>
    <cellStyle name="F043" xfId="10210" xr:uid="{00000000-0005-0000-0000-000012260000}"/>
    <cellStyle name="F2" xfId="10211" xr:uid="{00000000-0005-0000-0000-000013260000}"/>
    <cellStyle name="F2 2" xfId="10212" xr:uid="{00000000-0005-0000-0000-000014260000}"/>
    <cellStyle name="F2 3" xfId="10213" xr:uid="{00000000-0005-0000-0000-000015260000}"/>
    <cellStyle name="F2 4" xfId="10214" xr:uid="{00000000-0005-0000-0000-000016260000}"/>
    <cellStyle name="F3" xfId="10215" xr:uid="{00000000-0005-0000-0000-000017260000}"/>
    <cellStyle name="F3 2" xfId="10216" xr:uid="{00000000-0005-0000-0000-000018260000}"/>
    <cellStyle name="F3 3" xfId="10217" xr:uid="{00000000-0005-0000-0000-000019260000}"/>
    <cellStyle name="F3 4" xfId="10218" xr:uid="{00000000-0005-0000-0000-00001A260000}"/>
    <cellStyle name="F4" xfId="10219" xr:uid="{00000000-0005-0000-0000-00001B260000}"/>
    <cellStyle name="F4 2" xfId="10220" xr:uid="{00000000-0005-0000-0000-00001C260000}"/>
    <cellStyle name="F4 3" xfId="10221" xr:uid="{00000000-0005-0000-0000-00001D260000}"/>
    <cellStyle name="F4 4" xfId="10222" xr:uid="{00000000-0005-0000-0000-00001E260000}"/>
    <cellStyle name="F5" xfId="10223" xr:uid="{00000000-0005-0000-0000-00001F260000}"/>
    <cellStyle name="F5 2" xfId="10224" xr:uid="{00000000-0005-0000-0000-000020260000}"/>
    <cellStyle name="F5 3" xfId="10225" xr:uid="{00000000-0005-0000-0000-000021260000}"/>
    <cellStyle name="F5 4" xfId="10226" xr:uid="{00000000-0005-0000-0000-000022260000}"/>
    <cellStyle name="F6" xfId="10227" xr:uid="{00000000-0005-0000-0000-000023260000}"/>
    <cellStyle name="F6 2" xfId="10228" xr:uid="{00000000-0005-0000-0000-000024260000}"/>
    <cellStyle name="F6 3" xfId="10229" xr:uid="{00000000-0005-0000-0000-000025260000}"/>
    <cellStyle name="F6 4" xfId="10230" xr:uid="{00000000-0005-0000-0000-000026260000}"/>
    <cellStyle name="F7" xfId="10231" xr:uid="{00000000-0005-0000-0000-000027260000}"/>
    <cellStyle name="F7 2" xfId="10232" xr:uid="{00000000-0005-0000-0000-000028260000}"/>
    <cellStyle name="F7 3" xfId="10233" xr:uid="{00000000-0005-0000-0000-000029260000}"/>
    <cellStyle name="F7 4" xfId="10234" xr:uid="{00000000-0005-0000-0000-00002A260000}"/>
    <cellStyle name="F8" xfId="10235" xr:uid="{00000000-0005-0000-0000-00002B260000}"/>
    <cellStyle name="F8 2" xfId="10236" xr:uid="{00000000-0005-0000-0000-00002C260000}"/>
    <cellStyle name="F8 3" xfId="10237" xr:uid="{00000000-0005-0000-0000-00002D260000}"/>
    <cellStyle name="F8 4" xfId="10238" xr:uid="{00000000-0005-0000-0000-00002E260000}"/>
    <cellStyle name="Factor" xfId="10239" xr:uid="{00000000-0005-0000-0000-00002F260000}"/>
    <cellStyle name="Fixed" xfId="10240" xr:uid="{00000000-0005-0000-0000-000030260000}"/>
    <cellStyle name="Followed Hyperlink" xfId="10241" xr:uid="{00000000-0005-0000-0000-000031260000}"/>
    <cellStyle name="footer" xfId="10242" xr:uid="{00000000-0005-0000-0000-000032260000}"/>
    <cellStyle name="Footnote" xfId="10243" xr:uid="{00000000-0005-0000-0000-000033260000}"/>
    <cellStyle name="Footnote 2" xfId="10244" xr:uid="{00000000-0005-0000-0000-000034260000}"/>
    <cellStyle name="Footnote 3" xfId="10245" xr:uid="{00000000-0005-0000-0000-000035260000}"/>
    <cellStyle name="Footnote 4" xfId="10246" xr:uid="{00000000-0005-0000-0000-000036260000}"/>
    <cellStyle name="From" xfId="10247" xr:uid="{00000000-0005-0000-0000-000037260000}"/>
    <cellStyle name="Good" xfId="10248" xr:uid="{00000000-0005-0000-0000-000038260000}"/>
    <cellStyle name="Green" xfId="10249" xr:uid="{00000000-0005-0000-0000-000039260000}"/>
    <cellStyle name="Hard Percent" xfId="10250" xr:uid="{00000000-0005-0000-0000-00003A260000}"/>
    <cellStyle name="Hard Percent 2" xfId="10251" xr:uid="{00000000-0005-0000-0000-00003B260000}"/>
    <cellStyle name="Hard Percent 3" xfId="10252" xr:uid="{00000000-0005-0000-0000-00003C260000}"/>
    <cellStyle name="Hard Percent 4" xfId="10253" xr:uid="{00000000-0005-0000-0000-00003D260000}"/>
    <cellStyle name="Header" xfId="10254" xr:uid="{00000000-0005-0000-0000-00003E260000}"/>
    <cellStyle name="Header 2" xfId="10255" xr:uid="{00000000-0005-0000-0000-00003F260000}"/>
    <cellStyle name="Header 3" xfId="10256" xr:uid="{00000000-0005-0000-0000-000040260000}"/>
    <cellStyle name="Header 4" xfId="10257" xr:uid="{00000000-0005-0000-0000-000041260000}"/>
    <cellStyle name="Header style" xfId="29" xr:uid="{00000000-0005-0000-0000-000042260000}"/>
    <cellStyle name="Header1" xfId="10258" xr:uid="{00000000-0005-0000-0000-000043260000}"/>
    <cellStyle name="Header2" xfId="10259" xr:uid="{00000000-0005-0000-0000-000044260000}"/>
    <cellStyle name="Header2 10" xfId="10260" xr:uid="{00000000-0005-0000-0000-000045260000}"/>
    <cellStyle name="Header2 10 2" xfId="10261" xr:uid="{00000000-0005-0000-0000-000046260000}"/>
    <cellStyle name="Header2 10 2 2" xfId="10262" xr:uid="{00000000-0005-0000-0000-000047260000}"/>
    <cellStyle name="Header2 10 2 2 2" xfId="10263" xr:uid="{00000000-0005-0000-0000-000048260000}"/>
    <cellStyle name="Header2 10 2 2 2 2" xfId="10264" xr:uid="{00000000-0005-0000-0000-000049260000}"/>
    <cellStyle name="Header2 10 2 2 3" xfId="10265" xr:uid="{00000000-0005-0000-0000-00004A260000}"/>
    <cellStyle name="Header2 10 2 2 3 2" xfId="10266" xr:uid="{00000000-0005-0000-0000-00004B260000}"/>
    <cellStyle name="Header2 10 2 2 4" xfId="10267" xr:uid="{00000000-0005-0000-0000-00004C260000}"/>
    <cellStyle name="Header2 10 2 3" xfId="10268" xr:uid="{00000000-0005-0000-0000-00004D260000}"/>
    <cellStyle name="Header2 10 2 3 2" xfId="10269" xr:uid="{00000000-0005-0000-0000-00004E260000}"/>
    <cellStyle name="Header2 10 2 3 2 2" xfId="10270" xr:uid="{00000000-0005-0000-0000-00004F260000}"/>
    <cellStyle name="Header2 10 2 3 3" xfId="10271" xr:uid="{00000000-0005-0000-0000-000050260000}"/>
    <cellStyle name="Header2 10 2 3 3 2" xfId="10272" xr:uid="{00000000-0005-0000-0000-000051260000}"/>
    <cellStyle name="Header2 10 2 3 4" xfId="10273" xr:uid="{00000000-0005-0000-0000-000052260000}"/>
    <cellStyle name="Header2 10 2 4" xfId="10274" xr:uid="{00000000-0005-0000-0000-000053260000}"/>
    <cellStyle name="Header2 10 2 4 2" xfId="10275" xr:uid="{00000000-0005-0000-0000-000054260000}"/>
    <cellStyle name="Header2 10 2 5" xfId="10276" xr:uid="{00000000-0005-0000-0000-000055260000}"/>
    <cellStyle name="Header2 10 2 5 2" xfId="10277" xr:uid="{00000000-0005-0000-0000-000056260000}"/>
    <cellStyle name="Header2 10 2 6" xfId="10278" xr:uid="{00000000-0005-0000-0000-000057260000}"/>
    <cellStyle name="Header2 10 3" xfId="10279" xr:uid="{00000000-0005-0000-0000-000058260000}"/>
    <cellStyle name="Header2 10 3 2" xfId="10280" xr:uid="{00000000-0005-0000-0000-000059260000}"/>
    <cellStyle name="Header2 10 3 2 2" xfId="10281" xr:uid="{00000000-0005-0000-0000-00005A260000}"/>
    <cellStyle name="Header2 10 3 2 2 2" xfId="10282" xr:uid="{00000000-0005-0000-0000-00005B260000}"/>
    <cellStyle name="Header2 10 3 2 3" xfId="10283" xr:uid="{00000000-0005-0000-0000-00005C260000}"/>
    <cellStyle name="Header2 10 3 2 3 2" xfId="10284" xr:uid="{00000000-0005-0000-0000-00005D260000}"/>
    <cellStyle name="Header2 10 3 2 4" xfId="10285" xr:uid="{00000000-0005-0000-0000-00005E260000}"/>
    <cellStyle name="Header2 10 3 3" xfId="10286" xr:uid="{00000000-0005-0000-0000-00005F260000}"/>
    <cellStyle name="Header2 10 3 3 2" xfId="10287" xr:uid="{00000000-0005-0000-0000-000060260000}"/>
    <cellStyle name="Header2 10 3 3 2 2" xfId="10288" xr:uid="{00000000-0005-0000-0000-000061260000}"/>
    <cellStyle name="Header2 10 3 3 3" xfId="10289" xr:uid="{00000000-0005-0000-0000-000062260000}"/>
    <cellStyle name="Header2 10 3 3 3 2" xfId="10290" xr:uid="{00000000-0005-0000-0000-000063260000}"/>
    <cellStyle name="Header2 10 3 3 4" xfId="10291" xr:uid="{00000000-0005-0000-0000-000064260000}"/>
    <cellStyle name="Header2 10 3 4" xfId="10292" xr:uid="{00000000-0005-0000-0000-000065260000}"/>
    <cellStyle name="Header2 10 3 4 2" xfId="10293" xr:uid="{00000000-0005-0000-0000-000066260000}"/>
    <cellStyle name="Header2 10 3 5" xfId="10294" xr:uid="{00000000-0005-0000-0000-000067260000}"/>
    <cellStyle name="Header2 10 3 5 2" xfId="10295" xr:uid="{00000000-0005-0000-0000-000068260000}"/>
    <cellStyle name="Header2 10 3 6" xfId="10296" xr:uid="{00000000-0005-0000-0000-000069260000}"/>
    <cellStyle name="Header2 10 4" xfId="10297" xr:uid="{00000000-0005-0000-0000-00006A260000}"/>
    <cellStyle name="Header2 10 4 2" xfId="10298" xr:uid="{00000000-0005-0000-0000-00006B260000}"/>
    <cellStyle name="Header2 10 4 2 2" xfId="10299" xr:uid="{00000000-0005-0000-0000-00006C260000}"/>
    <cellStyle name="Header2 10 4 2 2 2" xfId="10300" xr:uid="{00000000-0005-0000-0000-00006D260000}"/>
    <cellStyle name="Header2 10 4 2 3" xfId="10301" xr:uid="{00000000-0005-0000-0000-00006E260000}"/>
    <cellStyle name="Header2 10 4 2 3 2" xfId="10302" xr:uid="{00000000-0005-0000-0000-00006F260000}"/>
    <cellStyle name="Header2 10 4 2 4" xfId="10303" xr:uid="{00000000-0005-0000-0000-000070260000}"/>
    <cellStyle name="Header2 10 4 3" xfId="10304" xr:uid="{00000000-0005-0000-0000-000071260000}"/>
    <cellStyle name="Header2 10 4 3 2" xfId="10305" xr:uid="{00000000-0005-0000-0000-000072260000}"/>
    <cellStyle name="Header2 10 4 3 2 2" xfId="10306" xr:uid="{00000000-0005-0000-0000-000073260000}"/>
    <cellStyle name="Header2 10 4 3 3" xfId="10307" xr:uid="{00000000-0005-0000-0000-000074260000}"/>
    <cellStyle name="Header2 10 4 3 3 2" xfId="10308" xr:uid="{00000000-0005-0000-0000-000075260000}"/>
    <cellStyle name="Header2 10 4 3 4" xfId="10309" xr:uid="{00000000-0005-0000-0000-000076260000}"/>
    <cellStyle name="Header2 10 4 4" xfId="10310" xr:uid="{00000000-0005-0000-0000-000077260000}"/>
    <cellStyle name="Header2 10 4 4 2" xfId="10311" xr:uid="{00000000-0005-0000-0000-000078260000}"/>
    <cellStyle name="Header2 10 4 5" xfId="10312" xr:uid="{00000000-0005-0000-0000-000079260000}"/>
    <cellStyle name="Header2 10 4 5 2" xfId="10313" xr:uid="{00000000-0005-0000-0000-00007A260000}"/>
    <cellStyle name="Header2 10 4 6" xfId="10314" xr:uid="{00000000-0005-0000-0000-00007B260000}"/>
    <cellStyle name="Header2 10 5" xfId="10315" xr:uid="{00000000-0005-0000-0000-00007C260000}"/>
    <cellStyle name="Header2 10 5 2" xfId="10316" xr:uid="{00000000-0005-0000-0000-00007D260000}"/>
    <cellStyle name="Header2 10 5 2 2" xfId="10317" xr:uid="{00000000-0005-0000-0000-00007E260000}"/>
    <cellStyle name="Header2 10 5 3" xfId="10318" xr:uid="{00000000-0005-0000-0000-00007F260000}"/>
    <cellStyle name="Header2 10 5 3 2" xfId="10319" xr:uid="{00000000-0005-0000-0000-000080260000}"/>
    <cellStyle name="Header2 10 5 4" xfId="10320" xr:uid="{00000000-0005-0000-0000-000081260000}"/>
    <cellStyle name="Header2 10 6" xfId="10321" xr:uid="{00000000-0005-0000-0000-000082260000}"/>
    <cellStyle name="Header2 10 6 2" xfId="10322" xr:uid="{00000000-0005-0000-0000-000083260000}"/>
    <cellStyle name="Header2 10 6 2 2" xfId="10323" xr:uid="{00000000-0005-0000-0000-000084260000}"/>
    <cellStyle name="Header2 10 6 3" xfId="10324" xr:uid="{00000000-0005-0000-0000-000085260000}"/>
    <cellStyle name="Header2 10 6 3 2" xfId="10325" xr:uid="{00000000-0005-0000-0000-000086260000}"/>
    <cellStyle name="Header2 10 6 4" xfId="10326" xr:uid="{00000000-0005-0000-0000-000087260000}"/>
    <cellStyle name="Header2 10 7" xfId="10327" xr:uid="{00000000-0005-0000-0000-000088260000}"/>
    <cellStyle name="Header2 10 7 2" xfId="10328" xr:uid="{00000000-0005-0000-0000-000089260000}"/>
    <cellStyle name="Header2 10 8" xfId="10329" xr:uid="{00000000-0005-0000-0000-00008A260000}"/>
    <cellStyle name="Header2 10 8 2" xfId="10330" xr:uid="{00000000-0005-0000-0000-00008B260000}"/>
    <cellStyle name="Header2 10 9" xfId="10331" xr:uid="{00000000-0005-0000-0000-00008C260000}"/>
    <cellStyle name="Header2 11" xfId="10332" xr:uid="{00000000-0005-0000-0000-00008D260000}"/>
    <cellStyle name="Header2 11 2" xfId="10333" xr:uid="{00000000-0005-0000-0000-00008E260000}"/>
    <cellStyle name="Header2 11 2 2" xfId="10334" xr:uid="{00000000-0005-0000-0000-00008F260000}"/>
    <cellStyle name="Header2 11 2 2 2" xfId="10335" xr:uid="{00000000-0005-0000-0000-000090260000}"/>
    <cellStyle name="Header2 11 2 2 2 2" xfId="10336" xr:uid="{00000000-0005-0000-0000-000091260000}"/>
    <cellStyle name="Header2 11 2 2 3" xfId="10337" xr:uid="{00000000-0005-0000-0000-000092260000}"/>
    <cellStyle name="Header2 11 2 2 3 2" xfId="10338" xr:uid="{00000000-0005-0000-0000-000093260000}"/>
    <cellStyle name="Header2 11 2 2 4" xfId="10339" xr:uid="{00000000-0005-0000-0000-000094260000}"/>
    <cellStyle name="Header2 11 2 3" xfId="10340" xr:uid="{00000000-0005-0000-0000-000095260000}"/>
    <cellStyle name="Header2 11 2 3 2" xfId="10341" xr:uid="{00000000-0005-0000-0000-000096260000}"/>
    <cellStyle name="Header2 11 2 3 2 2" xfId="10342" xr:uid="{00000000-0005-0000-0000-000097260000}"/>
    <cellStyle name="Header2 11 2 3 3" xfId="10343" xr:uid="{00000000-0005-0000-0000-000098260000}"/>
    <cellStyle name="Header2 11 2 3 3 2" xfId="10344" xr:uid="{00000000-0005-0000-0000-000099260000}"/>
    <cellStyle name="Header2 11 2 3 4" xfId="10345" xr:uid="{00000000-0005-0000-0000-00009A260000}"/>
    <cellStyle name="Header2 11 2 4" xfId="10346" xr:uid="{00000000-0005-0000-0000-00009B260000}"/>
    <cellStyle name="Header2 11 2 4 2" xfId="10347" xr:uid="{00000000-0005-0000-0000-00009C260000}"/>
    <cellStyle name="Header2 11 2 5" xfId="10348" xr:uid="{00000000-0005-0000-0000-00009D260000}"/>
    <cellStyle name="Header2 11 2 5 2" xfId="10349" xr:uid="{00000000-0005-0000-0000-00009E260000}"/>
    <cellStyle name="Header2 11 2 6" xfId="10350" xr:uid="{00000000-0005-0000-0000-00009F260000}"/>
    <cellStyle name="Header2 11 3" xfId="10351" xr:uid="{00000000-0005-0000-0000-0000A0260000}"/>
    <cellStyle name="Header2 11 3 2" xfId="10352" xr:uid="{00000000-0005-0000-0000-0000A1260000}"/>
    <cellStyle name="Header2 11 3 2 2" xfId="10353" xr:uid="{00000000-0005-0000-0000-0000A2260000}"/>
    <cellStyle name="Header2 11 3 2 2 2" xfId="10354" xr:uid="{00000000-0005-0000-0000-0000A3260000}"/>
    <cellStyle name="Header2 11 3 2 3" xfId="10355" xr:uid="{00000000-0005-0000-0000-0000A4260000}"/>
    <cellStyle name="Header2 11 3 2 3 2" xfId="10356" xr:uid="{00000000-0005-0000-0000-0000A5260000}"/>
    <cellStyle name="Header2 11 3 2 4" xfId="10357" xr:uid="{00000000-0005-0000-0000-0000A6260000}"/>
    <cellStyle name="Header2 11 3 3" xfId="10358" xr:uid="{00000000-0005-0000-0000-0000A7260000}"/>
    <cellStyle name="Header2 11 3 3 2" xfId="10359" xr:uid="{00000000-0005-0000-0000-0000A8260000}"/>
    <cellStyle name="Header2 11 3 3 2 2" xfId="10360" xr:uid="{00000000-0005-0000-0000-0000A9260000}"/>
    <cellStyle name="Header2 11 3 3 3" xfId="10361" xr:uid="{00000000-0005-0000-0000-0000AA260000}"/>
    <cellStyle name="Header2 11 3 3 3 2" xfId="10362" xr:uid="{00000000-0005-0000-0000-0000AB260000}"/>
    <cellStyle name="Header2 11 3 3 4" xfId="10363" xr:uid="{00000000-0005-0000-0000-0000AC260000}"/>
    <cellStyle name="Header2 11 3 4" xfId="10364" xr:uid="{00000000-0005-0000-0000-0000AD260000}"/>
    <cellStyle name="Header2 11 3 4 2" xfId="10365" xr:uid="{00000000-0005-0000-0000-0000AE260000}"/>
    <cellStyle name="Header2 11 3 5" xfId="10366" xr:uid="{00000000-0005-0000-0000-0000AF260000}"/>
    <cellStyle name="Header2 11 3 5 2" xfId="10367" xr:uid="{00000000-0005-0000-0000-0000B0260000}"/>
    <cellStyle name="Header2 11 3 6" xfId="10368" xr:uid="{00000000-0005-0000-0000-0000B1260000}"/>
    <cellStyle name="Header2 11 4" xfId="10369" xr:uid="{00000000-0005-0000-0000-0000B2260000}"/>
    <cellStyle name="Header2 11 4 2" xfId="10370" xr:uid="{00000000-0005-0000-0000-0000B3260000}"/>
    <cellStyle name="Header2 11 4 2 2" xfId="10371" xr:uid="{00000000-0005-0000-0000-0000B4260000}"/>
    <cellStyle name="Header2 11 4 2 2 2" xfId="10372" xr:uid="{00000000-0005-0000-0000-0000B5260000}"/>
    <cellStyle name="Header2 11 4 2 3" xfId="10373" xr:uid="{00000000-0005-0000-0000-0000B6260000}"/>
    <cellStyle name="Header2 11 4 2 3 2" xfId="10374" xr:uid="{00000000-0005-0000-0000-0000B7260000}"/>
    <cellStyle name="Header2 11 4 2 4" xfId="10375" xr:uid="{00000000-0005-0000-0000-0000B8260000}"/>
    <cellStyle name="Header2 11 4 3" xfId="10376" xr:uid="{00000000-0005-0000-0000-0000B9260000}"/>
    <cellStyle name="Header2 11 4 3 2" xfId="10377" xr:uid="{00000000-0005-0000-0000-0000BA260000}"/>
    <cellStyle name="Header2 11 4 3 2 2" xfId="10378" xr:uid="{00000000-0005-0000-0000-0000BB260000}"/>
    <cellStyle name="Header2 11 4 3 3" xfId="10379" xr:uid="{00000000-0005-0000-0000-0000BC260000}"/>
    <cellStyle name="Header2 11 4 3 3 2" xfId="10380" xr:uid="{00000000-0005-0000-0000-0000BD260000}"/>
    <cellStyle name="Header2 11 4 3 4" xfId="10381" xr:uid="{00000000-0005-0000-0000-0000BE260000}"/>
    <cellStyle name="Header2 11 4 4" xfId="10382" xr:uid="{00000000-0005-0000-0000-0000BF260000}"/>
    <cellStyle name="Header2 11 4 4 2" xfId="10383" xr:uid="{00000000-0005-0000-0000-0000C0260000}"/>
    <cellStyle name="Header2 11 4 5" xfId="10384" xr:uid="{00000000-0005-0000-0000-0000C1260000}"/>
    <cellStyle name="Header2 11 4 5 2" xfId="10385" xr:uid="{00000000-0005-0000-0000-0000C2260000}"/>
    <cellStyle name="Header2 11 4 6" xfId="10386" xr:uid="{00000000-0005-0000-0000-0000C3260000}"/>
    <cellStyle name="Header2 11 5" xfId="10387" xr:uid="{00000000-0005-0000-0000-0000C4260000}"/>
    <cellStyle name="Header2 11 5 2" xfId="10388" xr:uid="{00000000-0005-0000-0000-0000C5260000}"/>
    <cellStyle name="Header2 11 5 2 2" xfId="10389" xr:uid="{00000000-0005-0000-0000-0000C6260000}"/>
    <cellStyle name="Header2 11 5 3" xfId="10390" xr:uid="{00000000-0005-0000-0000-0000C7260000}"/>
    <cellStyle name="Header2 11 5 3 2" xfId="10391" xr:uid="{00000000-0005-0000-0000-0000C8260000}"/>
    <cellStyle name="Header2 11 5 4" xfId="10392" xr:uid="{00000000-0005-0000-0000-0000C9260000}"/>
    <cellStyle name="Header2 11 6" xfId="10393" xr:uid="{00000000-0005-0000-0000-0000CA260000}"/>
    <cellStyle name="Header2 11 6 2" xfId="10394" xr:uid="{00000000-0005-0000-0000-0000CB260000}"/>
    <cellStyle name="Header2 11 6 2 2" xfId="10395" xr:uid="{00000000-0005-0000-0000-0000CC260000}"/>
    <cellStyle name="Header2 11 6 3" xfId="10396" xr:uid="{00000000-0005-0000-0000-0000CD260000}"/>
    <cellStyle name="Header2 11 6 3 2" xfId="10397" xr:uid="{00000000-0005-0000-0000-0000CE260000}"/>
    <cellStyle name="Header2 11 6 4" xfId="10398" xr:uid="{00000000-0005-0000-0000-0000CF260000}"/>
    <cellStyle name="Header2 11 7" xfId="10399" xr:uid="{00000000-0005-0000-0000-0000D0260000}"/>
    <cellStyle name="Header2 11 7 2" xfId="10400" xr:uid="{00000000-0005-0000-0000-0000D1260000}"/>
    <cellStyle name="Header2 11 8" xfId="10401" xr:uid="{00000000-0005-0000-0000-0000D2260000}"/>
    <cellStyle name="Header2 11 8 2" xfId="10402" xr:uid="{00000000-0005-0000-0000-0000D3260000}"/>
    <cellStyle name="Header2 11 9" xfId="10403" xr:uid="{00000000-0005-0000-0000-0000D4260000}"/>
    <cellStyle name="Header2 12" xfId="10404" xr:uid="{00000000-0005-0000-0000-0000D5260000}"/>
    <cellStyle name="Header2 12 2" xfId="10405" xr:uid="{00000000-0005-0000-0000-0000D6260000}"/>
    <cellStyle name="Header2 12 2 2" xfId="10406" xr:uid="{00000000-0005-0000-0000-0000D7260000}"/>
    <cellStyle name="Header2 12 2 2 2" xfId="10407" xr:uid="{00000000-0005-0000-0000-0000D8260000}"/>
    <cellStyle name="Header2 12 2 2 2 2" xfId="10408" xr:uid="{00000000-0005-0000-0000-0000D9260000}"/>
    <cellStyle name="Header2 12 2 2 3" xfId="10409" xr:uid="{00000000-0005-0000-0000-0000DA260000}"/>
    <cellStyle name="Header2 12 2 2 3 2" xfId="10410" xr:uid="{00000000-0005-0000-0000-0000DB260000}"/>
    <cellStyle name="Header2 12 2 2 4" xfId="10411" xr:uid="{00000000-0005-0000-0000-0000DC260000}"/>
    <cellStyle name="Header2 12 2 3" xfId="10412" xr:uid="{00000000-0005-0000-0000-0000DD260000}"/>
    <cellStyle name="Header2 12 2 3 2" xfId="10413" xr:uid="{00000000-0005-0000-0000-0000DE260000}"/>
    <cellStyle name="Header2 12 2 3 2 2" xfId="10414" xr:uid="{00000000-0005-0000-0000-0000DF260000}"/>
    <cellStyle name="Header2 12 2 3 3" xfId="10415" xr:uid="{00000000-0005-0000-0000-0000E0260000}"/>
    <cellStyle name="Header2 12 2 3 3 2" xfId="10416" xr:uid="{00000000-0005-0000-0000-0000E1260000}"/>
    <cellStyle name="Header2 12 2 3 4" xfId="10417" xr:uid="{00000000-0005-0000-0000-0000E2260000}"/>
    <cellStyle name="Header2 12 2 4" xfId="10418" xr:uid="{00000000-0005-0000-0000-0000E3260000}"/>
    <cellStyle name="Header2 12 2 4 2" xfId="10419" xr:uid="{00000000-0005-0000-0000-0000E4260000}"/>
    <cellStyle name="Header2 12 2 5" xfId="10420" xr:uid="{00000000-0005-0000-0000-0000E5260000}"/>
    <cellStyle name="Header2 12 2 5 2" xfId="10421" xr:uid="{00000000-0005-0000-0000-0000E6260000}"/>
    <cellStyle name="Header2 12 2 6" xfId="10422" xr:uid="{00000000-0005-0000-0000-0000E7260000}"/>
    <cellStyle name="Header2 12 3" xfId="10423" xr:uid="{00000000-0005-0000-0000-0000E8260000}"/>
    <cellStyle name="Header2 12 3 2" xfId="10424" xr:uid="{00000000-0005-0000-0000-0000E9260000}"/>
    <cellStyle name="Header2 12 3 2 2" xfId="10425" xr:uid="{00000000-0005-0000-0000-0000EA260000}"/>
    <cellStyle name="Header2 12 3 2 2 2" xfId="10426" xr:uid="{00000000-0005-0000-0000-0000EB260000}"/>
    <cellStyle name="Header2 12 3 2 3" xfId="10427" xr:uid="{00000000-0005-0000-0000-0000EC260000}"/>
    <cellStyle name="Header2 12 3 2 3 2" xfId="10428" xr:uid="{00000000-0005-0000-0000-0000ED260000}"/>
    <cellStyle name="Header2 12 3 2 4" xfId="10429" xr:uid="{00000000-0005-0000-0000-0000EE260000}"/>
    <cellStyle name="Header2 12 3 3" xfId="10430" xr:uid="{00000000-0005-0000-0000-0000EF260000}"/>
    <cellStyle name="Header2 12 3 3 2" xfId="10431" xr:uid="{00000000-0005-0000-0000-0000F0260000}"/>
    <cellStyle name="Header2 12 3 3 2 2" xfId="10432" xr:uid="{00000000-0005-0000-0000-0000F1260000}"/>
    <cellStyle name="Header2 12 3 3 3" xfId="10433" xr:uid="{00000000-0005-0000-0000-0000F2260000}"/>
    <cellStyle name="Header2 12 3 3 3 2" xfId="10434" xr:uid="{00000000-0005-0000-0000-0000F3260000}"/>
    <cellStyle name="Header2 12 3 3 4" xfId="10435" xr:uid="{00000000-0005-0000-0000-0000F4260000}"/>
    <cellStyle name="Header2 12 3 4" xfId="10436" xr:uid="{00000000-0005-0000-0000-0000F5260000}"/>
    <cellStyle name="Header2 12 3 4 2" xfId="10437" xr:uid="{00000000-0005-0000-0000-0000F6260000}"/>
    <cellStyle name="Header2 12 3 5" xfId="10438" xr:uid="{00000000-0005-0000-0000-0000F7260000}"/>
    <cellStyle name="Header2 12 3 5 2" xfId="10439" xr:uid="{00000000-0005-0000-0000-0000F8260000}"/>
    <cellStyle name="Header2 12 3 6" xfId="10440" xr:uid="{00000000-0005-0000-0000-0000F9260000}"/>
    <cellStyle name="Header2 12 4" xfId="10441" xr:uid="{00000000-0005-0000-0000-0000FA260000}"/>
    <cellStyle name="Header2 12 4 2" xfId="10442" xr:uid="{00000000-0005-0000-0000-0000FB260000}"/>
    <cellStyle name="Header2 12 4 2 2" xfId="10443" xr:uid="{00000000-0005-0000-0000-0000FC260000}"/>
    <cellStyle name="Header2 12 4 2 2 2" xfId="10444" xr:uid="{00000000-0005-0000-0000-0000FD260000}"/>
    <cellStyle name="Header2 12 4 2 3" xfId="10445" xr:uid="{00000000-0005-0000-0000-0000FE260000}"/>
    <cellStyle name="Header2 12 4 2 3 2" xfId="10446" xr:uid="{00000000-0005-0000-0000-0000FF260000}"/>
    <cellStyle name="Header2 12 4 2 4" xfId="10447" xr:uid="{00000000-0005-0000-0000-000000270000}"/>
    <cellStyle name="Header2 12 4 3" xfId="10448" xr:uid="{00000000-0005-0000-0000-000001270000}"/>
    <cellStyle name="Header2 12 4 3 2" xfId="10449" xr:uid="{00000000-0005-0000-0000-000002270000}"/>
    <cellStyle name="Header2 12 4 3 2 2" xfId="10450" xr:uid="{00000000-0005-0000-0000-000003270000}"/>
    <cellStyle name="Header2 12 4 3 3" xfId="10451" xr:uid="{00000000-0005-0000-0000-000004270000}"/>
    <cellStyle name="Header2 12 4 3 3 2" xfId="10452" xr:uid="{00000000-0005-0000-0000-000005270000}"/>
    <cellStyle name="Header2 12 4 3 4" xfId="10453" xr:uid="{00000000-0005-0000-0000-000006270000}"/>
    <cellStyle name="Header2 12 4 4" xfId="10454" xr:uid="{00000000-0005-0000-0000-000007270000}"/>
    <cellStyle name="Header2 12 4 4 2" xfId="10455" xr:uid="{00000000-0005-0000-0000-000008270000}"/>
    <cellStyle name="Header2 12 4 5" xfId="10456" xr:uid="{00000000-0005-0000-0000-000009270000}"/>
    <cellStyle name="Header2 12 4 5 2" xfId="10457" xr:uid="{00000000-0005-0000-0000-00000A270000}"/>
    <cellStyle name="Header2 12 4 6" xfId="10458" xr:uid="{00000000-0005-0000-0000-00000B270000}"/>
    <cellStyle name="Header2 12 5" xfId="10459" xr:uid="{00000000-0005-0000-0000-00000C270000}"/>
    <cellStyle name="Header2 12 5 2" xfId="10460" xr:uid="{00000000-0005-0000-0000-00000D270000}"/>
    <cellStyle name="Header2 12 5 2 2" xfId="10461" xr:uid="{00000000-0005-0000-0000-00000E270000}"/>
    <cellStyle name="Header2 12 5 3" xfId="10462" xr:uid="{00000000-0005-0000-0000-00000F270000}"/>
    <cellStyle name="Header2 12 5 3 2" xfId="10463" xr:uid="{00000000-0005-0000-0000-000010270000}"/>
    <cellStyle name="Header2 12 5 4" xfId="10464" xr:uid="{00000000-0005-0000-0000-000011270000}"/>
    <cellStyle name="Header2 12 6" xfId="10465" xr:uid="{00000000-0005-0000-0000-000012270000}"/>
    <cellStyle name="Header2 12 6 2" xfId="10466" xr:uid="{00000000-0005-0000-0000-000013270000}"/>
    <cellStyle name="Header2 12 6 2 2" xfId="10467" xr:uid="{00000000-0005-0000-0000-000014270000}"/>
    <cellStyle name="Header2 12 6 3" xfId="10468" xr:uid="{00000000-0005-0000-0000-000015270000}"/>
    <cellStyle name="Header2 12 6 3 2" xfId="10469" xr:uid="{00000000-0005-0000-0000-000016270000}"/>
    <cellStyle name="Header2 12 6 4" xfId="10470" xr:uid="{00000000-0005-0000-0000-000017270000}"/>
    <cellStyle name="Header2 12 7" xfId="10471" xr:uid="{00000000-0005-0000-0000-000018270000}"/>
    <cellStyle name="Header2 12 7 2" xfId="10472" xr:uid="{00000000-0005-0000-0000-000019270000}"/>
    <cellStyle name="Header2 12 8" xfId="10473" xr:uid="{00000000-0005-0000-0000-00001A270000}"/>
    <cellStyle name="Header2 12 8 2" xfId="10474" xr:uid="{00000000-0005-0000-0000-00001B270000}"/>
    <cellStyle name="Header2 12 9" xfId="10475" xr:uid="{00000000-0005-0000-0000-00001C270000}"/>
    <cellStyle name="Header2 13" xfId="10476" xr:uid="{00000000-0005-0000-0000-00001D270000}"/>
    <cellStyle name="Header2 13 2" xfId="10477" xr:uid="{00000000-0005-0000-0000-00001E270000}"/>
    <cellStyle name="Header2 13 2 2" xfId="10478" xr:uid="{00000000-0005-0000-0000-00001F270000}"/>
    <cellStyle name="Header2 13 2 2 2" xfId="10479" xr:uid="{00000000-0005-0000-0000-000020270000}"/>
    <cellStyle name="Header2 13 2 2 2 2" xfId="10480" xr:uid="{00000000-0005-0000-0000-000021270000}"/>
    <cellStyle name="Header2 13 2 2 3" xfId="10481" xr:uid="{00000000-0005-0000-0000-000022270000}"/>
    <cellStyle name="Header2 13 2 2 3 2" xfId="10482" xr:uid="{00000000-0005-0000-0000-000023270000}"/>
    <cellStyle name="Header2 13 2 2 4" xfId="10483" xr:uid="{00000000-0005-0000-0000-000024270000}"/>
    <cellStyle name="Header2 13 2 3" xfId="10484" xr:uid="{00000000-0005-0000-0000-000025270000}"/>
    <cellStyle name="Header2 13 2 3 2" xfId="10485" xr:uid="{00000000-0005-0000-0000-000026270000}"/>
    <cellStyle name="Header2 13 2 3 2 2" xfId="10486" xr:uid="{00000000-0005-0000-0000-000027270000}"/>
    <cellStyle name="Header2 13 2 3 3" xfId="10487" xr:uid="{00000000-0005-0000-0000-000028270000}"/>
    <cellStyle name="Header2 13 2 3 3 2" xfId="10488" xr:uid="{00000000-0005-0000-0000-000029270000}"/>
    <cellStyle name="Header2 13 2 3 4" xfId="10489" xr:uid="{00000000-0005-0000-0000-00002A270000}"/>
    <cellStyle name="Header2 13 2 4" xfId="10490" xr:uid="{00000000-0005-0000-0000-00002B270000}"/>
    <cellStyle name="Header2 13 2 4 2" xfId="10491" xr:uid="{00000000-0005-0000-0000-00002C270000}"/>
    <cellStyle name="Header2 13 2 5" xfId="10492" xr:uid="{00000000-0005-0000-0000-00002D270000}"/>
    <cellStyle name="Header2 13 2 5 2" xfId="10493" xr:uid="{00000000-0005-0000-0000-00002E270000}"/>
    <cellStyle name="Header2 13 2 6" xfId="10494" xr:uid="{00000000-0005-0000-0000-00002F270000}"/>
    <cellStyle name="Header2 13 3" xfId="10495" xr:uid="{00000000-0005-0000-0000-000030270000}"/>
    <cellStyle name="Header2 13 3 2" xfId="10496" xr:uid="{00000000-0005-0000-0000-000031270000}"/>
    <cellStyle name="Header2 13 3 2 2" xfId="10497" xr:uid="{00000000-0005-0000-0000-000032270000}"/>
    <cellStyle name="Header2 13 3 2 2 2" xfId="10498" xr:uid="{00000000-0005-0000-0000-000033270000}"/>
    <cellStyle name="Header2 13 3 2 3" xfId="10499" xr:uid="{00000000-0005-0000-0000-000034270000}"/>
    <cellStyle name="Header2 13 3 2 3 2" xfId="10500" xr:uid="{00000000-0005-0000-0000-000035270000}"/>
    <cellStyle name="Header2 13 3 2 4" xfId="10501" xr:uid="{00000000-0005-0000-0000-000036270000}"/>
    <cellStyle name="Header2 13 3 3" xfId="10502" xr:uid="{00000000-0005-0000-0000-000037270000}"/>
    <cellStyle name="Header2 13 3 3 2" xfId="10503" xr:uid="{00000000-0005-0000-0000-000038270000}"/>
    <cellStyle name="Header2 13 3 3 2 2" xfId="10504" xr:uid="{00000000-0005-0000-0000-000039270000}"/>
    <cellStyle name="Header2 13 3 3 3" xfId="10505" xr:uid="{00000000-0005-0000-0000-00003A270000}"/>
    <cellStyle name="Header2 13 3 3 3 2" xfId="10506" xr:uid="{00000000-0005-0000-0000-00003B270000}"/>
    <cellStyle name="Header2 13 3 3 4" xfId="10507" xr:uid="{00000000-0005-0000-0000-00003C270000}"/>
    <cellStyle name="Header2 13 3 4" xfId="10508" xr:uid="{00000000-0005-0000-0000-00003D270000}"/>
    <cellStyle name="Header2 13 3 4 2" xfId="10509" xr:uid="{00000000-0005-0000-0000-00003E270000}"/>
    <cellStyle name="Header2 13 3 5" xfId="10510" xr:uid="{00000000-0005-0000-0000-00003F270000}"/>
    <cellStyle name="Header2 13 3 5 2" xfId="10511" xr:uid="{00000000-0005-0000-0000-000040270000}"/>
    <cellStyle name="Header2 13 3 6" xfId="10512" xr:uid="{00000000-0005-0000-0000-000041270000}"/>
    <cellStyle name="Header2 13 4" xfId="10513" xr:uid="{00000000-0005-0000-0000-000042270000}"/>
    <cellStyle name="Header2 13 4 2" xfId="10514" xr:uid="{00000000-0005-0000-0000-000043270000}"/>
    <cellStyle name="Header2 13 4 2 2" xfId="10515" xr:uid="{00000000-0005-0000-0000-000044270000}"/>
    <cellStyle name="Header2 13 4 2 2 2" xfId="10516" xr:uid="{00000000-0005-0000-0000-000045270000}"/>
    <cellStyle name="Header2 13 4 2 3" xfId="10517" xr:uid="{00000000-0005-0000-0000-000046270000}"/>
    <cellStyle name="Header2 13 4 2 3 2" xfId="10518" xr:uid="{00000000-0005-0000-0000-000047270000}"/>
    <cellStyle name="Header2 13 4 2 4" xfId="10519" xr:uid="{00000000-0005-0000-0000-000048270000}"/>
    <cellStyle name="Header2 13 4 3" xfId="10520" xr:uid="{00000000-0005-0000-0000-000049270000}"/>
    <cellStyle name="Header2 13 4 3 2" xfId="10521" xr:uid="{00000000-0005-0000-0000-00004A270000}"/>
    <cellStyle name="Header2 13 4 3 2 2" xfId="10522" xr:uid="{00000000-0005-0000-0000-00004B270000}"/>
    <cellStyle name="Header2 13 4 3 3" xfId="10523" xr:uid="{00000000-0005-0000-0000-00004C270000}"/>
    <cellStyle name="Header2 13 4 3 3 2" xfId="10524" xr:uid="{00000000-0005-0000-0000-00004D270000}"/>
    <cellStyle name="Header2 13 4 3 4" xfId="10525" xr:uid="{00000000-0005-0000-0000-00004E270000}"/>
    <cellStyle name="Header2 13 4 4" xfId="10526" xr:uid="{00000000-0005-0000-0000-00004F270000}"/>
    <cellStyle name="Header2 13 4 4 2" xfId="10527" xr:uid="{00000000-0005-0000-0000-000050270000}"/>
    <cellStyle name="Header2 13 4 5" xfId="10528" xr:uid="{00000000-0005-0000-0000-000051270000}"/>
    <cellStyle name="Header2 13 4 5 2" xfId="10529" xr:uid="{00000000-0005-0000-0000-000052270000}"/>
    <cellStyle name="Header2 13 4 6" xfId="10530" xr:uid="{00000000-0005-0000-0000-000053270000}"/>
    <cellStyle name="Header2 13 5" xfId="10531" xr:uid="{00000000-0005-0000-0000-000054270000}"/>
    <cellStyle name="Header2 13 5 2" xfId="10532" xr:uid="{00000000-0005-0000-0000-000055270000}"/>
    <cellStyle name="Header2 13 5 2 2" xfId="10533" xr:uid="{00000000-0005-0000-0000-000056270000}"/>
    <cellStyle name="Header2 13 5 3" xfId="10534" xr:uid="{00000000-0005-0000-0000-000057270000}"/>
    <cellStyle name="Header2 13 5 3 2" xfId="10535" xr:uid="{00000000-0005-0000-0000-000058270000}"/>
    <cellStyle name="Header2 13 5 4" xfId="10536" xr:uid="{00000000-0005-0000-0000-000059270000}"/>
    <cellStyle name="Header2 13 6" xfId="10537" xr:uid="{00000000-0005-0000-0000-00005A270000}"/>
    <cellStyle name="Header2 13 6 2" xfId="10538" xr:uid="{00000000-0005-0000-0000-00005B270000}"/>
    <cellStyle name="Header2 13 6 2 2" xfId="10539" xr:uid="{00000000-0005-0000-0000-00005C270000}"/>
    <cellStyle name="Header2 13 6 3" xfId="10540" xr:uid="{00000000-0005-0000-0000-00005D270000}"/>
    <cellStyle name="Header2 13 6 3 2" xfId="10541" xr:uid="{00000000-0005-0000-0000-00005E270000}"/>
    <cellStyle name="Header2 13 6 4" xfId="10542" xr:uid="{00000000-0005-0000-0000-00005F270000}"/>
    <cellStyle name="Header2 13 7" xfId="10543" xr:uid="{00000000-0005-0000-0000-000060270000}"/>
    <cellStyle name="Header2 13 7 2" xfId="10544" xr:uid="{00000000-0005-0000-0000-000061270000}"/>
    <cellStyle name="Header2 13 8" xfId="10545" xr:uid="{00000000-0005-0000-0000-000062270000}"/>
    <cellStyle name="Header2 13 8 2" xfId="10546" xr:uid="{00000000-0005-0000-0000-000063270000}"/>
    <cellStyle name="Header2 13 9" xfId="10547" xr:uid="{00000000-0005-0000-0000-000064270000}"/>
    <cellStyle name="Header2 14" xfId="10548" xr:uid="{00000000-0005-0000-0000-000065270000}"/>
    <cellStyle name="Header2 14 2" xfId="10549" xr:uid="{00000000-0005-0000-0000-000066270000}"/>
    <cellStyle name="Header2 14 2 2" xfId="10550" xr:uid="{00000000-0005-0000-0000-000067270000}"/>
    <cellStyle name="Header2 14 2 2 2" xfId="10551" xr:uid="{00000000-0005-0000-0000-000068270000}"/>
    <cellStyle name="Header2 14 2 2 2 2" xfId="10552" xr:uid="{00000000-0005-0000-0000-000069270000}"/>
    <cellStyle name="Header2 14 2 2 3" xfId="10553" xr:uid="{00000000-0005-0000-0000-00006A270000}"/>
    <cellStyle name="Header2 14 2 2 3 2" xfId="10554" xr:uid="{00000000-0005-0000-0000-00006B270000}"/>
    <cellStyle name="Header2 14 2 2 4" xfId="10555" xr:uid="{00000000-0005-0000-0000-00006C270000}"/>
    <cellStyle name="Header2 14 2 3" xfId="10556" xr:uid="{00000000-0005-0000-0000-00006D270000}"/>
    <cellStyle name="Header2 14 2 3 2" xfId="10557" xr:uid="{00000000-0005-0000-0000-00006E270000}"/>
    <cellStyle name="Header2 14 2 3 2 2" xfId="10558" xr:uid="{00000000-0005-0000-0000-00006F270000}"/>
    <cellStyle name="Header2 14 2 3 3" xfId="10559" xr:uid="{00000000-0005-0000-0000-000070270000}"/>
    <cellStyle name="Header2 14 2 3 3 2" xfId="10560" xr:uid="{00000000-0005-0000-0000-000071270000}"/>
    <cellStyle name="Header2 14 2 3 4" xfId="10561" xr:uid="{00000000-0005-0000-0000-000072270000}"/>
    <cellStyle name="Header2 14 2 4" xfId="10562" xr:uid="{00000000-0005-0000-0000-000073270000}"/>
    <cellStyle name="Header2 14 2 4 2" xfId="10563" xr:uid="{00000000-0005-0000-0000-000074270000}"/>
    <cellStyle name="Header2 14 2 5" xfId="10564" xr:uid="{00000000-0005-0000-0000-000075270000}"/>
    <cellStyle name="Header2 14 2 5 2" xfId="10565" xr:uid="{00000000-0005-0000-0000-000076270000}"/>
    <cellStyle name="Header2 14 2 6" xfId="10566" xr:uid="{00000000-0005-0000-0000-000077270000}"/>
    <cellStyle name="Header2 14 3" xfId="10567" xr:uid="{00000000-0005-0000-0000-000078270000}"/>
    <cellStyle name="Header2 14 3 2" xfId="10568" xr:uid="{00000000-0005-0000-0000-000079270000}"/>
    <cellStyle name="Header2 14 3 2 2" xfId="10569" xr:uid="{00000000-0005-0000-0000-00007A270000}"/>
    <cellStyle name="Header2 14 3 2 2 2" xfId="10570" xr:uid="{00000000-0005-0000-0000-00007B270000}"/>
    <cellStyle name="Header2 14 3 2 3" xfId="10571" xr:uid="{00000000-0005-0000-0000-00007C270000}"/>
    <cellStyle name="Header2 14 3 2 3 2" xfId="10572" xr:uid="{00000000-0005-0000-0000-00007D270000}"/>
    <cellStyle name="Header2 14 3 2 4" xfId="10573" xr:uid="{00000000-0005-0000-0000-00007E270000}"/>
    <cellStyle name="Header2 14 3 3" xfId="10574" xr:uid="{00000000-0005-0000-0000-00007F270000}"/>
    <cellStyle name="Header2 14 3 3 2" xfId="10575" xr:uid="{00000000-0005-0000-0000-000080270000}"/>
    <cellStyle name="Header2 14 3 3 2 2" xfId="10576" xr:uid="{00000000-0005-0000-0000-000081270000}"/>
    <cellStyle name="Header2 14 3 3 3" xfId="10577" xr:uid="{00000000-0005-0000-0000-000082270000}"/>
    <cellStyle name="Header2 14 3 3 3 2" xfId="10578" xr:uid="{00000000-0005-0000-0000-000083270000}"/>
    <cellStyle name="Header2 14 3 3 4" xfId="10579" xr:uid="{00000000-0005-0000-0000-000084270000}"/>
    <cellStyle name="Header2 14 3 4" xfId="10580" xr:uid="{00000000-0005-0000-0000-000085270000}"/>
    <cellStyle name="Header2 14 3 4 2" xfId="10581" xr:uid="{00000000-0005-0000-0000-000086270000}"/>
    <cellStyle name="Header2 14 3 5" xfId="10582" xr:uid="{00000000-0005-0000-0000-000087270000}"/>
    <cellStyle name="Header2 14 3 5 2" xfId="10583" xr:uid="{00000000-0005-0000-0000-000088270000}"/>
    <cellStyle name="Header2 14 3 6" xfId="10584" xr:uid="{00000000-0005-0000-0000-000089270000}"/>
    <cellStyle name="Header2 14 4" xfId="10585" xr:uid="{00000000-0005-0000-0000-00008A270000}"/>
    <cellStyle name="Header2 14 4 2" xfId="10586" xr:uid="{00000000-0005-0000-0000-00008B270000}"/>
    <cellStyle name="Header2 14 4 2 2" xfId="10587" xr:uid="{00000000-0005-0000-0000-00008C270000}"/>
    <cellStyle name="Header2 14 4 2 2 2" xfId="10588" xr:uid="{00000000-0005-0000-0000-00008D270000}"/>
    <cellStyle name="Header2 14 4 2 3" xfId="10589" xr:uid="{00000000-0005-0000-0000-00008E270000}"/>
    <cellStyle name="Header2 14 4 2 3 2" xfId="10590" xr:uid="{00000000-0005-0000-0000-00008F270000}"/>
    <cellStyle name="Header2 14 4 2 4" xfId="10591" xr:uid="{00000000-0005-0000-0000-000090270000}"/>
    <cellStyle name="Header2 14 4 3" xfId="10592" xr:uid="{00000000-0005-0000-0000-000091270000}"/>
    <cellStyle name="Header2 14 4 3 2" xfId="10593" xr:uid="{00000000-0005-0000-0000-000092270000}"/>
    <cellStyle name="Header2 14 4 3 2 2" xfId="10594" xr:uid="{00000000-0005-0000-0000-000093270000}"/>
    <cellStyle name="Header2 14 4 3 3" xfId="10595" xr:uid="{00000000-0005-0000-0000-000094270000}"/>
    <cellStyle name="Header2 14 4 3 3 2" xfId="10596" xr:uid="{00000000-0005-0000-0000-000095270000}"/>
    <cellStyle name="Header2 14 4 3 4" xfId="10597" xr:uid="{00000000-0005-0000-0000-000096270000}"/>
    <cellStyle name="Header2 14 4 4" xfId="10598" xr:uid="{00000000-0005-0000-0000-000097270000}"/>
    <cellStyle name="Header2 14 4 4 2" xfId="10599" xr:uid="{00000000-0005-0000-0000-000098270000}"/>
    <cellStyle name="Header2 14 4 5" xfId="10600" xr:uid="{00000000-0005-0000-0000-000099270000}"/>
    <cellStyle name="Header2 14 4 5 2" xfId="10601" xr:uid="{00000000-0005-0000-0000-00009A270000}"/>
    <cellStyle name="Header2 14 4 6" xfId="10602" xr:uid="{00000000-0005-0000-0000-00009B270000}"/>
    <cellStyle name="Header2 14 5" xfId="10603" xr:uid="{00000000-0005-0000-0000-00009C270000}"/>
    <cellStyle name="Header2 14 5 2" xfId="10604" xr:uid="{00000000-0005-0000-0000-00009D270000}"/>
    <cellStyle name="Header2 14 5 2 2" xfId="10605" xr:uid="{00000000-0005-0000-0000-00009E270000}"/>
    <cellStyle name="Header2 14 5 3" xfId="10606" xr:uid="{00000000-0005-0000-0000-00009F270000}"/>
    <cellStyle name="Header2 14 5 3 2" xfId="10607" xr:uid="{00000000-0005-0000-0000-0000A0270000}"/>
    <cellStyle name="Header2 14 5 4" xfId="10608" xr:uid="{00000000-0005-0000-0000-0000A1270000}"/>
    <cellStyle name="Header2 14 6" xfId="10609" xr:uid="{00000000-0005-0000-0000-0000A2270000}"/>
    <cellStyle name="Header2 14 6 2" xfId="10610" xr:uid="{00000000-0005-0000-0000-0000A3270000}"/>
    <cellStyle name="Header2 14 6 2 2" xfId="10611" xr:uid="{00000000-0005-0000-0000-0000A4270000}"/>
    <cellStyle name="Header2 14 6 3" xfId="10612" xr:uid="{00000000-0005-0000-0000-0000A5270000}"/>
    <cellStyle name="Header2 14 6 3 2" xfId="10613" xr:uid="{00000000-0005-0000-0000-0000A6270000}"/>
    <cellStyle name="Header2 14 6 4" xfId="10614" xr:uid="{00000000-0005-0000-0000-0000A7270000}"/>
    <cellStyle name="Header2 14 7" xfId="10615" xr:uid="{00000000-0005-0000-0000-0000A8270000}"/>
    <cellStyle name="Header2 14 7 2" xfId="10616" xr:uid="{00000000-0005-0000-0000-0000A9270000}"/>
    <cellStyle name="Header2 14 8" xfId="10617" xr:uid="{00000000-0005-0000-0000-0000AA270000}"/>
    <cellStyle name="Header2 14 8 2" xfId="10618" xr:uid="{00000000-0005-0000-0000-0000AB270000}"/>
    <cellStyle name="Header2 14 9" xfId="10619" xr:uid="{00000000-0005-0000-0000-0000AC270000}"/>
    <cellStyle name="Header2 15" xfId="10620" xr:uid="{00000000-0005-0000-0000-0000AD270000}"/>
    <cellStyle name="Header2 15 2" xfId="10621" xr:uid="{00000000-0005-0000-0000-0000AE270000}"/>
    <cellStyle name="Header2 15 2 2" xfId="10622" xr:uid="{00000000-0005-0000-0000-0000AF270000}"/>
    <cellStyle name="Header2 15 2 2 2" xfId="10623" xr:uid="{00000000-0005-0000-0000-0000B0270000}"/>
    <cellStyle name="Header2 15 2 2 2 2" xfId="10624" xr:uid="{00000000-0005-0000-0000-0000B1270000}"/>
    <cellStyle name="Header2 15 2 2 3" xfId="10625" xr:uid="{00000000-0005-0000-0000-0000B2270000}"/>
    <cellStyle name="Header2 15 2 2 3 2" xfId="10626" xr:uid="{00000000-0005-0000-0000-0000B3270000}"/>
    <cellStyle name="Header2 15 2 2 4" xfId="10627" xr:uid="{00000000-0005-0000-0000-0000B4270000}"/>
    <cellStyle name="Header2 15 2 3" xfId="10628" xr:uid="{00000000-0005-0000-0000-0000B5270000}"/>
    <cellStyle name="Header2 15 2 3 2" xfId="10629" xr:uid="{00000000-0005-0000-0000-0000B6270000}"/>
    <cellStyle name="Header2 15 2 3 2 2" xfId="10630" xr:uid="{00000000-0005-0000-0000-0000B7270000}"/>
    <cellStyle name="Header2 15 2 3 3" xfId="10631" xr:uid="{00000000-0005-0000-0000-0000B8270000}"/>
    <cellStyle name="Header2 15 2 3 3 2" xfId="10632" xr:uid="{00000000-0005-0000-0000-0000B9270000}"/>
    <cellStyle name="Header2 15 2 3 4" xfId="10633" xr:uid="{00000000-0005-0000-0000-0000BA270000}"/>
    <cellStyle name="Header2 15 2 4" xfId="10634" xr:uid="{00000000-0005-0000-0000-0000BB270000}"/>
    <cellStyle name="Header2 15 2 4 2" xfId="10635" xr:uid="{00000000-0005-0000-0000-0000BC270000}"/>
    <cellStyle name="Header2 15 2 5" xfId="10636" xr:uid="{00000000-0005-0000-0000-0000BD270000}"/>
    <cellStyle name="Header2 15 2 5 2" xfId="10637" xr:uid="{00000000-0005-0000-0000-0000BE270000}"/>
    <cellStyle name="Header2 15 2 6" xfId="10638" xr:uid="{00000000-0005-0000-0000-0000BF270000}"/>
    <cellStyle name="Header2 15 3" xfId="10639" xr:uid="{00000000-0005-0000-0000-0000C0270000}"/>
    <cellStyle name="Header2 15 3 2" xfId="10640" xr:uid="{00000000-0005-0000-0000-0000C1270000}"/>
    <cellStyle name="Header2 15 3 2 2" xfId="10641" xr:uid="{00000000-0005-0000-0000-0000C2270000}"/>
    <cellStyle name="Header2 15 3 2 2 2" xfId="10642" xr:uid="{00000000-0005-0000-0000-0000C3270000}"/>
    <cellStyle name="Header2 15 3 2 3" xfId="10643" xr:uid="{00000000-0005-0000-0000-0000C4270000}"/>
    <cellStyle name="Header2 15 3 2 3 2" xfId="10644" xr:uid="{00000000-0005-0000-0000-0000C5270000}"/>
    <cellStyle name="Header2 15 3 2 4" xfId="10645" xr:uid="{00000000-0005-0000-0000-0000C6270000}"/>
    <cellStyle name="Header2 15 3 3" xfId="10646" xr:uid="{00000000-0005-0000-0000-0000C7270000}"/>
    <cellStyle name="Header2 15 3 3 2" xfId="10647" xr:uid="{00000000-0005-0000-0000-0000C8270000}"/>
    <cellStyle name="Header2 15 3 3 2 2" xfId="10648" xr:uid="{00000000-0005-0000-0000-0000C9270000}"/>
    <cellStyle name="Header2 15 3 3 3" xfId="10649" xr:uid="{00000000-0005-0000-0000-0000CA270000}"/>
    <cellStyle name="Header2 15 3 3 3 2" xfId="10650" xr:uid="{00000000-0005-0000-0000-0000CB270000}"/>
    <cellStyle name="Header2 15 3 3 4" xfId="10651" xr:uid="{00000000-0005-0000-0000-0000CC270000}"/>
    <cellStyle name="Header2 15 3 4" xfId="10652" xr:uid="{00000000-0005-0000-0000-0000CD270000}"/>
    <cellStyle name="Header2 15 3 4 2" xfId="10653" xr:uid="{00000000-0005-0000-0000-0000CE270000}"/>
    <cellStyle name="Header2 15 3 5" xfId="10654" xr:uid="{00000000-0005-0000-0000-0000CF270000}"/>
    <cellStyle name="Header2 15 3 5 2" xfId="10655" xr:uid="{00000000-0005-0000-0000-0000D0270000}"/>
    <cellStyle name="Header2 15 3 6" xfId="10656" xr:uid="{00000000-0005-0000-0000-0000D1270000}"/>
    <cellStyle name="Header2 15 4" xfId="10657" xr:uid="{00000000-0005-0000-0000-0000D2270000}"/>
    <cellStyle name="Header2 15 4 2" xfId="10658" xr:uid="{00000000-0005-0000-0000-0000D3270000}"/>
    <cellStyle name="Header2 15 4 2 2" xfId="10659" xr:uid="{00000000-0005-0000-0000-0000D4270000}"/>
    <cellStyle name="Header2 15 4 2 2 2" xfId="10660" xr:uid="{00000000-0005-0000-0000-0000D5270000}"/>
    <cellStyle name="Header2 15 4 2 3" xfId="10661" xr:uid="{00000000-0005-0000-0000-0000D6270000}"/>
    <cellStyle name="Header2 15 4 2 3 2" xfId="10662" xr:uid="{00000000-0005-0000-0000-0000D7270000}"/>
    <cellStyle name="Header2 15 4 2 4" xfId="10663" xr:uid="{00000000-0005-0000-0000-0000D8270000}"/>
    <cellStyle name="Header2 15 4 3" xfId="10664" xr:uid="{00000000-0005-0000-0000-0000D9270000}"/>
    <cellStyle name="Header2 15 4 3 2" xfId="10665" xr:uid="{00000000-0005-0000-0000-0000DA270000}"/>
    <cellStyle name="Header2 15 4 3 2 2" xfId="10666" xr:uid="{00000000-0005-0000-0000-0000DB270000}"/>
    <cellStyle name="Header2 15 4 3 3" xfId="10667" xr:uid="{00000000-0005-0000-0000-0000DC270000}"/>
    <cellStyle name="Header2 15 4 3 3 2" xfId="10668" xr:uid="{00000000-0005-0000-0000-0000DD270000}"/>
    <cellStyle name="Header2 15 4 3 4" xfId="10669" xr:uid="{00000000-0005-0000-0000-0000DE270000}"/>
    <cellStyle name="Header2 15 4 4" xfId="10670" xr:uid="{00000000-0005-0000-0000-0000DF270000}"/>
    <cellStyle name="Header2 15 4 4 2" xfId="10671" xr:uid="{00000000-0005-0000-0000-0000E0270000}"/>
    <cellStyle name="Header2 15 4 5" xfId="10672" xr:uid="{00000000-0005-0000-0000-0000E1270000}"/>
    <cellStyle name="Header2 15 4 5 2" xfId="10673" xr:uid="{00000000-0005-0000-0000-0000E2270000}"/>
    <cellStyle name="Header2 15 4 6" xfId="10674" xr:uid="{00000000-0005-0000-0000-0000E3270000}"/>
    <cellStyle name="Header2 15 5" xfId="10675" xr:uid="{00000000-0005-0000-0000-0000E4270000}"/>
    <cellStyle name="Header2 15 5 2" xfId="10676" xr:uid="{00000000-0005-0000-0000-0000E5270000}"/>
    <cellStyle name="Header2 15 5 2 2" xfId="10677" xr:uid="{00000000-0005-0000-0000-0000E6270000}"/>
    <cellStyle name="Header2 15 5 3" xfId="10678" xr:uid="{00000000-0005-0000-0000-0000E7270000}"/>
    <cellStyle name="Header2 15 5 3 2" xfId="10679" xr:uid="{00000000-0005-0000-0000-0000E8270000}"/>
    <cellStyle name="Header2 15 5 4" xfId="10680" xr:uid="{00000000-0005-0000-0000-0000E9270000}"/>
    <cellStyle name="Header2 15 6" xfId="10681" xr:uid="{00000000-0005-0000-0000-0000EA270000}"/>
    <cellStyle name="Header2 15 6 2" xfId="10682" xr:uid="{00000000-0005-0000-0000-0000EB270000}"/>
    <cellStyle name="Header2 15 6 2 2" xfId="10683" xr:uid="{00000000-0005-0000-0000-0000EC270000}"/>
    <cellStyle name="Header2 15 6 3" xfId="10684" xr:uid="{00000000-0005-0000-0000-0000ED270000}"/>
    <cellStyle name="Header2 15 6 3 2" xfId="10685" xr:uid="{00000000-0005-0000-0000-0000EE270000}"/>
    <cellStyle name="Header2 15 6 4" xfId="10686" xr:uid="{00000000-0005-0000-0000-0000EF270000}"/>
    <cellStyle name="Header2 15 7" xfId="10687" xr:uid="{00000000-0005-0000-0000-0000F0270000}"/>
    <cellStyle name="Header2 15 7 2" xfId="10688" xr:uid="{00000000-0005-0000-0000-0000F1270000}"/>
    <cellStyle name="Header2 15 8" xfId="10689" xr:uid="{00000000-0005-0000-0000-0000F2270000}"/>
    <cellStyle name="Header2 15 8 2" xfId="10690" xr:uid="{00000000-0005-0000-0000-0000F3270000}"/>
    <cellStyle name="Header2 15 9" xfId="10691" xr:uid="{00000000-0005-0000-0000-0000F4270000}"/>
    <cellStyle name="Header2 16" xfId="10692" xr:uid="{00000000-0005-0000-0000-0000F5270000}"/>
    <cellStyle name="Header2 16 2" xfId="10693" xr:uid="{00000000-0005-0000-0000-0000F6270000}"/>
    <cellStyle name="Header2 16 2 2" xfId="10694" xr:uid="{00000000-0005-0000-0000-0000F7270000}"/>
    <cellStyle name="Header2 16 2 2 2" xfId="10695" xr:uid="{00000000-0005-0000-0000-0000F8270000}"/>
    <cellStyle name="Header2 16 2 2 2 2" xfId="10696" xr:uid="{00000000-0005-0000-0000-0000F9270000}"/>
    <cellStyle name="Header2 16 2 2 3" xfId="10697" xr:uid="{00000000-0005-0000-0000-0000FA270000}"/>
    <cellStyle name="Header2 16 2 2 3 2" xfId="10698" xr:uid="{00000000-0005-0000-0000-0000FB270000}"/>
    <cellStyle name="Header2 16 2 2 4" xfId="10699" xr:uid="{00000000-0005-0000-0000-0000FC270000}"/>
    <cellStyle name="Header2 16 2 3" xfId="10700" xr:uid="{00000000-0005-0000-0000-0000FD270000}"/>
    <cellStyle name="Header2 16 2 3 2" xfId="10701" xr:uid="{00000000-0005-0000-0000-0000FE270000}"/>
    <cellStyle name="Header2 16 2 3 2 2" xfId="10702" xr:uid="{00000000-0005-0000-0000-0000FF270000}"/>
    <cellStyle name="Header2 16 2 3 3" xfId="10703" xr:uid="{00000000-0005-0000-0000-000000280000}"/>
    <cellStyle name="Header2 16 2 3 3 2" xfId="10704" xr:uid="{00000000-0005-0000-0000-000001280000}"/>
    <cellStyle name="Header2 16 2 3 4" xfId="10705" xr:uid="{00000000-0005-0000-0000-000002280000}"/>
    <cellStyle name="Header2 16 2 4" xfId="10706" xr:uid="{00000000-0005-0000-0000-000003280000}"/>
    <cellStyle name="Header2 16 2 4 2" xfId="10707" xr:uid="{00000000-0005-0000-0000-000004280000}"/>
    <cellStyle name="Header2 16 2 5" xfId="10708" xr:uid="{00000000-0005-0000-0000-000005280000}"/>
    <cellStyle name="Header2 16 2 5 2" xfId="10709" xr:uid="{00000000-0005-0000-0000-000006280000}"/>
    <cellStyle name="Header2 16 2 6" xfId="10710" xr:uid="{00000000-0005-0000-0000-000007280000}"/>
    <cellStyle name="Header2 16 3" xfId="10711" xr:uid="{00000000-0005-0000-0000-000008280000}"/>
    <cellStyle name="Header2 16 3 2" xfId="10712" xr:uid="{00000000-0005-0000-0000-000009280000}"/>
    <cellStyle name="Header2 16 3 2 2" xfId="10713" xr:uid="{00000000-0005-0000-0000-00000A280000}"/>
    <cellStyle name="Header2 16 3 2 2 2" xfId="10714" xr:uid="{00000000-0005-0000-0000-00000B280000}"/>
    <cellStyle name="Header2 16 3 2 3" xfId="10715" xr:uid="{00000000-0005-0000-0000-00000C280000}"/>
    <cellStyle name="Header2 16 3 2 3 2" xfId="10716" xr:uid="{00000000-0005-0000-0000-00000D280000}"/>
    <cellStyle name="Header2 16 3 2 4" xfId="10717" xr:uid="{00000000-0005-0000-0000-00000E280000}"/>
    <cellStyle name="Header2 16 3 3" xfId="10718" xr:uid="{00000000-0005-0000-0000-00000F280000}"/>
    <cellStyle name="Header2 16 3 3 2" xfId="10719" xr:uid="{00000000-0005-0000-0000-000010280000}"/>
    <cellStyle name="Header2 16 3 3 2 2" xfId="10720" xr:uid="{00000000-0005-0000-0000-000011280000}"/>
    <cellStyle name="Header2 16 3 3 3" xfId="10721" xr:uid="{00000000-0005-0000-0000-000012280000}"/>
    <cellStyle name="Header2 16 3 3 3 2" xfId="10722" xr:uid="{00000000-0005-0000-0000-000013280000}"/>
    <cellStyle name="Header2 16 3 3 4" xfId="10723" xr:uid="{00000000-0005-0000-0000-000014280000}"/>
    <cellStyle name="Header2 16 3 4" xfId="10724" xr:uid="{00000000-0005-0000-0000-000015280000}"/>
    <cellStyle name="Header2 16 3 4 2" xfId="10725" xr:uid="{00000000-0005-0000-0000-000016280000}"/>
    <cellStyle name="Header2 16 3 5" xfId="10726" xr:uid="{00000000-0005-0000-0000-000017280000}"/>
    <cellStyle name="Header2 16 3 5 2" xfId="10727" xr:uid="{00000000-0005-0000-0000-000018280000}"/>
    <cellStyle name="Header2 16 3 6" xfId="10728" xr:uid="{00000000-0005-0000-0000-000019280000}"/>
    <cellStyle name="Header2 16 4" xfId="10729" xr:uid="{00000000-0005-0000-0000-00001A280000}"/>
    <cellStyle name="Header2 16 4 2" xfId="10730" xr:uid="{00000000-0005-0000-0000-00001B280000}"/>
    <cellStyle name="Header2 16 4 2 2" xfId="10731" xr:uid="{00000000-0005-0000-0000-00001C280000}"/>
    <cellStyle name="Header2 16 4 2 2 2" xfId="10732" xr:uid="{00000000-0005-0000-0000-00001D280000}"/>
    <cellStyle name="Header2 16 4 2 3" xfId="10733" xr:uid="{00000000-0005-0000-0000-00001E280000}"/>
    <cellStyle name="Header2 16 4 2 3 2" xfId="10734" xr:uid="{00000000-0005-0000-0000-00001F280000}"/>
    <cellStyle name="Header2 16 4 2 4" xfId="10735" xr:uid="{00000000-0005-0000-0000-000020280000}"/>
    <cellStyle name="Header2 16 4 3" xfId="10736" xr:uid="{00000000-0005-0000-0000-000021280000}"/>
    <cellStyle name="Header2 16 4 3 2" xfId="10737" xr:uid="{00000000-0005-0000-0000-000022280000}"/>
    <cellStyle name="Header2 16 4 3 2 2" xfId="10738" xr:uid="{00000000-0005-0000-0000-000023280000}"/>
    <cellStyle name="Header2 16 4 3 3" xfId="10739" xr:uid="{00000000-0005-0000-0000-000024280000}"/>
    <cellStyle name="Header2 16 4 3 3 2" xfId="10740" xr:uid="{00000000-0005-0000-0000-000025280000}"/>
    <cellStyle name="Header2 16 4 3 4" xfId="10741" xr:uid="{00000000-0005-0000-0000-000026280000}"/>
    <cellStyle name="Header2 16 4 4" xfId="10742" xr:uid="{00000000-0005-0000-0000-000027280000}"/>
    <cellStyle name="Header2 16 4 4 2" xfId="10743" xr:uid="{00000000-0005-0000-0000-000028280000}"/>
    <cellStyle name="Header2 16 4 5" xfId="10744" xr:uid="{00000000-0005-0000-0000-000029280000}"/>
    <cellStyle name="Header2 16 4 5 2" xfId="10745" xr:uid="{00000000-0005-0000-0000-00002A280000}"/>
    <cellStyle name="Header2 16 4 6" xfId="10746" xr:uid="{00000000-0005-0000-0000-00002B280000}"/>
    <cellStyle name="Header2 16 5" xfId="10747" xr:uid="{00000000-0005-0000-0000-00002C280000}"/>
    <cellStyle name="Header2 16 5 2" xfId="10748" xr:uid="{00000000-0005-0000-0000-00002D280000}"/>
    <cellStyle name="Header2 16 5 2 2" xfId="10749" xr:uid="{00000000-0005-0000-0000-00002E280000}"/>
    <cellStyle name="Header2 16 5 3" xfId="10750" xr:uid="{00000000-0005-0000-0000-00002F280000}"/>
    <cellStyle name="Header2 16 5 3 2" xfId="10751" xr:uid="{00000000-0005-0000-0000-000030280000}"/>
    <cellStyle name="Header2 16 5 4" xfId="10752" xr:uid="{00000000-0005-0000-0000-000031280000}"/>
    <cellStyle name="Header2 16 6" xfId="10753" xr:uid="{00000000-0005-0000-0000-000032280000}"/>
    <cellStyle name="Header2 16 6 2" xfId="10754" xr:uid="{00000000-0005-0000-0000-000033280000}"/>
    <cellStyle name="Header2 16 6 2 2" xfId="10755" xr:uid="{00000000-0005-0000-0000-000034280000}"/>
    <cellStyle name="Header2 16 6 3" xfId="10756" xr:uid="{00000000-0005-0000-0000-000035280000}"/>
    <cellStyle name="Header2 16 6 3 2" xfId="10757" xr:uid="{00000000-0005-0000-0000-000036280000}"/>
    <cellStyle name="Header2 16 6 4" xfId="10758" xr:uid="{00000000-0005-0000-0000-000037280000}"/>
    <cellStyle name="Header2 16 7" xfId="10759" xr:uid="{00000000-0005-0000-0000-000038280000}"/>
    <cellStyle name="Header2 16 7 2" xfId="10760" xr:uid="{00000000-0005-0000-0000-000039280000}"/>
    <cellStyle name="Header2 16 8" xfId="10761" xr:uid="{00000000-0005-0000-0000-00003A280000}"/>
    <cellStyle name="Header2 16 8 2" xfId="10762" xr:uid="{00000000-0005-0000-0000-00003B280000}"/>
    <cellStyle name="Header2 16 9" xfId="10763" xr:uid="{00000000-0005-0000-0000-00003C280000}"/>
    <cellStyle name="Header2 17" xfId="10764" xr:uid="{00000000-0005-0000-0000-00003D280000}"/>
    <cellStyle name="Header2 17 2" xfId="10765" xr:uid="{00000000-0005-0000-0000-00003E280000}"/>
    <cellStyle name="Header2 17 2 2" xfId="10766" xr:uid="{00000000-0005-0000-0000-00003F280000}"/>
    <cellStyle name="Header2 17 3" xfId="10767" xr:uid="{00000000-0005-0000-0000-000040280000}"/>
    <cellStyle name="Header2 17 3 2" xfId="10768" xr:uid="{00000000-0005-0000-0000-000041280000}"/>
    <cellStyle name="Header2 17 4" xfId="10769" xr:uid="{00000000-0005-0000-0000-000042280000}"/>
    <cellStyle name="Header2 18" xfId="10770" xr:uid="{00000000-0005-0000-0000-000043280000}"/>
    <cellStyle name="Header2 18 2" xfId="10771" xr:uid="{00000000-0005-0000-0000-000044280000}"/>
    <cellStyle name="Header2 19" xfId="10772" xr:uid="{00000000-0005-0000-0000-000045280000}"/>
    <cellStyle name="Header2 19 2" xfId="10773" xr:uid="{00000000-0005-0000-0000-000046280000}"/>
    <cellStyle name="Header2 2" xfId="10774" xr:uid="{00000000-0005-0000-0000-000047280000}"/>
    <cellStyle name="Header2 2 2" xfId="10775" xr:uid="{00000000-0005-0000-0000-000048280000}"/>
    <cellStyle name="Header2 2 2 2" xfId="10776" xr:uid="{00000000-0005-0000-0000-000049280000}"/>
    <cellStyle name="Header2 2 2 2 2" xfId="10777" xr:uid="{00000000-0005-0000-0000-00004A280000}"/>
    <cellStyle name="Header2 2 2 2 2 2" xfId="10778" xr:uid="{00000000-0005-0000-0000-00004B280000}"/>
    <cellStyle name="Header2 2 2 2 3" xfId="10779" xr:uid="{00000000-0005-0000-0000-00004C280000}"/>
    <cellStyle name="Header2 2 2 2 3 2" xfId="10780" xr:uid="{00000000-0005-0000-0000-00004D280000}"/>
    <cellStyle name="Header2 2 2 2 4" xfId="10781" xr:uid="{00000000-0005-0000-0000-00004E280000}"/>
    <cellStyle name="Header2 2 2 3" xfId="10782" xr:uid="{00000000-0005-0000-0000-00004F280000}"/>
    <cellStyle name="Header2 2 2 3 2" xfId="10783" xr:uid="{00000000-0005-0000-0000-000050280000}"/>
    <cellStyle name="Header2 2 2 3 2 2" xfId="10784" xr:uid="{00000000-0005-0000-0000-000051280000}"/>
    <cellStyle name="Header2 2 2 3 3" xfId="10785" xr:uid="{00000000-0005-0000-0000-000052280000}"/>
    <cellStyle name="Header2 2 2 3 3 2" xfId="10786" xr:uid="{00000000-0005-0000-0000-000053280000}"/>
    <cellStyle name="Header2 2 2 3 4" xfId="10787" xr:uid="{00000000-0005-0000-0000-000054280000}"/>
    <cellStyle name="Header2 2 2 4" xfId="10788" xr:uid="{00000000-0005-0000-0000-000055280000}"/>
    <cellStyle name="Header2 2 2 4 2" xfId="10789" xr:uid="{00000000-0005-0000-0000-000056280000}"/>
    <cellStyle name="Header2 2 2 5" xfId="10790" xr:uid="{00000000-0005-0000-0000-000057280000}"/>
    <cellStyle name="Header2 2 2 5 2" xfId="10791" xr:uid="{00000000-0005-0000-0000-000058280000}"/>
    <cellStyle name="Header2 2 2 6" xfId="10792" xr:uid="{00000000-0005-0000-0000-000059280000}"/>
    <cellStyle name="Header2 2 3" xfId="10793" xr:uid="{00000000-0005-0000-0000-00005A280000}"/>
    <cellStyle name="Header2 2 3 2" xfId="10794" xr:uid="{00000000-0005-0000-0000-00005B280000}"/>
    <cellStyle name="Header2 2 3 2 2" xfId="10795" xr:uid="{00000000-0005-0000-0000-00005C280000}"/>
    <cellStyle name="Header2 2 3 2 2 2" xfId="10796" xr:uid="{00000000-0005-0000-0000-00005D280000}"/>
    <cellStyle name="Header2 2 3 2 3" xfId="10797" xr:uid="{00000000-0005-0000-0000-00005E280000}"/>
    <cellStyle name="Header2 2 3 2 3 2" xfId="10798" xr:uid="{00000000-0005-0000-0000-00005F280000}"/>
    <cellStyle name="Header2 2 3 2 4" xfId="10799" xr:uid="{00000000-0005-0000-0000-000060280000}"/>
    <cellStyle name="Header2 2 3 3" xfId="10800" xr:uid="{00000000-0005-0000-0000-000061280000}"/>
    <cellStyle name="Header2 2 3 3 2" xfId="10801" xr:uid="{00000000-0005-0000-0000-000062280000}"/>
    <cellStyle name="Header2 2 3 3 2 2" xfId="10802" xr:uid="{00000000-0005-0000-0000-000063280000}"/>
    <cellStyle name="Header2 2 3 3 3" xfId="10803" xr:uid="{00000000-0005-0000-0000-000064280000}"/>
    <cellStyle name="Header2 2 3 3 3 2" xfId="10804" xr:uid="{00000000-0005-0000-0000-000065280000}"/>
    <cellStyle name="Header2 2 3 3 4" xfId="10805" xr:uid="{00000000-0005-0000-0000-000066280000}"/>
    <cellStyle name="Header2 2 3 4" xfId="10806" xr:uid="{00000000-0005-0000-0000-000067280000}"/>
    <cellStyle name="Header2 2 3 4 2" xfId="10807" xr:uid="{00000000-0005-0000-0000-000068280000}"/>
    <cellStyle name="Header2 2 3 5" xfId="10808" xr:uid="{00000000-0005-0000-0000-000069280000}"/>
    <cellStyle name="Header2 2 3 5 2" xfId="10809" xr:uid="{00000000-0005-0000-0000-00006A280000}"/>
    <cellStyle name="Header2 2 3 6" xfId="10810" xr:uid="{00000000-0005-0000-0000-00006B280000}"/>
    <cellStyle name="Header2 2 4" xfId="10811" xr:uid="{00000000-0005-0000-0000-00006C280000}"/>
    <cellStyle name="Header2 2 4 2" xfId="10812" xr:uid="{00000000-0005-0000-0000-00006D280000}"/>
    <cellStyle name="Header2 2 4 2 2" xfId="10813" xr:uid="{00000000-0005-0000-0000-00006E280000}"/>
    <cellStyle name="Header2 2 4 2 2 2" xfId="10814" xr:uid="{00000000-0005-0000-0000-00006F280000}"/>
    <cellStyle name="Header2 2 4 2 3" xfId="10815" xr:uid="{00000000-0005-0000-0000-000070280000}"/>
    <cellStyle name="Header2 2 4 2 3 2" xfId="10816" xr:uid="{00000000-0005-0000-0000-000071280000}"/>
    <cellStyle name="Header2 2 4 2 4" xfId="10817" xr:uid="{00000000-0005-0000-0000-000072280000}"/>
    <cellStyle name="Header2 2 4 3" xfId="10818" xr:uid="{00000000-0005-0000-0000-000073280000}"/>
    <cellStyle name="Header2 2 4 3 2" xfId="10819" xr:uid="{00000000-0005-0000-0000-000074280000}"/>
    <cellStyle name="Header2 2 4 3 2 2" xfId="10820" xr:uid="{00000000-0005-0000-0000-000075280000}"/>
    <cellStyle name="Header2 2 4 3 3" xfId="10821" xr:uid="{00000000-0005-0000-0000-000076280000}"/>
    <cellStyle name="Header2 2 4 3 3 2" xfId="10822" xr:uid="{00000000-0005-0000-0000-000077280000}"/>
    <cellStyle name="Header2 2 4 3 4" xfId="10823" xr:uid="{00000000-0005-0000-0000-000078280000}"/>
    <cellStyle name="Header2 2 4 4" xfId="10824" xr:uid="{00000000-0005-0000-0000-000079280000}"/>
    <cellStyle name="Header2 2 4 4 2" xfId="10825" xr:uid="{00000000-0005-0000-0000-00007A280000}"/>
    <cellStyle name="Header2 2 4 5" xfId="10826" xr:uid="{00000000-0005-0000-0000-00007B280000}"/>
    <cellStyle name="Header2 2 4 5 2" xfId="10827" xr:uid="{00000000-0005-0000-0000-00007C280000}"/>
    <cellStyle name="Header2 2 4 6" xfId="10828" xr:uid="{00000000-0005-0000-0000-00007D280000}"/>
    <cellStyle name="Header2 2 5" xfId="10829" xr:uid="{00000000-0005-0000-0000-00007E280000}"/>
    <cellStyle name="Header2 2 5 2" xfId="10830" xr:uid="{00000000-0005-0000-0000-00007F280000}"/>
    <cellStyle name="Header2 2 5 2 2" xfId="10831" xr:uid="{00000000-0005-0000-0000-000080280000}"/>
    <cellStyle name="Header2 2 5 3" xfId="10832" xr:uid="{00000000-0005-0000-0000-000081280000}"/>
    <cellStyle name="Header2 2 5 3 2" xfId="10833" xr:uid="{00000000-0005-0000-0000-000082280000}"/>
    <cellStyle name="Header2 2 5 4" xfId="10834" xr:uid="{00000000-0005-0000-0000-000083280000}"/>
    <cellStyle name="Header2 2 6" xfId="10835" xr:uid="{00000000-0005-0000-0000-000084280000}"/>
    <cellStyle name="Header2 2 6 2" xfId="10836" xr:uid="{00000000-0005-0000-0000-000085280000}"/>
    <cellStyle name="Header2 2 6 2 2" xfId="10837" xr:uid="{00000000-0005-0000-0000-000086280000}"/>
    <cellStyle name="Header2 2 6 3" xfId="10838" xr:uid="{00000000-0005-0000-0000-000087280000}"/>
    <cellStyle name="Header2 2 6 3 2" xfId="10839" xr:uid="{00000000-0005-0000-0000-000088280000}"/>
    <cellStyle name="Header2 2 6 4" xfId="10840" xr:uid="{00000000-0005-0000-0000-000089280000}"/>
    <cellStyle name="Header2 2 7" xfId="10841" xr:uid="{00000000-0005-0000-0000-00008A280000}"/>
    <cellStyle name="Header2 2 7 2" xfId="10842" xr:uid="{00000000-0005-0000-0000-00008B280000}"/>
    <cellStyle name="Header2 2 8" xfId="10843" xr:uid="{00000000-0005-0000-0000-00008C280000}"/>
    <cellStyle name="Header2 2 8 2" xfId="10844" xr:uid="{00000000-0005-0000-0000-00008D280000}"/>
    <cellStyle name="Header2 2 9" xfId="10845" xr:uid="{00000000-0005-0000-0000-00008E280000}"/>
    <cellStyle name="Header2 20" xfId="10846" xr:uid="{00000000-0005-0000-0000-00008F280000}"/>
    <cellStyle name="Header2 3" xfId="10847" xr:uid="{00000000-0005-0000-0000-000090280000}"/>
    <cellStyle name="Header2 3 2" xfId="10848" xr:uid="{00000000-0005-0000-0000-000091280000}"/>
    <cellStyle name="Header2 3 2 2" xfId="10849" xr:uid="{00000000-0005-0000-0000-000092280000}"/>
    <cellStyle name="Header2 3 2 2 2" xfId="10850" xr:uid="{00000000-0005-0000-0000-000093280000}"/>
    <cellStyle name="Header2 3 2 2 2 2" xfId="10851" xr:uid="{00000000-0005-0000-0000-000094280000}"/>
    <cellStyle name="Header2 3 2 2 3" xfId="10852" xr:uid="{00000000-0005-0000-0000-000095280000}"/>
    <cellStyle name="Header2 3 2 2 3 2" xfId="10853" xr:uid="{00000000-0005-0000-0000-000096280000}"/>
    <cellStyle name="Header2 3 2 2 4" xfId="10854" xr:uid="{00000000-0005-0000-0000-000097280000}"/>
    <cellStyle name="Header2 3 2 3" xfId="10855" xr:uid="{00000000-0005-0000-0000-000098280000}"/>
    <cellStyle name="Header2 3 2 3 2" xfId="10856" xr:uid="{00000000-0005-0000-0000-000099280000}"/>
    <cellStyle name="Header2 3 2 3 2 2" xfId="10857" xr:uid="{00000000-0005-0000-0000-00009A280000}"/>
    <cellStyle name="Header2 3 2 3 3" xfId="10858" xr:uid="{00000000-0005-0000-0000-00009B280000}"/>
    <cellStyle name="Header2 3 2 3 3 2" xfId="10859" xr:uid="{00000000-0005-0000-0000-00009C280000}"/>
    <cellStyle name="Header2 3 2 3 4" xfId="10860" xr:uid="{00000000-0005-0000-0000-00009D280000}"/>
    <cellStyle name="Header2 3 2 4" xfId="10861" xr:uid="{00000000-0005-0000-0000-00009E280000}"/>
    <cellStyle name="Header2 3 2 4 2" xfId="10862" xr:uid="{00000000-0005-0000-0000-00009F280000}"/>
    <cellStyle name="Header2 3 2 5" xfId="10863" xr:uid="{00000000-0005-0000-0000-0000A0280000}"/>
    <cellStyle name="Header2 3 2 5 2" xfId="10864" xr:uid="{00000000-0005-0000-0000-0000A1280000}"/>
    <cellStyle name="Header2 3 2 6" xfId="10865" xr:uid="{00000000-0005-0000-0000-0000A2280000}"/>
    <cellStyle name="Header2 3 3" xfId="10866" xr:uid="{00000000-0005-0000-0000-0000A3280000}"/>
    <cellStyle name="Header2 3 3 2" xfId="10867" xr:uid="{00000000-0005-0000-0000-0000A4280000}"/>
    <cellStyle name="Header2 3 3 2 2" xfId="10868" xr:uid="{00000000-0005-0000-0000-0000A5280000}"/>
    <cellStyle name="Header2 3 3 2 2 2" xfId="10869" xr:uid="{00000000-0005-0000-0000-0000A6280000}"/>
    <cellStyle name="Header2 3 3 2 3" xfId="10870" xr:uid="{00000000-0005-0000-0000-0000A7280000}"/>
    <cellStyle name="Header2 3 3 2 3 2" xfId="10871" xr:uid="{00000000-0005-0000-0000-0000A8280000}"/>
    <cellStyle name="Header2 3 3 2 4" xfId="10872" xr:uid="{00000000-0005-0000-0000-0000A9280000}"/>
    <cellStyle name="Header2 3 3 3" xfId="10873" xr:uid="{00000000-0005-0000-0000-0000AA280000}"/>
    <cellStyle name="Header2 3 3 3 2" xfId="10874" xr:uid="{00000000-0005-0000-0000-0000AB280000}"/>
    <cellStyle name="Header2 3 3 3 2 2" xfId="10875" xr:uid="{00000000-0005-0000-0000-0000AC280000}"/>
    <cellStyle name="Header2 3 3 3 3" xfId="10876" xr:uid="{00000000-0005-0000-0000-0000AD280000}"/>
    <cellStyle name="Header2 3 3 3 3 2" xfId="10877" xr:uid="{00000000-0005-0000-0000-0000AE280000}"/>
    <cellStyle name="Header2 3 3 3 4" xfId="10878" xr:uid="{00000000-0005-0000-0000-0000AF280000}"/>
    <cellStyle name="Header2 3 3 4" xfId="10879" xr:uid="{00000000-0005-0000-0000-0000B0280000}"/>
    <cellStyle name="Header2 3 3 4 2" xfId="10880" xr:uid="{00000000-0005-0000-0000-0000B1280000}"/>
    <cellStyle name="Header2 3 3 5" xfId="10881" xr:uid="{00000000-0005-0000-0000-0000B2280000}"/>
    <cellStyle name="Header2 3 3 5 2" xfId="10882" xr:uid="{00000000-0005-0000-0000-0000B3280000}"/>
    <cellStyle name="Header2 3 3 6" xfId="10883" xr:uid="{00000000-0005-0000-0000-0000B4280000}"/>
    <cellStyle name="Header2 3 4" xfId="10884" xr:uid="{00000000-0005-0000-0000-0000B5280000}"/>
    <cellStyle name="Header2 3 4 2" xfId="10885" xr:uid="{00000000-0005-0000-0000-0000B6280000}"/>
    <cellStyle name="Header2 3 4 2 2" xfId="10886" xr:uid="{00000000-0005-0000-0000-0000B7280000}"/>
    <cellStyle name="Header2 3 4 2 2 2" xfId="10887" xr:uid="{00000000-0005-0000-0000-0000B8280000}"/>
    <cellStyle name="Header2 3 4 2 3" xfId="10888" xr:uid="{00000000-0005-0000-0000-0000B9280000}"/>
    <cellStyle name="Header2 3 4 2 3 2" xfId="10889" xr:uid="{00000000-0005-0000-0000-0000BA280000}"/>
    <cellStyle name="Header2 3 4 2 4" xfId="10890" xr:uid="{00000000-0005-0000-0000-0000BB280000}"/>
    <cellStyle name="Header2 3 4 3" xfId="10891" xr:uid="{00000000-0005-0000-0000-0000BC280000}"/>
    <cellStyle name="Header2 3 4 3 2" xfId="10892" xr:uid="{00000000-0005-0000-0000-0000BD280000}"/>
    <cellStyle name="Header2 3 4 3 2 2" xfId="10893" xr:uid="{00000000-0005-0000-0000-0000BE280000}"/>
    <cellStyle name="Header2 3 4 3 3" xfId="10894" xr:uid="{00000000-0005-0000-0000-0000BF280000}"/>
    <cellStyle name="Header2 3 4 3 3 2" xfId="10895" xr:uid="{00000000-0005-0000-0000-0000C0280000}"/>
    <cellStyle name="Header2 3 4 3 4" xfId="10896" xr:uid="{00000000-0005-0000-0000-0000C1280000}"/>
    <cellStyle name="Header2 3 4 4" xfId="10897" xr:uid="{00000000-0005-0000-0000-0000C2280000}"/>
    <cellStyle name="Header2 3 4 4 2" xfId="10898" xr:uid="{00000000-0005-0000-0000-0000C3280000}"/>
    <cellStyle name="Header2 3 4 5" xfId="10899" xr:uid="{00000000-0005-0000-0000-0000C4280000}"/>
    <cellStyle name="Header2 3 4 5 2" xfId="10900" xr:uid="{00000000-0005-0000-0000-0000C5280000}"/>
    <cellStyle name="Header2 3 4 6" xfId="10901" xr:uid="{00000000-0005-0000-0000-0000C6280000}"/>
    <cellStyle name="Header2 3 5" xfId="10902" xr:uid="{00000000-0005-0000-0000-0000C7280000}"/>
    <cellStyle name="Header2 3 5 2" xfId="10903" xr:uid="{00000000-0005-0000-0000-0000C8280000}"/>
    <cellStyle name="Header2 3 5 2 2" xfId="10904" xr:uid="{00000000-0005-0000-0000-0000C9280000}"/>
    <cellStyle name="Header2 3 5 3" xfId="10905" xr:uid="{00000000-0005-0000-0000-0000CA280000}"/>
    <cellStyle name="Header2 3 5 3 2" xfId="10906" xr:uid="{00000000-0005-0000-0000-0000CB280000}"/>
    <cellStyle name="Header2 3 5 4" xfId="10907" xr:uid="{00000000-0005-0000-0000-0000CC280000}"/>
    <cellStyle name="Header2 3 6" xfId="10908" xr:uid="{00000000-0005-0000-0000-0000CD280000}"/>
    <cellStyle name="Header2 3 6 2" xfId="10909" xr:uid="{00000000-0005-0000-0000-0000CE280000}"/>
    <cellStyle name="Header2 3 6 2 2" xfId="10910" xr:uid="{00000000-0005-0000-0000-0000CF280000}"/>
    <cellStyle name="Header2 3 6 3" xfId="10911" xr:uid="{00000000-0005-0000-0000-0000D0280000}"/>
    <cellStyle name="Header2 3 6 3 2" xfId="10912" xr:uid="{00000000-0005-0000-0000-0000D1280000}"/>
    <cellStyle name="Header2 3 6 4" xfId="10913" xr:uid="{00000000-0005-0000-0000-0000D2280000}"/>
    <cellStyle name="Header2 3 7" xfId="10914" xr:uid="{00000000-0005-0000-0000-0000D3280000}"/>
    <cellStyle name="Header2 3 7 2" xfId="10915" xr:uid="{00000000-0005-0000-0000-0000D4280000}"/>
    <cellStyle name="Header2 3 8" xfId="10916" xr:uid="{00000000-0005-0000-0000-0000D5280000}"/>
    <cellStyle name="Header2 3 8 2" xfId="10917" xr:uid="{00000000-0005-0000-0000-0000D6280000}"/>
    <cellStyle name="Header2 3 9" xfId="10918" xr:uid="{00000000-0005-0000-0000-0000D7280000}"/>
    <cellStyle name="Header2 4" xfId="10919" xr:uid="{00000000-0005-0000-0000-0000D8280000}"/>
    <cellStyle name="Header2 4 2" xfId="10920" xr:uid="{00000000-0005-0000-0000-0000D9280000}"/>
    <cellStyle name="Header2 4 2 2" xfId="10921" xr:uid="{00000000-0005-0000-0000-0000DA280000}"/>
    <cellStyle name="Header2 4 2 2 2" xfId="10922" xr:uid="{00000000-0005-0000-0000-0000DB280000}"/>
    <cellStyle name="Header2 4 2 2 2 2" xfId="10923" xr:uid="{00000000-0005-0000-0000-0000DC280000}"/>
    <cellStyle name="Header2 4 2 2 3" xfId="10924" xr:uid="{00000000-0005-0000-0000-0000DD280000}"/>
    <cellStyle name="Header2 4 2 2 3 2" xfId="10925" xr:uid="{00000000-0005-0000-0000-0000DE280000}"/>
    <cellStyle name="Header2 4 2 2 4" xfId="10926" xr:uid="{00000000-0005-0000-0000-0000DF280000}"/>
    <cellStyle name="Header2 4 2 3" xfId="10927" xr:uid="{00000000-0005-0000-0000-0000E0280000}"/>
    <cellStyle name="Header2 4 2 3 2" xfId="10928" xr:uid="{00000000-0005-0000-0000-0000E1280000}"/>
    <cellStyle name="Header2 4 2 3 2 2" xfId="10929" xr:uid="{00000000-0005-0000-0000-0000E2280000}"/>
    <cellStyle name="Header2 4 2 3 3" xfId="10930" xr:uid="{00000000-0005-0000-0000-0000E3280000}"/>
    <cellStyle name="Header2 4 2 3 3 2" xfId="10931" xr:uid="{00000000-0005-0000-0000-0000E4280000}"/>
    <cellStyle name="Header2 4 2 3 4" xfId="10932" xr:uid="{00000000-0005-0000-0000-0000E5280000}"/>
    <cellStyle name="Header2 4 2 4" xfId="10933" xr:uid="{00000000-0005-0000-0000-0000E6280000}"/>
    <cellStyle name="Header2 4 2 4 2" xfId="10934" xr:uid="{00000000-0005-0000-0000-0000E7280000}"/>
    <cellStyle name="Header2 4 2 5" xfId="10935" xr:uid="{00000000-0005-0000-0000-0000E8280000}"/>
    <cellStyle name="Header2 4 2 5 2" xfId="10936" xr:uid="{00000000-0005-0000-0000-0000E9280000}"/>
    <cellStyle name="Header2 4 2 6" xfId="10937" xr:uid="{00000000-0005-0000-0000-0000EA280000}"/>
    <cellStyle name="Header2 4 3" xfId="10938" xr:uid="{00000000-0005-0000-0000-0000EB280000}"/>
    <cellStyle name="Header2 4 3 2" xfId="10939" xr:uid="{00000000-0005-0000-0000-0000EC280000}"/>
    <cellStyle name="Header2 4 3 2 2" xfId="10940" xr:uid="{00000000-0005-0000-0000-0000ED280000}"/>
    <cellStyle name="Header2 4 3 2 2 2" xfId="10941" xr:uid="{00000000-0005-0000-0000-0000EE280000}"/>
    <cellStyle name="Header2 4 3 2 3" xfId="10942" xr:uid="{00000000-0005-0000-0000-0000EF280000}"/>
    <cellStyle name="Header2 4 3 2 3 2" xfId="10943" xr:uid="{00000000-0005-0000-0000-0000F0280000}"/>
    <cellStyle name="Header2 4 3 2 4" xfId="10944" xr:uid="{00000000-0005-0000-0000-0000F1280000}"/>
    <cellStyle name="Header2 4 3 3" xfId="10945" xr:uid="{00000000-0005-0000-0000-0000F2280000}"/>
    <cellStyle name="Header2 4 3 3 2" xfId="10946" xr:uid="{00000000-0005-0000-0000-0000F3280000}"/>
    <cellStyle name="Header2 4 3 3 2 2" xfId="10947" xr:uid="{00000000-0005-0000-0000-0000F4280000}"/>
    <cellStyle name="Header2 4 3 3 3" xfId="10948" xr:uid="{00000000-0005-0000-0000-0000F5280000}"/>
    <cellStyle name="Header2 4 3 3 3 2" xfId="10949" xr:uid="{00000000-0005-0000-0000-0000F6280000}"/>
    <cellStyle name="Header2 4 3 3 4" xfId="10950" xr:uid="{00000000-0005-0000-0000-0000F7280000}"/>
    <cellStyle name="Header2 4 3 4" xfId="10951" xr:uid="{00000000-0005-0000-0000-0000F8280000}"/>
    <cellStyle name="Header2 4 3 4 2" xfId="10952" xr:uid="{00000000-0005-0000-0000-0000F9280000}"/>
    <cellStyle name="Header2 4 3 5" xfId="10953" xr:uid="{00000000-0005-0000-0000-0000FA280000}"/>
    <cellStyle name="Header2 4 3 5 2" xfId="10954" xr:uid="{00000000-0005-0000-0000-0000FB280000}"/>
    <cellStyle name="Header2 4 3 6" xfId="10955" xr:uid="{00000000-0005-0000-0000-0000FC280000}"/>
    <cellStyle name="Header2 4 4" xfId="10956" xr:uid="{00000000-0005-0000-0000-0000FD280000}"/>
    <cellStyle name="Header2 4 4 2" xfId="10957" xr:uid="{00000000-0005-0000-0000-0000FE280000}"/>
    <cellStyle name="Header2 4 4 2 2" xfId="10958" xr:uid="{00000000-0005-0000-0000-0000FF280000}"/>
    <cellStyle name="Header2 4 4 2 2 2" xfId="10959" xr:uid="{00000000-0005-0000-0000-000000290000}"/>
    <cellStyle name="Header2 4 4 2 3" xfId="10960" xr:uid="{00000000-0005-0000-0000-000001290000}"/>
    <cellStyle name="Header2 4 4 2 3 2" xfId="10961" xr:uid="{00000000-0005-0000-0000-000002290000}"/>
    <cellStyle name="Header2 4 4 2 4" xfId="10962" xr:uid="{00000000-0005-0000-0000-000003290000}"/>
    <cellStyle name="Header2 4 4 3" xfId="10963" xr:uid="{00000000-0005-0000-0000-000004290000}"/>
    <cellStyle name="Header2 4 4 3 2" xfId="10964" xr:uid="{00000000-0005-0000-0000-000005290000}"/>
    <cellStyle name="Header2 4 4 3 2 2" xfId="10965" xr:uid="{00000000-0005-0000-0000-000006290000}"/>
    <cellStyle name="Header2 4 4 3 3" xfId="10966" xr:uid="{00000000-0005-0000-0000-000007290000}"/>
    <cellStyle name="Header2 4 4 3 3 2" xfId="10967" xr:uid="{00000000-0005-0000-0000-000008290000}"/>
    <cellStyle name="Header2 4 4 3 4" xfId="10968" xr:uid="{00000000-0005-0000-0000-000009290000}"/>
    <cellStyle name="Header2 4 4 4" xfId="10969" xr:uid="{00000000-0005-0000-0000-00000A290000}"/>
    <cellStyle name="Header2 4 4 4 2" xfId="10970" xr:uid="{00000000-0005-0000-0000-00000B290000}"/>
    <cellStyle name="Header2 4 4 5" xfId="10971" xr:uid="{00000000-0005-0000-0000-00000C290000}"/>
    <cellStyle name="Header2 4 4 5 2" xfId="10972" xr:uid="{00000000-0005-0000-0000-00000D290000}"/>
    <cellStyle name="Header2 4 4 6" xfId="10973" xr:uid="{00000000-0005-0000-0000-00000E290000}"/>
    <cellStyle name="Header2 4 5" xfId="10974" xr:uid="{00000000-0005-0000-0000-00000F290000}"/>
    <cellStyle name="Header2 4 5 2" xfId="10975" xr:uid="{00000000-0005-0000-0000-000010290000}"/>
    <cellStyle name="Header2 4 5 2 2" xfId="10976" xr:uid="{00000000-0005-0000-0000-000011290000}"/>
    <cellStyle name="Header2 4 5 3" xfId="10977" xr:uid="{00000000-0005-0000-0000-000012290000}"/>
    <cellStyle name="Header2 4 5 3 2" xfId="10978" xr:uid="{00000000-0005-0000-0000-000013290000}"/>
    <cellStyle name="Header2 4 5 4" xfId="10979" xr:uid="{00000000-0005-0000-0000-000014290000}"/>
    <cellStyle name="Header2 4 6" xfId="10980" xr:uid="{00000000-0005-0000-0000-000015290000}"/>
    <cellStyle name="Header2 4 6 2" xfId="10981" xr:uid="{00000000-0005-0000-0000-000016290000}"/>
    <cellStyle name="Header2 4 6 2 2" xfId="10982" xr:uid="{00000000-0005-0000-0000-000017290000}"/>
    <cellStyle name="Header2 4 6 3" xfId="10983" xr:uid="{00000000-0005-0000-0000-000018290000}"/>
    <cellStyle name="Header2 4 6 3 2" xfId="10984" xr:uid="{00000000-0005-0000-0000-000019290000}"/>
    <cellStyle name="Header2 4 6 4" xfId="10985" xr:uid="{00000000-0005-0000-0000-00001A290000}"/>
    <cellStyle name="Header2 4 7" xfId="10986" xr:uid="{00000000-0005-0000-0000-00001B290000}"/>
    <cellStyle name="Header2 4 7 2" xfId="10987" xr:uid="{00000000-0005-0000-0000-00001C290000}"/>
    <cellStyle name="Header2 4 8" xfId="10988" xr:uid="{00000000-0005-0000-0000-00001D290000}"/>
    <cellStyle name="Header2 4 8 2" xfId="10989" xr:uid="{00000000-0005-0000-0000-00001E290000}"/>
    <cellStyle name="Header2 4 9" xfId="10990" xr:uid="{00000000-0005-0000-0000-00001F290000}"/>
    <cellStyle name="Header2 5" xfId="10991" xr:uid="{00000000-0005-0000-0000-000020290000}"/>
    <cellStyle name="Header2 5 2" xfId="10992" xr:uid="{00000000-0005-0000-0000-000021290000}"/>
    <cellStyle name="Header2 5 2 2" xfId="10993" xr:uid="{00000000-0005-0000-0000-000022290000}"/>
    <cellStyle name="Header2 5 2 2 2" xfId="10994" xr:uid="{00000000-0005-0000-0000-000023290000}"/>
    <cellStyle name="Header2 5 2 2 2 2" xfId="10995" xr:uid="{00000000-0005-0000-0000-000024290000}"/>
    <cellStyle name="Header2 5 2 2 3" xfId="10996" xr:uid="{00000000-0005-0000-0000-000025290000}"/>
    <cellStyle name="Header2 5 2 2 3 2" xfId="10997" xr:uid="{00000000-0005-0000-0000-000026290000}"/>
    <cellStyle name="Header2 5 2 2 4" xfId="10998" xr:uid="{00000000-0005-0000-0000-000027290000}"/>
    <cellStyle name="Header2 5 2 3" xfId="10999" xr:uid="{00000000-0005-0000-0000-000028290000}"/>
    <cellStyle name="Header2 5 2 3 2" xfId="11000" xr:uid="{00000000-0005-0000-0000-000029290000}"/>
    <cellStyle name="Header2 5 2 3 2 2" xfId="11001" xr:uid="{00000000-0005-0000-0000-00002A290000}"/>
    <cellStyle name="Header2 5 2 3 3" xfId="11002" xr:uid="{00000000-0005-0000-0000-00002B290000}"/>
    <cellStyle name="Header2 5 2 3 3 2" xfId="11003" xr:uid="{00000000-0005-0000-0000-00002C290000}"/>
    <cellStyle name="Header2 5 2 3 4" xfId="11004" xr:uid="{00000000-0005-0000-0000-00002D290000}"/>
    <cellStyle name="Header2 5 2 4" xfId="11005" xr:uid="{00000000-0005-0000-0000-00002E290000}"/>
    <cellStyle name="Header2 5 2 4 2" xfId="11006" xr:uid="{00000000-0005-0000-0000-00002F290000}"/>
    <cellStyle name="Header2 5 2 5" xfId="11007" xr:uid="{00000000-0005-0000-0000-000030290000}"/>
    <cellStyle name="Header2 5 2 5 2" xfId="11008" xr:uid="{00000000-0005-0000-0000-000031290000}"/>
    <cellStyle name="Header2 5 2 6" xfId="11009" xr:uid="{00000000-0005-0000-0000-000032290000}"/>
    <cellStyle name="Header2 5 3" xfId="11010" xr:uid="{00000000-0005-0000-0000-000033290000}"/>
    <cellStyle name="Header2 5 3 2" xfId="11011" xr:uid="{00000000-0005-0000-0000-000034290000}"/>
    <cellStyle name="Header2 5 3 2 2" xfId="11012" xr:uid="{00000000-0005-0000-0000-000035290000}"/>
    <cellStyle name="Header2 5 3 2 2 2" xfId="11013" xr:uid="{00000000-0005-0000-0000-000036290000}"/>
    <cellStyle name="Header2 5 3 2 3" xfId="11014" xr:uid="{00000000-0005-0000-0000-000037290000}"/>
    <cellStyle name="Header2 5 3 2 3 2" xfId="11015" xr:uid="{00000000-0005-0000-0000-000038290000}"/>
    <cellStyle name="Header2 5 3 2 4" xfId="11016" xr:uid="{00000000-0005-0000-0000-000039290000}"/>
    <cellStyle name="Header2 5 3 3" xfId="11017" xr:uid="{00000000-0005-0000-0000-00003A290000}"/>
    <cellStyle name="Header2 5 3 3 2" xfId="11018" xr:uid="{00000000-0005-0000-0000-00003B290000}"/>
    <cellStyle name="Header2 5 3 3 2 2" xfId="11019" xr:uid="{00000000-0005-0000-0000-00003C290000}"/>
    <cellStyle name="Header2 5 3 3 3" xfId="11020" xr:uid="{00000000-0005-0000-0000-00003D290000}"/>
    <cellStyle name="Header2 5 3 3 3 2" xfId="11021" xr:uid="{00000000-0005-0000-0000-00003E290000}"/>
    <cellStyle name="Header2 5 3 3 4" xfId="11022" xr:uid="{00000000-0005-0000-0000-00003F290000}"/>
    <cellStyle name="Header2 5 3 4" xfId="11023" xr:uid="{00000000-0005-0000-0000-000040290000}"/>
    <cellStyle name="Header2 5 3 4 2" xfId="11024" xr:uid="{00000000-0005-0000-0000-000041290000}"/>
    <cellStyle name="Header2 5 3 5" xfId="11025" xr:uid="{00000000-0005-0000-0000-000042290000}"/>
    <cellStyle name="Header2 5 3 5 2" xfId="11026" xr:uid="{00000000-0005-0000-0000-000043290000}"/>
    <cellStyle name="Header2 5 3 6" xfId="11027" xr:uid="{00000000-0005-0000-0000-000044290000}"/>
    <cellStyle name="Header2 5 4" xfId="11028" xr:uid="{00000000-0005-0000-0000-000045290000}"/>
    <cellStyle name="Header2 5 4 2" xfId="11029" xr:uid="{00000000-0005-0000-0000-000046290000}"/>
    <cellStyle name="Header2 5 4 2 2" xfId="11030" xr:uid="{00000000-0005-0000-0000-000047290000}"/>
    <cellStyle name="Header2 5 4 2 2 2" xfId="11031" xr:uid="{00000000-0005-0000-0000-000048290000}"/>
    <cellStyle name="Header2 5 4 2 3" xfId="11032" xr:uid="{00000000-0005-0000-0000-000049290000}"/>
    <cellStyle name="Header2 5 4 2 3 2" xfId="11033" xr:uid="{00000000-0005-0000-0000-00004A290000}"/>
    <cellStyle name="Header2 5 4 2 4" xfId="11034" xr:uid="{00000000-0005-0000-0000-00004B290000}"/>
    <cellStyle name="Header2 5 4 3" xfId="11035" xr:uid="{00000000-0005-0000-0000-00004C290000}"/>
    <cellStyle name="Header2 5 4 3 2" xfId="11036" xr:uid="{00000000-0005-0000-0000-00004D290000}"/>
    <cellStyle name="Header2 5 4 3 2 2" xfId="11037" xr:uid="{00000000-0005-0000-0000-00004E290000}"/>
    <cellStyle name="Header2 5 4 3 3" xfId="11038" xr:uid="{00000000-0005-0000-0000-00004F290000}"/>
    <cellStyle name="Header2 5 4 3 3 2" xfId="11039" xr:uid="{00000000-0005-0000-0000-000050290000}"/>
    <cellStyle name="Header2 5 4 3 4" xfId="11040" xr:uid="{00000000-0005-0000-0000-000051290000}"/>
    <cellStyle name="Header2 5 4 4" xfId="11041" xr:uid="{00000000-0005-0000-0000-000052290000}"/>
    <cellStyle name="Header2 5 4 4 2" xfId="11042" xr:uid="{00000000-0005-0000-0000-000053290000}"/>
    <cellStyle name="Header2 5 4 5" xfId="11043" xr:uid="{00000000-0005-0000-0000-000054290000}"/>
    <cellStyle name="Header2 5 4 5 2" xfId="11044" xr:uid="{00000000-0005-0000-0000-000055290000}"/>
    <cellStyle name="Header2 5 4 6" xfId="11045" xr:uid="{00000000-0005-0000-0000-000056290000}"/>
    <cellStyle name="Header2 5 5" xfId="11046" xr:uid="{00000000-0005-0000-0000-000057290000}"/>
    <cellStyle name="Header2 5 5 2" xfId="11047" xr:uid="{00000000-0005-0000-0000-000058290000}"/>
    <cellStyle name="Header2 5 5 2 2" xfId="11048" xr:uid="{00000000-0005-0000-0000-000059290000}"/>
    <cellStyle name="Header2 5 5 3" xfId="11049" xr:uid="{00000000-0005-0000-0000-00005A290000}"/>
    <cellStyle name="Header2 5 5 3 2" xfId="11050" xr:uid="{00000000-0005-0000-0000-00005B290000}"/>
    <cellStyle name="Header2 5 5 4" xfId="11051" xr:uid="{00000000-0005-0000-0000-00005C290000}"/>
    <cellStyle name="Header2 5 6" xfId="11052" xr:uid="{00000000-0005-0000-0000-00005D290000}"/>
    <cellStyle name="Header2 5 6 2" xfId="11053" xr:uid="{00000000-0005-0000-0000-00005E290000}"/>
    <cellStyle name="Header2 5 6 2 2" xfId="11054" xr:uid="{00000000-0005-0000-0000-00005F290000}"/>
    <cellStyle name="Header2 5 6 3" xfId="11055" xr:uid="{00000000-0005-0000-0000-000060290000}"/>
    <cellStyle name="Header2 5 6 3 2" xfId="11056" xr:uid="{00000000-0005-0000-0000-000061290000}"/>
    <cellStyle name="Header2 5 6 4" xfId="11057" xr:uid="{00000000-0005-0000-0000-000062290000}"/>
    <cellStyle name="Header2 5 7" xfId="11058" xr:uid="{00000000-0005-0000-0000-000063290000}"/>
    <cellStyle name="Header2 5 7 2" xfId="11059" xr:uid="{00000000-0005-0000-0000-000064290000}"/>
    <cellStyle name="Header2 5 8" xfId="11060" xr:uid="{00000000-0005-0000-0000-000065290000}"/>
    <cellStyle name="Header2 5 8 2" xfId="11061" xr:uid="{00000000-0005-0000-0000-000066290000}"/>
    <cellStyle name="Header2 5 9" xfId="11062" xr:uid="{00000000-0005-0000-0000-000067290000}"/>
    <cellStyle name="Header2 6" xfId="11063" xr:uid="{00000000-0005-0000-0000-000068290000}"/>
    <cellStyle name="Header2 6 2" xfId="11064" xr:uid="{00000000-0005-0000-0000-000069290000}"/>
    <cellStyle name="Header2 6 2 2" xfId="11065" xr:uid="{00000000-0005-0000-0000-00006A290000}"/>
    <cellStyle name="Header2 6 2 2 2" xfId="11066" xr:uid="{00000000-0005-0000-0000-00006B290000}"/>
    <cellStyle name="Header2 6 2 2 2 2" xfId="11067" xr:uid="{00000000-0005-0000-0000-00006C290000}"/>
    <cellStyle name="Header2 6 2 2 3" xfId="11068" xr:uid="{00000000-0005-0000-0000-00006D290000}"/>
    <cellStyle name="Header2 6 2 2 3 2" xfId="11069" xr:uid="{00000000-0005-0000-0000-00006E290000}"/>
    <cellStyle name="Header2 6 2 2 4" xfId="11070" xr:uid="{00000000-0005-0000-0000-00006F290000}"/>
    <cellStyle name="Header2 6 2 3" xfId="11071" xr:uid="{00000000-0005-0000-0000-000070290000}"/>
    <cellStyle name="Header2 6 2 3 2" xfId="11072" xr:uid="{00000000-0005-0000-0000-000071290000}"/>
    <cellStyle name="Header2 6 2 3 2 2" xfId="11073" xr:uid="{00000000-0005-0000-0000-000072290000}"/>
    <cellStyle name="Header2 6 2 3 3" xfId="11074" xr:uid="{00000000-0005-0000-0000-000073290000}"/>
    <cellStyle name="Header2 6 2 3 3 2" xfId="11075" xr:uid="{00000000-0005-0000-0000-000074290000}"/>
    <cellStyle name="Header2 6 2 3 4" xfId="11076" xr:uid="{00000000-0005-0000-0000-000075290000}"/>
    <cellStyle name="Header2 6 2 4" xfId="11077" xr:uid="{00000000-0005-0000-0000-000076290000}"/>
    <cellStyle name="Header2 6 2 4 2" xfId="11078" xr:uid="{00000000-0005-0000-0000-000077290000}"/>
    <cellStyle name="Header2 6 2 5" xfId="11079" xr:uid="{00000000-0005-0000-0000-000078290000}"/>
    <cellStyle name="Header2 6 2 5 2" xfId="11080" xr:uid="{00000000-0005-0000-0000-000079290000}"/>
    <cellStyle name="Header2 6 2 6" xfId="11081" xr:uid="{00000000-0005-0000-0000-00007A290000}"/>
    <cellStyle name="Header2 6 3" xfId="11082" xr:uid="{00000000-0005-0000-0000-00007B290000}"/>
    <cellStyle name="Header2 6 3 2" xfId="11083" xr:uid="{00000000-0005-0000-0000-00007C290000}"/>
    <cellStyle name="Header2 6 3 2 2" xfId="11084" xr:uid="{00000000-0005-0000-0000-00007D290000}"/>
    <cellStyle name="Header2 6 3 2 2 2" xfId="11085" xr:uid="{00000000-0005-0000-0000-00007E290000}"/>
    <cellStyle name="Header2 6 3 2 3" xfId="11086" xr:uid="{00000000-0005-0000-0000-00007F290000}"/>
    <cellStyle name="Header2 6 3 2 3 2" xfId="11087" xr:uid="{00000000-0005-0000-0000-000080290000}"/>
    <cellStyle name="Header2 6 3 2 4" xfId="11088" xr:uid="{00000000-0005-0000-0000-000081290000}"/>
    <cellStyle name="Header2 6 3 3" xfId="11089" xr:uid="{00000000-0005-0000-0000-000082290000}"/>
    <cellStyle name="Header2 6 3 3 2" xfId="11090" xr:uid="{00000000-0005-0000-0000-000083290000}"/>
    <cellStyle name="Header2 6 3 3 2 2" xfId="11091" xr:uid="{00000000-0005-0000-0000-000084290000}"/>
    <cellStyle name="Header2 6 3 3 3" xfId="11092" xr:uid="{00000000-0005-0000-0000-000085290000}"/>
    <cellStyle name="Header2 6 3 3 3 2" xfId="11093" xr:uid="{00000000-0005-0000-0000-000086290000}"/>
    <cellStyle name="Header2 6 3 3 4" xfId="11094" xr:uid="{00000000-0005-0000-0000-000087290000}"/>
    <cellStyle name="Header2 6 3 4" xfId="11095" xr:uid="{00000000-0005-0000-0000-000088290000}"/>
    <cellStyle name="Header2 6 3 4 2" xfId="11096" xr:uid="{00000000-0005-0000-0000-000089290000}"/>
    <cellStyle name="Header2 6 3 5" xfId="11097" xr:uid="{00000000-0005-0000-0000-00008A290000}"/>
    <cellStyle name="Header2 6 3 5 2" xfId="11098" xr:uid="{00000000-0005-0000-0000-00008B290000}"/>
    <cellStyle name="Header2 6 3 6" xfId="11099" xr:uid="{00000000-0005-0000-0000-00008C290000}"/>
    <cellStyle name="Header2 6 4" xfId="11100" xr:uid="{00000000-0005-0000-0000-00008D290000}"/>
    <cellStyle name="Header2 6 4 2" xfId="11101" xr:uid="{00000000-0005-0000-0000-00008E290000}"/>
    <cellStyle name="Header2 6 4 2 2" xfId="11102" xr:uid="{00000000-0005-0000-0000-00008F290000}"/>
    <cellStyle name="Header2 6 4 2 2 2" xfId="11103" xr:uid="{00000000-0005-0000-0000-000090290000}"/>
    <cellStyle name="Header2 6 4 2 3" xfId="11104" xr:uid="{00000000-0005-0000-0000-000091290000}"/>
    <cellStyle name="Header2 6 4 2 3 2" xfId="11105" xr:uid="{00000000-0005-0000-0000-000092290000}"/>
    <cellStyle name="Header2 6 4 2 4" xfId="11106" xr:uid="{00000000-0005-0000-0000-000093290000}"/>
    <cellStyle name="Header2 6 4 3" xfId="11107" xr:uid="{00000000-0005-0000-0000-000094290000}"/>
    <cellStyle name="Header2 6 4 3 2" xfId="11108" xr:uid="{00000000-0005-0000-0000-000095290000}"/>
    <cellStyle name="Header2 6 4 3 2 2" xfId="11109" xr:uid="{00000000-0005-0000-0000-000096290000}"/>
    <cellStyle name="Header2 6 4 3 3" xfId="11110" xr:uid="{00000000-0005-0000-0000-000097290000}"/>
    <cellStyle name="Header2 6 4 3 3 2" xfId="11111" xr:uid="{00000000-0005-0000-0000-000098290000}"/>
    <cellStyle name="Header2 6 4 3 4" xfId="11112" xr:uid="{00000000-0005-0000-0000-000099290000}"/>
    <cellStyle name="Header2 6 4 4" xfId="11113" xr:uid="{00000000-0005-0000-0000-00009A290000}"/>
    <cellStyle name="Header2 6 4 4 2" xfId="11114" xr:uid="{00000000-0005-0000-0000-00009B290000}"/>
    <cellStyle name="Header2 6 4 5" xfId="11115" xr:uid="{00000000-0005-0000-0000-00009C290000}"/>
    <cellStyle name="Header2 6 4 5 2" xfId="11116" xr:uid="{00000000-0005-0000-0000-00009D290000}"/>
    <cellStyle name="Header2 6 4 6" xfId="11117" xr:uid="{00000000-0005-0000-0000-00009E290000}"/>
    <cellStyle name="Header2 6 5" xfId="11118" xr:uid="{00000000-0005-0000-0000-00009F290000}"/>
    <cellStyle name="Header2 6 5 2" xfId="11119" xr:uid="{00000000-0005-0000-0000-0000A0290000}"/>
    <cellStyle name="Header2 6 5 2 2" xfId="11120" xr:uid="{00000000-0005-0000-0000-0000A1290000}"/>
    <cellStyle name="Header2 6 5 3" xfId="11121" xr:uid="{00000000-0005-0000-0000-0000A2290000}"/>
    <cellStyle name="Header2 6 5 3 2" xfId="11122" xr:uid="{00000000-0005-0000-0000-0000A3290000}"/>
    <cellStyle name="Header2 6 5 4" xfId="11123" xr:uid="{00000000-0005-0000-0000-0000A4290000}"/>
    <cellStyle name="Header2 6 6" xfId="11124" xr:uid="{00000000-0005-0000-0000-0000A5290000}"/>
    <cellStyle name="Header2 6 6 2" xfId="11125" xr:uid="{00000000-0005-0000-0000-0000A6290000}"/>
    <cellStyle name="Header2 6 6 2 2" xfId="11126" xr:uid="{00000000-0005-0000-0000-0000A7290000}"/>
    <cellStyle name="Header2 6 6 3" xfId="11127" xr:uid="{00000000-0005-0000-0000-0000A8290000}"/>
    <cellStyle name="Header2 6 6 3 2" xfId="11128" xr:uid="{00000000-0005-0000-0000-0000A9290000}"/>
    <cellStyle name="Header2 6 6 4" xfId="11129" xr:uid="{00000000-0005-0000-0000-0000AA290000}"/>
    <cellStyle name="Header2 6 7" xfId="11130" xr:uid="{00000000-0005-0000-0000-0000AB290000}"/>
    <cellStyle name="Header2 6 7 2" xfId="11131" xr:uid="{00000000-0005-0000-0000-0000AC290000}"/>
    <cellStyle name="Header2 6 8" xfId="11132" xr:uid="{00000000-0005-0000-0000-0000AD290000}"/>
    <cellStyle name="Header2 6 8 2" xfId="11133" xr:uid="{00000000-0005-0000-0000-0000AE290000}"/>
    <cellStyle name="Header2 6 9" xfId="11134" xr:uid="{00000000-0005-0000-0000-0000AF290000}"/>
    <cellStyle name="Header2 7" xfId="11135" xr:uid="{00000000-0005-0000-0000-0000B0290000}"/>
    <cellStyle name="Header2 7 2" xfId="11136" xr:uid="{00000000-0005-0000-0000-0000B1290000}"/>
    <cellStyle name="Header2 7 2 2" xfId="11137" xr:uid="{00000000-0005-0000-0000-0000B2290000}"/>
    <cellStyle name="Header2 7 2 2 2" xfId="11138" xr:uid="{00000000-0005-0000-0000-0000B3290000}"/>
    <cellStyle name="Header2 7 2 2 2 2" xfId="11139" xr:uid="{00000000-0005-0000-0000-0000B4290000}"/>
    <cellStyle name="Header2 7 2 2 3" xfId="11140" xr:uid="{00000000-0005-0000-0000-0000B5290000}"/>
    <cellStyle name="Header2 7 2 2 3 2" xfId="11141" xr:uid="{00000000-0005-0000-0000-0000B6290000}"/>
    <cellStyle name="Header2 7 2 2 4" xfId="11142" xr:uid="{00000000-0005-0000-0000-0000B7290000}"/>
    <cellStyle name="Header2 7 2 3" xfId="11143" xr:uid="{00000000-0005-0000-0000-0000B8290000}"/>
    <cellStyle name="Header2 7 2 3 2" xfId="11144" xr:uid="{00000000-0005-0000-0000-0000B9290000}"/>
    <cellStyle name="Header2 7 2 3 2 2" xfId="11145" xr:uid="{00000000-0005-0000-0000-0000BA290000}"/>
    <cellStyle name="Header2 7 2 3 3" xfId="11146" xr:uid="{00000000-0005-0000-0000-0000BB290000}"/>
    <cellStyle name="Header2 7 2 3 3 2" xfId="11147" xr:uid="{00000000-0005-0000-0000-0000BC290000}"/>
    <cellStyle name="Header2 7 2 3 4" xfId="11148" xr:uid="{00000000-0005-0000-0000-0000BD290000}"/>
    <cellStyle name="Header2 7 2 4" xfId="11149" xr:uid="{00000000-0005-0000-0000-0000BE290000}"/>
    <cellStyle name="Header2 7 2 4 2" xfId="11150" xr:uid="{00000000-0005-0000-0000-0000BF290000}"/>
    <cellStyle name="Header2 7 2 5" xfId="11151" xr:uid="{00000000-0005-0000-0000-0000C0290000}"/>
    <cellStyle name="Header2 7 2 5 2" xfId="11152" xr:uid="{00000000-0005-0000-0000-0000C1290000}"/>
    <cellStyle name="Header2 7 2 6" xfId="11153" xr:uid="{00000000-0005-0000-0000-0000C2290000}"/>
    <cellStyle name="Header2 7 3" xfId="11154" xr:uid="{00000000-0005-0000-0000-0000C3290000}"/>
    <cellStyle name="Header2 7 3 2" xfId="11155" xr:uid="{00000000-0005-0000-0000-0000C4290000}"/>
    <cellStyle name="Header2 7 3 2 2" xfId="11156" xr:uid="{00000000-0005-0000-0000-0000C5290000}"/>
    <cellStyle name="Header2 7 3 2 2 2" xfId="11157" xr:uid="{00000000-0005-0000-0000-0000C6290000}"/>
    <cellStyle name="Header2 7 3 2 3" xfId="11158" xr:uid="{00000000-0005-0000-0000-0000C7290000}"/>
    <cellStyle name="Header2 7 3 2 3 2" xfId="11159" xr:uid="{00000000-0005-0000-0000-0000C8290000}"/>
    <cellStyle name="Header2 7 3 2 4" xfId="11160" xr:uid="{00000000-0005-0000-0000-0000C9290000}"/>
    <cellStyle name="Header2 7 3 3" xfId="11161" xr:uid="{00000000-0005-0000-0000-0000CA290000}"/>
    <cellStyle name="Header2 7 3 3 2" xfId="11162" xr:uid="{00000000-0005-0000-0000-0000CB290000}"/>
    <cellStyle name="Header2 7 3 3 2 2" xfId="11163" xr:uid="{00000000-0005-0000-0000-0000CC290000}"/>
    <cellStyle name="Header2 7 3 3 3" xfId="11164" xr:uid="{00000000-0005-0000-0000-0000CD290000}"/>
    <cellStyle name="Header2 7 3 3 3 2" xfId="11165" xr:uid="{00000000-0005-0000-0000-0000CE290000}"/>
    <cellStyle name="Header2 7 3 3 4" xfId="11166" xr:uid="{00000000-0005-0000-0000-0000CF290000}"/>
    <cellStyle name="Header2 7 3 4" xfId="11167" xr:uid="{00000000-0005-0000-0000-0000D0290000}"/>
    <cellStyle name="Header2 7 3 4 2" xfId="11168" xr:uid="{00000000-0005-0000-0000-0000D1290000}"/>
    <cellStyle name="Header2 7 3 5" xfId="11169" xr:uid="{00000000-0005-0000-0000-0000D2290000}"/>
    <cellStyle name="Header2 7 3 5 2" xfId="11170" xr:uid="{00000000-0005-0000-0000-0000D3290000}"/>
    <cellStyle name="Header2 7 3 6" xfId="11171" xr:uid="{00000000-0005-0000-0000-0000D4290000}"/>
    <cellStyle name="Header2 7 4" xfId="11172" xr:uid="{00000000-0005-0000-0000-0000D5290000}"/>
    <cellStyle name="Header2 7 4 2" xfId="11173" xr:uid="{00000000-0005-0000-0000-0000D6290000}"/>
    <cellStyle name="Header2 7 4 2 2" xfId="11174" xr:uid="{00000000-0005-0000-0000-0000D7290000}"/>
    <cellStyle name="Header2 7 4 2 2 2" xfId="11175" xr:uid="{00000000-0005-0000-0000-0000D8290000}"/>
    <cellStyle name="Header2 7 4 2 3" xfId="11176" xr:uid="{00000000-0005-0000-0000-0000D9290000}"/>
    <cellStyle name="Header2 7 4 2 3 2" xfId="11177" xr:uid="{00000000-0005-0000-0000-0000DA290000}"/>
    <cellStyle name="Header2 7 4 2 4" xfId="11178" xr:uid="{00000000-0005-0000-0000-0000DB290000}"/>
    <cellStyle name="Header2 7 4 3" xfId="11179" xr:uid="{00000000-0005-0000-0000-0000DC290000}"/>
    <cellStyle name="Header2 7 4 3 2" xfId="11180" xr:uid="{00000000-0005-0000-0000-0000DD290000}"/>
    <cellStyle name="Header2 7 4 3 2 2" xfId="11181" xr:uid="{00000000-0005-0000-0000-0000DE290000}"/>
    <cellStyle name="Header2 7 4 3 3" xfId="11182" xr:uid="{00000000-0005-0000-0000-0000DF290000}"/>
    <cellStyle name="Header2 7 4 3 3 2" xfId="11183" xr:uid="{00000000-0005-0000-0000-0000E0290000}"/>
    <cellStyle name="Header2 7 4 3 4" xfId="11184" xr:uid="{00000000-0005-0000-0000-0000E1290000}"/>
    <cellStyle name="Header2 7 4 4" xfId="11185" xr:uid="{00000000-0005-0000-0000-0000E2290000}"/>
    <cellStyle name="Header2 7 4 4 2" xfId="11186" xr:uid="{00000000-0005-0000-0000-0000E3290000}"/>
    <cellStyle name="Header2 7 4 5" xfId="11187" xr:uid="{00000000-0005-0000-0000-0000E4290000}"/>
    <cellStyle name="Header2 7 4 5 2" xfId="11188" xr:uid="{00000000-0005-0000-0000-0000E5290000}"/>
    <cellStyle name="Header2 7 4 6" xfId="11189" xr:uid="{00000000-0005-0000-0000-0000E6290000}"/>
    <cellStyle name="Header2 7 5" xfId="11190" xr:uid="{00000000-0005-0000-0000-0000E7290000}"/>
    <cellStyle name="Header2 7 5 2" xfId="11191" xr:uid="{00000000-0005-0000-0000-0000E8290000}"/>
    <cellStyle name="Header2 7 5 2 2" xfId="11192" xr:uid="{00000000-0005-0000-0000-0000E9290000}"/>
    <cellStyle name="Header2 7 5 3" xfId="11193" xr:uid="{00000000-0005-0000-0000-0000EA290000}"/>
    <cellStyle name="Header2 7 5 3 2" xfId="11194" xr:uid="{00000000-0005-0000-0000-0000EB290000}"/>
    <cellStyle name="Header2 7 5 4" xfId="11195" xr:uid="{00000000-0005-0000-0000-0000EC290000}"/>
    <cellStyle name="Header2 7 6" xfId="11196" xr:uid="{00000000-0005-0000-0000-0000ED290000}"/>
    <cellStyle name="Header2 7 6 2" xfId="11197" xr:uid="{00000000-0005-0000-0000-0000EE290000}"/>
    <cellStyle name="Header2 7 6 2 2" xfId="11198" xr:uid="{00000000-0005-0000-0000-0000EF290000}"/>
    <cellStyle name="Header2 7 6 3" xfId="11199" xr:uid="{00000000-0005-0000-0000-0000F0290000}"/>
    <cellStyle name="Header2 7 6 3 2" xfId="11200" xr:uid="{00000000-0005-0000-0000-0000F1290000}"/>
    <cellStyle name="Header2 7 6 4" xfId="11201" xr:uid="{00000000-0005-0000-0000-0000F2290000}"/>
    <cellStyle name="Header2 7 7" xfId="11202" xr:uid="{00000000-0005-0000-0000-0000F3290000}"/>
    <cellStyle name="Header2 7 7 2" xfId="11203" xr:uid="{00000000-0005-0000-0000-0000F4290000}"/>
    <cellStyle name="Header2 7 8" xfId="11204" xr:uid="{00000000-0005-0000-0000-0000F5290000}"/>
    <cellStyle name="Header2 7 8 2" xfId="11205" xr:uid="{00000000-0005-0000-0000-0000F6290000}"/>
    <cellStyle name="Header2 7 9" xfId="11206" xr:uid="{00000000-0005-0000-0000-0000F7290000}"/>
    <cellStyle name="Header2 8" xfId="11207" xr:uid="{00000000-0005-0000-0000-0000F8290000}"/>
    <cellStyle name="Header2 8 2" xfId="11208" xr:uid="{00000000-0005-0000-0000-0000F9290000}"/>
    <cellStyle name="Header2 8 2 2" xfId="11209" xr:uid="{00000000-0005-0000-0000-0000FA290000}"/>
    <cellStyle name="Header2 8 2 2 2" xfId="11210" xr:uid="{00000000-0005-0000-0000-0000FB290000}"/>
    <cellStyle name="Header2 8 2 2 2 2" xfId="11211" xr:uid="{00000000-0005-0000-0000-0000FC290000}"/>
    <cellStyle name="Header2 8 2 2 3" xfId="11212" xr:uid="{00000000-0005-0000-0000-0000FD290000}"/>
    <cellStyle name="Header2 8 2 2 3 2" xfId="11213" xr:uid="{00000000-0005-0000-0000-0000FE290000}"/>
    <cellStyle name="Header2 8 2 2 4" xfId="11214" xr:uid="{00000000-0005-0000-0000-0000FF290000}"/>
    <cellStyle name="Header2 8 2 3" xfId="11215" xr:uid="{00000000-0005-0000-0000-0000002A0000}"/>
    <cellStyle name="Header2 8 2 3 2" xfId="11216" xr:uid="{00000000-0005-0000-0000-0000012A0000}"/>
    <cellStyle name="Header2 8 2 3 2 2" xfId="11217" xr:uid="{00000000-0005-0000-0000-0000022A0000}"/>
    <cellStyle name="Header2 8 2 3 3" xfId="11218" xr:uid="{00000000-0005-0000-0000-0000032A0000}"/>
    <cellStyle name="Header2 8 2 3 3 2" xfId="11219" xr:uid="{00000000-0005-0000-0000-0000042A0000}"/>
    <cellStyle name="Header2 8 2 3 4" xfId="11220" xr:uid="{00000000-0005-0000-0000-0000052A0000}"/>
    <cellStyle name="Header2 8 2 4" xfId="11221" xr:uid="{00000000-0005-0000-0000-0000062A0000}"/>
    <cellStyle name="Header2 8 2 4 2" xfId="11222" xr:uid="{00000000-0005-0000-0000-0000072A0000}"/>
    <cellStyle name="Header2 8 2 5" xfId="11223" xr:uid="{00000000-0005-0000-0000-0000082A0000}"/>
    <cellStyle name="Header2 8 2 5 2" xfId="11224" xr:uid="{00000000-0005-0000-0000-0000092A0000}"/>
    <cellStyle name="Header2 8 2 6" xfId="11225" xr:uid="{00000000-0005-0000-0000-00000A2A0000}"/>
    <cellStyle name="Header2 8 3" xfId="11226" xr:uid="{00000000-0005-0000-0000-00000B2A0000}"/>
    <cellStyle name="Header2 8 3 2" xfId="11227" xr:uid="{00000000-0005-0000-0000-00000C2A0000}"/>
    <cellStyle name="Header2 8 3 2 2" xfId="11228" xr:uid="{00000000-0005-0000-0000-00000D2A0000}"/>
    <cellStyle name="Header2 8 3 2 2 2" xfId="11229" xr:uid="{00000000-0005-0000-0000-00000E2A0000}"/>
    <cellStyle name="Header2 8 3 2 3" xfId="11230" xr:uid="{00000000-0005-0000-0000-00000F2A0000}"/>
    <cellStyle name="Header2 8 3 2 3 2" xfId="11231" xr:uid="{00000000-0005-0000-0000-0000102A0000}"/>
    <cellStyle name="Header2 8 3 2 4" xfId="11232" xr:uid="{00000000-0005-0000-0000-0000112A0000}"/>
    <cellStyle name="Header2 8 3 3" xfId="11233" xr:uid="{00000000-0005-0000-0000-0000122A0000}"/>
    <cellStyle name="Header2 8 3 3 2" xfId="11234" xr:uid="{00000000-0005-0000-0000-0000132A0000}"/>
    <cellStyle name="Header2 8 3 3 2 2" xfId="11235" xr:uid="{00000000-0005-0000-0000-0000142A0000}"/>
    <cellStyle name="Header2 8 3 3 3" xfId="11236" xr:uid="{00000000-0005-0000-0000-0000152A0000}"/>
    <cellStyle name="Header2 8 3 3 3 2" xfId="11237" xr:uid="{00000000-0005-0000-0000-0000162A0000}"/>
    <cellStyle name="Header2 8 3 3 4" xfId="11238" xr:uid="{00000000-0005-0000-0000-0000172A0000}"/>
    <cellStyle name="Header2 8 3 4" xfId="11239" xr:uid="{00000000-0005-0000-0000-0000182A0000}"/>
    <cellStyle name="Header2 8 3 4 2" xfId="11240" xr:uid="{00000000-0005-0000-0000-0000192A0000}"/>
    <cellStyle name="Header2 8 3 5" xfId="11241" xr:uid="{00000000-0005-0000-0000-00001A2A0000}"/>
    <cellStyle name="Header2 8 3 5 2" xfId="11242" xr:uid="{00000000-0005-0000-0000-00001B2A0000}"/>
    <cellStyle name="Header2 8 3 6" xfId="11243" xr:uid="{00000000-0005-0000-0000-00001C2A0000}"/>
    <cellStyle name="Header2 8 4" xfId="11244" xr:uid="{00000000-0005-0000-0000-00001D2A0000}"/>
    <cellStyle name="Header2 8 4 2" xfId="11245" xr:uid="{00000000-0005-0000-0000-00001E2A0000}"/>
    <cellStyle name="Header2 8 4 2 2" xfId="11246" xr:uid="{00000000-0005-0000-0000-00001F2A0000}"/>
    <cellStyle name="Header2 8 4 2 2 2" xfId="11247" xr:uid="{00000000-0005-0000-0000-0000202A0000}"/>
    <cellStyle name="Header2 8 4 2 3" xfId="11248" xr:uid="{00000000-0005-0000-0000-0000212A0000}"/>
    <cellStyle name="Header2 8 4 2 3 2" xfId="11249" xr:uid="{00000000-0005-0000-0000-0000222A0000}"/>
    <cellStyle name="Header2 8 4 2 4" xfId="11250" xr:uid="{00000000-0005-0000-0000-0000232A0000}"/>
    <cellStyle name="Header2 8 4 3" xfId="11251" xr:uid="{00000000-0005-0000-0000-0000242A0000}"/>
    <cellStyle name="Header2 8 4 3 2" xfId="11252" xr:uid="{00000000-0005-0000-0000-0000252A0000}"/>
    <cellStyle name="Header2 8 4 3 2 2" xfId="11253" xr:uid="{00000000-0005-0000-0000-0000262A0000}"/>
    <cellStyle name="Header2 8 4 3 3" xfId="11254" xr:uid="{00000000-0005-0000-0000-0000272A0000}"/>
    <cellStyle name="Header2 8 4 3 3 2" xfId="11255" xr:uid="{00000000-0005-0000-0000-0000282A0000}"/>
    <cellStyle name="Header2 8 4 3 4" xfId="11256" xr:uid="{00000000-0005-0000-0000-0000292A0000}"/>
    <cellStyle name="Header2 8 4 4" xfId="11257" xr:uid="{00000000-0005-0000-0000-00002A2A0000}"/>
    <cellStyle name="Header2 8 4 4 2" xfId="11258" xr:uid="{00000000-0005-0000-0000-00002B2A0000}"/>
    <cellStyle name="Header2 8 4 5" xfId="11259" xr:uid="{00000000-0005-0000-0000-00002C2A0000}"/>
    <cellStyle name="Header2 8 4 5 2" xfId="11260" xr:uid="{00000000-0005-0000-0000-00002D2A0000}"/>
    <cellStyle name="Header2 8 4 6" xfId="11261" xr:uid="{00000000-0005-0000-0000-00002E2A0000}"/>
    <cellStyle name="Header2 8 5" xfId="11262" xr:uid="{00000000-0005-0000-0000-00002F2A0000}"/>
    <cellStyle name="Header2 8 5 2" xfId="11263" xr:uid="{00000000-0005-0000-0000-0000302A0000}"/>
    <cellStyle name="Header2 8 5 2 2" xfId="11264" xr:uid="{00000000-0005-0000-0000-0000312A0000}"/>
    <cellStyle name="Header2 8 5 3" xfId="11265" xr:uid="{00000000-0005-0000-0000-0000322A0000}"/>
    <cellStyle name="Header2 8 5 3 2" xfId="11266" xr:uid="{00000000-0005-0000-0000-0000332A0000}"/>
    <cellStyle name="Header2 8 5 4" xfId="11267" xr:uid="{00000000-0005-0000-0000-0000342A0000}"/>
    <cellStyle name="Header2 8 6" xfId="11268" xr:uid="{00000000-0005-0000-0000-0000352A0000}"/>
    <cellStyle name="Header2 8 6 2" xfId="11269" xr:uid="{00000000-0005-0000-0000-0000362A0000}"/>
    <cellStyle name="Header2 8 6 2 2" xfId="11270" xr:uid="{00000000-0005-0000-0000-0000372A0000}"/>
    <cellStyle name="Header2 8 6 3" xfId="11271" xr:uid="{00000000-0005-0000-0000-0000382A0000}"/>
    <cellStyle name="Header2 8 6 3 2" xfId="11272" xr:uid="{00000000-0005-0000-0000-0000392A0000}"/>
    <cellStyle name="Header2 8 6 4" xfId="11273" xr:uid="{00000000-0005-0000-0000-00003A2A0000}"/>
    <cellStyle name="Header2 8 7" xfId="11274" xr:uid="{00000000-0005-0000-0000-00003B2A0000}"/>
    <cellStyle name="Header2 8 7 2" xfId="11275" xr:uid="{00000000-0005-0000-0000-00003C2A0000}"/>
    <cellStyle name="Header2 8 8" xfId="11276" xr:uid="{00000000-0005-0000-0000-00003D2A0000}"/>
    <cellStyle name="Header2 8 8 2" xfId="11277" xr:uid="{00000000-0005-0000-0000-00003E2A0000}"/>
    <cellStyle name="Header2 8 9" xfId="11278" xr:uid="{00000000-0005-0000-0000-00003F2A0000}"/>
    <cellStyle name="Header2 9" xfId="11279" xr:uid="{00000000-0005-0000-0000-0000402A0000}"/>
    <cellStyle name="Header2 9 2" xfId="11280" xr:uid="{00000000-0005-0000-0000-0000412A0000}"/>
    <cellStyle name="Header2 9 2 2" xfId="11281" xr:uid="{00000000-0005-0000-0000-0000422A0000}"/>
    <cellStyle name="Header2 9 2 2 2" xfId="11282" xr:uid="{00000000-0005-0000-0000-0000432A0000}"/>
    <cellStyle name="Header2 9 2 2 2 2" xfId="11283" xr:uid="{00000000-0005-0000-0000-0000442A0000}"/>
    <cellStyle name="Header2 9 2 2 3" xfId="11284" xr:uid="{00000000-0005-0000-0000-0000452A0000}"/>
    <cellStyle name="Header2 9 2 2 3 2" xfId="11285" xr:uid="{00000000-0005-0000-0000-0000462A0000}"/>
    <cellStyle name="Header2 9 2 2 4" xfId="11286" xr:uid="{00000000-0005-0000-0000-0000472A0000}"/>
    <cellStyle name="Header2 9 2 3" xfId="11287" xr:uid="{00000000-0005-0000-0000-0000482A0000}"/>
    <cellStyle name="Header2 9 2 3 2" xfId="11288" xr:uid="{00000000-0005-0000-0000-0000492A0000}"/>
    <cellStyle name="Header2 9 2 3 2 2" xfId="11289" xr:uid="{00000000-0005-0000-0000-00004A2A0000}"/>
    <cellStyle name="Header2 9 2 3 3" xfId="11290" xr:uid="{00000000-0005-0000-0000-00004B2A0000}"/>
    <cellStyle name="Header2 9 2 3 3 2" xfId="11291" xr:uid="{00000000-0005-0000-0000-00004C2A0000}"/>
    <cellStyle name="Header2 9 2 3 4" xfId="11292" xr:uid="{00000000-0005-0000-0000-00004D2A0000}"/>
    <cellStyle name="Header2 9 2 4" xfId="11293" xr:uid="{00000000-0005-0000-0000-00004E2A0000}"/>
    <cellStyle name="Header2 9 2 4 2" xfId="11294" xr:uid="{00000000-0005-0000-0000-00004F2A0000}"/>
    <cellStyle name="Header2 9 2 5" xfId="11295" xr:uid="{00000000-0005-0000-0000-0000502A0000}"/>
    <cellStyle name="Header2 9 2 5 2" xfId="11296" xr:uid="{00000000-0005-0000-0000-0000512A0000}"/>
    <cellStyle name="Header2 9 2 6" xfId="11297" xr:uid="{00000000-0005-0000-0000-0000522A0000}"/>
    <cellStyle name="Header2 9 3" xfId="11298" xr:uid="{00000000-0005-0000-0000-0000532A0000}"/>
    <cellStyle name="Header2 9 3 2" xfId="11299" xr:uid="{00000000-0005-0000-0000-0000542A0000}"/>
    <cellStyle name="Header2 9 3 2 2" xfId="11300" xr:uid="{00000000-0005-0000-0000-0000552A0000}"/>
    <cellStyle name="Header2 9 3 2 2 2" xfId="11301" xr:uid="{00000000-0005-0000-0000-0000562A0000}"/>
    <cellStyle name="Header2 9 3 2 3" xfId="11302" xr:uid="{00000000-0005-0000-0000-0000572A0000}"/>
    <cellStyle name="Header2 9 3 2 3 2" xfId="11303" xr:uid="{00000000-0005-0000-0000-0000582A0000}"/>
    <cellStyle name="Header2 9 3 2 4" xfId="11304" xr:uid="{00000000-0005-0000-0000-0000592A0000}"/>
    <cellStyle name="Header2 9 3 3" xfId="11305" xr:uid="{00000000-0005-0000-0000-00005A2A0000}"/>
    <cellStyle name="Header2 9 3 3 2" xfId="11306" xr:uid="{00000000-0005-0000-0000-00005B2A0000}"/>
    <cellStyle name="Header2 9 3 3 2 2" xfId="11307" xr:uid="{00000000-0005-0000-0000-00005C2A0000}"/>
    <cellStyle name="Header2 9 3 3 3" xfId="11308" xr:uid="{00000000-0005-0000-0000-00005D2A0000}"/>
    <cellStyle name="Header2 9 3 3 3 2" xfId="11309" xr:uid="{00000000-0005-0000-0000-00005E2A0000}"/>
    <cellStyle name="Header2 9 3 3 4" xfId="11310" xr:uid="{00000000-0005-0000-0000-00005F2A0000}"/>
    <cellStyle name="Header2 9 3 4" xfId="11311" xr:uid="{00000000-0005-0000-0000-0000602A0000}"/>
    <cellStyle name="Header2 9 3 4 2" xfId="11312" xr:uid="{00000000-0005-0000-0000-0000612A0000}"/>
    <cellStyle name="Header2 9 3 5" xfId="11313" xr:uid="{00000000-0005-0000-0000-0000622A0000}"/>
    <cellStyle name="Header2 9 3 5 2" xfId="11314" xr:uid="{00000000-0005-0000-0000-0000632A0000}"/>
    <cellStyle name="Header2 9 3 6" xfId="11315" xr:uid="{00000000-0005-0000-0000-0000642A0000}"/>
    <cellStyle name="Header2 9 4" xfId="11316" xr:uid="{00000000-0005-0000-0000-0000652A0000}"/>
    <cellStyle name="Header2 9 4 2" xfId="11317" xr:uid="{00000000-0005-0000-0000-0000662A0000}"/>
    <cellStyle name="Header2 9 4 2 2" xfId="11318" xr:uid="{00000000-0005-0000-0000-0000672A0000}"/>
    <cellStyle name="Header2 9 4 2 2 2" xfId="11319" xr:uid="{00000000-0005-0000-0000-0000682A0000}"/>
    <cellStyle name="Header2 9 4 2 3" xfId="11320" xr:uid="{00000000-0005-0000-0000-0000692A0000}"/>
    <cellStyle name="Header2 9 4 2 3 2" xfId="11321" xr:uid="{00000000-0005-0000-0000-00006A2A0000}"/>
    <cellStyle name="Header2 9 4 2 4" xfId="11322" xr:uid="{00000000-0005-0000-0000-00006B2A0000}"/>
    <cellStyle name="Header2 9 4 3" xfId="11323" xr:uid="{00000000-0005-0000-0000-00006C2A0000}"/>
    <cellStyle name="Header2 9 4 3 2" xfId="11324" xr:uid="{00000000-0005-0000-0000-00006D2A0000}"/>
    <cellStyle name="Header2 9 4 3 2 2" xfId="11325" xr:uid="{00000000-0005-0000-0000-00006E2A0000}"/>
    <cellStyle name="Header2 9 4 3 3" xfId="11326" xr:uid="{00000000-0005-0000-0000-00006F2A0000}"/>
    <cellStyle name="Header2 9 4 3 3 2" xfId="11327" xr:uid="{00000000-0005-0000-0000-0000702A0000}"/>
    <cellStyle name="Header2 9 4 3 4" xfId="11328" xr:uid="{00000000-0005-0000-0000-0000712A0000}"/>
    <cellStyle name="Header2 9 4 4" xfId="11329" xr:uid="{00000000-0005-0000-0000-0000722A0000}"/>
    <cellStyle name="Header2 9 4 4 2" xfId="11330" xr:uid="{00000000-0005-0000-0000-0000732A0000}"/>
    <cellStyle name="Header2 9 4 5" xfId="11331" xr:uid="{00000000-0005-0000-0000-0000742A0000}"/>
    <cellStyle name="Header2 9 4 5 2" xfId="11332" xr:uid="{00000000-0005-0000-0000-0000752A0000}"/>
    <cellStyle name="Header2 9 4 6" xfId="11333" xr:uid="{00000000-0005-0000-0000-0000762A0000}"/>
    <cellStyle name="Header2 9 5" xfId="11334" xr:uid="{00000000-0005-0000-0000-0000772A0000}"/>
    <cellStyle name="Header2 9 5 2" xfId="11335" xr:uid="{00000000-0005-0000-0000-0000782A0000}"/>
    <cellStyle name="Header2 9 5 2 2" xfId="11336" xr:uid="{00000000-0005-0000-0000-0000792A0000}"/>
    <cellStyle name="Header2 9 5 3" xfId="11337" xr:uid="{00000000-0005-0000-0000-00007A2A0000}"/>
    <cellStyle name="Header2 9 5 3 2" xfId="11338" xr:uid="{00000000-0005-0000-0000-00007B2A0000}"/>
    <cellStyle name="Header2 9 5 4" xfId="11339" xr:uid="{00000000-0005-0000-0000-00007C2A0000}"/>
    <cellStyle name="Header2 9 6" xfId="11340" xr:uid="{00000000-0005-0000-0000-00007D2A0000}"/>
    <cellStyle name="Header2 9 6 2" xfId="11341" xr:uid="{00000000-0005-0000-0000-00007E2A0000}"/>
    <cellStyle name="Header2 9 6 2 2" xfId="11342" xr:uid="{00000000-0005-0000-0000-00007F2A0000}"/>
    <cellStyle name="Header2 9 6 3" xfId="11343" xr:uid="{00000000-0005-0000-0000-0000802A0000}"/>
    <cellStyle name="Header2 9 6 3 2" xfId="11344" xr:uid="{00000000-0005-0000-0000-0000812A0000}"/>
    <cellStyle name="Header2 9 6 4" xfId="11345" xr:uid="{00000000-0005-0000-0000-0000822A0000}"/>
    <cellStyle name="Header2 9 7" xfId="11346" xr:uid="{00000000-0005-0000-0000-0000832A0000}"/>
    <cellStyle name="Header2 9 7 2" xfId="11347" xr:uid="{00000000-0005-0000-0000-0000842A0000}"/>
    <cellStyle name="Header2 9 8" xfId="11348" xr:uid="{00000000-0005-0000-0000-0000852A0000}"/>
    <cellStyle name="Header2 9 8 2" xfId="11349" xr:uid="{00000000-0005-0000-0000-0000862A0000}"/>
    <cellStyle name="Header2 9 9" xfId="11350" xr:uid="{00000000-0005-0000-0000-0000872A0000}"/>
    <cellStyle name="heading" xfId="11351" xr:uid="{00000000-0005-0000-0000-0000882A0000}"/>
    <cellStyle name="Heading 1" xfId="11352" xr:uid="{00000000-0005-0000-0000-0000892A0000}"/>
    <cellStyle name="Heading 1 2" xfId="11353" xr:uid="{00000000-0005-0000-0000-00008A2A0000}"/>
    <cellStyle name="Heading 1 3" xfId="11354" xr:uid="{00000000-0005-0000-0000-00008B2A0000}"/>
    <cellStyle name="Heading 1 4" xfId="11355" xr:uid="{00000000-0005-0000-0000-00008C2A0000}"/>
    <cellStyle name="heading 10" xfId="11356" xr:uid="{00000000-0005-0000-0000-00008D2A0000}"/>
    <cellStyle name="heading 11" xfId="11357" xr:uid="{00000000-0005-0000-0000-00008E2A0000}"/>
    <cellStyle name="heading 12" xfId="11358" xr:uid="{00000000-0005-0000-0000-00008F2A0000}"/>
    <cellStyle name="heading 13" xfId="11359" xr:uid="{00000000-0005-0000-0000-0000902A0000}"/>
    <cellStyle name="heading 14" xfId="11360" xr:uid="{00000000-0005-0000-0000-0000912A0000}"/>
    <cellStyle name="heading 15" xfId="11361" xr:uid="{00000000-0005-0000-0000-0000922A0000}"/>
    <cellStyle name="heading 16" xfId="11362" xr:uid="{00000000-0005-0000-0000-0000932A0000}"/>
    <cellStyle name="heading 17" xfId="11363" xr:uid="{00000000-0005-0000-0000-0000942A0000}"/>
    <cellStyle name="heading 18" xfId="11364" xr:uid="{00000000-0005-0000-0000-0000952A0000}"/>
    <cellStyle name="heading 19" xfId="11365" xr:uid="{00000000-0005-0000-0000-0000962A0000}"/>
    <cellStyle name="Heading 2" xfId="11366" xr:uid="{00000000-0005-0000-0000-0000972A0000}"/>
    <cellStyle name="Heading 2 2" xfId="11367" xr:uid="{00000000-0005-0000-0000-0000982A0000}"/>
    <cellStyle name="Heading 2 3" xfId="11368" xr:uid="{00000000-0005-0000-0000-0000992A0000}"/>
    <cellStyle name="Heading 2 4" xfId="11369" xr:uid="{00000000-0005-0000-0000-00009A2A0000}"/>
    <cellStyle name="heading 20" xfId="11370" xr:uid="{00000000-0005-0000-0000-00009B2A0000}"/>
    <cellStyle name="heading 21" xfId="11371" xr:uid="{00000000-0005-0000-0000-00009C2A0000}"/>
    <cellStyle name="heading 22" xfId="11372" xr:uid="{00000000-0005-0000-0000-00009D2A0000}"/>
    <cellStyle name="heading 23" xfId="11373" xr:uid="{00000000-0005-0000-0000-00009E2A0000}"/>
    <cellStyle name="heading 24" xfId="11374" xr:uid="{00000000-0005-0000-0000-00009F2A0000}"/>
    <cellStyle name="heading 25" xfId="11375" xr:uid="{00000000-0005-0000-0000-0000A02A0000}"/>
    <cellStyle name="heading 26" xfId="11376" xr:uid="{00000000-0005-0000-0000-0000A12A0000}"/>
    <cellStyle name="heading 27" xfId="11377" xr:uid="{00000000-0005-0000-0000-0000A22A0000}"/>
    <cellStyle name="heading 28" xfId="11378" xr:uid="{00000000-0005-0000-0000-0000A32A0000}"/>
    <cellStyle name="heading 29" xfId="11379" xr:uid="{00000000-0005-0000-0000-0000A42A0000}"/>
    <cellStyle name="Heading 3" xfId="11380" xr:uid="{00000000-0005-0000-0000-0000A52A0000}"/>
    <cellStyle name="Heading 3 10" xfId="11381" xr:uid="{00000000-0005-0000-0000-0000A62A0000}"/>
    <cellStyle name="Heading 3 11" xfId="11382" xr:uid="{00000000-0005-0000-0000-0000A72A0000}"/>
    <cellStyle name="Heading 3 12" xfId="11383" xr:uid="{00000000-0005-0000-0000-0000A82A0000}"/>
    <cellStyle name="Heading 3 13" xfId="11384" xr:uid="{00000000-0005-0000-0000-0000A92A0000}"/>
    <cellStyle name="Heading 3 14" xfId="11385" xr:uid="{00000000-0005-0000-0000-0000AA2A0000}"/>
    <cellStyle name="Heading 3 2" xfId="11386" xr:uid="{00000000-0005-0000-0000-0000AB2A0000}"/>
    <cellStyle name="Heading 3 3" xfId="11387" xr:uid="{00000000-0005-0000-0000-0000AC2A0000}"/>
    <cellStyle name="Heading 3 4" xfId="11388" xr:uid="{00000000-0005-0000-0000-0000AD2A0000}"/>
    <cellStyle name="Heading 3 5" xfId="11389" xr:uid="{00000000-0005-0000-0000-0000AE2A0000}"/>
    <cellStyle name="Heading 3 6" xfId="11390" xr:uid="{00000000-0005-0000-0000-0000AF2A0000}"/>
    <cellStyle name="Heading 3 7" xfId="11391" xr:uid="{00000000-0005-0000-0000-0000B02A0000}"/>
    <cellStyle name="Heading 3 8" xfId="11392" xr:uid="{00000000-0005-0000-0000-0000B12A0000}"/>
    <cellStyle name="Heading 3 9" xfId="11393" xr:uid="{00000000-0005-0000-0000-0000B22A0000}"/>
    <cellStyle name="heading 30" xfId="11394" xr:uid="{00000000-0005-0000-0000-0000B32A0000}"/>
    <cellStyle name="heading 31" xfId="11395" xr:uid="{00000000-0005-0000-0000-0000B42A0000}"/>
    <cellStyle name="heading 32" xfId="11396" xr:uid="{00000000-0005-0000-0000-0000B52A0000}"/>
    <cellStyle name="heading 33" xfId="11397" xr:uid="{00000000-0005-0000-0000-0000B62A0000}"/>
    <cellStyle name="heading 34" xfId="11398" xr:uid="{00000000-0005-0000-0000-0000B72A0000}"/>
    <cellStyle name="heading 35" xfId="11399" xr:uid="{00000000-0005-0000-0000-0000B82A0000}"/>
    <cellStyle name="heading 36" xfId="11400" xr:uid="{00000000-0005-0000-0000-0000B92A0000}"/>
    <cellStyle name="heading 37" xfId="11401" xr:uid="{00000000-0005-0000-0000-0000BA2A0000}"/>
    <cellStyle name="heading 38" xfId="11402" xr:uid="{00000000-0005-0000-0000-0000BB2A0000}"/>
    <cellStyle name="heading 39" xfId="11403" xr:uid="{00000000-0005-0000-0000-0000BC2A0000}"/>
    <cellStyle name="Heading 4" xfId="11404" xr:uid="{00000000-0005-0000-0000-0000BD2A0000}"/>
    <cellStyle name="Heading 4 2" xfId="11405" xr:uid="{00000000-0005-0000-0000-0000BE2A0000}"/>
    <cellStyle name="Heading 4 3" xfId="11406" xr:uid="{00000000-0005-0000-0000-0000BF2A0000}"/>
    <cellStyle name="Heading 4 4" xfId="11407" xr:uid="{00000000-0005-0000-0000-0000C02A0000}"/>
    <cellStyle name="heading 5" xfId="11408" xr:uid="{00000000-0005-0000-0000-0000C12A0000}"/>
    <cellStyle name="heading 5 2" xfId="11409" xr:uid="{00000000-0005-0000-0000-0000C22A0000}"/>
    <cellStyle name="heading 6" xfId="11410" xr:uid="{00000000-0005-0000-0000-0000C32A0000}"/>
    <cellStyle name="heading 6 2" xfId="11411" xr:uid="{00000000-0005-0000-0000-0000C42A0000}"/>
    <cellStyle name="heading 7" xfId="11412" xr:uid="{00000000-0005-0000-0000-0000C52A0000}"/>
    <cellStyle name="heading 8" xfId="11413" xr:uid="{00000000-0005-0000-0000-0000C62A0000}"/>
    <cellStyle name="heading 9" xfId="11414" xr:uid="{00000000-0005-0000-0000-0000C72A0000}"/>
    <cellStyle name="heading_a2" xfId="11415" xr:uid="{00000000-0005-0000-0000-0000C82A0000}"/>
    <cellStyle name="HeadingS" xfId="11416" xr:uid="{00000000-0005-0000-0000-0000C92A0000}"/>
    <cellStyle name="HeadingS 2" xfId="11417" xr:uid="{00000000-0005-0000-0000-0000CA2A0000}"/>
    <cellStyle name="HeadingS 3" xfId="11418" xr:uid="{00000000-0005-0000-0000-0000CB2A0000}"/>
    <cellStyle name="HeadingS 4" xfId="11419" xr:uid="{00000000-0005-0000-0000-0000CC2A0000}"/>
    <cellStyle name="Hide" xfId="11420" xr:uid="{00000000-0005-0000-0000-0000CD2A0000}"/>
    <cellStyle name="Hyperlink" xfId="11421" xr:uid="{00000000-0005-0000-0000-0000CE2A0000}"/>
    <cellStyle name="Iau?iue_o10-n" xfId="11422" xr:uid="{00000000-0005-0000-0000-0000CF2A0000}"/>
    <cellStyle name="Îáû÷íûé_vaqduGfTSN7qyUJNWHRlcWo3H" xfId="11423" xr:uid="{00000000-0005-0000-0000-0000D02A0000}"/>
    <cellStyle name="Input" xfId="11424" xr:uid="{00000000-0005-0000-0000-0000D12A0000}"/>
    <cellStyle name="Input 10" xfId="11425" xr:uid="{00000000-0005-0000-0000-0000D22A0000}"/>
    <cellStyle name="Input 10 2" xfId="11426" xr:uid="{00000000-0005-0000-0000-0000D32A0000}"/>
    <cellStyle name="Input 10 2 2" xfId="11427" xr:uid="{00000000-0005-0000-0000-0000D42A0000}"/>
    <cellStyle name="Input 10 2 2 2" xfId="11428" xr:uid="{00000000-0005-0000-0000-0000D52A0000}"/>
    <cellStyle name="Input 10 2 2 2 2" xfId="11429" xr:uid="{00000000-0005-0000-0000-0000D62A0000}"/>
    <cellStyle name="Input 10 2 2 3" xfId="11430" xr:uid="{00000000-0005-0000-0000-0000D72A0000}"/>
    <cellStyle name="Input 10 2 2 3 2" xfId="11431" xr:uid="{00000000-0005-0000-0000-0000D82A0000}"/>
    <cellStyle name="Input 10 2 2 4" xfId="11432" xr:uid="{00000000-0005-0000-0000-0000D92A0000}"/>
    <cellStyle name="Input 10 2 3" xfId="11433" xr:uid="{00000000-0005-0000-0000-0000DA2A0000}"/>
    <cellStyle name="Input 10 2 3 2" xfId="11434" xr:uid="{00000000-0005-0000-0000-0000DB2A0000}"/>
    <cellStyle name="Input 10 2 3 2 2" xfId="11435" xr:uid="{00000000-0005-0000-0000-0000DC2A0000}"/>
    <cellStyle name="Input 10 2 3 3" xfId="11436" xr:uid="{00000000-0005-0000-0000-0000DD2A0000}"/>
    <cellStyle name="Input 10 2 3 3 2" xfId="11437" xr:uid="{00000000-0005-0000-0000-0000DE2A0000}"/>
    <cellStyle name="Input 10 2 3 4" xfId="11438" xr:uid="{00000000-0005-0000-0000-0000DF2A0000}"/>
    <cellStyle name="Input 10 2 4" xfId="11439" xr:uid="{00000000-0005-0000-0000-0000E02A0000}"/>
    <cellStyle name="Input 10 2 4 2" xfId="11440" xr:uid="{00000000-0005-0000-0000-0000E12A0000}"/>
    <cellStyle name="Input 10 2 5" xfId="11441" xr:uid="{00000000-0005-0000-0000-0000E22A0000}"/>
    <cellStyle name="Input 10 2 5 2" xfId="11442" xr:uid="{00000000-0005-0000-0000-0000E32A0000}"/>
    <cellStyle name="Input 10 2 6" xfId="11443" xr:uid="{00000000-0005-0000-0000-0000E42A0000}"/>
    <cellStyle name="Input 10 3" xfId="11444" xr:uid="{00000000-0005-0000-0000-0000E52A0000}"/>
    <cellStyle name="Input 10 3 2" xfId="11445" xr:uid="{00000000-0005-0000-0000-0000E62A0000}"/>
    <cellStyle name="Input 10 3 2 2" xfId="11446" xr:uid="{00000000-0005-0000-0000-0000E72A0000}"/>
    <cellStyle name="Input 10 3 2 2 2" xfId="11447" xr:uid="{00000000-0005-0000-0000-0000E82A0000}"/>
    <cellStyle name="Input 10 3 2 3" xfId="11448" xr:uid="{00000000-0005-0000-0000-0000E92A0000}"/>
    <cellStyle name="Input 10 3 2 3 2" xfId="11449" xr:uid="{00000000-0005-0000-0000-0000EA2A0000}"/>
    <cellStyle name="Input 10 3 2 4" xfId="11450" xr:uid="{00000000-0005-0000-0000-0000EB2A0000}"/>
    <cellStyle name="Input 10 3 3" xfId="11451" xr:uid="{00000000-0005-0000-0000-0000EC2A0000}"/>
    <cellStyle name="Input 10 3 3 2" xfId="11452" xr:uid="{00000000-0005-0000-0000-0000ED2A0000}"/>
    <cellStyle name="Input 10 3 3 2 2" xfId="11453" xr:uid="{00000000-0005-0000-0000-0000EE2A0000}"/>
    <cellStyle name="Input 10 3 3 3" xfId="11454" xr:uid="{00000000-0005-0000-0000-0000EF2A0000}"/>
    <cellStyle name="Input 10 3 3 3 2" xfId="11455" xr:uid="{00000000-0005-0000-0000-0000F02A0000}"/>
    <cellStyle name="Input 10 3 3 4" xfId="11456" xr:uid="{00000000-0005-0000-0000-0000F12A0000}"/>
    <cellStyle name="Input 10 3 4" xfId="11457" xr:uid="{00000000-0005-0000-0000-0000F22A0000}"/>
    <cellStyle name="Input 10 3 4 2" xfId="11458" xr:uid="{00000000-0005-0000-0000-0000F32A0000}"/>
    <cellStyle name="Input 10 3 5" xfId="11459" xr:uid="{00000000-0005-0000-0000-0000F42A0000}"/>
    <cellStyle name="Input 10 3 5 2" xfId="11460" xr:uid="{00000000-0005-0000-0000-0000F52A0000}"/>
    <cellStyle name="Input 10 3 6" xfId="11461" xr:uid="{00000000-0005-0000-0000-0000F62A0000}"/>
    <cellStyle name="Input 10 4" xfId="11462" xr:uid="{00000000-0005-0000-0000-0000F72A0000}"/>
    <cellStyle name="Input 10 4 2" xfId="11463" xr:uid="{00000000-0005-0000-0000-0000F82A0000}"/>
    <cellStyle name="Input 10 4 2 2" xfId="11464" xr:uid="{00000000-0005-0000-0000-0000F92A0000}"/>
    <cellStyle name="Input 10 4 2 2 2" xfId="11465" xr:uid="{00000000-0005-0000-0000-0000FA2A0000}"/>
    <cellStyle name="Input 10 4 2 3" xfId="11466" xr:uid="{00000000-0005-0000-0000-0000FB2A0000}"/>
    <cellStyle name="Input 10 4 2 3 2" xfId="11467" xr:uid="{00000000-0005-0000-0000-0000FC2A0000}"/>
    <cellStyle name="Input 10 4 2 4" xfId="11468" xr:uid="{00000000-0005-0000-0000-0000FD2A0000}"/>
    <cellStyle name="Input 10 4 3" xfId="11469" xr:uid="{00000000-0005-0000-0000-0000FE2A0000}"/>
    <cellStyle name="Input 10 4 3 2" xfId="11470" xr:uid="{00000000-0005-0000-0000-0000FF2A0000}"/>
    <cellStyle name="Input 10 4 3 2 2" xfId="11471" xr:uid="{00000000-0005-0000-0000-0000002B0000}"/>
    <cellStyle name="Input 10 4 3 3" xfId="11472" xr:uid="{00000000-0005-0000-0000-0000012B0000}"/>
    <cellStyle name="Input 10 4 3 3 2" xfId="11473" xr:uid="{00000000-0005-0000-0000-0000022B0000}"/>
    <cellStyle name="Input 10 4 3 4" xfId="11474" xr:uid="{00000000-0005-0000-0000-0000032B0000}"/>
    <cellStyle name="Input 10 4 4" xfId="11475" xr:uid="{00000000-0005-0000-0000-0000042B0000}"/>
    <cellStyle name="Input 10 4 4 2" xfId="11476" xr:uid="{00000000-0005-0000-0000-0000052B0000}"/>
    <cellStyle name="Input 10 4 5" xfId="11477" xr:uid="{00000000-0005-0000-0000-0000062B0000}"/>
    <cellStyle name="Input 10 4 5 2" xfId="11478" xr:uid="{00000000-0005-0000-0000-0000072B0000}"/>
    <cellStyle name="Input 10 4 6" xfId="11479" xr:uid="{00000000-0005-0000-0000-0000082B0000}"/>
    <cellStyle name="Input 10 5" xfId="11480" xr:uid="{00000000-0005-0000-0000-0000092B0000}"/>
    <cellStyle name="Input 10 5 2" xfId="11481" xr:uid="{00000000-0005-0000-0000-00000A2B0000}"/>
    <cellStyle name="Input 10 5 2 2" xfId="11482" xr:uid="{00000000-0005-0000-0000-00000B2B0000}"/>
    <cellStyle name="Input 10 5 3" xfId="11483" xr:uid="{00000000-0005-0000-0000-00000C2B0000}"/>
    <cellStyle name="Input 10 5 3 2" xfId="11484" xr:uid="{00000000-0005-0000-0000-00000D2B0000}"/>
    <cellStyle name="Input 10 5 4" xfId="11485" xr:uid="{00000000-0005-0000-0000-00000E2B0000}"/>
    <cellStyle name="Input 10 6" xfId="11486" xr:uid="{00000000-0005-0000-0000-00000F2B0000}"/>
    <cellStyle name="Input 10 6 2" xfId="11487" xr:uid="{00000000-0005-0000-0000-0000102B0000}"/>
    <cellStyle name="Input 10 6 2 2" xfId="11488" xr:uid="{00000000-0005-0000-0000-0000112B0000}"/>
    <cellStyle name="Input 10 6 3" xfId="11489" xr:uid="{00000000-0005-0000-0000-0000122B0000}"/>
    <cellStyle name="Input 10 6 3 2" xfId="11490" xr:uid="{00000000-0005-0000-0000-0000132B0000}"/>
    <cellStyle name="Input 10 6 4" xfId="11491" xr:uid="{00000000-0005-0000-0000-0000142B0000}"/>
    <cellStyle name="Input 10 7" xfId="11492" xr:uid="{00000000-0005-0000-0000-0000152B0000}"/>
    <cellStyle name="Input 10 7 2" xfId="11493" xr:uid="{00000000-0005-0000-0000-0000162B0000}"/>
    <cellStyle name="Input 10 8" xfId="11494" xr:uid="{00000000-0005-0000-0000-0000172B0000}"/>
    <cellStyle name="Input 10 8 2" xfId="11495" xr:uid="{00000000-0005-0000-0000-0000182B0000}"/>
    <cellStyle name="Input 10 9" xfId="11496" xr:uid="{00000000-0005-0000-0000-0000192B0000}"/>
    <cellStyle name="Input 11" xfId="11497" xr:uid="{00000000-0005-0000-0000-00001A2B0000}"/>
    <cellStyle name="Input 11 2" xfId="11498" xr:uid="{00000000-0005-0000-0000-00001B2B0000}"/>
    <cellStyle name="Input 11 2 2" xfId="11499" xr:uid="{00000000-0005-0000-0000-00001C2B0000}"/>
    <cellStyle name="Input 11 2 2 2" xfId="11500" xr:uid="{00000000-0005-0000-0000-00001D2B0000}"/>
    <cellStyle name="Input 11 2 2 2 2" xfId="11501" xr:uid="{00000000-0005-0000-0000-00001E2B0000}"/>
    <cellStyle name="Input 11 2 2 3" xfId="11502" xr:uid="{00000000-0005-0000-0000-00001F2B0000}"/>
    <cellStyle name="Input 11 2 2 3 2" xfId="11503" xr:uid="{00000000-0005-0000-0000-0000202B0000}"/>
    <cellStyle name="Input 11 2 2 4" xfId="11504" xr:uid="{00000000-0005-0000-0000-0000212B0000}"/>
    <cellStyle name="Input 11 2 3" xfId="11505" xr:uid="{00000000-0005-0000-0000-0000222B0000}"/>
    <cellStyle name="Input 11 2 3 2" xfId="11506" xr:uid="{00000000-0005-0000-0000-0000232B0000}"/>
    <cellStyle name="Input 11 2 3 2 2" xfId="11507" xr:uid="{00000000-0005-0000-0000-0000242B0000}"/>
    <cellStyle name="Input 11 2 3 3" xfId="11508" xr:uid="{00000000-0005-0000-0000-0000252B0000}"/>
    <cellStyle name="Input 11 2 3 3 2" xfId="11509" xr:uid="{00000000-0005-0000-0000-0000262B0000}"/>
    <cellStyle name="Input 11 2 3 4" xfId="11510" xr:uid="{00000000-0005-0000-0000-0000272B0000}"/>
    <cellStyle name="Input 11 2 4" xfId="11511" xr:uid="{00000000-0005-0000-0000-0000282B0000}"/>
    <cellStyle name="Input 11 2 4 2" xfId="11512" xr:uid="{00000000-0005-0000-0000-0000292B0000}"/>
    <cellStyle name="Input 11 2 5" xfId="11513" xr:uid="{00000000-0005-0000-0000-00002A2B0000}"/>
    <cellStyle name="Input 11 2 5 2" xfId="11514" xr:uid="{00000000-0005-0000-0000-00002B2B0000}"/>
    <cellStyle name="Input 11 2 6" xfId="11515" xr:uid="{00000000-0005-0000-0000-00002C2B0000}"/>
    <cellStyle name="Input 11 3" xfId="11516" xr:uid="{00000000-0005-0000-0000-00002D2B0000}"/>
    <cellStyle name="Input 11 3 2" xfId="11517" xr:uid="{00000000-0005-0000-0000-00002E2B0000}"/>
    <cellStyle name="Input 11 3 2 2" xfId="11518" xr:uid="{00000000-0005-0000-0000-00002F2B0000}"/>
    <cellStyle name="Input 11 3 2 2 2" xfId="11519" xr:uid="{00000000-0005-0000-0000-0000302B0000}"/>
    <cellStyle name="Input 11 3 2 3" xfId="11520" xr:uid="{00000000-0005-0000-0000-0000312B0000}"/>
    <cellStyle name="Input 11 3 2 3 2" xfId="11521" xr:uid="{00000000-0005-0000-0000-0000322B0000}"/>
    <cellStyle name="Input 11 3 2 4" xfId="11522" xr:uid="{00000000-0005-0000-0000-0000332B0000}"/>
    <cellStyle name="Input 11 3 3" xfId="11523" xr:uid="{00000000-0005-0000-0000-0000342B0000}"/>
    <cellStyle name="Input 11 3 3 2" xfId="11524" xr:uid="{00000000-0005-0000-0000-0000352B0000}"/>
    <cellStyle name="Input 11 3 3 2 2" xfId="11525" xr:uid="{00000000-0005-0000-0000-0000362B0000}"/>
    <cellStyle name="Input 11 3 3 3" xfId="11526" xr:uid="{00000000-0005-0000-0000-0000372B0000}"/>
    <cellStyle name="Input 11 3 3 3 2" xfId="11527" xr:uid="{00000000-0005-0000-0000-0000382B0000}"/>
    <cellStyle name="Input 11 3 3 4" xfId="11528" xr:uid="{00000000-0005-0000-0000-0000392B0000}"/>
    <cellStyle name="Input 11 3 4" xfId="11529" xr:uid="{00000000-0005-0000-0000-00003A2B0000}"/>
    <cellStyle name="Input 11 3 4 2" xfId="11530" xr:uid="{00000000-0005-0000-0000-00003B2B0000}"/>
    <cellStyle name="Input 11 3 5" xfId="11531" xr:uid="{00000000-0005-0000-0000-00003C2B0000}"/>
    <cellStyle name="Input 11 3 5 2" xfId="11532" xr:uid="{00000000-0005-0000-0000-00003D2B0000}"/>
    <cellStyle name="Input 11 3 6" xfId="11533" xr:uid="{00000000-0005-0000-0000-00003E2B0000}"/>
    <cellStyle name="Input 11 4" xfId="11534" xr:uid="{00000000-0005-0000-0000-00003F2B0000}"/>
    <cellStyle name="Input 11 4 2" xfId="11535" xr:uid="{00000000-0005-0000-0000-0000402B0000}"/>
    <cellStyle name="Input 11 4 2 2" xfId="11536" xr:uid="{00000000-0005-0000-0000-0000412B0000}"/>
    <cellStyle name="Input 11 4 2 2 2" xfId="11537" xr:uid="{00000000-0005-0000-0000-0000422B0000}"/>
    <cellStyle name="Input 11 4 2 3" xfId="11538" xr:uid="{00000000-0005-0000-0000-0000432B0000}"/>
    <cellStyle name="Input 11 4 2 3 2" xfId="11539" xr:uid="{00000000-0005-0000-0000-0000442B0000}"/>
    <cellStyle name="Input 11 4 2 4" xfId="11540" xr:uid="{00000000-0005-0000-0000-0000452B0000}"/>
    <cellStyle name="Input 11 4 3" xfId="11541" xr:uid="{00000000-0005-0000-0000-0000462B0000}"/>
    <cellStyle name="Input 11 4 3 2" xfId="11542" xr:uid="{00000000-0005-0000-0000-0000472B0000}"/>
    <cellStyle name="Input 11 4 3 2 2" xfId="11543" xr:uid="{00000000-0005-0000-0000-0000482B0000}"/>
    <cellStyle name="Input 11 4 3 3" xfId="11544" xr:uid="{00000000-0005-0000-0000-0000492B0000}"/>
    <cellStyle name="Input 11 4 3 3 2" xfId="11545" xr:uid="{00000000-0005-0000-0000-00004A2B0000}"/>
    <cellStyle name="Input 11 4 3 4" xfId="11546" xr:uid="{00000000-0005-0000-0000-00004B2B0000}"/>
    <cellStyle name="Input 11 4 4" xfId="11547" xr:uid="{00000000-0005-0000-0000-00004C2B0000}"/>
    <cellStyle name="Input 11 4 4 2" xfId="11548" xr:uid="{00000000-0005-0000-0000-00004D2B0000}"/>
    <cellStyle name="Input 11 4 5" xfId="11549" xr:uid="{00000000-0005-0000-0000-00004E2B0000}"/>
    <cellStyle name="Input 11 4 5 2" xfId="11550" xr:uid="{00000000-0005-0000-0000-00004F2B0000}"/>
    <cellStyle name="Input 11 4 6" xfId="11551" xr:uid="{00000000-0005-0000-0000-0000502B0000}"/>
    <cellStyle name="Input 11 5" xfId="11552" xr:uid="{00000000-0005-0000-0000-0000512B0000}"/>
    <cellStyle name="Input 11 5 2" xfId="11553" xr:uid="{00000000-0005-0000-0000-0000522B0000}"/>
    <cellStyle name="Input 11 5 2 2" xfId="11554" xr:uid="{00000000-0005-0000-0000-0000532B0000}"/>
    <cellStyle name="Input 11 5 3" xfId="11555" xr:uid="{00000000-0005-0000-0000-0000542B0000}"/>
    <cellStyle name="Input 11 5 3 2" xfId="11556" xr:uid="{00000000-0005-0000-0000-0000552B0000}"/>
    <cellStyle name="Input 11 5 4" xfId="11557" xr:uid="{00000000-0005-0000-0000-0000562B0000}"/>
    <cellStyle name="Input 11 6" xfId="11558" xr:uid="{00000000-0005-0000-0000-0000572B0000}"/>
    <cellStyle name="Input 11 6 2" xfId="11559" xr:uid="{00000000-0005-0000-0000-0000582B0000}"/>
    <cellStyle name="Input 11 6 2 2" xfId="11560" xr:uid="{00000000-0005-0000-0000-0000592B0000}"/>
    <cellStyle name="Input 11 6 3" xfId="11561" xr:uid="{00000000-0005-0000-0000-00005A2B0000}"/>
    <cellStyle name="Input 11 6 3 2" xfId="11562" xr:uid="{00000000-0005-0000-0000-00005B2B0000}"/>
    <cellStyle name="Input 11 6 4" xfId="11563" xr:uid="{00000000-0005-0000-0000-00005C2B0000}"/>
    <cellStyle name="Input 11 7" xfId="11564" xr:uid="{00000000-0005-0000-0000-00005D2B0000}"/>
    <cellStyle name="Input 11 7 2" xfId="11565" xr:uid="{00000000-0005-0000-0000-00005E2B0000}"/>
    <cellStyle name="Input 11 8" xfId="11566" xr:uid="{00000000-0005-0000-0000-00005F2B0000}"/>
    <cellStyle name="Input 11 8 2" xfId="11567" xr:uid="{00000000-0005-0000-0000-0000602B0000}"/>
    <cellStyle name="Input 11 9" xfId="11568" xr:uid="{00000000-0005-0000-0000-0000612B0000}"/>
    <cellStyle name="Input 12" xfId="11569" xr:uid="{00000000-0005-0000-0000-0000622B0000}"/>
    <cellStyle name="Input 12 2" xfId="11570" xr:uid="{00000000-0005-0000-0000-0000632B0000}"/>
    <cellStyle name="Input 12 2 2" xfId="11571" xr:uid="{00000000-0005-0000-0000-0000642B0000}"/>
    <cellStyle name="Input 12 2 2 2" xfId="11572" xr:uid="{00000000-0005-0000-0000-0000652B0000}"/>
    <cellStyle name="Input 12 2 2 2 2" xfId="11573" xr:uid="{00000000-0005-0000-0000-0000662B0000}"/>
    <cellStyle name="Input 12 2 2 3" xfId="11574" xr:uid="{00000000-0005-0000-0000-0000672B0000}"/>
    <cellStyle name="Input 12 2 2 3 2" xfId="11575" xr:uid="{00000000-0005-0000-0000-0000682B0000}"/>
    <cellStyle name="Input 12 2 2 4" xfId="11576" xr:uid="{00000000-0005-0000-0000-0000692B0000}"/>
    <cellStyle name="Input 12 2 3" xfId="11577" xr:uid="{00000000-0005-0000-0000-00006A2B0000}"/>
    <cellStyle name="Input 12 2 3 2" xfId="11578" xr:uid="{00000000-0005-0000-0000-00006B2B0000}"/>
    <cellStyle name="Input 12 2 3 2 2" xfId="11579" xr:uid="{00000000-0005-0000-0000-00006C2B0000}"/>
    <cellStyle name="Input 12 2 3 3" xfId="11580" xr:uid="{00000000-0005-0000-0000-00006D2B0000}"/>
    <cellStyle name="Input 12 2 3 3 2" xfId="11581" xr:uid="{00000000-0005-0000-0000-00006E2B0000}"/>
    <cellStyle name="Input 12 2 3 4" xfId="11582" xr:uid="{00000000-0005-0000-0000-00006F2B0000}"/>
    <cellStyle name="Input 12 2 4" xfId="11583" xr:uid="{00000000-0005-0000-0000-0000702B0000}"/>
    <cellStyle name="Input 12 2 4 2" xfId="11584" xr:uid="{00000000-0005-0000-0000-0000712B0000}"/>
    <cellStyle name="Input 12 2 5" xfId="11585" xr:uid="{00000000-0005-0000-0000-0000722B0000}"/>
    <cellStyle name="Input 12 2 5 2" xfId="11586" xr:uid="{00000000-0005-0000-0000-0000732B0000}"/>
    <cellStyle name="Input 12 2 6" xfId="11587" xr:uid="{00000000-0005-0000-0000-0000742B0000}"/>
    <cellStyle name="Input 12 3" xfId="11588" xr:uid="{00000000-0005-0000-0000-0000752B0000}"/>
    <cellStyle name="Input 12 3 2" xfId="11589" xr:uid="{00000000-0005-0000-0000-0000762B0000}"/>
    <cellStyle name="Input 12 3 2 2" xfId="11590" xr:uid="{00000000-0005-0000-0000-0000772B0000}"/>
    <cellStyle name="Input 12 3 2 2 2" xfId="11591" xr:uid="{00000000-0005-0000-0000-0000782B0000}"/>
    <cellStyle name="Input 12 3 2 3" xfId="11592" xr:uid="{00000000-0005-0000-0000-0000792B0000}"/>
    <cellStyle name="Input 12 3 2 3 2" xfId="11593" xr:uid="{00000000-0005-0000-0000-00007A2B0000}"/>
    <cellStyle name="Input 12 3 2 4" xfId="11594" xr:uid="{00000000-0005-0000-0000-00007B2B0000}"/>
    <cellStyle name="Input 12 3 3" xfId="11595" xr:uid="{00000000-0005-0000-0000-00007C2B0000}"/>
    <cellStyle name="Input 12 3 3 2" xfId="11596" xr:uid="{00000000-0005-0000-0000-00007D2B0000}"/>
    <cellStyle name="Input 12 3 3 2 2" xfId="11597" xr:uid="{00000000-0005-0000-0000-00007E2B0000}"/>
    <cellStyle name="Input 12 3 3 3" xfId="11598" xr:uid="{00000000-0005-0000-0000-00007F2B0000}"/>
    <cellStyle name="Input 12 3 3 3 2" xfId="11599" xr:uid="{00000000-0005-0000-0000-0000802B0000}"/>
    <cellStyle name="Input 12 3 3 4" xfId="11600" xr:uid="{00000000-0005-0000-0000-0000812B0000}"/>
    <cellStyle name="Input 12 3 4" xfId="11601" xr:uid="{00000000-0005-0000-0000-0000822B0000}"/>
    <cellStyle name="Input 12 3 4 2" xfId="11602" xr:uid="{00000000-0005-0000-0000-0000832B0000}"/>
    <cellStyle name="Input 12 3 5" xfId="11603" xr:uid="{00000000-0005-0000-0000-0000842B0000}"/>
    <cellStyle name="Input 12 3 5 2" xfId="11604" xr:uid="{00000000-0005-0000-0000-0000852B0000}"/>
    <cellStyle name="Input 12 3 6" xfId="11605" xr:uid="{00000000-0005-0000-0000-0000862B0000}"/>
    <cellStyle name="Input 12 4" xfId="11606" xr:uid="{00000000-0005-0000-0000-0000872B0000}"/>
    <cellStyle name="Input 12 4 2" xfId="11607" xr:uid="{00000000-0005-0000-0000-0000882B0000}"/>
    <cellStyle name="Input 12 4 2 2" xfId="11608" xr:uid="{00000000-0005-0000-0000-0000892B0000}"/>
    <cellStyle name="Input 12 4 2 2 2" xfId="11609" xr:uid="{00000000-0005-0000-0000-00008A2B0000}"/>
    <cellStyle name="Input 12 4 2 3" xfId="11610" xr:uid="{00000000-0005-0000-0000-00008B2B0000}"/>
    <cellStyle name="Input 12 4 2 3 2" xfId="11611" xr:uid="{00000000-0005-0000-0000-00008C2B0000}"/>
    <cellStyle name="Input 12 4 2 4" xfId="11612" xr:uid="{00000000-0005-0000-0000-00008D2B0000}"/>
    <cellStyle name="Input 12 4 3" xfId="11613" xr:uid="{00000000-0005-0000-0000-00008E2B0000}"/>
    <cellStyle name="Input 12 4 3 2" xfId="11614" xr:uid="{00000000-0005-0000-0000-00008F2B0000}"/>
    <cellStyle name="Input 12 4 3 2 2" xfId="11615" xr:uid="{00000000-0005-0000-0000-0000902B0000}"/>
    <cellStyle name="Input 12 4 3 3" xfId="11616" xr:uid="{00000000-0005-0000-0000-0000912B0000}"/>
    <cellStyle name="Input 12 4 3 3 2" xfId="11617" xr:uid="{00000000-0005-0000-0000-0000922B0000}"/>
    <cellStyle name="Input 12 4 3 4" xfId="11618" xr:uid="{00000000-0005-0000-0000-0000932B0000}"/>
    <cellStyle name="Input 12 4 4" xfId="11619" xr:uid="{00000000-0005-0000-0000-0000942B0000}"/>
    <cellStyle name="Input 12 4 4 2" xfId="11620" xr:uid="{00000000-0005-0000-0000-0000952B0000}"/>
    <cellStyle name="Input 12 4 5" xfId="11621" xr:uid="{00000000-0005-0000-0000-0000962B0000}"/>
    <cellStyle name="Input 12 4 5 2" xfId="11622" xr:uid="{00000000-0005-0000-0000-0000972B0000}"/>
    <cellStyle name="Input 12 4 6" xfId="11623" xr:uid="{00000000-0005-0000-0000-0000982B0000}"/>
    <cellStyle name="Input 12 5" xfId="11624" xr:uid="{00000000-0005-0000-0000-0000992B0000}"/>
    <cellStyle name="Input 12 5 2" xfId="11625" xr:uid="{00000000-0005-0000-0000-00009A2B0000}"/>
    <cellStyle name="Input 12 5 2 2" xfId="11626" xr:uid="{00000000-0005-0000-0000-00009B2B0000}"/>
    <cellStyle name="Input 12 5 3" xfId="11627" xr:uid="{00000000-0005-0000-0000-00009C2B0000}"/>
    <cellStyle name="Input 12 5 3 2" xfId="11628" xr:uid="{00000000-0005-0000-0000-00009D2B0000}"/>
    <cellStyle name="Input 12 5 4" xfId="11629" xr:uid="{00000000-0005-0000-0000-00009E2B0000}"/>
    <cellStyle name="Input 12 6" xfId="11630" xr:uid="{00000000-0005-0000-0000-00009F2B0000}"/>
    <cellStyle name="Input 12 6 2" xfId="11631" xr:uid="{00000000-0005-0000-0000-0000A02B0000}"/>
    <cellStyle name="Input 12 6 2 2" xfId="11632" xr:uid="{00000000-0005-0000-0000-0000A12B0000}"/>
    <cellStyle name="Input 12 6 3" xfId="11633" xr:uid="{00000000-0005-0000-0000-0000A22B0000}"/>
    <cellStyle name="Input 12 6 3 2" xfId="11634" xr:uid="{00000000-0005-0000-0000-0000A32B0000}"/>
    <cellStyle name="Input 12 6 4" xfId="11635" xr:uid="{00000000-0005-0000-0000-0000A42B0000}"/>
    <cellStyle name="Input 12 7" xfId="11636" xr:uid="{00000000-0005-0000-0000-0000A52B0000}"/>
    <cellStyle name="Input 12 7 2" xfId="11637" xr:uid="{00000000-0005-0000-0000-0000A62B0000}"/>
    <cellStyle name="Input 12 8" xfId="11638" xr:uid="{00000000-0005-0000-0000-0000A72B0000}"/>
    <cellStyle name="Input 12 8 2" xfId="11639" xr:uid="{00000000-0005-0000-0000-0000A82B0000}"/>
    <cellStyle name="Input 12 9" xfId="11640" xr:uid="{00000000-0005-0000-0000-0000A92B0000}"/>
    <cellStyle name="Input 13" xfId="11641" xr:uid="{00000000-0005-0000-0000-0000AA2B0000}"/>
    <cellStyle name="Input 13 2" xfId="11642" xr:uid="{00000000-0005-0000-0000-0000AB2B0000}"/>
    <cellStyle name="Input 13 2 2" xfId="11643" xr:uid="{00000000-0005-0000-0000-0000AC2B0000}"/>
    <cellStyle name="Input 13 2 2 2" xfId="11644" xr:uid="{00000000-0005-0000-0000-0000AD2B0000}"/>
    <cellStyle name="Input 13 2 2 2 2" xfId="11645" xr:uid="{00000000-0005-0000-0000-0000AE2B0000}"/>
    <cellStyle name="Input 13 2 2 3" xfId="11646" xr:uid="{00000000-0005-0000-0000-0000AF2B0000}"/>
    <cellStyle name="Input 13 2 2 3 2" xfId="11647" xr:uid="{00000000-0005-0000-0000-0000B02B0000}"/>
    <cellStyle name="Input 13 2 2 4" xfId="11648" xr:uid="{00000000-0005-0000-0000-0000B12B0000}"/>
    <cellStyle name="Input 13 2 3" xfId="11649" xr:uid="{00000000-0005-0000-0000-0000B22B0000}"/>
    <cellStyle name="Input 13 2 3 2" xfId="11650" xr:uid="{00000000-0005-0000-0000-0000B32B0000}"/>
    <cellStyle name="Input 13 2 3 2 2" xfId="11651" xr:uid="{00000000-0005-0000-0000-0000B42B0000}"/>
    <cellStyle name="Input 13 2 3 3" xfId="11652" xr:uid="{00000000-0005-0000-0000-0000B52B0000}"/>
    <cellStyle name="Input 13 2 3 3 2" xfId="11653" xr:uid="{00000000-0005-0000-0000-0000B62B0000}"/>
    <cellStyle name="Input 13 2 3 4" xfId="11654" xr:uid="{00000000-0005-0000-0000-0000B72B0000}"/>
    <cellStyle name="Input 13 2 4" xfId="11655" xr:uid="{00000000-0005-0000-0000-0000B82B0000}"/>
    <cellStyle name="Input 13 2 4 2" xfId="11656" xr:uid="{00000000-0005-0000-0000-0000B92B0000}"/>
    <cellStyle name="Input 13 2 5" xfId="11657" xr:uid="{00000000-0005-0000-0000-0000BA2B0000}"/>
    <cellStyle name="Input 13 2 5 2" xfId="11658" xr:uid="{00000000-0005-0000-0000-0000BB2B0000}"/>
    <cellStyle name="Input 13 2 6" xfId="11659" xr:uid="{00000000-0005-0000-0000-0000BC2B0000}"/>
    <cellStyle name="Input 13 3" xfId="11660" xr:uid="{00000000-0005-0000-0000-0000BD2B0000}"/>
    <cellStyle name="Input 13 3 2" xfId="11661" xr:uid="{00000000-0005-0000-0000-0000BE2B0000}"/>
    <cellStyle name="Input 13 3 2 2" xfId="11662" xr:uid="{00000000-0005-0000-0000-0000BF2B0000}"/>
    <cellStyle name="Input 13 3 2 2 2" xfId="11663" xr:uid="{00000000-0005-0000-0000-0000C02B0000}"/>
    <cellStyle name="Input 13 3 2 3" xfId="11664" xr:uid="{00000000-0005-0000-0000-0000C12B0000}"/>
    <cellStyle name="Input 13 3 2 3 2" xfId="11665" xr:uid="{00000000-0005-0000-0000-0000C22B0000}"/>
    <cellStyle name="Input 13 3 2 4" xfId="11666" xr:uid="{00000000-0005-0000-0000-0000C32B0000}"/>
    <cellStyle name="Input 13 3 3" xfId="11667" xr:uid="{00000000-0005-0000-0000-0000C42B0000}"/>
    <cellStyle name="Input 13 3 3 2" xfId="11668" xr:uid="{00000000-0005-0000-0000-0000C52B0000}"/>
    <cellStyle name="Input 13 3 3 2 2" xfId="11669" xr:uid="{00000000-0005-0000-0000-0000C62B0000}"/>
    <cellStyle name="Input 13 3 3 3" xfId="11670" xr:uid="{00000000-0005-0000-0000-0000C72B0000}"/>
    <cellStyle name="Input 13 3 3 3 2" xfId="11671" xr:uid="{00000000-0005-0000-0000-0000C82B0000}"/>
    <cellStyle name="Input 13 3 3 4" xfId="11672" xr:uid="{00000000-0005-0000-0000-0000C92B0000}"/>
    <cellStyle name="Input 13 3 4" xfId="11673" xr:uid="{00000000-0005-0000-0000-0000CA2B0000}"/>
    <cellStyle name="Input 13 3 4 2" xfId="11674" xr:uid="{00000000-0005-0000-0000-0000CB2B0000}"/>
    <cellStyle name="Input 13 3 5" xfId="11675" xr:uid="{00000000-0005-0000-0000-0000CC2B0000}"/>
    <cellStyle name="Input 13 3 5 2" xfId="11676" xr:uid="{00000000-0005-0000-0000-0000CD2B0000}"/>
    <cellStyle name="Input 13 3 6" xfId="11677" xr:uid="{00000000-0005-0000-0000-0000CE2B0000}"/>
    <cellStyle name="Input 13 4" xfId="11678" xr:uid="{00000000-0005-0000-0000-0000CF2B0000}"/>
    <cellStyle name="Input 13 4 2" xfId="11679" xr:uid="{00000000-0005-0000-0000-0000D02B0000}"/>
    <cellStyle name="Input 13 4 2 2" xfId="11680" xr:uid="{00000000-0005-0000-0000-0000D12B0000}"/>
    <cellStyle name="Input 13 4 2 2 2" xfId="11681" xr:uid="{00000000-0005-0000-0000-0000D22B0000}"/>
    <cellStyle name="Input 13 4 2 3" xfId="11682" xr:uid="{00000000-0005-0000-0000-0000D32B0000}"/>
    <cellStyle name="Input 13 4 2 3 2" xfId="11683" xr:uid="{00000000-0005-0000-0000-0000D42B0000}"/>
    <cellStyle name="Input 13 4 2 4" xfId="11684" xr:uid="{00000000-0005-0000-0000-0000D52B0000}"/>
    <cellStyle name="Input 13 4 3" xfId="11685" xr:uid="{00000000-0005-0000-0000-0000D62B0000}"/>
    <cellStyle name="Input 13 4 3 2" xfId="11686" xr:uid="{00000000-0005-0000-0000-0000D72B0000}"/>
    <cellStyle name="Input 13 4 3 2 2" xfId="11687" xr:uid="{00000000-0005-0000-0000-0000D82B0000}"/>
    <cellStyle name="Input 13 4 3 3" xfId="11688" xr:uid="{00000000-0005-0000-0000-0000D92B0000}"/>
    <cellStyle name="Input 13 4 3 3 2" xfId="11689" xr:uid="{00000000-0005-0000-0000-0000DA2B0000}"/>
    <cellStyle name="Input 13 4 3 4" xfId="11690" xr:uid="{00000000-0005-0000-0000-0000DB2B0000}"/>
    <cellStyle name="Input 13 4 4" xfId="11691" xr:uid="{00000000-0005-0000-0000-0000DC2B0000}"/>
    <cellStyle name="Input 13 4 4 2" xfId="11692" xr:uid="{00000000-0005-0000-0000-0000DD2B0000}"/>
    <cellStyle name="Input 13 4 5" xfId="11693" xr:uid="{00000000-0005-0000-0000-0000DE2B0000}"/>
    <cellStyle name="Input 13 4 5 2" xfId="11694" xr:uid="{00000000-0005-0000-0000-0000DF2B0000}"/>
    <cellStyle name="Input 13 4 6" xfId="11695" xr:uid="{00000000-0005-0000-0000-0000E02B0000}"/>
    <cellStyle name="Input 13 5" xfId="11696" xr:uid="{00000000-0005-0000-0000-0000E12B0000}"/>
    <cellStyle name="Input 13 5 2" xfId="11697" xr:uid="{00000000-0005-0000-0000-0000E22B0000}"/>
    <cellStyle name="Input 13 5 2 2" xfId="11698" xr:uid="{00000000-0005-0000-0000-0000E32B0000}"/>
    <cellStyle name="Input 13 5 3" xfId="11699" xr:uid="{00000000-0005-0000-0000-0000E42B0000}"/>
    <cellStyle name="Input 13 5 3 2" xfId="11700" xr:uid="{00000000-0005-0000-0000-0000E52B0000}"/>
    <cellStyle name="Input 13 5 4" xfId="11701" xr:uid="{00000000-0005-0000-0000-0000E62B0000}"/>
    <cellStyle name="Input 13 6" xfId="11702" xr:uid="{00000000-0005-0000-0000-0000E72B0000}"/>
    <cellStyle name="Input 13 6 2" xfId="11703" xr:uid="{00000000-0005-0000-0000-0000E82B0000}"/>
    <cellStyle name="Input 13 6 2 2" xfId="11704" xr:uid="{00000000-0005-0000-0000-0000E92B0000}"/>
    <cellStyle name="Input 13 6 3" xfId="11705" xr:uid="{00000000-0005-0000-0000-0000EA2B0000}"/>
    <cellStyle name="Input 13 6 3 2" xfId="11706" xr:uid="{00000000-0005-0000-0000-0000EB2B0000}"/>
    <cellStyle name="Input 13 6 4" xfId="11707" xr:uid="{00000000-0005-0000-0000-0000EC2B0000}"/>
    <cellStyle name="Input 13 7" xfId="11708" xr:uid="{00000000-0005-0000-0000-0000ED2B0000}"/>
    <cellStyle name="Input 13 7 2" xfId="11709" xr:uid="{00000000-0005-0000-0000-0000EE2B0000}"/>
    <cellStyle name="Input 13 8" xfId="11710" xr:uid="{00000000-0005-0000-0000-0000EF2B0000}"/>
    <cellStyle name="Input 13 8 2" xfId="11711" xr:uid="{00000000-0005-0000-0000-0000F02B0000}"/>
    <cellStyle name="Input 13 9" xfId="11712" xr:uid="{00000000-0005-0000-0000-0000F12B0000}"/>
    <cellStyle name="Input 14" xfId="11713" xr:uid="{00000000-0005-0000-0000-0000F22B0000}"/>
    <cellStyle name="Input 14 2" xfId="11714" xr:uid="{00000000-0005-0000-0000-0000F32B0000}"/>
    <cellStyle name="Input 14 2 2" xfId="11715" xr:uid="{00000000-0005-0000-0000-0000F42B0000}"/>
    <cellStyle name="Input 14 2 2 2" xfId="11716" xr:uid="{00000000-0005-0000-0000-0000F52B0000}"/>
    <cellStyle name="Input 14 2 2 2 2" xfId="11717" xr:uid="{00000000-0005-0000-0000-0000F62B0000}"/>
    <cellStyle name="Input 14 2 2 3" xfId="11718" xr:uid="{00000000-0005-0000-0000-0000F72B0000}"/>
    <cellStyle name="Input 14 2 2 3 2" xfId="11719" xr:uid="{00000000-0005-0000-0000-0000F82B0000}"/>
    <cellStyle name="Input 14 2 2 4" xfId="11720" xr:uid="{00000000-0005-0000-0000-0000F92B0000}"/>
    <cellStyle name="Input 14 2 3" xfId="11721" xr:uid="{00000000-0005-0000-0000-0000FA2B0000}"/>
    <cellStyle name="Input 14 2 3 2" xfId="11722" xr:uid="{00000000-0005-0000-0000-0000FB2B0000}"/>
    <cellStyle name="Input 14 2 3 2 2" xfId="11723" xr:uid="{00000000-0005-0000-0000-0000FC2B0000}"/>
    <cellStyle name="Input 14 2 3 3" xfId="11724" xr:uid="{00000000-0005-0000-0000-0000FD2B0000}"/>
    <cellStyle name="Input 14 2 3 3 2" xfId="11725" xr:uid="{00000000-0005-0000-0000-0000FE2B0000}"/>
    <cellStyle name="Input 14 2 3 4" xfId="11726" xr:uid="{00000000-0005-0000-0000-0000FF2B0000}"/>
    <cellStyle name="Input 14 2 4" xfId="11727" xr:uid="{00000000-0005-0000-0000-0000002C0000}"/>
    <cellStyle name="Input 14 2 4 2" xfId="11728" xr:uid="{00000000-0005-0000-0000-0000012C0000}"/>
    <cellStyle name="Input 14 2 5" xfId="11729" xr:uid="{00000000-0005-0000-0000-0000022C0000}"/>
    <cellStyle name="Input 14 2 5 2" xfId="11730" xr:uid="{00000000-0005-0000-0000-0000032C0000}"/>
    <cellStyle name="Input 14 2 6" xfId="11731" xr:uid="{00000000-0005-0000-0000-0000042C0000}"/>
    <cellStyle name="Input 14 3" xfId="11732" xr:uid="{00000000-0005-0000-0000-0000052C0000}"/>
    <cellStyle name="Input 14 3 2" xfId="11733" xr:uid="{00000000-0005-0000-0000-0000062C0000}"/>
    <cellStyle name="Input 14 3 2 2" xfId="11734" xr:uid="{00000000-0005-0000-0000-0000072C0000}"/>
    <cellStyle name="Input 14 3 2 2 2" xfId="11735" xr:uid="{00000000-0005-0000-0000-0000082C0000}"/>
    <cellStyle name="Input 14 3 2 3" xfId="11736" xr:uid="{00000000-0005-0000-0000-0000092C0000}"/>
    <cellStyle name="Input 14 3 2 3 2" xfId="11737" xr:uid="{00000000-0005-0000-0000-00000A2C0000}"/>
    <cellStyle name="Input 14 3 2 4" xfId="11738" xr:uid="{00000000-0005-0000-0000-00000B2C0000}"/>
    <cellStyle name="Input 14 3 3" xfId="11739" xr:uid="{00000000-0005-0000-0000-00000C2C0000}"/>
    <cellStyle name="Input 14 3 3 2" xfId="11740" xr:uid="{00000000-0005-0000-0000-00000D2C0000}"/>
    <cellStyle name="Input 14 3 3 2 2" xfId="11741" xr:uid="{00000000-0005-0000-0000-00000E2C0000}"/>
    <cellStyle name="Input 14 3 3 3" xfId="11742" xr:uid="{00000000-0005-0000-0000-00000F2C0000}"/>
    <cellStyle name="Input 14 3 3 3 2" xfId="11743" xr:uid="{00000000-0005-0000-0000-0000102C0000}"/>
    <cellStyle name="Input 14 3 3 4" xfId="11744" xr:uid="{00000000-0005-0000-0000-0000112C0000}"/>
    <cellStyle name="Input 14 3 4" xfId="11745" xr:uid="{00000000-0005-0000-0000-0000122C0000}"/>
    <cellStyle name="Input 14 3 4 2" xfId="11746" xr:uid="{00000000-0005-0000-0000-0000132C0000}"/>
    <cellStyle name="Input 14 3 5" xfId="11747" xr:uid="{00000000-0005-0000-0000-0000142C0000}"/>
    <cellStyle name="Input 14 3 5 2" xfId="11748" xr:uid="{00000000-0005-0000-0000-0000152C0000}"/>
    <cellStyle name="Input 14 3 6" xfId="11749" xr:uid="{00000000-0005-0000-0000-0000162C0000}"/>
    <cellStyle name="Input 14 4" xfId="11750" xr:uid="{00000000-0005-0000-0000-0000172C0000}"/>
    <cellStyle name="Input 14 4 2" xfId="11751" xr:uid="{00000000-0005-0000-0000-0000182C0000}"/>
    <cellStyle name="Input 14 4 2 2" xfId="11752" xr:uid="{00000000-0005-0000-0000-0000192C0000}"/>
    <cellStyle name="Input 14 4 2 2 2" xfId="11753" xr:uid="{00000000-0005-0000-0000-00001A2C0000}"/>
    <cellStyle name="Input 14 4 2 3" xfId="11754" xr:uid="{00000000-0005-0000-0000-00001B2C0000}"/>
    <cellStyle name="Input 14 4 2 3 2" xfId="11755" xr:uid="{00000000-0005-0000-0000-00001C2C0000}"/>
    <cellStyle name="Input 14 4 2 4" xfId="11756" xr:uid="{00000000-0005-0000-0000-00001D2C0000}"/>
    <cellStyle name="Input 14 4 3" xfId="11757" xr:uid="{00000000-0005-0000-0000-00001E2C0000}"/>
    <cellStyle name="Input 14 4 3 2" xfId="11758" xr:uid="{00000000-0005-0000-0000-00001F2C0000}"/>
    <cellStyle name="Input 14 4 3 2 2" xfId="11759" xr:uid="{00000000-0005-0000-0000-0000202C0000}"/>
    <cellStyle name="Input 14 4 3 3" xfId="11760" xr:uid="{00000000-0005-0000-0000-0000212C0000}"/>
    <cellStyle name="Input 14 4 3 3 2" xfId="11761" xr:uid="{00000000-0005-0000-0000-0000222C0000}"/>
    <cellStyle name="Input 14 4 3 4" xfId="11762" xr:uid="{00000000-0005-0000-0000-0000232C0000}"/>
    <cellStyle name="Input 14 4 4" xfId="11763" xr:uid="{00000000-0005-0000-0000-0000242C0000}"/>
    <cellStyle name="Input 14 4 4 2" xfId="11764" xr:uid="{00000000-0005-0000-0000-0000252C0000}"/>
    <cellStyle name="Input 14 4 5" xfId="11765" xr:uid="{00000000-0005-0000-0000-0000262C0000}"/>
    <cellStyle name="Input 14 4 5 2" xfId="11766" xr:uid="{00000000-0005-0000-0000-0000272C0000}"/>
    <cellStyle name="Input 14 4 6" xfId="11767" xr:uid="{00000000-0005-0000-0000-0000282C0000}"/>
    <cellStyle name="Input 14 5" xfId="11768" xr:uid="{00000000-0005-0000-0000-0000292C0000}"/>
    <cellStyle name="Input 14 5 2" xfId="11769" xr:uid="{00000000-0005-0000-0000-00002A2C0000}"/>
    <cellStyle name="Input 14 5 2 2" xfId="11770" xr:uid="{00000000-0005-0000-0000-00002B2C0000}"/>
    <cellStyle name="Input 14 5 3" xfId="11771" xr:uid="{00000000-0005-0000-0000-00002C2C0000}"/>
    <cellStyle name="Input 14 5 3 2" xfId="11772" xr:uid="{00000000-0005-0000-0000-00002D2C0000}"/>
    <cellStyle name="Input 14 5 4" xfId="11773" xr:uid="{00000000-0005-0000-0000-00002E2C0000}"/>
    <cellStyle name="Input 14 6" xfId="11774" xr:uid="{00000000-0005-0000-0000-00002F2C0000}"/>
    <cellStyle name="Input 14 6 2" xfId="11775" xr:uid="{00000000-0005-0000-0000-0000302C0000}"/>
    <cellStyle name="Input 14 6 2 2" xfId="11776" xr:uid="{00000000-0005-0000-0000-0000312C0000}"/>
    <cellStyle name="Input 14 6 3" xfId="11777" xr:uid="{00000000-0005-0000-0000-0000322C0000}"/>
    <cellStyle name="Input 14 6 3 2" xfId="11778" xr:uid="{00000000-0005-0000-0000-0000332C0000}"/>
    <cellStyle name="Input 14 6 4" xfId="11779" xr:uid="{00000000-0005-0000-0000-0000342C0000}"/>
    <cellStyle name="Input 14 7" xfId="11780" xr:uid="{00000000-0005-0000-0000-0000352C0000}"/>
    <cellStyle name="Input 14 7 2" xfId="11781" xr:uid="{00000000-0005-0000-0000-0000362C0000}"/>
    <cellStyle name="Input 14 8" xfId="11782" xr:uid="{00000000-0005-0000-0000-0000372C0000}"/>
    <cellStyle name="Input 14 8 2" xfId="11783" xr:uid="{00000000-0005-0000-0000-0000382C0000}"/>
    <cellStyle name="Input 14 9" xfId="11784" xr:uid="{00000000-0005-0000-0000-0000392C0000}"/>
    <cellStyle name="Input 15" xfId="11785" xr:uid="{00000000-0005-0000-0000-00003A2C0000}"/>
    <cellStyle name="Input 15 2" xfId="11786" xr:uid="{00000000-0005-0000-0000-00003B2C0000}"/>
    <cellStyle name="Input 15 2 2" xfId="11787" xr:uid="{00000000-0005-0000-0000-00003C2C0000}"/>
    <cellStyle name="Input 15 2 2 2" xfId="11788" xr:uid="{00000000-0005-0000-0000-00003D2C0000}"/>
    <cellStyle name="Input 15 2 2 2 2" xfId="11789" xr:uid="{00000000-0005-0000-0000-00003E2C0000}"/>
    <cellStyle name="Input 15 2 2 3" xfId="11790" xr:uid="{00000000-0005-0000-0000-00003F2C0000}"/>
    <cellStyle name="Input 15 2 2 3 2" xfId="11791" xr:uid="{00000000-0005-0000-0000-0000402C0000}"/>
    <cellStyle name="Input 15 2 2 4" xfId="11792" xr:uid="{00000000-0005-0000-0000-0000412C0000}"/>
    <cellStyle name="Input 15 2 3" xfId="11793" xr:uid="{00000000-0005-0000-0000-0000422C0000}"/>
    <cellStyle name="Input 15 2 3 2" xfId="11794" xr:uid="{00000000-0005-0000-0000-0000432C0000}"/>
    <cellStyle name="Input 15 2 3 2 2" xfId="11795" xr:uid="{00000000-0005-0000-0000-0000442C0000}"/>
    <cellStyle name="Input 15 2 3 3" xfId="11796" xr:uid="{00000000-0005-0000-0000-0000452C0000}"/>
    <cellStyle name="Input 15 2 3 3 2" xfId="11797" xr:uid="{00000000-0005-0000-0000-0000462C0000}"/>
    <cellStyle name="Input 15 2 3 4" xfId="11798" xr:uid="{00000000-0005-0000-0000-0000472C0000}"/>
    <cellStyle name="Input 15 2 4" xfId="11799" xr:uid="{00000000-0005-0000-0000-0000482C0000}"/>
    <cellStyle name="Input 15 2 4 2" xfId="11800" xr:uid="{00000000-0005-0000-0000-0000492C0000}"/>
    <cellStyle name="Input 15 2 5" xfId="11801" xr:uid="{00000000-0005-0000-0000-00004A2C0000}"/>
    <cellStyle name="Input 15 2 5 2" xfId="11802" xr:uid="{00000000-0005-0000-0000-00004B2C0000}"/>
    <cellStyle name="Input 15 2 6" xfId="11803" xr:uid="{00000000-0005-0000-0000-00004C2C0000}"/>
    <cellStyle name="Input 15 3" xfId="11804" xr:uid="{00000000-0005-0000-0000-00004D2C0000}"/>
    <cellStyle name="Input 15 3 2" xfId="11805" xr:uid="{00000000-0005-0000-0000-00004E2C0000}"/>
    <cellStyle name="Input 15 3 2 2" xfId="11806" xr:uid="{00000000-0005-0000-0000-00004F2C0000}"/>
    <cellStyle name="Input 15 3 2 2 2" xfId="11807" xr:uid="{00000000-0005-0000-0000-0000502C0000}"/>
    <cellStyle name="Input 15 3 2 3" xfId="11808" xr:uid="{00000000-0005-0000-0000-0000512C0000}"/>
    <cellStyle name="Input 15 3 2 3 2" xfId="11809" xr:uid="{00000000-0005-0000-0000-0000522C0000}"/>
    <cellStyle name="Input 15 3 2 4" xfId="11810" xr:uid="{00000000-0005-0000-0000-0000532C0000}"/>
    <cellStyle name="Input 15 3 3" xfId="11811" xr:uid="{00000000-0005-0000-0000-0000542C0000}"/>
    <cellStyle name="Input 15 3 3 2" xfId="11812" xr:uid="{00000000-0005-0000-0000-0000552C0000}"/>
    <cellStyle name="Input 15 3 3 2 2" xfId="11813" xr:uid="{00000000-0005-0000-0000-0000562C0000}"/>
    <cellStyle name="Input 15 3 3 3" xfId="11814" xr:uid="{00000000-0005-0000-0000-0000572C0000}"/>
    <cellStyle name="Input 15 3 3 3 2" xfId="11815" xr:uid="{00000000-0005-0000-0000-0000582C0000}"/>
    <cellStyle name="Input 15 3 3 4" xfId="11816" xr:uid="{00000000-0005-0000-0000-0000592C0000}"/>
    <cellStyle name="Input 15 3 4" xfId="11817" xr:uid="{00000000-0005-0000-0000-00005A2C0000}"/>
    <cellStyle name="Input 15 3 4 2" xfId="11818" xr:uid="{00000000-0005-0000-0000-00005B2C0000}"/>
    <cellStyle name="Input 15 3 5" xfId="11819" xr:uid="{00000000-0005-0000-0000-00005C2C0000}"/>
    <cellStyle name="Input 15 3 5 2" xfId="11820" xr:uid="{00000000-0005-0000-0000-00005D2C0000}"/>
    <cellStyle name="Input 15 3 6" xfId="11821" xr:uid="{00000000-0005-0000-0000-00005E2C0000}"/>
    <cellStyle name="Input 15 4" xfId="11822" xr:uid="{00000000-0005-0000-0000-00005F2C0000}"/>
    <cellStyle name="Input 15 4 2" xfId="11823" xr:uid="{00000000-0005-0000-0000-0000602C0000}"/>
    <cellStyle name="Input 15 4 2 2" xfId="11824" xr:uid="{00000000-0005-0000-0000-0000612C0000}"/>
    <cellStyle name="Input 15 4 2 2 2" xfId="11825" xr:uid="{00000000-0005-0000-0000-0000622C0000}"/>
    <cellStyle name="Input 15 4 2 3" xfId="11826" xr:uid="{00000000-0005-0000-0000-0000632C0000}"/>
    <cellStyle name="Input 15 4 2 3 2" xfId="11827" xr:uid="{00000000-0005-0000-0000-0000642C0000}"/>
    <cellStyle name="Input 15 4 2 4" xfId="11828" xr:uid="{00000000-0005-0000-0000-0000652C0000}"/>
    <cellStyle name="Input 15 4 3" xfId="11829" xr:uid="{00000000-0005-0000-0000-0000662C0000}"/>
    <cellStyle name="Input 15 4 3 2" xfId="11830" xr:uid="{00000000-0005-0000-0000-0000672C0000}"/>
    <cellStyle name="Input 15 4 3 2 2" xfId="11831" xr:uid="{00000000-0005-0000-0000-0000682C0000}"/>
    <cellStyle name="Input 15 4 3 3" xfId="11832" xr:uid="{00000000-0005-0000-0000-0000692C0000}"/>
    <cellStyle name="Input 15 4 3 3 2" xfId="11833" xr:uid="{00000000-0005-0000-0000-00006A2C0000}"/>
    <cellStyle name="Input 15 4 3 4" xfId="11834" xr:uid="{00000000-0005-0000-0000-00006B2C0000}"/>
    <cellStyle name="Input 15 4 4" xfId="11835" xr:uid="{00000000-0005-0000-0000-00006C2C0000}"/>
    <cellStyle name="Input 15 4 4 2" xfId="11836" xr:uid="{00000000-0005-0000-0000-00006D2C0000}"/>
    <cellStyle name="Input 15 4 5" xfId="11837" xr:uid="{00000000-0005-0000-0000-00006E2C0000}"/>
    <cellStyle name="Input 15 4 5 2" xfId="11838" xr:uid="{00000000-0005-0000-0000-00006F2C0000}"/>
    <cellStyle name="Input 15 4 6" xfId="11839" xr:uid="{00000000-0005-0000-0000-0000702C0000}"/>
    <cellStyle name="Input 15 5" xfId="11840" xr:uid="{00000000-0005-0000-0000-0000712C0000}"/>
    <cellStyle name="Input 15 5 2" xfId="11841" xr:uid="{00000000-0005-0000-0000-0000722C0000}"/>
    <cellStyle name="Input 15 5 2 2" xfId="11842" xr:uid="{00000000-0005-0000-0000-0000732C0000}"/>
    <cellStyle name="Input 15 5 3" xfId="11843" xr:uid="{00000000-0005-0000-0000-0000742C0000}"/>
    <cellStyle name="Input 15 5 3 2" xfId="11844" xr:uid="{00000000-0005-0000-0000-0000752C0000}"/>
    <cellStyle name="Input 15 5 4" xfId="11845" xr:uid="{00000000-0005-0000-0000-0000762C0000}"/>
    <cellStyle name="Input 15 6" xfId="11846" xr:uid="{00000000-0005-0000-0000-0000772C0000}"/>
    <cellStyle name="Input 15 6 2" xfId="11847" xr:uid="{00000000-0005-0000-0000-0000782C0000}"/>
    <cellStyle name="Input 15 6 2 2" xfId="11848" xr:uid="{00000000-0005-0000-0000-0000792C0000}"/>
    <cellStyle name="Input 15 6 3" xfId="11849" xr:uid="{00000000-0005-0000-0000-00007A2C0000}"/>
    <cellStyle name="Input 15 6 3 2" xfId="11850" xr:uid="{00000000-0005-0000-0000-00007B2C0000}"/>
    <cellStyle name="Input 15 6 4" xfId="11851" xr:uid="{00000000-0005-0000-0000-00007C2C0000}"/>
    <cellStyle name="Input 15 7" xfId="11852" xr:uid="{00000000-0005-0000-0000-00007D2C0000}"/>
    <cellStyle name="Input 15 7 2" xfId="11853" xr:uid="{00000000-0005-0000-0000-00007E2C0000}"/>
    <cellStyle name="Input 15 8" xfId="11854" xr:uid="{00000000-0005-0000-0000-00007F2C0000}"/>
    <cellStyle name="Input 15 8 2" xfId="11855" xr:uid="{00000000-0005-0000-0000-0000802C0000}"/>
    <cellStyle name="Input 15 9" xfId="11856" xr:uid="{00000000-0005-0000-0000-0000812C0000}"/>
    <cellStyle name="Input 16" xfId="11857" xr:uid="{00000000-0005-0000-0000-0000822C0000}"/>
    <cellStyle name="Input 16 2" xfId="11858" xr:uid="{00000000-0005-0000-0000-0000832C0000}"/>
    <cellStyle name="Input 16 2 2" xfId="11859" xr:uid="{00000000-0005-0000-0000-0000842C0000}"/>
    <cellStyle name="Input 16 2 2 2" xfId="11860" xr:uid="{00000000-0005-0000-0000-0000852C0000}"/>
    <cellStyle name="Input 16 2 2 2 2" xfId="11861" xr:uid="{00000000-0005-0000-0000-0000862C0000}"/>
    <cellStyle name="Input 16 2 2 3" xfId="11862" xr:uid="{00000000-0005-0000-0000-0000872C0000}"/>
    <cellStyle name="Input 16 2 2 3 2" xfId="11863" xr:uid="{00000000-0005-0000-0000-0000882C0000}"/>
    <cellStyle name="Input 16 2 2 4" xfId="11864" xr:uid="{00000000-0005-0000-0000-0000892C0000}"/>
    <cellStyle name="Input 16 2 3" xfId="11865" xr:uid="{00000000-0005-0000-0000-00008A2C0000}"/>
    <cellStyle name="Input 16 2 3 2" xfId="11866" xr:uid="{00000000-0005-0000-0000-00008B2C0000}"/>
    <cellStyle name="Input 16 2 3 2 2" xfId="11867" xr:uid="{00000000-0005-0000-0000-00008C2C0000}"/>
    <cellStyle name="Input 16 2 3 3" xfId="11868" xr:uid="{00000000-0005-0000-0000-00008D2C0000}"/>
    <cellStyle name="Input 16 2 3 3 2" xfId="11869" xr:uid="{00000000-0005-0000-0000-00008E2C0000}"/>
    <cellStyle name="Input 16 2 3 4" xfId="11870" xr:uid="{00000000-0005-0000-0000-00008F2C0000}"/>
    <cellStyle name="Input 16 2 4" xfId="11871" xr:uid="{00000000-0005-0000-0000-0000902C0000}"/>
    <cellStyle name="Input 16 2 4 2" xfId="11872" xr:uid="{00000000-0005-0000-0000-0000912C0000}"/>
    <cellStyle name="Input 16 2 5" xfId="11873" xr:uid="{00000000-0005-0000-0000-0000922C0000}"/>
    <cellStyle name="Input 16 2 5 2" xfId="11874" xr:uid="{00000000-0005-0000-0000-0000932C0000}"/>
    <cellStyle name="Input 16 2 6" xfId="11875" xr:uid="{00000000-0005-0000-0000-0000942C0000}"/>
    <cellStyle name="Input 16 3" xfId="11876" xr:uid="{00000000-0005-0000-0000-0000952C0000}"/>
    <cellStyle name="Input 16 3 2" xfId="11877" xr:uid="{00000000-0005-0000-0000-0000962C0000}"/>
    <cellStyle name="Input 16 3 2 2" xfId="11878" xr:uid="{00000000-0005-0000-0000-0000972C0000}"/>
    <cellStyle name="Input 16 3 2 2 2" xfId="11879" xr:uid="{00000000-0005-0000-0000-0000982C0000}"/>
    <cellStyle name="Input 16 3 2 3" xfId="11880" xr:uid="{00000000-0005-0000-0000-0000992C0000}"/>
    <cellStyle name="Input 16 3 2 3 2" xfId="11881" xr:uid="{00000000-0005-0000-0000-00009A2C0000}"/>
    <cellStyle name="Input 16 3 2 4" xfId="11882" xr:uid="{00000000-0005-0000-0000-00009B2C0000}"/>
    <cellStyle name="Input 16 3 3" xfId="11883" xr:uid="{00000000-0005-0000-0000-00009C2C0000}"/>
    <cellStyle name="Input 16 3 3 2" xfId="11884" xr:uid="{00000000-0005-0000-0000-00009D2C0000}"/>
    <cellStyle name="Input 16 3 3 2 2" xfId="11885" xr:uid="{00000000-0005-0000-0000-00009E2C0000}"/>
    <cellStyle name="Input 16 3 3 3" xfId="11886" xr:uid="{00000000-0005-0000-0000-00009F2C0000}"/>
    <cellStyle name="Input 16 3 3 3 2" xfId="11887" xr:uid="{00000000-0005-0000-0000-0000A02C0000}"/>
    <cellStyle name="Input 16 3 3 4" xfId="11888" xr:uid="{00000000-0005-0000-0000-0000A12C0000}"/>
    <cellStyle name="Input 16 3 4" xfId="11889" xr:uid="{00000000-0005-0000-0000-0000A22C0000}"/>
    <cellStyle name="Input 16 3 4 2" xfId="11890" xr:uid="{00000000-0005-0000-0000-0000A32C0000}"/>
    <cellStyle name="Input 16 3 5" xfId="11891" xr:uid="{00000000-0005-0000-0000-0000A42C0000}"/>
    <cellStyle name="Input 16 3 5 2" xfId="11892" xr:uid="{00000000-0005-0000-0000-0000A52C0000}"/>
    <cellStyle name="Input 16 3 6" xfId="11893" xr:uid="{00000000-0005-0000-0000-0000A62C0000}"/>
    <cellStyle name="Input 16 4" xfId="11894" xr:uid="{00000000-0005-0000-0000-0000A72C0000}"/>
    <cellStyle name="Input 16 4 2" xfId="11895" xr:uid="{00000000-0005-0000-0000-0000A82C0000}"/>
    <cellStyle name="Input 16 4 2 2" xfId="11896" xr:uid="{00000000-0005-0000-0000-0000A92C0000}"/>
    <cellStyle name="Input 16 4 2 2 2" xfId="11897" xr:uid="{00000000-0005-0000-0000-0000AA2C0000}"/>
    <cellStyle name="Input 16 4 2 3" xfId="11898" xr:uid="{00000000-0005-0000-0000-0000AB2C0000}"/>
    <cellStyle name="Input 16 4 2 3 2" xfId="11899" xr:uid="{00000000-0005-0000-0000-0000AC2C0000}"/>
    <cellStyle name="Input 16 4 2 4" xfId="11900" xr:uid="{00000000-0005-0000-0000-0000AD2C0000}"/>
    <cellStyle name="Input 16 4 3" xfId="11901" xr:uid="{00000000-0005-0000-0000-0000AE2C0000}"/>
    <cellStyle name="Input 16 4 3 2" xfId="11902" xr:uid="{00000000-0005-0000-0000-0000AF2C0000}"/>
    <cellStyle name="Input 16 4 3 2 2" xfId="11903" xr:uid="{00000000-0005-0000-0000-0000B02C0000}"/>
    <cellStyle name="Input 16 4 3 3" xfId="11904" xr:uid="{00000000-0005-0000-0000-0000B12C0000}"/>
    <cellStyle name="Input 16 4 3 3 2" xfId="11905" xr:uid="{00000000-0005-0000-0000-0000B22C0000}"/>
    <cellStyle name="Input 16 4 3 4" xfId="11906" xr:uid="{00000000-0005-0000-0000-0000B32C0000}"/>
    <cellStyle name="Input 16 4 4" xfId="11907" xr:uid="{00000000-0005-0000-0000-0000B42C0000}"/>
    <cellStyle name="Input 16 4 4 2" xfId="11908" xr:uid="{00000000-0005-0000-0000-0000B52C0000}"/>
    <cellStyle name="Input 16 4 5" xfId="11909" xr:uid="{00000000-0005-0000-0000-0000B62C0000}"/>
    <cellStyle name="Input 16 4 5 2" xfId="11910" xr:uid="{00000000-0005-0000-0000-0000B72C0000}"/>
    <cellStyle name="Input 16 4 6" xfId="11911" xr:uid="{00000000-0005-0000-0000-0000B82C0000}"/>
    <cellStyle name="Input 16 5" xfId="11912" xr:uid="{00000000-0005-0000-0000-0000B92C0000}"/>
    <cellStyle name="Input 16 5 2" xfId="11913" xr:uid="{00000000-0005-0000-0000-0000BA2C0000}"/>
    <cellStyle name="Input 16 5 2 2" xfId="11914" xr:uid="{00000000-0005-0000-0000-0000BB2C0000}"/>
    <cellStyle name="Input 16 5 3" xfId="11915" xr:uid="{00000000-0005-0000-0000-0000BC2C0000}"/>
    <cellStyle name="Input 16 5 3 2" xfId="11916" xr:uid="{00000000-0005-0000-0000-0000BD2C0000}"/>
    <cellStyle name="Input 16 5 4" xfId="11917" xr:uid="{00000000-0005-0000-0000-0000BE2C0000}"/>
    <cellStyle name="Input 16 6" xfId="11918" xr:uid="{00000000-0005-0000-0000-0000BF2C0000}"/>
    <cellStyle name="Input 16 6 2" xfId="11919" xr:uid="{00000000-0005-0000-0000-0000C02C0000}"/>
    <cellStyle name="Input 16 6 2 2" xfId="11920" xr:uid="{00000000-0005-0000-0000-0000C12C0000}"/>
    <cellStyle name="Input 16 6 3" xfId="11921" xr:uid="{00000000-0005-0000-0000-0000C22C0000}"/>
    <cellStyle name="Input 16 6 3 2" xfId="11922" xr:uid="{00000000-0005-0000-0000-0000C32C0000}"/>
    <cellStyle name="Input 16 6 4" xfId="11923" xr:uid="{00000000-0005-0000-0000-0000C42C0000}"/>
    <cellStyle name="Input 16 7" xfId="11924" xr:uid="{00000000-0005-0000-0000-0000C52C0000}"/>
    <cellStyle name="Input 16 7 2" xfId="11925" xr:uid="{00000000-0005-0000-0000-0000C62C0000}"/>
    <cellStyle name="Input 16 8" xfId="11926" xr:uid="{00000000-0005-0000-0000-0000C72C0000}"/>
    <cellStyle name="Input 16 8 2" xfId="11927" xr:uid="{00000000-0005-0000-0000-0000C82C0000}"/>
    <cellStyle name="Input 16 9" xfId="11928" xr:uid="{00000000-0005-0000-0000-0000C92C0000}"/>
    <cellStyle name="Input 17" xfId="11929" xr:uid="{00000000-0005-0000-0000-0000CA2C0000}"/>
    <cellStyle name="Input 17 2" xfId="11930" xr:uid="{00000000-0005-0000-0000-0000CB2C0000}"/>
    <cellStyle name="Input 17 2 2" xfId="11931" xr:uid="{00000000-0005-0000-0000-0000CC2C0000}"/>
    <cellStyle name="Input 17 2 2 2" xfId="11932" xr:uid="{00000000-0005-0000-0000-0000CD2C0000}"/>
    <cellStyle name="Input 17 2 2 2 2" xfId="11933" xr:uid="{00000000-0005-0000-0000-0000CE2C0000}"/>
    <cellStyle name="Input 17 2 2 3" xfId="11934" xr:uid="{00000000-0005-0000-0000-0000CF2C0000}"/>
    <cellStyle name="Input 17 2 2 3 2" xfId="11935" xr:uid="{00000000-0005-0000-0000-0000D02C0000}"/>
    <cellStyle name="Input 17 2 2 4" xfId="11936" xr:uid="{00000000-0005-0000-0000-0000D12C0000}"/>
    <cellStyle name="Input 17 2 3" xfId="11937" xr:uid="{00000000-0005-0000-0000-0000D22C0000}"/>
    <cellStyle name="Input 17 2 3 2" xfId="11938" xr:uid="{00000000-0005-0000-0000-0000D32C0000}"/>
    <cellStyle name="Input 17 2 3 2 2" xfId="11939" xr:uid="{00000000-0005-0000-0000-0000D42C0000}"/>
    <cellStyle name="Input 17 2 3 3" xfId="11940" xr:uid="{00000000-0005-0000-0000-0000D52C0000}"/>
    <cellStyle name="Input 17 2 3 3 2" xfId="11941" xr:uid="{00000000-0005-0000-0000-0000D62C0000}"/>
    <cellStyle name="Input 17 2 3 4" xfId="11942" xr:uid="{00000000-0005-0000-0000-0000D72C0000}"/>
    <cellStyle name="Input 17 2 4" xfId="11943" xr:uid="{00000000-0005-0000-0000-0000D82C0000}"/>
    <cellStyle name="Input 17 2 4 2" xfId="11944" xr:uid="{00000000-0005-0000-0000-0000D92C0000}"/>
    <cellStyle name="Input 17 2 5" xfId="11945" xr:uid="{00000000-0005-0000-0000-0000DA2C0000}"/>
    <cellStyle name="Input 17 2 5 2" xfId="11946" xr:uid="{00000000-0005-0000-0000-0000DB2C0000}"/>
    <cellStyle name="Input 17 2 6" xfId="11947" xr:uid="{00000000-0005-0000-0000-0000DC2C0000}"/>
    <cellStyle name="Input 17 3" xfId="11948" xr:uid="{00000000-0005-0000-0000-0000DD2C0000}"/>
    <cellStyle name="Input 17 3 2" xfId="11949" xr:uid="{00000000-0005-0000-0000-0000DE2C0000}"/>
    <cellStyle name="Input 17 3 2 2" xfId="11950" xr:uid="{00000000-0005-0000-0000-0000DF2C0000}"/>
    <cellStyle name="Input 17 3 2 2 2" xfId="11951" xr:uid="{00000000-0005-0000-0000-0000E02C0000}"/>
    <cellStyle name="Input 17 3 2 3" xfId="11952" xr:uid="{00000000-0005-0000-0000-0000E12C0000}"/>
    <cellStyle name="Input 17 3 2 3 2" xfId="11953" xr:uid="{00000000-0005-0000-0000-0000E22C0000}"/>
    <cellStyle name="Input 17 3 2 4" xfId="11954" xr:uid="{00000000-0005-0000-0000-0000E32C0000}"/>
    <cellStyle name="Input 17 3 3" xfId="11955" xr:uid="{00000000-0005-0000-0000-0000E42C0000}"/>
    <cellStyle name="Input 17 3 3 2" xfId="11956" xr:uid="{00000000-0005-0000-0000-0000E52C0000}"/>
    <cellStyle name="Input 17 3 3 2 2" xfId="11957" xr:uid="{00000000-0005-0000-0000-0000E62C0000}"/>
    <cellStyle name="Input 17 3 3 3" xfId="11958" xr:uid="{00000000-0005-0000-0000-0000E72C0000}"/>
    <cellStyle name="Input 17 3 3 3 2" xfId="11959" xr:uid="{00000000-0005-0000-0000-0000E82C0000}"/>
    <cellStyle name="Input 17 3 3 4" xfId="11960" xr:uid="{00000000-0005-0000-0000-0000E92C0000}"/>
    <cellStyle name="Input 17 3 4" xfId="11961" xr:uid="{00000000-0005-0000-0000-0000EA2C0000}"/>
    <cellStyle name="Input 17 3 4 2" xfId="11962" xr:uid="{00000000-0005-0000-0000-0000EB2C0000}"/>
    <cellStyle name="Input 17 3 5" xfId="11963" xr:uid="{00000000-0005-0000-0000-0000EC2C0000}"/>
    <cellStyle name="Input 17 3 5 2" xfId="11964" xr:uid="{00000000-0005-0000-0000-0000ED2C0000}"/>
    <cellStyle name="Input 17 3 6" xfId="11965" xr:uid="{00000000-0005-0000-0000-0000EE2C0000}"/>
    <cellStyle name="Input 17 4" xfId="11966" xr:uid="{00000000-0005-0000-0000-0000EF2C0000}"/>
    <cellStyle name="Input 17 4 2" xfId="11967" xr:uid="{00000000-0005-0000-0000-0000F02C0000}"/>
    <cellStyle name="Input 17 4 2 2" xfId="11968" xr:uid="{00000000-0005-0000-0000-0000F12C0000}"/>
    <cellStyle name="Input 17 4 2 2 2" xfId="11969" xr:uid="{00000000-0005-0000-0000-0000F22C0000}"/>
    <cellStyle name="Input 17 4 2 3" xfId="11970" xr:uid="{00000000-0005-0000-0000-0000F32C0000}"/>
    <cellStyle name="Input 17 4 2 3 2" xfId="11971" xr:uid="{00000000-0005-0000-0000-0000F42C0000}"/>
    <cellStyle name="Input 17 4 2 4" xfId="11972" xr:uid="{00000000-0005-0000-0000-0000F52C0000}"/>
    <cellStyle name="Input 17 4 3" xfId="11973" xr:uid="{00000000-0005-0000-0000-0000F62C0000}"/>
    <cellStyle name="Input 17 4 3 2" xfId="11974" xr:uid="{00000000-0005-0000-0000-0000F72C0000}"/>
    <cellStyle name="Input 17 4 3 2 2" xfId="11975" xr:uid="{00000000-0005-0000-0000-0000F82C0000}"/>
    <cellStyle name="Input 17 4 3 3" xfId="11976" xr:uid="{00000000-0005-0000-0000-0000F92C0000}"/>
    <cellStyle name="Input 17 4 3 3 2" xfId="11977" xr:uid="{00000000-0005-0000-0000-0000FA2C0000}"/>
    <cellStyle name="Input 17 4 3 4" xfId="11978" xr:uid="{00000000-0005-0000-0000-0000FB2C0000}"/>
    <cellStyle name="Input 17 4 4" xfId="11979" xr:uid="{00000000-0005-0000-0000-0000FC2C0000}"/>
    <cellStyle name="Input 17 4 4 2" xfId="11980" xr:uid="{00000000-0005-0000-0000-0000FD2C0000}"/>
    <cellStyle name="Input 17 4 5" xfId="11981" xr:uid="{00000000-0005-0000-0000-0000FE2C0000}"/>
    <cellStyle name="Input 17 4 5 2" xfId="11982" xr:uid="{00000000-0005-0000-0000-0000FF2C0000}"/>
    <cellStyle name="Input 17 4 6" xfId="11983" xr:uid="{00000000-0005-0000-0000-0000002D0000}"/>
    <cellStyle name="Input 17 5" xfId="11984" xr:uid="{00000000-0005-0000-0000-0000012D0000}"/>
    <cellStyle name="Input 17 5 2" xfId="11985" xr:uid="{00000000-0005-0000-0000-0000022D0000}"/>
    <cellStyle name="Input 17 5 2 2" xfId="11986" xr:uid="{00000000-0005-0000-0000-0000032D0000}"/>
    <cellStyle name="Input 17 5 3" xfId="11987" xr:uid="{00000000-0005-0000-0000-0000042D0000}"/>
    <cellStyle name="Input 17 5 3 2" xfId="11988" xr:uid="{00000000-0005-0000-0000-0000052D0000}"/>
    <cellStyle name="Input 17 5 4" xfId="11989" xr:uid="{00000000-0005-0000-0000-0000062D0000}"/>
    <cellStyle name="Input 17 6" xfId="11990" xr:uid="{00000000-0005-0000-0000-0000072D0000}"/>
    <cellStyle name="Input 17 6 2" xfId="11991" xr:uid="{00000000-0005-0000-0000-0000082D0000}"/>
    <cellStyle name="Input 17 6 2 2" xfId="11992" xr:uid="{00000000-0005-0000-0000-0000092D0000}"/>
    <cellStyle name="Input 17 6 3" xfId="11993" xr:uid="{00000000-0005-0000-0000-00000A2D0000}"/>
    <cellStyle name="Input 17 6 3 2" xfId="11994" xr:uid="{00000000-0005-0000-0000-00000B2D0000}"/>
    <cellStyle name="Input 17 6 4" xfId="11995" xr:uid="{00000000-0005-0000-0000-00000C2D0000}"/>
    <cellStyle name="Input 17 7" xfId="11996" xr:uid="{00000000-0005-0000-0000-00000D2D0000}"/>
    <cellStyle name="Input 17 7 2" xfId="11997" xr:uid="{00000000-0005-0000-0000-00000E2D0000}"/>
    <cellStyle name="Input 17 8" xfId="11998" xr:uid="{00000000-0005-0000-0000-00000F2D0000}"/>
    <cellStyle name="Input 17 8 2" xfId="11999" xr:uid="{00000000-0005-0000-0000-0000102D0000}"/>
    <cellStyle name="Input 17 9" xfId="12000" xr:uid="{00000000-0005-0000-0000-0000112D0000}"/>
    <cellStyle name="Input 18" xfId="12001" xr:uid="{00000000-0005-0000-0000-0000122D0000}"/>
    <cellStyle name="Input 18 2" xfId="12002" xr:uid="{00000000-0005-0000-0000-0000132D0000}"/>
    <cellStyle name="Input 18 2 2" xfId="12003" xr:uid="{00000000-0005-0000-0000-0000142D0000}"/>
    <cellStyle name="Input 18 2 2 2" xfId="12004" xr:uid="{00000000-0005-0000-0000-0000152D0000}"/>
    <cellStyle name="Input 18 2 2 2 2" xfId="12005" xr:uid="{00000000-0005-0000-0000-0000162D0000}"/>
    <cellStyle name="Input 18 2 2 3" xfId="12006" xr:uid="{00000000-0005-0000-0000-0000172D0000}"/>
    <cellStyle name="Input 18 2 2 3 2" xfId="12007" xr:uid="{00000000-0005-0000-0000-0000182D0000}"/>
    <cellStyle name="Input 18 2 2 4" xfId="12008" xr:uid="{00000000-0005-0000-0000-0000192D0000}"/>
    <cellStyle name="Input 18 2 3" xfId="12009" xr:uid="{00000000-0005-0000-0000-00001A2D0000}"/>
    <cellStyle name="Input 18 2 3 2" xfId="12010" xr:uid="{00000000-0005-0000-0000-00001B2D0000}"/>
    <cellStyle name="Input 18 2 3 2 2" xfId="12011" xr:uid="{00000000-0005-0000-0000-00001C2D0000}"/>
    <cellStyle name="Input 18 2 3 3" xfId="12012" xr:uid="{00000000-0005-0000-0000-00001D2D0000}"/>
    <cellStyle name="Input 18 2 3 3 2" xfId="12013" xr:uid="{00000000-0005-0000-0000-00001E2D0000}"/>
    <cellStyle name="Input 18 2 3 4" xfId="12014" xr:uid="{00000000-0005-0000-0000-00001F2D0000}"/>
    <cellStyle name="Input 18 2 4" xfId="12015" xr:uid="{00000000-0005-0000-0000-0000202D0000}"/>
    <cellStyle name="Input 18 2 4 2" xfId="12016" xr:uid="{00000000-0005-0000-0000-0000212D0000}"/>
    <cellStyle name="Input 18 2 5" xfId="12017" xr:uid="{00000000-0005-0000-0000-0000222D0000}"/>
    <cellStyle name="Input 18 2 5 2" xfId="12018" xr:uid="{00000000-0005-0000-0000-0000232D0000}"/>
    <cellStyle name="Input 18 2 6" xfId="12019" xr:uid="{00000000-0005-0000-0000-0000242D0000}"/>
    <cellStyle name="Input 18 3" xfId="12020" xr:uid="{00000000-0005-0000-0000-0000252D0000}"/>
    <cellStyle name="Input 18 3 2" xfId="12021" xr:uid="{00000000-0005-0000-0000-0000262D0000}"/>
    <cellStyle name="Input 18 3 2 2" xfId="12022" xr:uid="{00000000-0005-0000-0000-0000272D0000}"/>
    <cellStyle name="Input 18 3 2 2 2" xfId="12023" xr:uid="{00000000-0005-0000-0000-0000282D0000}"/>
    <cellStyle name="Input 18 3 2 3" xfId="12024" xr:uid="{00000000-0005-0000-0000-0000292D0000}"/>
    <cellStyle name="Input 18 3 2 3 2" xfId="12025" xr:uid="{00000000-0005-0000-0000-00002A2D0000}"/>
    <cellStyle name="Input 18 3 2 4" xfId="12026" xr:uid="{00000000-0005-0000-0000-00002B2D0000}"/>
    <cellStyle name="Input 18 3 3" xfId="12027" xr:uid="{00000000-0005-0000-0000-00002C2D0000}"/>
    <cellStyle name="Input 18 3 3 2" xfId="12028" xr:uid="{00000000-0005-0000-0000-00002D2D0000}"/>
    <cellStyle name="Input 18 3 3 2 2" xfId="12029" xr:uid="{00000000-0005-0000-0000-00002E2D0000}"/>
    <cellStyle name="Input 18 3 3 3" xfId="12030" xr:uid="{00000000-0005-0000-0000-00002F2D0000}"/>
    <cellStyle name="Input 18 3 3 3 2" xfId="12031" xr:uid="{00000000-0005-0000-0000-0000302D0000}"/>
    <cellStyle name="Input 18 3 3 4" xfId="12032" xr:uid="{00000000-0005-0000-0000-0000312D0000}"/>
    <cellStyle name="Input 18 3 4" xfId="12033" xr:uid="{00000000-0005-0000-0000-0000322D0000}"/>
    <cellStyle name="Input 18 3 4 2" xfId="12034" xr:uid="{00000000-0005-0000-0000-0000332D0000}"/>
    <cellStyle name="Input 18 3 5" xfId="12035" xr:uid="{00000000-0005-0000-0000-0000342D0000}"/>
    <cellStyle name="Input 18 3 5 2" xfId="12036" xr:uid="{00000000-0005-0000-0000-0000352D0000}"/>
    <cellStyle name="Input 18 3 6" xfId="12037" xr:uid="{00000000-0005-0000-0000-0000362D0000}"/>
    <cellStyle name="Input 18 4" xfId="12038" xr:uid="{00000000-0005-0000-0000-0000372D0000}"/>
    <cellStyle name="Input 18 4 2" xfId="12039" xr:uid="{00000000-0005-0000-0000-0000382D0000}"/>
    <cellStyle name="Input 18 4 2 2" xfId="12040" xr:uid="{00000000-0005-0000-0000-0000392D0000}"/>
    <cellStyle name="Input 18 4 2 2 2" xfId="12041" xr:uid="{00000000-0005-0000-0000-00003A2D0000}"/>
    <cellStyle name="Input 18 4 2 3" xfId="12042" xr:uid="{00000000-0005-0000-0000-00003B2D0000}"/>
    <cellStyle name="Input 18 4 2 3 2" xfId="12043" xr:uid="{00000000-0005-0000-0000-00003C2D0000}"/>
    <cellStyle name="Input 18 4 2 4" xfId="12044" xr:uid="{00000000-0005-0000-0000-00003D2D0000}"/>
    <cellStyle name="Input 18 4 3" xfId="12045" xr:uid="{00000000-0005-0000-0000-00003E2D0000}"/>
    <cellStyle name="Input 18 4 3 2" xfId="12046" xr:uid="{00000000-0005-0000-0000-00003F2D0000}"/>
    <cellStyle name="Input 18 4 3 2 2" xfId="12047" xr:uid="{00000000-0005-0000-0000-0000402D0000}"/>
    <cellStyle name="Input 18 4 3 3" xfId="12048" xr:uid="{00000000-0005-0000-0000-0000412D0000}"/>
    <cellStyle name="Input 18 4 3 3 2" xfId="12049" xr:uid="{00000000-0005-0000-0000-0000422D0000}"/>
    <cellStyle name="Input 18 4 3 4" xfId="12050" xr:uid="{00000000-0005-0000-0000-0000432D0000}"/>
    <cellStyle name="Input 18 4 4" xfId="12051" xr:uid="{00000000-0005-0000-0000-0000442D0000}"/>
    <cellStyle name="Input 18 4 4 2" xfId="12052" xr:uid="{00000000-0005-0000-0000-0000452D0000}"/>
    <cellStyle name="Input 18 4 5" xfId="12053" xr:uid="{00000000-0005-0000-0000-0000462D0000}"/>
    <cellStyle name="Input 18 4 5 2" xfId="12054" xr:uid="{00000000-0005-0000-0000-0000472D0000}"/>
    <cellStyle name="Input 18 4 6" xfId="12055" xr:uid="{00000000-0005-0000-0000-0000482D0000}"/>
    <cellStyle name="Input 18 5" xfId="12056" xr:uid="{00000000-0005-0000-0000-0000492D0000}"/>
    <cellStyle name="Input 18 5 2" xfId="12057" xr:uid="{00000000-0005-0000-0000-00004A2D0000}"/>
    <cellStyle name="Input 18 5 2 2" xfId="12058" xr:uid="{00000000-0005-0000-0000-00004B2D0000}"/>
    <cellStyle name="Input 18 5 3" xfId="12059" xr:uid="{00000000-0005-0000-0000-00004C2D0000}"/>
    <cellStyle name="Input 18 5 3 2" xfId="12060" xr:uid="{00000000-0005-0000-0000-00004D2D0000}"/>
    <cellStyle name="Input 18 5 4" xfId="12061" xr:uid="{00000000-0005-0000-0000-00004E2D0000}"/>
    <cellStyle name="Input 18 6" xfId="12062" xr:uid="{00000000-0005-0000-0000-00004F2D0000}"/>
    <cellStyle name="Input 18 6 2" xfId="12063" xr:uid="{00000000-0005-0000-0000-0000502D0000}"/>
    <cellStyle name="Input 18 6 2 2" xfId="12064" xr:uid="{00000000-0005-0000-0000-0000512D0000}"/>
    <cellStyle name="Input 18 6 3" xfId="12065" xr:uid="{00000000-0005-0000-0000-0000522D0000}"/>
    <cellStyle name="Input 18 6 3 2" xfId="12066" xr:uid="{00000000-0005-0000-0000-0000532D0000}"/>
    <cellStyle name="Input 18 6 4" xfId="12067" xr:uid="{00000000-0005-0000-0000-0000542D0000}"/>
    <cellStyle name="Input 18 7" xfId="12068" xr:uid="{00000000-0005-0000-0000-0000552D0000}"/>
    <cellStyle name="Input 18 7 2" xfId="12069" xr:uid="{00000000-0005-0000-0000-0000562D0000}"/>
    <cellStyle name="Input 18 8" xfId="12070" xr:uid="{00000000-0005-0000-0000-0000572D0000}"/>
    <cellStyle name="Input 18 8 2" xfId="12071" xr:uid="{00000000-0005-0000-0000-0000582D0000}"/>
    <cellStyle name="Input 18 9" xfId="12072" xr:uid="{00000000-0005-0000-0000-0000592D0000}"/>
    <cellStyle name="Input 19" xfId="12073" xr:uid="{00000000-0005-0000-0000-00005A2D0000}"/>
    <cellStyle name="Input 19 2" xfId="12074" xr:uid="{00000000-0005-0000-0000-00005B2D0000}"/>
    <cellStyle name="Input 19 2 2" xfId="12075" xr:uid="{00000000-0005-0000-0000-00005C2D0000}"/>
    <cellStyle name="Input 19 2 2 2" xfId="12076" xr:uid="{00000000-0005-0000-0000-00005D2D0000}"/>
    <cellStyle name="Input 19 2 2 2 2" xfId="12077" xr:uid="{00000000-0005-0000-0000-00005E2D0000}"/>
    <cellStyle name="Input 19 2 2 3" xfId="12078" xr:uid="{00000000-0005-0000-0000-00005F2D0000}"/>
    <cellStyle name="Input 19 2 2 3 2" xfId="12079" xr:uid="{00000000-0005-0000-0000-0000602D0000}"/>
    <cellStyle name="Input 19 2 2 4" xfId="12080" xr:uid="{00000000-0005-0000-0000-0000612D0000}"/>
    <cellStyle name="Input 19 2 3" xfId="12081" xr:uid="{00000000-0005-0000-0000-0000622D0000}"/>
    <cellStyle name="Input 19 2 3 2" xfId="12082" xr:uid="{00000000-0005-0000-0000-0000632D0000}"/>
    <cellStyle name="Input 19 2 3 2 2" xfId="12083" xr:uid="{00000000-0005-0000-0000-0000642D0000}"/>
    <cellStyle name="Input 19 2 3 3" xfId="12084" xr:uid="{00000000-0005-0000-0000-0000652D0000}"/>
    <cellStyle name="Input 19 2 3 3 2" xfId="12085" xr:uid="{00000000-0005-0000-0000-0000662D0000}"/>
    <cellStyle name="Input 19 2 3 4" xfId="12086" xr:uid="{00000000-0005-0000-0000-0000672D0000}"/>
    <cellStyle name="Input 19 2 4" xfId="12087" xr:uid="{00000000-0005-0000-0000-0000682D0000}"/>
    <cellStyle name="Input 19 2 4 2" xfId="12088" xr:uid="{00000000-0005-0000-0000-0000692D0000}"/>
    <cellStyle name="Input 19 2 5" xfId="12089" xr:uid="{00000000-0005-0000-0000-00006A2D0000}"/>
    <cellStyle name="Input 19 2 5 2" xfId="12090" xr:uid="{00000000-0005-0000-0000-00006B2D0000}"/>
    <cellStyle name="Input 19 2 6" xfId="12091" xr:uid="{00000000-0005-0000-0000-00006C2D0000}"/>
    <cellStyle name="Input 19 3" xfId="12092" xr:uid="{00000000-0005-0000-0000-00006D2D0000}"/>
    <cellStyle name="Input 19 3 2" xfId="12093" xr:uid="{00000000-0005-0000-0000-00006E2D0000}"/>
    <cellStyle name="Input 19 3 2 2" xfId="12094" xr:uid="{00000000-0005-0000-0000-00006F2D0000}"/>
    <cellStyle name="Input 19 3 2 2 2" xfId="12095" xr:uid="{00000000-0005-0000-0000-0000702D0000}"/>
    <cellStyle name="Input 19 3 2 3" xfId="12096" xr:uid="{00000000-0005-0000-0000-0000712D0000}"/>
    <cellStyle name="Input 19 3 2 3 2" xfId="12097" xr:uid="{00000000-0005-0000-0000-0000722D0000}"/>
    <cellStyle name="Input 19 3 2 4" xfId="12098" xr:uid="{00000000-0005-0000-0000-0000732D0000}"/>
    <cellStyle name="Input 19 3 3" xfId="12099" xr:uid="{00000000-0005-0000-0000-0000742D0000}"/>
    <cellStyle name="Input 19 3 3 2" xfId="12100" xr:uid="{00000000-0005-0000-0000-0000752D0000}"/>
    <cellStyle name="Input 19 3 3 2 2" xfId="12101" xr:uid="{00000000-0005-0000-0000-0000762D0000}"/>
    <cellStyle name="Input 19 3 3 3" xfId="12102" xr:uid="{00000000-0005-0000-0000-0000772D0000}"/>
    <cellStyle name="Input 19 3 3 3 2" xfId="12103" xr:uid="{00000000-0005-0000-0000-0000782D0000}"/>
    <cellStyle name="Input 19 3 3 4" xfId="12104" xr:uid="{00000000-0005-0000-0000-0000792D0000}"/>
    <cellStyle name="Input 19 3 4" xfId="12105" xr:uid="{00000000-0005-0000-0000-00007A2D0000}"/>
    <cellStyle name="Input 19 3 4 2" xfId="12106" xr:uid="{00000000-0005-0000-0000-00007B2D0000}"/>
    <cellStyle name="Input 19 3 5" xfId="12107" xr:uid="{00000000-0005-0000-0000-00007C2D0000}"/>
    <cellStyle name="Input 19 3 5 2" xfId="12108" xr:uid="{00000000-0005-0000-0000-00007D2D0000}"/>
    <cellStyle name="Input 19 3 6" xfId="12109" xr:uid="{00000000-0005-0000-0000-00007E2D0000}"/>
    <cellStyle name="Input 19 4" xfId="12110" xr:uid="{00000000-0005-0000-0000-00007F2D0000}"/>
    <cellStyle name="Input 19 4 2" xfId="12111" xr:uid="{00000000-0005-0000-0000-0000802D0000}"/>
    <cellStyle name="Input 19 4 2 2" xfId="12112" xr:uid="{00000000-0005-0000-0000-0000812D0000}"/>
    <cellStyle name="Input 19 4 2 2 2" xfId="12113" xr:uid="{00000000-0005-0000-0000-0000822D0000}"/>
    <cellStyle name="Input 19 4 2 3" xfId="12114" xr:uid="{00000000-0005-0000-0000-0000832D0000}"/>
    <cellStyle name="Input 19 4 2 3 2" xfId="12115" xr:uid="{00000000-0005-0000-0000-0000842D0000}"/>
    <cellStyle name="Input 19 4 2 4" xfId="12116" xr:uid="{00000000-0005-0000-0000-0000852D0000}"/>
    <cellStyle name="Input 19 4 3" xfId="12117" xr:uid="{00000000-0005-0000-0000-0000862D0000}"/>
    <cellStyle name="Input 19 4 3 2" xfId="12118" xr:uid="{00000000-0005-0000-0000-0000872D0000}"/>
    <cellStyle name="Input 19 4 3 2 2" xfId="12119" xr:uid="{00000000-0005-0000-0000-0000882D0000}"/>
    <cellStyle name="Input 19 4 3 3" xfId="12120" xr:uid="{00000000-0005-0000-0000-0000892D0000}"/>
    <cellStyle name="Input 19 4 3 3 2" xfId="12121" xr:uid="{00000000-0005-0000-0000-00008A2D0000}"/>
    <cellStyle name="Input 19 4 3 4" xfId="12122" xr:uid="{00000000-0005-0000-0000-00008B2D0000}"/>
    <cellStyle name="Input 19 4 4" xfId="12123" xr:uid="{00000000-0005-0000-0000-00008C2D0000}"/>
    <cellStyle name="Input 19 4 4 2" xfId="12124" xr:uid="{00000000-0005-0000-0000-00008D2D0000}"/>
    <cellStyle name="Input 19 4 5" xfId="12125" xr:uid="{00000000-0005-0000-0000-00008E2D0000}"/>
    <cellStyle name="Input 19 4 5 2" xfId="12126" xr:uid="{00000000-0005-0000-0000-00008F2D0000}"/>
    <cellStyle name="Input 19 4 6" xfId="12127" xr:uid="{00000000-0005-0000-0000-0000902D0000}"/>
    <cellStyle name="Input 19 5" xfId="12128" xr:uid="{00000000-0005-0000-0000-0000912D0000}"/>
    <cellStyle name="Input 19 5 2" xfId="12129" xr:uid="{00000000-0005-0000-0000-0000922D0000}"/>
    <cellStyle name="Input 19 5 2 2" xfId="12130" xr:uid="{00000000-0005-0000-0000-0000932D0000}"/>
    <cellStyle name="Input 19 5 3" xfId="12131" xr:uid="{00000000-0005-0000-0000-0000942D0000}"/>
    <cellStyle name="Input 19 5 3 2" xfId="12132" xr:uid="{00000000-0005-0000-0000-0000952D0000}"/>
    <cellStyle name="Input 19 5 4" xfId="12133" xr:uid="{00000000-0005-0000-0000-0000962D0000}"/>
    <cellStyle name="Input 19 6" xfId="12134" xr:uid="{00000000-0005-0000-0000-0000972D0000}"/>
    <cellStyle name="Input 19 6 2" xfId="12135" xr:uid="{00000000-0005-0000-0000-0000982D0000}"/>
    <cellStyle name="Input 19 6 2 2" xfId="12136" xr:uid="{00000000-0005-0000-0000-0000992D0000}"/>
    <cellStyle name="Input 19 6 3" xfId="12137" xr:uid="{00000000-0005-0000-0000-00009A2D0000}"/>
    <cellStyle name="Input 19 6 3 2" xfId="12138" xr:uid="{00000000-0005-0000-0000-00009B2D0000}"/>
    <cellStyle name="Input 19 6 4" xfId="12139" xr:uid="{00000000-0005-0000-0000-00009C2D0000}"/>
    <cellStyle name="Input 19 7" xfId="12140" xr:uid="{00000000-0005-0000-0000-00009D2D0000}"/>
    <cellStyle name="Input 19 7 2" xfId="12141" xr:uid="{00000000-0005-0000-0000-00009E2D0000}"/>
    <cellStyle name="Input 19 8" xfId="12142" xr:uid="{00000000-0005-0000-0000-00009F2D0000}"/>
    <cellStyle name="Input 19 8 2" xfId="12143" xr:uid="{00000000-0005-0000-0000-0000A02D0000}"/>
    <cellStyle name="Input 19 9" xfId="12144" xr:uid="{00000000-0005-0000-0000-0000A12D0000}"/>
    <cellStyle name="Input 2" xfId="12145" xr:uid="{00000000-0005-0000-0000-0000A22D0000}"/>
    <cellStyle name="Input 2 2" xfId="12146" xr:uid="{00000000-0005-0000-0000-0000A32D0000}"/>
    <cellStyle name="Input 2 2 2" xfId="12147" xr:uid="{00000000-0005-0000-0000-0000A42D0000}"/>
    <cellStyle name="Input 2 2 2 2" xfId="12148" xr:uid="{00000000-0005-0000-0000-0000A52D0000}"/>
    <cellStyle name="Input 2 2 2 2 2" xfId="12149" xr:uid="{00000000-0005-0000-0000-0000A62D0000}"/>
    <cellStyle name="Input 2 2 2 3" xfId="12150" xr:uid="{00000000-0005-0000-0000-0000A72D0000}"/>
    <cellStyle name="Input 2 2 2 3 2" xfId="12151" xr:uid="{00000000-0005-0000-0000-0000A82D0000}"/>
    <cellStyle name="Input 2 2 2 4" xfId="12152" xr:uid="{00000000-0005-0000-0000-0000A92D0000}"/>
    <cellStyle name="Input 2 2 3" xfId="12153" xr:uid="{00000000-0005-0000-0000-0000AA2D0000}"/>
    <cellStyle name="Input 2 2 3 2" xfId="12154" xr:uid="{00000000-0005-0000-0000-0000AB2D0000}"/>
    <cellStyle name="Input 2 2 3 2 2" xfId="12155" xr:uid="{00000000-0005-0000-0000-0000AC2D0000}"/>
    <cellStyle name="Input 2 2 3 3" xfId="12156" xr:uid="{00000000-0005-0000-0000-0000AD2D0000}"/>
    <cellStyle name="Input 2 2 3 3 2" xfId="12157" xr:uid="{00000000-0005-0000-0000-0000AE2D0000}"/>
    <cellStyle name="Input 2 2 3 4" xfId="12158" xr:uid="{00000000-0005-0000-0000-0000AF2D0000}"/>
    <cellStyle name="Input 2 2 4" xfId="12159" xr:uid="{00000000-0005-0000-0000-0000B02D0000}"/>
    <cellStyle name="Input 2 2 4 2" xfId="12160" xr:uid="{00000000-0005-0000-0000-0000B12D0000}"/>
    <cellStyle name="Input 2 2 5" xfId="12161" xr:uid="{00000000-0005-0000-0000-0000B22D0000}"/>
    <cellStyle name="Input 2 2 5 2" xfId="12162" xr:uid="{00000000-0005-0000-0000-0000B32D0000}"/>
    <cellStyle name="Input 2 2 6" xfId="12163" xr:uid="{00000000-0005-0000-0000-0000B42D0000}"/>
    <cellStyle name="Input 2 3" xfId="12164" xr:uid="{00000000-0005-0000-0000-0000B52D0000}"/>
    <cellStyle name="Input 2 3 2" xfId="12165" xr:uid="{00000000-0005-0000-0000-0000B62D0000}"/>
    <cellStyle name="Input 2 3 2 2" xfId="12166" xr:uid="{00000000-0005-0000-0000-0000B72D0000}"/>
    <cellStyle name="Input 2 3 2 2 2" xfId="12167" xr:uid="{00000000-0005-0000-0000-0000B82D0000}"/>
    <cellStyle name="Input 2 3 2 3" xfId="12168" xr:uid="{00000000-0005-0000-0000-0000B92D0000}"/>
    <cellStyle name="Input 2 3 2 3 2" xfId="12169" xr:uid="{00000000-0005-0000-0000-0000BA2D0000}"/>
    <cellStyle name="Input 2 3 2 4" xfId="12170" xr:uid="{00000000-0005-0000-0000-0000BB2D0000}"/>
    <cellStyle name="Input 2 3 3" xfId="12171" xr:uid="{00000000-0005-0000-0000-0000BC2D0000}"/>
    <cellStyle name="Input 2 3 3 2" xfId="12172" xr:uid="{00000000-0005-0000-0000-0000BD2D0000}"/>
    <cellStyle name="Input 2 3 3 2 2" xfId="12173" xr:uid="{00000000-0005-0000-0000-0000BE2D0000}"/>
    <cellStyle name="Input 2 3 3 3" xfId="12174" xr:uid="{00000000-0005-0000-0000-0000BF2D0000}"/>
    <cellStyle name="Input 2 3 3 3 2" xfId="12175" xr:uid="{00000000-0005-0000-0000-0000C02D0000}"/>
    <cellStyle name="Input 2 3 3 4" xfId="12176" xr:uid="{00000000-0005-0000-0000-0000C12D0000}"/>
    <cellStyle name="Input 2 3 4" xfId="12177" xr:uid="{00000000-0005-0000-0000-0000C22D0000}"/>
    <cellStyle name="Input 2 3 4 2" xfId="12178" xr:uid="{00000000-0005-0000-0000-0000C32D0000}"/>
    <cellStyle name="Input 2 3 5" xfId="12179" xr:uid="{00000000-0005-0000-0000-0000C42D0000}"/>
    <cellStyle name="Input 2 3 5 2" xfId="12180" xr:uid="{00000000-0005-0000-0000-0000C52D0000}"/>
    <cellStyle name="Input 2 3 6" xfId="12181" xr:uid="{00000000-0005-0000-0000-0000C62D0000}"/>
    <cellStyle name="Input 2 4" xfId="12182" xr:uid="{00000000-0005-0000-0000-0000C72D0000}"/>
    <cellStyle name="Input 2 4 2" xfId="12183" xr:uid="{00000000-0005-0000-0000-0000C82D0000}"/>
    <cellStyle name="Input 2 4 2 2" xfId="12184" xr:uid="{00000000-0005-0000-0000-0000C92D0000}"/>
    <cellStyle name="Input 2 4 2 2 2" xfId="12185" xr:uid="{00000000-0005-0000-0000-0000CA2D0000}"/>
    <cellStyle name="Input 2 4 2 3" xfId="12186" xr:uid="{00000000-0005-0000-0000-0000CB2D0000}"/>
    <cellStyle name="Input 2 4 2 3 2" xfId="12187" xr:uid="{00000000-0005-0000-0000-0000CC2D0000}"/>
    <cellStyle name="Input 2 4 2 4" xfId="12188" xr:uid="{00000000-0005-0000-0000-0000CD2D0000}"/>
    <cellStyle name="Input 2 4 3" xfId="12189" xr:uid="{00000000-0005-0000-0000-0000CE2D0000}"/>
    <cellStyle name="Input 2 4 3 2" xfId="12190" xr:uid="{00000000-0005-0000-0000-0000CF2D0000}"/>
    <cellStyle name="Input 2 4 3 2 2" xfId="12191" xr:uid="{00000000-0005-0000-0000-0000D02D0000}"/>
    <cellStyle name="Input 2 4 3 3" xfId="12192" xr:uid="{00000000-0005-0000-0000-0000D12D0000}"/>
    <cellStyle name="Input 2 4 3 3 2" xfId="12193" xr:uid="{00000000-0005-0000-0000-0000D22D0000}"/>
    <cellStyle name="Input 2 4 3 4" xfId="12194" xr:uid="{00000000-0005-0000-0000-0000D32D0000}"/>
    <cellStyle name="Input 2 4 4" xfId="12195" xr:uid="{00000000-0005-0000-0000-0000D42D0000}"/>
    <cellStyle name="Input 2 4 4 2" xfId="12196" xr:uid="{00000000-0005-0000-0000-0000D52D0000}"/>
    <cellStyle name="Input 2 4 5" xfId="12197" xr:uid="{00000000-0005-0000-0000-0000D62D0000}"/>
    <cellStyle name="Input 2 4 5 2" xfId="12198" xr:uid="{00000000-0005-0000-0000-0000D72D0000}"/>
    <cellStyle name="Input 2 4 6" xfId="12199" xr:uid="{00000000-0005-0000-0000-0000D82D0000}"/>
    <cellStyle name="Input 2 5" xfId="12200" xr:uid="{00000000-0005-0000-0000-0000D92D0000}"/>
    <cellStyle name="Input 2 5 2" xfId="12201" xr:uid="{00000000-0005-0000-0000-0000DA2D0000}"/>
    <cellStyle name="Input 2 5 2 2" xfId="12202" xr:uid="{00000000-0005-0000-0000-0000DB2D0000}"/>
    <cellStyle name="Input 2 5 3" xfId="12203" xr:uid="{00000000-0005-0000-0000-0000DC2D0000}"/>
    <cellStyle name="Input 2 5 3 2" xfId="12204" xr:uid="{00000000-0005-0000-0000-0000DD2D0000}"/>
    <cellStyle name="Input 2 5 4" xfId="12205" xr:uid="{00000000-0005-0000-0000-0000DE2D0000}"/>
    <cellStyle name="Input 2 6" xfId="12206" xr:uid="{00000000-0005-0000-0000-0000DF2D0000}"/>
    <cellStyle name="Input 2 6 2" xfId="12207" xr:uid="{00000000-0005-0000-0000-0000E02D0000}"/>
    <cellStyle name="Input 2 6 2 2" xfId="12208" xr:uid="{00000000-0005-0000-0000-0000E12D0000}"/>
    <cellStyle name="Input 2 6 3" xfId="12209" xr:uid="{00000000-0005-0000-0000-0000E22D0000}"/>
    <cellStyle name="Input 2 6 3 2" xfId="12210" xr:uid="{00000000-0005-0000-0000-0000E32D0000}"/>
    <cellStyle name="Input 2 6 4" xfId="12211" xr:uid="{00000000-0005-0000-0000-0000E42D0000}"/>
    <cellStyle name="Input 2 7" xfId="12212" xr:uid="{00000000-0005-0000-0000-0000E52D0000}"/>
    <cellStyle name="Input 2 7 2" xfId="12213" xr:uid="{00000000-0005-0000-0000-0000E62D0000}"/>
    <cellStyle name="Input 2 8" xfId="12214" xr:uid="{00000000-0005-0000-0000-0000E72D0000}"/>
    <cellStyle name="Input 2 8 2" xfId="12215" xr:uid="{00000000-0005-0000-0000-0000E82D0000}"/>
    <cellStyle name="Input 2 9" xfId="12216" xr:uid="{00000000-0005-0000-0000-0000E92D0000}"/>
    <cellStyle name="Input 20" xfId="12217" xr:uid="{00000000-0005-0000-0000-0000EA2D0000}"/>
    <cellStyle name="Input 20 2" xfId="12218" xr:uid="{00000000-0005-0000-0000-0000EB2D0000}"/>
    <cellStyle name="Input 20 2 2" xfId="12219" xr:uid="{00000000-0005-0000-0000-0000EC2D0000}"/>
    <cellStyle name="Input 20 2 2 2" xfId="12220" xr:uid="{00000000-0005-0000-0000-0000ED2D0000}"/>
    <cellStyle name="Input 20 2 2 2 2" xfId="12221" xr:uid="{00000000-0005-0000-0000-0000EE2D0000}"/>
    <cellStyle name="Input 20 2 2 3" xfId="12222" xr:uid="{00000000-0005-0000-0000-0000EF2D0000}"/>
    <cellStyle name="Input 20 2 2 3 2" xfId="12223" xr:uid="{00000000-0005-0000-0000-0000F02D0000}"/>
    <cellStyle name="Input 20 2 2 4" xfId="12224" xr:uid="{00000000-0005-0000-0000-0000F12D0000}"/>
    <cellStyle name="Input 20 2 3" xfId="12225" xr:uid="{00000000-0005-0000-0000-0000F22D0000}"/>
    <cellStyle name="Input 20 2 3 2" xfId="12226" xr:uid="{00000000-0005-0000-0000-0000F32D0000}"/>
    <cellStyle name="Input 20 2 3 2 2" xfId="12227" xr:uid="{00000000-0005-0000-0000-0000F42D0000}"/>
    <cellStyle name="Input 20 2 3 3" xfId="12228" xr:uid="{00000000-0005-0000-0000-0000F52D0000}"/>
    <cellStyle name="Input 20 2 3 3 2" xfId="12229" xr:uid="{00000000-0005-0000-0000-0000F62D0000}"/>
    <cellStyle name="Input 20 2 3 4" xfId="12230" xr:uid="{00000000-0005-0000-0000-0000F72D0000}"/>
    <cellStyle name="Input 20 2 4" xfId="12231" xr:uid="{00000000-0005-0000-0000-0000F82D0000}"/>
    <cellStyle name="Input 20 2 4 2" xfId="12232" xr:uid="{00000000-0005-0000-0000-0000F92D0000}"/>
    <cellStyle name="Input 20 2 5" xfId="12233" xr:uid="{00000000-0005-0000-0000-0000FA2D0000}"/>
    <cellStyle name="Input 20 2 5 2" xfId="12234" xr:uid="{00000000-0005-0000-0000-0000FB2D0000}"/>
    <cellStyle name="Input 20 2 6" xfId="12235" xr:uid="{00000000-0005-0000-0000-0000FC2D0000}"/>
    <cellStyle name="Input 20 3" xfId="12236" xr:uid="{00000000-0005-0000-0000-0000FD2D0000}"/>
    <cellStyle name="Input 20 3 2" xfId="12237" xr:uid="{00000000-0005-0000-0000-0000FE2D0000}"/>
    <cellStyle name="Input 20 3 2 2" xfId="12238" xr:uid="{00000000-0005-0000-0000-0000FF2D0000}"/>
    <cellStyle name="Input 20 3 2 2 2" xfId="12239" xr:uid="{00000000-0005-0000-0000-0000002E0000}"/>
    <cellStyle name="Input 20 3 2 3" xfId="12240" xr:uid="{00000000-0005-0000-0000-0000012E0000}"/>
    <cellStyle name="Input 20 3 2 3 2" xfId="12241" xr:uid="{00000000-0005-0000-0000-0000022E0000}"/>
    <cellStyle name="Input 20 3 2 4" xfId="12242" xr:uid="{00000000-0005-0000-0000-0000032E0000}"/>
    <cellStyle name="Input 20 3 3" xfId="12243" xr:uid="{00000000-0005-0000-0000-0000042E0000}"/>
    <cellStyle name="Input 20 3 3 2" xfId="12244" xr:uid="{00000000-0005-0000-0000-0000052E0000}"/>
    <cellStyle name="Input 20 3 3 2 2" xfId="12245" xr:uid="{00000000-0005-0000-0000-0000062E0000}"/>
    <cellStyle name="Input 20 3 3 3" xfId="12246" xr:uid="{00000000-0005-0000-0000-0000072E0000}"/>
    <cellStyle name="Input 20 3 3 3 2" xfId="12247" xr:uid="{00000000-0005-0000-0000-0000082E0000}"/>
    <cellStyle name="Input 20 3 3 4" xfId="12248" xr:uid="{00000000-0005-0000-0000-0000092E0000}"/>
    <cellStyle name="Input 20 3 4" xfId="12249" xr:uid="{00000000-0005-0000-0000-00000A2E0000}"/>
    <cellStyle name="Input 20 3 4 2" xfId="12250" xr:uid="{00000000-0005-0000-0000-00000B2E0000}"/>
    <cellStyle name="Input 20 3 5" xfId="12251" xr:uid="{00000000-0005-0000-0000-00000C2E0000}"/>
    <cellStyle name="Input 20 3 5 2" xfId="12252" xr:uid="{00000000-0005-0000-0000-00000D2E0000}"/>
    <cellStyle name="Input 20 3 6" xfId="12253" xr:uid="{00000000-0005-0000-0000-00000E2E0000}"/>
    <cellStyle name="Input 20 4" xfId="12254" xr:uid="{00000000-0005-0000-0000-00000F2E0000}"/>
    <cellStyle name="Input 20 4 2" xfId="12255" xr:uid="{00000000-0005-0000-0000-0000102E0000}"/>
    <cellStyle name="Input 20 4 2 2" xfId="12256" xr:uid="{00000000-0005-0000-0000-0000112E0000}"/>
    <cellStyle name="Input 20 4 2 2 2" xfId="12257" xr:uid="{00000000-0005-0000-0000-0000122E0000}"/>
    <cellStyle name="Input 20 4 2 3" xfId="12258" xr:uid="{00000000-0005-0000-0000-0000132E0000}"/>
    <cellStyle name="Input 20 4 2 3 2" xfId="12259" xr:uid="{00000000-0005-0000-0000-0000142E0000}"/>
    <cellStyle name="Input 20 4 2 4" xfId="12260" xr:uid="{00000000-0005-0000-0000-0000152E0000}"/>
    <cellStyle name="Input 20 4 3" xfId="12261" xr:uid="{00000000-0005-0000-0000-0000162E0000}"/>
    <cellStyle name="Input 20 4 3 2" xfId="12262" xr:uid="{00000000-0005-0000-0000-0000172E0000}"/>
    <cellStyle name="Input 20 4 3 2 2" xfId="12263" xr:uid="{00000000-0005-0000-0000-0000182E0000}"/>
    <cellStyle name="Input 20 4 3 3" xfId="12264" xr:uid="{00000000-0005-0000-0000-0000192E0000}"/>
    <cellStyle name="Input 20 4 3 3 2" xfId="12265" xr:uid="{00000000-0005-0000-0000-00001A2E0000}"/>
    <cellStyle name="Input 20 4 3 4" xfId="12266" xr:uid="{00000000-0005-0000-0000-00001B2E0000}"/>
    <cellStyle name="Input 20 4 4" xfId="12267" xr:uid="{00000000-0005-0000-0000-00001C2E0000}"/>
    <cellStyle name="Input 20 4 4 2" xfId="12268" xr:uid="{00000000-0005-0000-0000-00001D2E0000}"/>
    <cellStyle name="Input 20 4 5" xfId="12269" xr:uid="{00000000-0005-0000-0000-00001E2E0000}"/>
    <cellStyle name="Input 20 4 5 2" xfId="12270" xr:uid="{00000000-0005-0000-0000-00001F2E0000}"/>
    <cellStyle name="Input 20 4 6" xfId="12271" xr:uid="{00000000-0005-0000-0000-0000202E0000}"/>
    <cellStyle name="Input 20 5" xfId="12272" xr:uid="{00000000-0005-0000-0000-0000212E0000}"/>
    <cellStyle name="Input 20 5 2" xfId="12273" xr:uid="{00000000-0005-0000-0000-0000222E0000}"/>
    <cellStyle name="Input 20 5 2 2" xfId="12274" xr:uid="{00000000-0005-0000-0000-0000232E0000}"/>
    <cellStyle name="Input 20 5 3" xfId="12275" xr:uid="{00000000-0005-0000-0000-0000242E0000}"/>
    <cellStyle name="Input 20 5 3 2" xfId="12276" xr:uid="{00000000-0005-0000-0000-0000252E0000}"/>
    <cellStyle name="Input 20 5 4" xfId="12277" xr:uid="{00000000-0005-0000-0000-0000262E0000}"/>
    <cellStyle name="Input 20 6" xfId="12278" xr:uid="{00000000-0005-0000-0000-0000272E0000}"/>
    <cellStyle name="Input 20 6 2" xfId="12279" xr:uid="{00000000-0005-0000-0000-0000282E0000}"/>
    <cellStyle name="Input 20 6 2 2" xfId="12280" xr:uid="{00000000-0005-0000-0000-0000292E0000}"/>
    <cellStyle name="Input 20 6 3" xfId="12281" xr:uid="{00000000-0005-0000-0000-00002A2E0000}"/>
    <cellStyle name="Input 20 6 3 2" xfId="12282" xr:uid="{00000000-0005-0000-0000-00002B2E0000}"/>
    <cellStyle name="Input 20 6 4" xfId="12283" xr:uid="{00000000-0005-0000-0000-00002C2E0000}"/>
    <cellStyle name="Input 20 7" xfId="12284" xr:uid="{00000000-0005-0000-0000-00002D2E0000}"/>
    <cellStyle name="Input 20 7 2" xfId="12285" xr:uid="{00000000-0005-0000-0000-00002E2E0000}"/>
    <cellStyle name="Input 20 8" xfId="12286" xr:uid="{00000000-0005-0000-0000-00002F2E0000}"/>
    <cellStyle name="Input 20 8 2" xfId="12287" xr:uid="{00000000-0005-0000-0000-0000302E0000}"/>
    <cellStyle name="Input 20 9" xfId="12288" xr:uid="{00000000-0005-0000-0000-0000312E0000}"/>
    <cellStyle name="Input 21" xfId="12289" xr:uid="{00000000-0005-0000-0000-0000322E0000}"/>
    <cellStyle name="Input 21 2" xfId="12290" xr:uid="{00000000-0005-0000-0000-0000332E0000}"/>
    <cellStyle name="Input 21 2 2" xfId="12291" xr:uid="{00000000-0005-0000-0000-0000342E0000}"/>
    <cellStyle name="Input 21 2 2 2" xfId="12292" xr:uid="{00000000-0005-0000-0000-0000352E0000}"/>
    <cellStyle name="Input 21 2 3" xfId="12293" xr:uid="{00000000-0005-0000-0000-0000362E0000}"/>
    <cellStyle name="Input 21 2 3 2" xfId="12294" xr:uid="{00000000-0005-0000-0000-0000372E0000}"/>
    <cellStyle name="Input 21 2 4" xfId="12295" xr:uid="{00000000-0005-0000-0000-0000382E0000}"/>
    <cellStyle name="Input 21 3" xfId="12296" xr:uid="{00000000-0005-0000-0000-0000392E0000}"/>
    <cellStyle name="Input 21 3 2" xfId="12297" xr:uid="{00000000-0005-0000-0000-00003A2E0000}"/>
    <cellStyle name="Input 21 3 2 2" xfId="12298" xr:uid="{00000000-0005-0000-0000-00003B2E0000}"/>
    <cellStyle name="Input 21 3 3" xfId="12299" xr:uid="{00000000-0005-0000-0000-00003C2E0000}"/>
    <cellStyle name="Input 21 3 3 2" xfId="12300" xr:uid="{00000000-0005-0000-0000-00003D2E0000}"/>
    <cellStyle name="Input 21 3 4" xfId="12301" xr:uid="{00000000-0005-0000-0000-00003E2E0000}"/>
    <cellStyle name="Input 21 4" xfId="12302" xr:uid="{00000000-0005-0000-0000-00003F2E0000}"/>
    <cellStyle name="Input 21 4 2" xfId="12303" xr:uid="{00000000-0005-0000-0000-0000402E0000}"/>
    <cellStyle name="Input 21 4 2 2" xfId="12304" xr:uid="{00000000-0005-0000-0000-0000412E0000}"/>
    <cellStyle name="Input 21 4 3" xfId="12305" xr:uid="{00000000-0005-0000-0000-0000422E0000}"/>
    <cellStyle name="Input 21 4 3 2" xfId="12306" xr:uid="{00000000-0005-0000-0000-0000432E0000}"/>
    <cellStyle name="Input 21 4 4" xfId="12307" xr:uid="{00000000-0005-0000-0000-0000442E0000}"/>
    <cellStyle name="Input 21 5" xfId="12308" xr:uid="{00000000-0005-0000-0000-0000452E0000}"/>
    <cellStyle name="Input 21 5 2" xfId="12309" xr:uid="{00000000-0005-0000-0000-0000462E0000}"/>
    <cellStyle name="Input 21 6" xfId="12310" xr:uid="{00000000-0005-0000-0000-0000472E0000}"/>
    <cellStyle name="Input 21 6 2" xfId="12311" xr:uid="{00000000-0005-0000-0000-0000482E0000}"/>
    <cellStyle name="Input 21 7" xfId="12312" xr:uid="{00000000-0005-0000-0000-0000492E0000}"/>
    <cellStyle name="Input 22" xfId="12313" xr:uid="{00000000-0005-0000-0000-00004A2E0000}"/>
    <cellStyle name="Input 22 2" xfId="12314" xr:uid="{00000000-0005-0000-0000-00004B2E0000}"/>
    <cellStyle name="Input 22 2 2" xfId="12315" xr:uid="{00000000-0005-0000-0000-00004C2E0000}"/>
    <cellStyle name="Input 22 2 2 2" xfId="12316" xr:uid="{00000000-0005-0000-0000-00004D2E0000}"/>
    <cellStyle name="Input 22 2 3" xfId="12317" xr:uid="{00000000-0005-0000-0000-00004E2E0000}"/>
    <cellStyle name="Input 22 2 3 2" xfId="12318" xr:uid="{00000000-0005-0000-0000-00004F2E0000}"/>
    <cellStyle name="Input 22 2 4" xfId="12319" xr:uid="{00000000-0005-0000-0000-0000502E0000}"/>
    <cellStyle name="Input 22 3" xfId="12320" xr:uid="{00000000-0005-0000-0000-0000512E0000}"/>
    <cellStyle name="Input 22 3 2" xfId="12321" xr:uid="{00000000-0005-0000-0000-0000522E0000}"/>
    <cellStyle name="Input 22 3 2 2" xfId="12322" xr:uid="{00000000-0005-0000-0000-0000532E0000}"/>
    <cellStyle name="Input 22 3 3" xfId="12323" xr:uid="{00000000-0005-0000-0000-0000542E0000}"/>
    <cellStyle name="Input 22 3 3 2" xfId="12324" xr:uid="{00000000-0005-0000-0000-0000552E0000}"/>
    <cellStyle name="Input 22 3 4" xfId="12325" xr:uid="{00000000-0005-0000-0000-0000562E0000}"/>
    <cellStyle name="Input 22 4" xfId="12326" xr:uid="{00000000-0005-0000-0000-0000572E0000}"/>
    <cellStyle name="Input 22 4 2" xfId="12327" xr:uid="{00000000-0005-0000-0000-0000582E0000}"/>
    <cellStyle name="Input 22 4 2 2" xfId="12328" xr:uid="{00000000-0005-0000-0000-0000592E0000}"/>
    <cellStyle name="Input 22 4 3" xfId="12329" xr:uid="{00000000-0005-0000-0000-00005A2E0000}"/>
    <cellStyle name="Input 22 4 3 2" xfId="12330" xr:uid="{00000000-0005-0000-0000-00005B2E0000}"/>
    <cellStyle name="Input 22 4 4" xfId="12331" xr:uid="{00000000-0005-0000-0000-00005C2E0000}"/>
    <cellStyle name="Input 22 5" xfId="12332" xr:uid="{00000000-0005-0000-0000-00005D2E0000}"/>
    <cellStyle name="Input 22 5 2" xfId="12333" xr:uid="{00000000-0005-0000-0000-00005E2E0000}"/>
    <cellStyle name="Input 22 6" xfId="12334" xr:uid="{00000000-0005-0000-0000-00005F2E0000}"/>
    <cellStyle name="Input 22 6 2" xfId="12335" xr:uid="{00000000-0005-0000-0000-0000602E0000}"/>
    <cellStyle name="Input 22 7" xfId="12336" xr:uid="{00000000-0005-0000-0000-0000612E0000}"/>
    <cellStyle name="Input 23" xfId="12337" xr:uid="{00000000-0005-0000-0000-0000622E0000}"/>
    <cellStyle name="Input 23 2" xfId="12338" xr:uid="{00000000-0005-0000-0000-0000632E0000}"/>
    <cellStyle name="Input 23 2 2" xfId="12339" xr:uid="{00000000-0005-0000-0000-0000642E0000}"/>
    <cellStyle name="Input 23 2 2 2" xfId="12340" xr:uid="{00000000-0005-0000-0000-0000652E0000}"/>
    <cellStyle name="Input 23 2 3" xfId="12341" xr:uid="{00000000-0005-0000-0000-0000662E0000}"/>
    <cellStyle name="Input 23 2 3 2" xfId="12342" xr:uid="{00000000-0005-0000-0000-0000672E0000}"/>
    <cellStyle name="Input 23 2 4" xfId="12343" xr:uid="{00000000-0005-0000-0000-0000682E0000}"/>
    <cellStyle name="Input 23 3" xfId="12344" xr:uid="{00000000-0005-0000-0000-0000692E0000}"/>
    <cellStyle name="Input 23 3 2" xfId="12345" xr:uid="{00000000-0005-0000-0000-00006A2E0000}"/>
    <cellStyle name="Input 23 3 2 2" xfId="12346" xr:uid="{00000000-0005-0000-0000-00006B2E0000}"/>
    <cellStyle name="Input 23 3 3" xfId="12347" xr:uid="{00000000-0005-0000-0000-00006C2E0000}"/>
    <cellStyle name="Input 23 3 3 2" xfId="12348" xr:uid="{00000000-0005-0000-0000-00006D2E0000}"/>
    <cellStyle name="Input 23 3 4" xfId="12349" xr:uid="{00000000-0005-0000-0000-00006E2E0000}"/>
    <cellStyle name="Input 23 4" xfId="12350" xr:uid="{00000000-0005-0000-0000-00006F2E0000}"/>
    <cellStyle name="Input 23 4 2" xfId="12351" xr:uid="{00000000-0005-0000-0000-0000702E0000}"/>
    <cellStyle name="Input 23 4 2 2" xfId="12352" xr:uid="{00000000-0005-0000-0000-0000712E0000}"/>
    <cellStyle name="Input 23 4 3" xfId="12353" xr:uid="{00000000-0005-0000-0000-0000722E0000}"/>
    <cellStyle name="Input 23 4 3 2" xfId="12354" xr:uid="{00000000-0005-0000-0000-0000732E0000}"/>
    <cellStyle name="Input 23 4 4" xfId="12355" xr:uid="{00000000-0005-0000-0000-0000742E0000}"/>
    <cellStyle name="Input 23 5" xfId="12356" xr:uid="{00000000-0005-0000-0000-0000752E0000}"/>
    <cellStyle name="Input 23 5 2" xfId="12357" xr:uid="{00000000-0005-0000-0000-0000762E0000}"/>
    <cellStyle name="Input 23 6" xfId="12358" xr:uid="{00000000-0005-0000-0000-0000772E0000}"/>
    <cellStyle name="Input 23 6 2" xfId="12359" xr:uid="{00000000-0005-0000-0000-0000782E0000}"/>
    <cellStyle name="Input 23 7" xfId="12360" xr:uid="{00000000-0005-0000-0000-0000792E0000}"/>
    <cellStyle name="Input 24" xfId="12361" xr:uid="{00000000-0005-0000-0000-00007A2E0000}"/>
    <cellStyle name="Input 24 2" xfId="12362" xr:uid="{00000000-0005-0000-0000-00007B2E0000}"/>
    <cellStyle name="Input 24 2 2" xfId="12363" xr:uid="{00000000-0005-0000-0000-00007C2E0000}"/>
    <cellStyle name="Input 24 3" xfId="12364" xr:uid="{00000000-0005-0000-0000-00007D2E0000}"/>
    <cellStyle name="Input 24 3 2" xfId="12365" xr:uid="{00000000-0005-0000-0000-00007E2E0000}"/>
    <cellStyle name="Input 24 4" xfId="12366" xr:uid="{00000000-0005-0000-0000-00007F2E0000}"/>
    <cellStyle name="Input 25" xfId="12367" xr:uid="{00000000-0005-0000-0000-0000802E0000}"/>
    <cellStyle name="Input 25 2" xfId="12368" xr:uid="{00000000-0005-0000-0000-0000812E0000}"/>
    <cellStyle name="Input 25 2 2" xfId="12369" xr:uid="{00000000-0005-0000-0000-0000822E0000}"/>
    <cellStyle name="Input 25 3" xfId="12370" xr:uid="{00000000-0005-0000-0000-0000832E0000}"/>
    <cellStyle name="Input 25 3 2" xfId="12371" xr:uid="{00000000-0005-0000-0000-0000842E0000}"/>
    <cellStyle name="Input 25 4" xfId="12372" xr:uid="{00000000-0005-0000-0000-0000852E0000}"/>
    <cellStyle name="Input 26" xfId="12373" xr:uid="{00000000-0005-0000-0000-0000862E0000}"/>
    <cellStyle name="Input 26 2" xfId="12374" xr:uid="{00000000-0005-0000-0000-0000872E0000}"/>
    <cellStyle name="Input 27" xfId="12375" xr:uid="{00000000-0005-0000-0000-0000882E0000}"/>
    <cellStyle name="Input 27 2" xfId="12376" xr:uid="{00000000-0005-0000-0000-0000892E0000}"/>
    <cellStyle name="Input 28" xfId="12377" xr:uid="{00000000-0005-0000-0000-00008A2E0000}"/>
    <cellStyle name="Input 3" xfId="12378" xr:uid="{00000000-0005-0000-0000-00008B2E0000}"/>
    <cellStyle name="Input 3 2" xfId="12379" xr:uid="{00000000-0005-0000-0000-00008C2E0000}"/>
    <cellStyle name="Input 3 2 2" xfId="12380" xr:uid="{00000000-0005-0000-0000-00008D2E0000}"/>
    <cellStyle name="Input 3 2 2 2" xfId="12381" xr:uid="{00000000-0005-0000-0000-00008E2E0000}"/>
    <cellStyle name="Input 3 2 2 2 2" xfId="12382" xr:uid="{00000000-0005-0000-0000-00008F2E0000}"/>
    <cellStyle name="Input 3 2 2 3" xfId="12383" xr:uid="{00000000-0005-0000-0000-0000902E0000}"/>
    <cellStyle name="Input 3 2 2 3 2" xfId="12384" xr:uid="{00000000-0005-0000-0000-0000912E0000}"/>
    <cellStyle name="Input 3 2 2 4" xfId="12385" xr:uid="{00000000-0005-0000-0000-0000922E0000}"/>
    <cellStyle name="Input 3 2 3" xfId="12386" xr:uid="{00000000-0005-0000-0000-0000932E0000}"/>
    <cellStyle name="Input 3 2 3 2" xfId="12387" xr:uid="{00000000-0005-0000-0000-0000942E0000}"/>
    <cellStyle name="Input 3 2 3 2 2" xfId="12388" xr:uid="{00000000-0005-0000-0000-0000952E0000}"/>
    <cellStyle name="Input 3 2 3 3" xfId="12389" xr:uid="{00000000-0005-0000-0000-0000962E0000}"/>
    <cellStyle name="Input 3 2 3 3 2" xfId="12390" xr:uid="{00000000-0005-0000-0000-0000972E0000}"/>
    <cellStyle name="Input 3 2 3 4" xfId="12391" xr:uid="{00000000-0005-0000-0000-0000982E0000}"/>
    <cellStyle name="Input 3 2 4" xfId="12392" xr:uid="{00000000-0005-0000-0000-0000992E0000}"/>
    <cellStyle name="Input 3 2 4 2" xfId="12393" xr:uid="{00000000-0005-0000-0000-00009A2E0000}"/>
    <cellStyle name="Input 3 2 5" xfId="12394" xr:uid="{00000000-0005-0000-0000-00009B2E0000}"/>
    <cellStyle name="Input 3 2 5 2" xfId="12395" xr:uid="{00000000-0005-0000-0000-00009C2E0000}"/>
    <cellStyle name="Input 3 2 6" xfId="12396" xr:uid="{00000000-0005-0000-0000-00009D2E0000}"/>
    <cellStyle name="Input 3 3" xfId="12397" xr:uid="{00000000-0005-0000-0000-00009E2E0000}"/>
    <cellStyle name="Input 3 3 2" xfId="12398" xr:uid="{00000000-0005-0000-0000-00009F2E0000}"/>
    <cellStyle name="Input 3 3 2 2" xfId="12399" xr:uid="{00000000-0005-0000-0000-0000A02E0000}"/>
    <cellStyle name="Input 3 3 2 2 2" xfId="12400" xr:uid="{00000000-0005-0000-0000-0000A12E0000}"/>
    <cellStyle name="Input 3 3 2 3" xfId="12401" xr:uid="{00000000-0005-0000-0000-0000A22E0000}"/>
    <cellStyle name="Input 3 3 2 3 2" xfId="12402" xr:uid="{00000000-0005-0000-0000-0000A32E0000}"/>
    <cellStyle name="Input 3 3 2 4" xfId="12403" xr:uid="{00000000-0005-0000-0000-0000A42E0000}"/>
    <cellStyle name="Input 3 3 3" xfId="12404" xr:uid="{00000000-0005-0000-0000-0000A52E0000}"/>
    <cellStyle name="Input 3 3 3 2" xfId="12405" xr:uid="{00000000-0005-0000-0000-0000A62E0000}"/>
    <cellStyle name="Input 3 3 3 2 2" xfId="12406" xr:uid="{00000000-0005-0000-0000-0000A72E0000}"/>
    <cellStyle name="Input 3 3 3 3" xfId="12407" xr:uid="{00000000-0005-0000-0000-0000A82E0000}"/>
    <cellStyle name="Input 3 3 3 3 2" xfId="12408" xr:uid="{00000000-0005-0000-0000-0000A92E0000}"/>
    <cellStyle name="Input 3 3 3 4" xfId="12409" xr:uid="{00000000-0005-0000-0000-0000AA2E0000}"/>
    <cellStyle name="Input 3 3 4" xfId="12410" xr:uid="{00000000-0005-0000-0000-0000AB2E0000}"/>
    <cellStyle name="Input 3 3 4 2" xfId="12411" xr:uid="{00000000-0005-0000-0000-0000AC2E0000}"/>
    <cellStyle name="Input 3 3 5" xfId="12412" xr:uid="{00000000-0005-0000-0000-0000AD2E0000}"/>
    <cellStyle name="Input 3 3 5 2" xfId="12413" xr:uid="{00000000-0005-0000-0000-0000AE2E0000}"/>
    <cellStyle name="Input 3 3 6" xfId="12414" xr:uid="{00000000-0005-0000-0000-0000AF2E0000}"/>
    <cellStyle name="Input 3 4" xfId="12415" xr:uid="{00000000-0005-0000-0000-0000B02E0000}"/>
    <cellStyle name="Input 3 4 2" xfId="12416" xr:uid="{00000000-0005-0000-0000-0000B12E0000}"/>
    <cellStyle name="Input 3 4 2 2" xfId="12417" xr:uid="{00000000-0005-0000-0000-0000B22E0000}"/>
    <cellStyle name="Input 3 4 2 2 2" xfId="12418" xr:uid="{00000000-0005-0000-0000-0000B32E0000}"/>
    <cellStyle name="Input 3 4 2 3" xfId="12419" xr:uid="{00000000-0005-0000-0000-0000B42E0000}"/>
    <cellStyle name="Input 3 4 2 3 2" xfId="12420" xr:uid="{00000000-0005-0000-0000-0000B52E0000}"/>
    <cellStyle name="Input 3 4 2 4" xfId="12421" xr:uid="{00000000-0005-0000-0000-0000B62E0000}"/>
    <cellStyle name="Input 3 4 3" xfId="12422" xr:uid="{00000000-0005-0000-0000-0000B72E0000}"/>
    <cellStyle name="Input 3 4 3 2" xfId="12423" xr:uid="{00000000-0005-0000-0000-0000B82E0000}"/>
    <cellStyle name="Input 3 4 3 2 2" xfId="12424" xr:uid="{00000000-0005-0000-0000-0000B92E0000}"/>
    <cellStyle name="Input 3 4 3 3" xfId="12425" xr:uid="{00000000-0005-0000-0000-0000BA2E0000}"/>
    <cellStyle name="Input 3 4 3 3 2" xfId="12426" xr:uid="{00000000-0005-0000-0000-0000BB2E0000}"/>
    <cellStyle name="Input 3 4 3 4" xfId="12427" xr:uid="{00000000-0005-0000-0000-0000BC2E0000}"/>
    <cellStyle name="Input 3 4 4" xfId="12428" xr:uid="{00000000-0005-0000-0000-0000BD2E0000}"/>
    <cellStyle name="Input 3 4 4 2" xfId="12429" xr:uid="{00000000-0005-0000-0000-0000BE2E0000}"/>
    <cellStyle name="Input 3 4 5" xfId="12430" xr:uid="{00000000-0005-0000-0000-0000BF2E0000}"/>
    <cellStyle name="Input 3 4 5 2" xfId="12431" xr:uid="{00000000-0005-0000-0000-0000C02E0000}"/>
    <cellStyle name="Input 3 4 6" xfId="12432" xr:uid="{00000000-0005-0000-0000-0000C12E0000}"/>
    <cellStyle name="Input 3 5" xfId="12433" xr:uid="{00000000-0005-0000-0000-0000C22E0000}"/>
    <cellStyle name="Input 3 5 2" xfId="12434" xr:uid="{00000000-0005-0000-0000-0000C32E0000}"/>
    <cellStyle name="Input 3 5 2 2" xfId="12435" xr:uid="{00000000-0005-0000-0000-0000C42E0000}"/>
    <cellStyle name="Input 3 5 3" xfId="12436" xr:uid="{00000000-0005-0000-0000-0000C52E0000}"/>
    <cellStyle name="Input 3 5 3 2" xfId="12437" xr:uid="{00000000-0005-0000-0000-0000C62E0000}"/>
    <cellStyle name="Input 3 5 4" xfId="12438" xr:uid="{00000000-0005-0000-0000-0000C72E0000}"/>
    <cellStyle name="Input 3 6" xfId="12439" xr:uid="{00000000-0005-0000-0000-0000C82E0000}"/>
    <cellStyle name="Input 3 6 2" xfId="12440" xr:uid="{00000000-0005-0000-0000-0000C92E0000}"/>
    <cellStyle name="Input 3 6 2 2" xfId="12441" xr:uid="{00000000-0005-0000-0000-0000CA2E0000}"/>
    <cellStyle name="Input 3 6 3" xfId="12442" xr:uid="{00000000-0005-0000-0000-0000CB2E0000}"/>
    <cellStyle name="Input 3 6 3 2" xfId="12443" xr:uid="{00000000-0005-0000-0000-0000CC2E0000}"/>
    <cellStyle name="Input 3 6 4" xfId="12444" xr:uid="{00000000-0005-0000-0000-0000CD2E0000}"/>
    <cellStyle name="Input 3 7" xfId="12445" xr:uid="{00000000-0005-0000-0000-0000CE2E0000}"/>
    <cellStyle name="Input 3 7 2" xfId="12446" xr:uid="{00000000-0005-0000-0000-0000CF2E0000}"/>
    <cellStyle name="Input 3 8" xfId="12447" xr:uid="{00000000-0005-0000-0000-0000D02E0000}"/>
    <cellStyle name="Input 3 8 2" xfId="12448" xr:uid="{00000000-0005-0000-0000-0000D12E0000}"/>
    <cellStyle name="Input 3 9" xfId="12449" xr:uid="{00000000-0005-0000-0000-0000D22E0000}"/>
    <cellStyle name="Input 4" xfId="12450" xr:uid="{00000000-0005-0000-0000-0000D32E0000}"/>
    <cellStyle name="Input 4 2" xfId="12451" xr:uid="{00000000-0005-0000-0000-0000D42E0000}"/>
    <cellStyle name="Input 4 2 2" xfId="12452" xr:uid="{00000000-0005-0000-0000-0000D52E0000}"/>
    <cellStyle name="Input 4 2 2 2" xfId="12453" xr:uid="{00000000-0005-0000-0000-0000D62E0000}"/>
    <cellStyle name="Input 4 2 2 2 2" xfId="12454" xr:uid="{00000000-0005-0000-0000-0000D72E0000}"/>
    <cellStyle name="Input 4 2 2 3" xfId="12455" xr:uid="{00000000-0005-0000-0000-0000D82E0000}"/>
    <cellStyle name="Input 4 2 2 3 2" xfId="12456" xr:uid="{00000000-0005-0000-0000-0000D92E0000}"/>
    <cellStyle name="Input 4 2 2 4" xfId="12457" xr:uid="{00000000-0005-0000-0000-0000DA2E0000}"/>
    <cellStyle name="Input 4 2 3" xfId="12458" xr:uid="{00000000-0005-0000-0000-0000DB2E0000}"/>
    <cellStyle name="Input 4 2 3 2" xfId="12459" xr:uid="{00000000-0005-0000-0000-0000DC2E0000}"/>
    <cellStyle name="Input 4 2 3 2 2" xfId="12460" xr:uid="{00000000-0005-0000-0000-0000DD2E0000}"/>
    <cellStyle name="Input 4 2 3 3" xfId="12461" xr:uid="{00000000-0005-0000-0000-0000DE2E0000}"/>
    <cellStyle name="Input 4 2 3 3 2" xfId="12462" xr:uid="{00000000-0005-0000-0000-0000DF2E0000}"/>
    <cellStyle name="Input 4 2 3 4" xfId="12463" xr:uid="{00000000-0005-0000-0000-0000E02E0000}"/>
    <cellStyle name="Input 4 2 4" xfId="12464" xr:uid="{00000000-0005-0000-0000-0000E12E0000}"/>
    <cellStyle name="Input 4 2 4 2" xfId="12465" xr:uid="{00000000-0005-0000-0000-0000E22E0000}"/>
    <cellStyle name="Input 4 2 5" xfId="12466" xr:uid="{00000000-0005-0000-0000-0000E32E0000}"/>
    <cellStyle name="Input 4 2 5 2" xfId="12467" xr:uid="{00000000-0005-0000-0000-0000E42E0000}"/>
    <cellStyle name="Input 4 2 6" xfId="12468" xr:uid="{00000000-0005-0000-0000-0000E52E0000}"/>
    <cellStyle name="Input 4 3" xfId="12469" xr:uid="{00000000-0005-0000-0000-0000E62E0000}"/>
    <cellStyle name="Input 4 3 2" xfId="12470" xr:uid="{00000000-0005-0000-0000-0000E72E0000}"/>
    <cellStyle name="Input 4 3 2 2" xfId="12471" xr:uid="{00000000-0005-0000-0000-0000E82E0000}"/>
    <cellStyle name="Input 4 3 2 2 2" xfId="12472" xr:uid="{00000000-0005-0000-0000-0000E92E0000}"/>
    <cellStyle name="Input 4 3 2 3" xfId="12473" xr:uid="{00000000-0005-0000-0000-0000EA2E0000}"/>
    <cellStyle name="Input 4 3 2 3 2" xfId="12474" xr:uid="{00000000-0005-0000-0000-0000EB2E0000}"/>
    <cellStyle name="Input 4 3 2 4" xfId="12475" xr:uid="{00000000-0005-0000-0000-0000EC2E0000}"/>
    <cellStyle name="Input 4 3 3" xfId="12476" xr:uid="{00000000-0005-0000-0000-0000ED2E0000}"/>
    <cellStyle name="Input 4 3 3 2" xfId="12477" xr:uid="{00000000-0005-0000-0000-0000EE2E0000}"/>
    <cellStyle name="Input 4 3 3 2 2" xfId="12478" xr:uid="{00000000-0005-0000-0000-0000EF2E0000}"/>
    <cellStyle name="Input 4 3 3 3" xfId="12479" xr:uid="{00000000-0005-0000-0000-0000F02E0000}"/>
    <cellStyle name="Input 4 3 3 3 2" xfId="12480" xr:uid="{00000000-0005-0000-0000-0000F12E0000}"/>
    <cellStyle name="Input 4 3 3 4" xfId="12481" xr:uid="{00000000-0005-0000-0000-0000F22E0000}"/>
    <cellStyle name="Input 4 3 4" xfId="12482" xr:uid="{00000000-0005-0000-0000-0000F32E0000}"/>
    <cellStyle name="Input 4 3 4 2" xfId="12483" xr:uid="{00000000-0005-0000-0000-0000F42E0000}"/>
    <cellStyle name="Input 4 3 5" xfId="12484" xr:uid="{00000000-0005-0000-0000-0000F52E0000}"/>
    <cellStyle name="Input 4 3 5 2" xfId="12485" xr:uid="{00000000-0005-0000-0000-0000F62E0000}"/>
    <cellStyle name="Input 4 3 6" xfId="12486" xr:uid="{00000000-0005-0000-0000-0000F72E0000}"/>
    <cellStyle name="Input 4 4" xfId="12487" xr:uid="{00000000-0005-0000-0000-0000F82E0000}"/>
    <cellStyle name="Input 4 4 2" xfId="12488" xr:uid="{00000000-0005-0000-0000-0000F92E0000}"/>
    <cellStyle name="Input 4 4 2 2" xfId="12489" xr:uid="{00000000-0005-0000-0000-0000FA2E0000}"/>
    <cellStyle name="Input 4 4 2 2 2" xfId="12490" xr:uid="{00000000-0005-0000-0000-0000FB2E0000}"/>
    <cellStyle name="Input 4 4 2 3" xfId="12491" xr:uid="{00000000-0005-0000-0000-0000FC2E0000}"/>
    <cellStyle name="Input 4 4 2 3 2" xfId="12492" xr:uid="{00000000-0005-0000-0000-0000FD2E0000}"/>
    <cellStyle name="Input 4 4 2 4" xfId="12493" xr:uid="{00000000-0005-0000-0000-0000FE2E0000}"/>
    <cellStyle name="Input 4 4 3" xfId="12494" xr:uid="{00000000-0005-0000-0000-0000FF2E0000}"/>
    <cellStyle name="Input 4 4 3 2" xfId="12495" xr:uid="{00000000-0005-0000-0000-0000002F0000}"/>
    <cellStyle name="Input 4 4 3 2 2" xfId="12496" xr:uid="{00000000-0005-0000-0000-0000012F0000}"/>
    <cellStyle name="Input 4 4 3 3" xfId="12497" xr:uid="{00000000-0005-0000-0000-0000022F0000}"/>
    <cellStyle name="Input 4 4 3 3 2" xfId="12498" xr:uid="{00000000-0005-0000-0000-0000032F0000}"/>
    <cellStyle name="Input 4 4 3 4" xfId="12499" xr:uid="{00000000-0005-0000-0000-0000042F0000}"/>
    <cellStyle name="Input 4 4 4" xfId="12500" xr:uid="{00000000-0005-0000-0000-0000052F0000}"/>
    <cellStyle name="Input 4 4 4 2" xfId="12501" xr:uid="{00000000-0005-0000-0000-0000062F0000}"/>
    <cellStyle name="Input 4 4 5" xfId="12502" xr:uid="{00000000-0005-0000-0000-0000072F0000}"/>
    <cellStyle name="Input 4 4 5 2" xfId="12503" xr:uid="{00000000-0005-0000-0000-0000082F0000}"/>
    <cellStyle name="Input 4 4 6" xfId="12504" xr:uid="{00000000-0005-0000-0000-0000092F0000}"/>
    <cellStyle name="Input 4 5" xfId="12505" xr:uid="{00000000-0005-0000-0000-00000A2F0000}"/>
    <cellStyle name="Input 4 5 2" xfId="12506" xr:uid="{00000000-0005-0000-0000-00000B2F0000}"/>
    <cellStyle name="Input 4 5 2 2" xfId="12507" xr:uid="{00000000-0005-0000-0000-00000C2F0000}"/>
    <cellStyle name="Input 4 5 3" xfId="12508" xr:uid="{00000000-0005-0000-0000-00000D2F0000}"/>
    <cellStyle name="Input 4 5 3 2" xfId="12509" xr:uid="{00000000-0005-0000-0000-00000E2F0000}"/>
    <cellStyle name="Input 4 5 4" xfId="12510" xr:uid="{00000000-0005-0000-0000-00000F2F0000}"/>
    <cellStyle name="Input 4 6" xfId="12511" xr:uid="{00000000-0005-0000-0000-0000102F0000}"/>
    <cellStyle name="Input 4 6 2" xfId="12512" xr:uid="{00000000-0005-0000-0000-0000112F0000}"/>
    <cellStyle name="Input 4 6 2 2" xfId="12513" xr:uid="{00000000-0005-0000-0000-0000122F0000}"/>
    <cellStyle name="Input 4 6 3" xfId="12514" xr:uid="{00000000-0005-0000-0000-0000132F0000}"/>
    <cellStyle name="Input 4 6 3 2" xfId="12515" xr:uid="{00000000-0005-0000-0000-0000142F0000}"/>
    <cellStyle name="Input 4 6 4" xfId="12516" xr:uid="{00000000-0005-0000-0000-0000152F0000}"/>
    <cellStyle name="Input 4 7" xfId="12517" xr:uid="{00000000-0005-0000-0000-0000162F0000}"/>
    <cellStyle name="Input 4 7 2" xfId="12518" xr:uid="{00000000-0005-0000-0000-0000172F0000}"/>
    <cellStyle name="Input 4 8" xfId="12519" xr:uid="{00000000-0005-0000-0000-0000182F0000}"/>
    <cellStyle name="Input 4 8 2" xfId="12520" xr:uid="{00000000-0005-0000-0000-0000192F0000}"/>
    <cellStyle name="Input 4 9" xfId="12521" xr:uid="{00000000-0005-0000-0000-00001A2F0000}"/>
    <cellStyle name="Input 5" xfId="12522" xr:uid="{00000000-0005-0000-0000-00001B2F0000}"/>
    <cellStyle name="Input 5 2" xfId="12523" xr:uid="{00000000-0005-0000-0000-00001C2F0000}"/>
    <cellStyle name="Input 5 2 2" xfId="12524" xr:uid="{00000000-0005-0000-0000-00001D2F0000}"/>
    <cellStyle name="Input 5 2 2 2" xfId="12525" xr:uid="{00000000-0005-0000-0000-00001E2F0000}"/>
    <cellStyle name="Input 5 2 2 2 2" xfId="12526" xr:uid="{00000000-0005-0000-0000-00001F2F0000}"/>
    <cellStyle name="Input 5 2 2 3" xfId="12527" xr:uid="{00000000-0005-0000-0000-0000202F0000}"/>
    <cellStyle name="Input 5 2 2 3 2" xfId="12528" xr:uid="{00000000-0005-0000-0000-0000212F0000}"/>
    <cellStyle name="Input 5 2 2 4" xfId="12529" xr:uid="{00000000-0005-0000-0000-0000222F0000}"/>
    <cellStyle name="Input 5 2 3" xfId="12530" xr:uid="{00000000-0005-0000-0000-0000232F0000}"/>
    <cellStyle name="Input 5 2 3 2" xfId="12531" xr:uid="{00000000-0005-0000-0000-0000242F0000}"/>
    <cellStyle name="Input 5 2 3 2 2" xfId="12532" xr:uid="{00000000-0005-0000-0000-0000252F0000}"/>
    <cellStyle name="Input 5 2 3 3" xfId="12533" xr:uid="{00000000-0005-0000-0000-0000262F0000}"/>
    <cellStyle name="Input 5 2 3 3 2" xfId="12534" xr:uid="{00000000-0005-0000-0000-0000272F0000}"/>
    <cellStyle name="Input 5 2 3 4" xfId="12535" xr:uid="{00000000-0005-0000-0000-0000282F0000}"/>
    <cellStyle name="Input 5 2 4" xfId="12536" xr:uid="{00000000-0005-0000-0000-0000292F0000}"/>
    <cellStyle name="Input 5 2 4 2" xfId="12537" xr:uid="{00000000-0005-0000-0000-00002A2F0000}"/>
    <cellStyle name="Input 5 2 5" xfId="12538" xr:uid="{00000000-0005-0000-0000-00002B2F0000}"/>
    <cellStyle name="Input 5 2 5 2" xfId="12539" xr:uid="{00000000-0005-0000-0000-00002C2F0000}"/>
    <cellStyle name="Input 5 2 6" xfId="12540" xr:uid="{00000000-0005-0000-0000-00002D2F0000}"/>
    <cellStyle name="Input 5 3" xfId="12541" xr:uid="{00000000-0005-0000-0000-00002E2F0000}"/>
    <cellStyle name="Input 5 3 2" xfId="12542" xr:uid="{00000000-0005-0000-0000-00002F2F0000}"/>
    <cellStyle name="Input 5 3 2 2" xfId="12543" xr:uid="{00000000-0005-0000-0000-0000302F0000}"/>
    <cellStyle name="Input 5 3 2 2 2" xfId="12544" xr:uid="{00000000-0005-0000-0000-0000312F0000}"/>
    <cellStyle name="Input 5 3 2 3" xfId="12545" xr:uid="{00000000-0005-0000-0000-0000322F0000}"/>
    <cellStyle name="Input 5 3 2 3 2" xfId="12546" xr:uid="{00000000-0005-0000-0000-0000332F0000}"/>
    <cellStyle name="Input 5 3 2 4" xfId="12547" xr:uid="{00000000-0005-0000-0000-0000342F0000}"/>
    <cellStyle name="Input 5 3 3" xfId="12548" xr:uid="{00000000-0005-0000-0000-0000352F0000}"/>
    <cellStyle name="Input 5 3 3 2" xfId="12549" xr:uid="{00000000-0005-0000-0000-0000362F0000}"/>
    <cellStyle name="Input 5 3 3 2 2" xfId="12550" xr:uid="{00000000-0005-0000-0000-0000372F0000}"/>
    <cellStyle name="Input 5 3 3 3" xfId="12551" xr:uid="{00000000-0005-0000-0000-0000382F0000}"/>
    <cellStyle name="Input 5 3 3 3 2" xfId="12552" xr:uid="{00000000-0005-0000-0000-0000392F0000}"/>
    <cellStyle name="Input 5 3 3 4" xfId="12553" xr:uid="{00000000-0005-0000-0000-00003A2F0000}"/>
    <cellStyle name="Input 5 3 4" xfId="12554" xr:uid="{00000000-0005-0000-0000-00003B2F0000}"/>
    <cellStyle name="Input 5 3 4 2" xfId="12555" xr:uid="{00000000-0005-0000-0000-00003C2F0000}"/>
    <cellStyle name="Input 5 3 5" xfId="12556" xr:uid="{00000000-0005-0000-0000-00003D2F0000}"/>
    <cellStyle name="Input 5 3 5 2" xfId="12557" xr:uid="{00000000-0005-0000-0000-00003E2F0000}"/>
    <cellStyle name="Input 5 3 6" xfId="12558" xr:uid="{00000000-0005-0000-0000-00003F2F0000}"/>
    <cellStyle name="Input 5 4" xfId="12559" xr:uid="{00000000-0005-0000-0000-0000402F0000}"/>
    <cellStyle name="Input 5 4 2" xfId="12560" xr:uid="{00000000-0005-0000-0000-0000412F0000}"/>
    <cellStyle name="Input 5 4 2 2" xfId="12561" xr:uid="{00000000-0005-0000-0000-0000422F0000}"/>
    <cellStyle name="Input 5 4 2 2 2" xfId="12562" xr:uid="{00000000-0005-0000-0000-0000432F0000}"/>
    <cellStyle name="Input 5 4 2 3" xfId="12563" xr:uid="{00000000-0005-0000-0000-0000442F0000}"/>
    <cellStyle name="Input 5 4 2 3 2" xfId="12564" xr:uid="{00000000-0005-0000-0000-0000452F0000}"/>
    <cellStyle name="Input 5 4 2 4" xfId="12565" xr:uid="{00000000-0005-0000-0000-0000462F0000}"/>
    <cellStyle name="Input 5 4 3" xfId="12566" xr:uid="{00000000-0005-0000-0000-0000472F0000}"/>
    <cellStyle name="Input 5 4 3 2" xfId="12567" xr:uid="{00000000-0005-0000-0000-0000482F0000}"/>
    <cellStyle name="Input 5 4 3 2 2" xfId="12568" xr:uid="{00000000-0005-0000-0000-0000492F0000}"/>
    <cellStyle name="Input 5 4 3 3" xfId="12569" xr:uid="{00000000-0005-0000-0000-00004A2F0000}"/>
    <cellStyle name="Input 5 4 3 3 2" xfId="12570" xr:uid="{00000000-0005-0000-0000-00004B2F0000}"/>
    <cellStyle name="Input 5 4 3 4" xfId="12571" xr:uid="{00000000-0005-0000-0000-00004C2F0000}"/>
    <cellStyle name="Input 5 4 4" xfId="12572" xr:uid="{00000000-0005-0000-0000-00004D2F0000}"/>
    <cellStyle name="Input 5 4 4 2" xfId="12573" xr:uid="{00000000-0005-0000-0000-00004E2F0000}"/>
    <cellStyle name="Input 5 4 5" xfId="12574" xr:uid="{00000000-0005-0000-0000-00004F2F0000}"/>
    <cellStyle name="Input 5 4 5 2" xfId="12575" xr:uid="{00000000-0005-0000-0000-0000502F0000}"/>
    <cellStyle name="Input 5 4 6" xfId="12576" xr:uid="{00000000-0005-0000-0000-0000512F0000}"/>
    <cellStyle name="Input 5 5" xfId="12577" xr:uid="{00000000-0005-0000-0000-0000522F0000}"/>
    <cellStyle name="Input 5 5 2" xfId="12578" xr:uid="{00000000-0005-0000-0000-0000532F0000}"/>
    <cellStyle name="Input 5 5 2 2" xfId="12579" xr:uid="{00000000-0005-0000-0000-0000542F0000}"/>
    <cellStyle name="Input 5 5 3" xfId="12580" xr:uid="{00000000-0005-0000-0000-0000552F0000}"/>
    <cellStyle name="Input 5 5 3 2" xfId="12581" xr:uid="{00000000-0005-0000-0000-0000562F0000}"/>
    <cellStyle name="Input 5 5 4" xfId="12582" xr:uid="{00000000-0005-0000-0000-0000572F0000}"/>
    <cellStyle name="Input 5 6" xfId="12583" xr:uid="{00000000-0005-0000-0000-0000582F0000}"/>
    <cellStyle name="Input 5 6 2" xfId="12584" xr:uid="{00000000-0005-0000-0000-0000592F0000}"/>
    <cellStyle name="Input 5 6 2 2" xfId="12585" xr:uid="{00000000-0005-0000-0000-00005A2F0000}"/>
    <cellStyle name="Input 5 6 3" xfId="12586" xr:uid="{00000000-0005-0000-0000-00005B2F0000}"/>
    <cellStyle name="Input 5 6 3 2" xfId="12587" xr:uid="{00000000-0005-0000-0000-00005C2F0000}"/>
    <cellStyle name="Input 5 6 4" xfId="12588" xr:uid="{00000000-0005-0000-0000-00005D2F0000}"/>
    <cellStyle name="Input 5 7" xfId="12589" xr:uid="{00000000-0005-0000-0000-00005E2F0000}"/>
    <cellStyle name="Input 5 7 2" xfId="12590" xr:uid="{00000000-0005-0000-0000-00005F2F0000}"/>
    <cellStyle name="Input 5 8" xfId="12591" xr:uid="{00000000-0005-0000-0000-0000602F0000}"/>
    <cellStyle name="Input 5 8 2" xfId="12592" xr:uid="{00000000-0005-0000-0000-0000612F0000}"/>
    <cellStyle name="Input 5 9" xfId="12593" xr:uid="{00000000-0005-0000-0000-0000622F0000}"/>
    <cellStyle name="Input 6" xfId="12594" xr:uid="{00000000-0005-0000-0000-0000632F0000}"/>
    <cellStyle name="Input 6 2" xfId="12595" xr:uid="{00000000-0005-0000-0000-0000642F0000}"/>
    <cellStyle name="Input 6 2 2" xfId="12596" xr:uid="{00000000-0005-0000-0000-0000652F0000}"/>
    <cellStyle name="Input 6 2 2 2" xfId="12597" xr:uid="{00000000-0005-0000-0000-0000662F0000}"/>
    <cellStyle name="Input 6 2 2 2 2" xfId="12598" xr:uid="{00000000-0005-0000-0000-0000672F0000}"/>
    <cellStyle name="Input 6 2 2 3" xfId="12599" xr:uid="{00000000-0005-0000-0000-0000682F0000}"/>
    <cellStyle name="Input 6 2 2 3 2" xfId="12600" xr:uid="{00000000-0005-0000-0000-0000692F0000}"/>
    <cellStyle name="Input 6 2 2 4" xfId="12601" xr:uid="{00000000-0005-0000-0000-00006A2F0000}"/>
    <cellStyle name="Input 6 2 3" xfId="12602" xr:uid="{00000000-0005-0000-0000-00006B2F0000}"/>
    <cellStyle name="Input 6 2 3 2" xfId="12603" xr:uid="{00000000-0005-0000-0000-00006C2F0000}"/>
    <cellStyle name="Input 6 2 3 2 2" xfId="12604" xr:uid="{00000000-0005-0000-0000-00006D2F0000}"/>
    <cellStyle name="Input 6 2 3 3" xfId="12605" xr:uid="{00000000-0005-0000-0000-00006E2F0000}"/>
    <cellStyle name="Input 6 2 3 3 2" xfId="12606" xr:uid="{00000000-0005-0000-0000-00006F2F0000}"/>
    <cellStyle name="Input 6 2 3 4" xfId="12607" xr:uid="{00000000-0005-0000-0000-0000702F0000}"/>
    <cellStyle name="Input 6 2 4" xfId="12608" xr:uid="{00000000-0005-0000-0000-0000712F0000}"/>
    <cellStyle name="Input 6 2 4 2" xfId="12609" xr:uid="{00000000-0005-0000-0000-0000722F0000}"/>
    <cellStyle name="Input 6 2 5" xfId="12610" xr:uid="{00000000-0005-0000-0000-0000732F0000}"/>
    <cellStyle name="Input 6 2 5 2" xfId="12611" xr:uid="{00000000-0005-0000-0000-0000742F0000}"/>
    <cellStyle name="Input 6 2 6" xfId="12612" xr:uid="{00000000-0005-0000-0000-0000752F0000}"/>
    <cellStyle name="Input 6 3" xfId="12613" xr:uid="{00000000-0005-0000-0000-0000762F0000}"/>
    <cellStyle name="Input 6 3 2" xfId="12614" xr:uid="{00000000-0005-0000-0000-0000772F0000}"/>
    <cellStyle name="Input 6 3 2 2" xfId="12615" xr:uid="{00000000-0005-0000-0000-0000782F0000}"/>
    <cellStyle name="Input 6 3 2 2 2" xfId="12616" xr:uid="{00000000-0005-0000-0000-0000792F0000}"/>
    <cellStyle name="Input 6 3 2 3" xfId="12617" xr:uid="{00000000-0005-0000-0000-00007A2F0000}"/>
    <cellStyle name="Input 6 3 2 3 2" xfId="12618" xr:uid="{00000000-0005-0000-0000-00007B2F0000}"/>
    <cellStyle name="Input 6 3 2 4" xfId="12619" xr:uid="{00000000-0005-0000-0000-00007C2F0000}"/>
    <cellStyle name="Input 6 3 3" xfId="12620" xr:uid="{00000000-0005-0000-0000-00007D2F0000}"/>
    <cellStyle name="Input 6 3 3 2" xfId="12621" xr:uid="{00000000-0005-0000-0000-00007E2F0000}"/>
    <cellStyle name="Input 6 3 3 2 2" xfId="12622" xr:uid="{00000000-0005-0000-0000-00007F2F0000}"/>
    <cellStyle name="Input 6 3 3 3" xfId="12623" xr:uid="{00000000-0005-0000-0000-0000802F0000}"/>
    <cellStyle name="Input 6 3 3 3 2" xfId="12624" xr:uid="{00000000-0005-0000-0000-0000812F0000}"/>
    <cellStyle name="Input 6 3 3 4" xfId="12625" xr:uid="{00000000-0005-0000-0000-0000822F0000}"/>
    <cellStyle name="Input 6 3 4" xfId="12626" xr:uid="{00000000-0005-0000-0000-0000832F0000}"/>
    <cellStyle name="Input 6 3 4 2" xfId="12627" xr:uid="{00000000-0005-0000-0000-0000842F0000}"/>
    <cellStyle name="Input 6 3 5" xfId="12628" xr:uid="{00000000-0005-0000-0000-0000852F0000}"/>
    <cellStyle name="Input 6 3 5 2" xfId="12629" xr:uid="{00000000-0005-0000-0000-0000862F0000}"/>
    <cellStyle name="Input 6 3 6" xfId="12630" xr:uid="{00000000-0005-0000-0000-0000872F0000}"/>
    <cellStyle name="Input 6 4" xfId="12631" xr:uid="{00000000-0005-0000-0000-0000882F0000}"/>
    <cellStyle name="Input 6 4 2" xfId="12632" xr:uid="{00000000-0005-0000-0000-0000892F0000}"/>
    <cellStyle name="Input 6 4 2 2" xfId="12633" xr:uid="{00000000-0005-0000-0000-00008A2F0000}"/>
    <cellStyle name="Input 6 4 2 2 2" xfId="12634" xr:uid="{00000000-0005-0000-0000-00008B2F0000}"/>
    <cellStyle name="Input 6 4 2 3" xfId="12635" xr:uid="{00000000-0005-0000-0000-00008C2F0000}"/>
    <cellStyle name="Input 6 4 2 3 2" xfId="12636" xr:uid="{00000000-0005-0000-0000-00008D2F0000}"/>
    <cellStyle name="Input 6 4 2 4" xfId="12637" xr:uid="{00000000-0005-0000-0000-00008E2F0000}"/>
    <cellStyle name="Input 6 4 3" xfId="12638" xr:uid="{00000000-0005-0000-0000-00008F2F0000}"/>
    <cellStyle name="Input 6 4 3 2" xfId="12639" xr:uid="{00000000-0005-0000-0000-0000902F0000}"/>
    <cellStyle name="Input 6 4 3 2 2" xfId="12640" xr:uid="{00000000-0005-0000-0000-0000912F0000}"/>
    <cellStyle name="Input 6 4 3 3" xfId="12641" xr:uid="{00000000-0005-0000-0000-0000922F0000}"/>
    <cellStyle name="Input 6 4 3 3 2" xfId="12642" xr:uid="{00000000-0005-0000-0000-0000932F0000}"/>
    <cellStyle name="Input 6 4 3 4" xfId="12643" xr:uid="{00000000-0005-0000-0000-0000942F0000}"/>
    <cellStyle name="Input 6 4 4" xfId="12644" xr:uid="{00000000-0005-0000-0000-0000952F0000}"/>
    <cellStyle name="Input 6 4 4 2" xfId="12645" xr:uid="{00000000-0005-0000-0000-0000962F0000}"/>
    <cellStyle name="Input 6 4 5" xfId="12646" xr:uid="{00000000-0005-0000-0000-0000972F0000}"/>
    <cellStyle name="Input 6 4 5 2" xfId="12647" xr:uid="{00000000-0005-0000-0000-0000982F0000}"/>
    <cellStyle name="Input 6 4 6" xfId="12648" xr:uid="{00000000-0005-0000-0000-0000992F0000}"/>
    <cellStyle name="Input 6 5" xfId="12649" xr:uid="{00000000-0005-0000-0000-00009A2F0000}"/>
    <cellStyle name="Input 6 5 2" xfId="12650" xr:uid="{00000000-0005-0000-0000-00009B2F0000}"/>
    <cellStyle name="Input 6 5 2 2" xfId="12651" xr:uid="{00000000-0005-0000-0000-00009C2F0000}"/>
    <cellStyle name="Input 6 5 3" xfId="12652" xr:uid="{00000000-0005-0000-0000-00009D2F0000}"/>
    <cellStyle name="Input 6 5 3 2" xfId="12653" xr:uid="{00000000-0005-0000-0000-00009E2F0000}"/>
    <cellStyle name="Input 6 5 4" xfId="12654" xr:uid="{00000000-0005-0000-0000-00009F2F0000}"/>
    <cellStyle name="Input 6 6" xfId="12655" xr:uid="{00000000-0005-0000-0000-0000A02F0000}"/>
    <cellStyle name="Input 6 6 2" xfId="12656" xr:uid="{00000000-0005-0000-0000-0000A12F0000}"/>
    <cellStyle name="Input 6 6 2 2" xfId="12657" xr:uid="{00000000-0005-0000-0000-0000A22F0000}"/>
    <cellStyle name="Input 6 6 3" xfId="12658" xr:uid="{00000000-0005-0000-0000-0000A32F0000}"/>
    <cellStyle name="Input 6 6 3 2" xfId="12659" xr:uid="{00000000-0005-0000-0000-0000A42F0000}"/>
    <cellStyle name="Input 6 6 4" xfId="12660" xr:uid="{00000000-0005-0000-0000-0000A52F0000}"/>
    <cellStyle name="Input 6 7" xfId="12661" xr:uid="{00000000-0005-0000-0000-0000A62F0000}"/>
    <cellStyle name="Input 6 7 2" xfId="12662" xr:uid="{00000000-0005-0000-0000-0000A72F0000}"/>
    <cellStyle name="Input 6 8" xfId="12663" xr:uid="{00000000-0005-0000-0000-0000A82F0000}"/>
    <cellStyle name="Input 6 8 2" xfId="12664" xr:uid="{00000000-0005-0000-0000-0000A92F0000}"/>
    <cellStyle name="Input 6 9" xfId="12665" xr:uid="{00000000-0005-0000-0000-0000AA2F0000}"/>
    <cellStyle name="Input 7" xfId="12666" xr:uid="{00000000-0005-0000-0000-0000AB2F0000}"/>
    <cellStyle name="Input 7 2" xfId="12667" xr:uid="{00000000-0005-0000-0000-0000AC2F0000}"/>
    <cellStyle name="Input 7 2 2" xfId="12668" xr:uid="{00000000-0005-0000-0000-0000AD2F0000}"/>
    <cellStyle name="Input 7 2 2 2" xfId="12669" xr:uid="{00000000-0005-0000-0000-0000AE2F0000}"/>
    <cellStyle name="Input 7 2 2 2 2" xfId="12670" xr:uid="{00000000-0005-0000-0000-0000AF2F0000}"/>
    <cellStyle name="Input 7 2 2 3" xfId="12671" xr:uid="{00000000-0005-0000-0000-0000B02F0000}"/>
    <cellStyle name="Input 7 2 2 3 2" xfId="12672" xr:uid="{00000000-0005-0000-0000-0000B12F0000}"/>
    <cellStyle name="Input 7 2 2 4" xfId="12673" xr:uid="{00000000-0005-0000-0000-0000B22F0000}"/>
    <cellStyle name="Input 7 2 3" xfId="12674" xr:uid="{00000000-0005-0000-0000-0000B32F0000}"/>
    <cellStyle name="Input 7 2 3 2" xfId="12675" xr:uid="{00000000-0005-0000-0000-0000B42F0000}"/>
    <cellStyle name="Input 7 2 3 2 2" xfId="12676" xr:uid="{00000000-0005-0000-0000-0000B52F0000}"/>
    <cellStyle name="Input 7 2 3 3" xfId="12677" xr:uid="{00000000-0005-0000-0000-0000B62F0000}"/>
    <cellStyle name="Input 7 2 3 3 2" xfId="12678" xr:uid="{00000000-0005-0000-0000-0000B72F0000}"/>
    <cellStyle name="Input 7 2 3 4" xfId="12679" xr:uid="{00000000-0005-0000-0000-0000B82F0000}"/>
    <cellStyle name="Input 7 2 4" xfId="12680" xr:uid="{00000000-0005-0000-0000-0000B92F0000}"/>
    <cellStyle name="Input 7 2 4 2" xfId="12681" xr:uid="{00000000-0005-0000-0000-0000BA2F0000}"/>
    <cellStyle name="Input 7 2 5" xfId="12682" xr:uid="{00000000-0005-0000-0000-0000BB2F0000}"/>
    <cellStyle name="Input 7 2 5 2" xfId="12683" xr:uid="{00000000-0005-0000-0000-0000BC2F0000}"/>
    <cellStyle name="Input 7 2 6" xfId="12684" xr:uid="{00000000-0005-0000-0000-0000BD2F0000}"/>
    <cellStyle name="Input 7 3" xfId="12685" xr:uid="{00000000-0005-0000-0000-0000BE2F0000}"/>
    <cellStyle name="Input 7 3 2" xfId="12686" xr:uid="{00000000-0005-0000-0000-0000BF2F0000}"/>
    <cellStyle name="Input 7 3 2 2" xfId="12687" xr:uid="{00000000-0005-0000-0000-0000C02F0000}"/>
    <cellStyle name="Input 7 3 2 2 2" xfId="12688" xr:uid="{00000000-0005-0000-0000-0000C12F0000}"/>
    <cellStyle name="Input 7 3 2 3" xfId="12689" xr:uid="{00000000-0005-0000-0000-0000C22F0000}"/>
    <cellStyle name="Input 7 3 2 3 2" xfId="12690" xr:uid="{00000000-0005-0000-0000-0000C32F0000}"/>
    <cellStyle name="Input 7 3 2 4" xfId="12691" xr:uid="{00000000-0005-0000-0000-0000C42F0000}"/>
    <cellStyle name="Input 7 3 3" xfId="12692" xr:uid="{00000000-0005-0000-0000-0000C52F0000}"/>
    <cellStyle name="Input 7 3 3 2" xfId="12693" xr:uid="{00000000-0005-0000-0000-0000C62F0000}"/>
    <cellStyle name="Input 7 3 3 2 2" xfId="12694" xr:uid="{00000000-0005-0000-0000-0000C72F0000}"/>
    <cellStyle name="Input 7 3 3 3" xfId="12695" xr:uid="{00000000-0005-0000-0000-0000C82F0000}"/>
    <cellStyle name="Input 7 3 3 3 2" xfId="12696" xr:uid="{00000000-0005-0000-0000-0000C92F0000}"/>
    <cellStyle name="Input 7 3 3 4" xfId="12697" xr:uid="{00000000-0005-0000-0000-0000CA2F0000}"/>
    <cellStyle name="Input 7 3 4" xfId="12698" xr:uid="{00000000-0005-0000-0000-0000CB2F0000}"/>
    <cellStyle name="Input 7 3 4 2" xfId="12699" xr:uid="{00000000-0005-0000-0000-0000CC2F0000}"/>
    <cellStyle name="Input 7 3 5" xfId="12700" xr:uid="{00000000-0005-0000-0000-0000CD2F0000}"/>
    <cellStyle name="Input 7 3 5 2" xfId="12701" xr:uid="{00000000-0005-0000-0000-0000CE2F0000}"/>
    <cellStyle name="Input 7 3 6" xfId="12702" xr:uid="{00000000-0005-0000-0000-0000CF2F0000}"/>
    <cellStyle name="Input 7 4" xfId="12703" xr:uid="{00000000-0005-0000-0000-0000D02F0000}"/>
    <cellStyle name="Input 7 4 2" xfId="12704" xr:uid="{00000000-0005-0000-0000-0000D12F0000}"/>
    <cellStyle name="Input 7 4 2 2" xfId="12705" xr:uid="{00000000-0005-0000-0000-0000D22F0000}"/>
    <cellStyle name="Input 7 4 2 2 2" xfId="12706" xr:uid="{00000000-0005-0000-0000-0000D32F0000}"/>
    <cellStyle name="Input 7 4 2 3" xfId="12707" xr:uid="{00000000-0005-0000-0000-0000D42F0000}"/>
    <cellStyle name="Input 7 4 2 3 2" xfId="12708" xr:uid="{00000000-0005-0000-0000-0000D52F0000}"/>
    <cellStyle name="Input 7 4 2 4" xfId="12709" xr:uid="{00000000-0005-0000-0000-0000D62F0000}"/>
    <cellStyle name="Input 7 4 3" xfId="12710" xr:uid="{00000000-0005-0000-0000-0000D72F0000}"/>
    <cellStyle name="Input 7 4 3 2" xfId="12711" xr:uid="{00000000-0005-0000-0000-0000D82F0000}"/>
    <cellStyle name="Input 7 4 3 2 2" xfId="12712" xr:uid="{00000000-0005-0000-0000-0000D92F0000}"/>
    <cellStyle name="Input 7 4 3 3" xfId="12713" xr:uid="{00000000-0005-0000-0000-0000DA2F0000}"/>
    <cellStyle name="Input 7 4 3 3 2" xfId="12714" xr:uid="{00000000-0005-0000-0000-0000DB2F0000}"/>
    <cellStyle name="Input 7 4 3 4" xfId="12715" xr:uid="{00000000-0005-0000-0000-0000DC2F0000}"/>
    <cellStyle name="Input 7 4 4" xfId="12716" xr:uid="{00000000-0005-0000-0000-0000DD2F0000}"/>
    <cellStyle name="Input 7 4 4 2" xfId="12717" xr:uid="{00000000-0005-0000-0000-0000DE2F0000}"/>
    <cellStyle name="Input 7 4 5" xfId="12718" xr:uid="{00000000-0005-0000-0000-0000DF2F0000}"/>
    <cellStyle name="Input 7 4 5 2" xfId="12719" xr:uid="{00000000-0005-0000-0000-0000E02F0000}"/>
    <cellStyle name="Input 7 4 6" xfId="12720" xr:uid="{00000000-0005-0000-0000-0000E12F0000}"/>
    <cellStyle name="Input 7 5" xfId="12721" xr:uid="{00000000-0005-0000-0000-0000E22F0000}"/>
    <cellStyle name="Input 7 5 2" xfId="12722" xr:uid="{00000000-0005-0000-0000-0000E32F0000}"/>
    <cellStyle name="Input 7 5 2 2" xfId="12723" xr:uid="{00000000-0005-0000-0000-0000E42F0000}"/>
    <cellStyle name="Input 7 5 3" xfId="12724" xr:uid="{00000000-0005-0000-0000-0000E52F0000}"/>
    <cellStyle name="Input 7 5 3 2" xfId="12725" xr:uid="{00000000-0005-0000-0000-0000E62F0000}"/>
    <cellStyle name="Input 7 5 4" xfId="12726" xr:uid="{00000000-0005-0000-0000-0000E72F0000}"/>
    <cellStyle name="Input 7 6" xfId="12727" xr:uid="{00000000-0005-0000-0000-0000E82F0000}"/>
    <cellStyle name="Input 7 6 2" xfId="12728" xr:uid="{00000000-0005-0000-0000-0000E92F0000}"/>
    <cellStyle name="Input 7 6 2 2" xfId="12729" xr:uid="{00000000-0005-0000-0000-0000EA2F0000}"/>
    <cellStyle name="Input 7 6 3" xfId="12730" xr:uid="{00000000-0005-0000-0000-0000EB2F0000}"/>
    <cellStyle name="Input 7 6 3 2" xfId="12731" xr:uid="{00000000-0005-0000-0000-0000EC2F0000}"/>
    <cellStyle name="Input 7 6 4" xfId="12732" xr:uid="{00000000-0005-0000-0000-0000ED2F0000}"/>
    <cellStyle name="Input 7 7" xfId="12733" xr:uid="{00000000-0005-0000-0000-0000EE2F0000}"/>
    <cellStyle name="Input 7 7 2" xfId="12734" xr:uid="{00000000-0005-0000-0000-0000EF2F0000}"/>
    <cellStyle name="Input 7 8" xfId="12735" xr:uid="{00000000-0005-0000-0000-0000F02F0000}"/>
    <cellStyle name="Input 7 8 2" xfId="12736" xr:uid="{00000000-0005-0000-0000-0000F12F0000}"/>
    <cellStyle name="Input 7 9" xfId="12737" xr:uid="{00000000-0005-0000-0000-0000F22F0000}"/>
    <cellStyle name="Input 8" xfId="12738" xr:uid="{00000000-0005-0000-0000-0000F32F0000}"/>
    <cellStyle name="Input 8 2" xfId="12739" xr:uid="{00000000-0005-0000-0000-0000F42F0000}"/>
    <cellStyle name="Input 8 2 2" xfId="12740" xr:uid="{00000000-0005-0000-0000-0000F52F0000}"/>
    <cellStyle name="Input 8 2 2 2" xfId="12741" xr:uid="{00000000-0005-0000-0000-0000F62F0000}"/>
    <cellStyle name="Input 8 2 2 2 2" xfId="12742" xr:uid="{00000000-0005-0000-0000-0000F72F0000}"/>
    <cellStyle name="Input 8 2 2 3" xfId="12743" xr:uid="{00000000-0005-0000-0000-0000F82F0000}"/>
    <cellStyle name="Input 8 2 2 3 2" xfId="12744" xr:uid="{00000000-0005-0000-0000-0000F92F0000}"/>
    <cellStyle name="Input 8 2 2 4" xfId="12745" xr:uid="{00000000-0005-0000-0000-0000FA2F0000}"/>
    <cellStyle name="Input 8 2 3" xfId="12746" xr:uid="{00000000-0005-0000-0000-0000FB2F0000}"/>
    <cellStyle name="Input 8 2 3 2" xfId="12747" xr:uid="{00000000-0005-0000-0000-0000FC2F0000}"/>
    <cellStyle name="Input 8 2 3 2 2" xfId="12748" xr:uid="{00000000-0005-0000-0000-0000FD2F0000}"/>
    <cellStyle name="Input 8 2 3 3" xfId="12749" xr:uid="{00000000-0005-0000-0000-0000FE2F0000}"/>
    <cellStyle name="Input 8 2 3 3 2" xfId="12750" xr:uid="{00000000-0005-0000-0000-0000FF2F0000}"/>
    <cellStyle name="Input 8 2 3 4" xfId="12751" xr:uid="{00000000-0005-0000-0000-000000300000}"/>
    <cellStyle name="Input 8 2 4" xfId="12752" xr:uid="{00000000-0005-0000-0000-000001300000}"/>
    <cellStyle name="Input 8 2 4 2" xfId="12753" xr:uid="{00000000-0005-0000-0000-000002300000}"/>
    <cellStyle name="Input 8 2 5" xfId="12754" xr:uid="{00000000-0005-0000-0000-000003300000}"/>
    <cellStyle name="Input 8 2 5 2" xfId="12755" xr:uid="{00000000-0005-0000-0000-000004300000}"/>
    <cellStyle name="Input 8 2 6" xfId="12756" xr:uid="{00000000-0005-0000-0000-000005300000}"/>
    <cellStyle name="Input 8 3" xfId="12757" xr:uid="{00000000-0005-0000-0000-000006300000}"/>
    <cellStyle name="Input 8 3 2" xfId="12758" xr:uid="{00000000-0005-0000-0000-000007300000}"/>
    <cellStyle name="Input 8 3 2 2" xfId="12759" xr:uid="{00000000-0005-0000-0000-000008300000}"/>
    <cellStyle name="Input 8 3 2 2 2" xfId="12760" xr:uid="{00000000-0005-0000-0000-000009300000}"/>
    <cellStyle name="Input 8 3 2 3" xfId="12761" xr:uid="{00000000-0005-0000-0000-00000A300000}"/>
    <cellStyle name="Input 8 3 2 3 2" xfId="12762" xr:uid="{00000000-0005-0000-0000-00000B300000}"/>
    <cellStyle name="Input 8 3 2 4" xfId="12763" xr:uid="{00000000-0005-0000-0000-00000C300000}"/>
    <cellStyle name="Input 8 3 3" xfId="12764" xr:uid="{00000000-0005-0000-0000-00000D300000}"/>
    <cellStyle name="Input 8 3 3 2" xfId="12765" xr:uid="{00000000-0005-0000-0000-00000E300000}"/>
    <cellStyle name="Input 8 3 3 2 2" xfId="12766" xr:uid="{00000000-0005-0000-0000-00000F300000}"/>
    <cellStyle name="Input 8 3 3 3" xfId="12767" xr:uid="{00000000-0005-0000-0000-000010300000}"/>
    <cellStyle name="Input 8 3 3 3 2" xfId="12768" xr:uid="{00000000-0005-0000-0000-000011300000}"/>
    <cellStyle name="Input 8 3 3 4" xfId="12769" xr:uid="{00000000-0005-0000-0000-000012300000}"/>
    <cellStyle name="Input 8 3 4" xfId="12770" xr:uid="{00000000-0005-0000-0000-000013300000}"/>
    <cellStyle name="Input 8 3 4 2" xfId="12771" xr:uid="{00000000-0005-0000-0000-000014300000}"/>
    <cellStyle name="Input 8 3 5" xfId="12772" xr:uid="{00000000-0005-0000-0000-000015300000}"/>
    <cellStyle name="Input 8 3 5 2" xfId="12773" xr:uid="{00000000-0005-0000-0000-000016300000}"/>
    <cellStyle name="Input 8 3 6" xfId="12774" xr:uid="{00000000-0005-0000-0000-000017300000}"/>
    <cellStyle name="Input 8 4" xfId="12775" xr:uid="{00000000-0005-0000-0000-000018300000}"/>
    <cellStyle name="Input 8 4 2" xfId="12776" xr:uid="{00000000-0005-0000-0000-000019300000}"/>
    <cellStyle name="Input 8 4 2 2" xfId="12777" xr:uid="{00000000-0005-0000-0000-00001A300000}"/>
    <cellStyle name="Input 8 4 2 2 2" xfId="12778" xr:uid="{00000000-0005-0000-0000-00001B300000}"/>
    <cellStyle name="Input 8 4 2 3" xfId="12779" xr:uid="{00000000-0005-0000-0000-00001C300000}"/>
    <cellStyle name="Input 8 4 2 3 2" xfId="12780" xr:uid="{00000000-0005-0000-0000-00001D300000}"/>
    <cellStyle name="Input 8 4 2 4" xfId="12781" xr:uid="{00000000-0005-0000-0000-00001E300000}"/>
    <cellStyle name="Input 8 4 3" xfId="12782" xr:uid="{00000000-0005-0000-0000-00001F300000}"/>
    <cellStyle name="Input 8 4 3 2" xfId="12783" xr:uid="{00000000-0005-0000-0000-000020300000}"/>
    <cellStyle name="Input 8 4 3 2 2" xfId="12784" xr:uid="{00000000-0005-0000-0000-000021300000}"/>
    <cellStyle name="Input 8 4 3 3" xfId="12785" xr:uid="{00000000-0005-0000-0000-000022300000}"/>
    <cellStyle name="Input 8 4 3 3 2" xfId="12786" xr:uid="{00000000-0005-0000-0000-000023300000}"/>
    <cellStyle name="Input 8 4 3 4" xfId="12787" xr:uid="{00000000-0005-0000-0000-000024300000}"/>
    <cellStyle name="Input 8 4 4" xfId="12788" xr:uid="{00000000-0005-0000-0000-000025300000}"/>
    <cellStyle name="Input 8 4 4 2" xfId="12789" xr:uid="{00000000-0005-0000-0000-000026300000}"/>
    <cellStyle name="Input 8 4 5" xfId="12790" xr:uid="{00000000-0005-0000-0000-000027300000}"/>
    <cellStyle name="Input 8 4 5 2" xfId="12791" xr:uid="{00000000-0005-0000-0000-000028300000}"/>
    <cellStyle name="Input 8 4 6" xfId="12792" xr:uid="{00000000-0005-0000-0000-000029300000}"/>
    <cellStyle name="Input 8 5" xfId="12793" xr:uid="{00000000-0005-0000-0000-00002A300000}"/>
    <cellStyle name="Input 8 5 2" xfId="12794" xr:uid="{00000000-0005-0000-0000-00002B300000}"/>
    <cellStyle name="Input 8 5 2 2" xfId="12795" xr:uid="{00000000-0005-0000-0000-00002C300000}"/>
    <cellStyle name="Input 8 5 3" xfId="12796" xr:uid="{00000000-0005-0000-0000-00002D300000}"/>
    <cellStyle name="Input 8 5 3 2" xfId="12797" xr:uid="{00000000-0005-0000-0000-00002E300000}"/>
    <cellStyle name="Input 8 5 4" xfId="12798" xr:uid="{00000000-0005-0000-0000-00002F300000}"/>
    <cellStyle name="Input 8 6" xfId="12799" xr:uid="{00000000-0005-0000-0000-000030300000}"/>
    <cellStyle name="Input 8 6 2" xfId="12800" xr:uid="{00000000-0005-0000-0000-000031300000}"/>
    <cellStyle name="Input 8 6 2 2" xfId="12801" xr:uid="{00000000-0005-0000-0000-000032300000}"/>
    <cellStyle name="Input 8 6 3" xfId="12802" xr:uid="{00000000-0005-0000-0000-000033300000}"/>
    <cellStyle name="Input 8 6 3 2" xfId="12803" xr:uid="{00000000-0005-0000-0000-000034300000}"/>
    <cellStyle name="Input 8 6 4" xfId="12804" xr:uid="{00000000-0005-0000-0000-000035300000}"/>
    <cellStyle name="Input 8 7" xfId="12805" xr:uid="{00000000-0005-0000-0000-000036300000}"/>
    <cellStyle name="Input 8 7 2" xfId="12806" xr:uid="{00000000-0005-0000-0000-000037300000}"/>
    <cellStyle name="Input 8 8" xfId="12807" xr:uid="{00000000-0005-0000-0000-000038300000}"/>
    <cellStyle name="Input 8 8 2" xfId="12808" xr:uid="{00000000-0005-0000-0000-000039300000}"/>
    <cellStyle name="Input 8 9" xfId="12809" xr:uid="{00000000-0005-0000-0000-00003A300000}"/>
    <cellStyle name="Input 9" xfId="12810" xr:uid="{00000000-0005-0000-0000-00003B300000}"/>
    <cellStyle name="Input 9 2" xfId="12811" xr:uid="{00000000-0005-0000-0000-00003C300000}"/>
    <cellStyle name="Input 9 2 2" xfId="12812" xr:uid="{00000000-0005-0000-0000-00003D300000}"/>
    <cellStyle name="Input 9 2 2 2" xfId="12813" xr:uid="{00000000-0005-0000-0000-00003E300000}"/>
    <cellStyle name="Input 9 2 2 2 2" xfId="12814" xr:uid="{00000000-0005-0000-0000-00003F300000}"/>
    <cellStyle name="Input 9 2 2 3" xfId="12815" xr:uid="{00000000-0005-0000-0000-000040300000}"/>
    <cellStyle name="Input 9 2 2 3 2" xfId="12816" xr:uid="{00000000-0005-0000-0000-000041300000}"/>
    <cellStyle name="Input 9 2 2 4" xfId="12817" xr:uid="{00000000-0005-0000-0000-000042300000}"/>
    <cellStyle name="Input 9 2 3" xfId="12818" xr:uid="{00000000-0005-0000-0000-000043300000}"/>
    <cellStyle name="Input 9 2 3 2" xfId="12819" xr:uid="{00000000-0005-0000-0000-000044300000}"/>
    <cellStyle name="Input 9 2 3 2 2" xfId="12820" xr:uid="{00000000-0005-0000-0000-000045300000}"/>
    <cellStyle name="Input 9 2 3 3" xfId="12821" xr:uid="{00000000-0005-0000-0000-000046300000}"/>
    <cellStyle name="Input 9 2 3 3 2" xfId="12822" xr:uid="{00000000-0005-0000-0000-000047300000}"/>
    <cellStyle name="Input 9 2 3 4" xfId="12823" xr:uid="{00000000-0005-0000-0000-000048300000}"/>
    <cellStyle name="Input 9 2 4" xfId="12824" xr:uid="{00000000-0005-0000-0000-000049300000}"/>
    <cellStyle name="Input 9 2 4 2" xfId="12825" xr:uid="{00000000-0005-0000-0000-00004A300000}"/>
    <cellStyle name="Input 9 2 5" xfId="12826" xr:uid="{00000000-0005-0000-0000-00004B300000}"/>
    <cellStyle name="Input 9 2 5 2" xfId="12827" xr:uid="{00000000-0005-0000-0000-00004C300000}"/>
    <cellStyle name="Input 9 2 6" xfId="12828" xr:uid="{00000000-0005-0000-0000-00004D300000}"/>
    <cellStyle name="Input 9 3" xfId="12829" xr:uid="{00000000-0005-0000-0000-00004E300000}"/>
    <cellStyle name="Input 9 3 2" xfId="12830" xr:uid="{00000000-0005-0000-0000-00004F300000}"/>
    <cellStyle name="Input 9 3 2 2" xfId="12831" xr:uid="{00000000-0005-0000-0000-000050300000}"/>
    <cellStyle name="Input 9 3 2 2 2" xfId="12832" xr:uid="{00000000-0005-0000-0000-000051300000}"/>
    <cellStyle name="Input 9 3 2 3" xfId="12833" xr:uid="{00000000-0005-0000-0000-000052300000}"/>
    <cellStyle name="Input 9 3 2 3 2" xfId="12834" xr:uid="{00000000-0005-0000-0000-000053300000}"/>
    <cellStyle name="Input 9 3 2 4" xfId="12835" xr:uid="{00000000-0005-0000-0000-000054300000}"/>
    <cellStyle name="Input 9 3 3" xfId="12836" xr:uid="{00000000-0005-0000-0000-000055300000}"/>
    <cellStyle name="Input 9 3 3 2" xfId="12837" xr:uid="{00000000-0005-0000-0000-000056300000}"/>
    <cellStyle name="Input 9 3 3 2 2" xfId="12838" xr:uid="{00000000-0005-0000-0000-000057300000}"/>
    <cellStyle name="Input 9 3 3 3" xfId="12839" xr:uid="{00000000-0005-0000-0000-000058300000}"/>
    <cellStyle name="Input 9 3 3 3 2" xfId="12840" xr:uid="{00000000-0005-0000-0000-000059300000}"/>
    <cellStyle name="Input 9 3 3 4" xfId="12841" xr:uid="{00000000-0005-0000-0000-00005A300000}"/>
    <cellStyle name="Input 9 3 4" xfId="12842" xr:uid="{00000000-0005-0000-0000-00005B300000}"/>
    <cellStyle name="Input 9 3 4 2" xfId="12843" xr:uid="{00000000-0005-0000-0000-00005C300000}"/>
    <cellStyle name="Input 9 3 5" xfId="12844" xr:uid="{00000000-0005-0000-0000-00005D300000}"/>
    <cellStyle name="Input 9 3 5 2" xfId="12845" xr:uid="{00000000-0005-0000-0000-00005E300000}"/>
    <cellStyle name="Input 9 3 6" xfId="12846" xr:uid="{00000000-0005-0000-0000-00005F300000}"/>
    <cellStyle name="Input 9 4" xfId="12847" xr:uid="{00000000-0005-0000-0000-000060300000}"/>
    <cellStyle name="Input 9 4 2" xfId="12848" xr:uid="{00000000-0005-0000-0000-000061300000}"/>
    <cellStyle name="Input 9 4 2 2" xfId="12849" xr:uid="{00000000-0005-0000-0000-000062300000}"/>
    <cellStyle name="Input 9 4 2 2 2" xfId="12850" xr:uid="{00000000-0005-0000-0000-000063300000}"/>
    <cellStyle name="Input 9 4 2 3" xfId="12851" xr:uid="{00000000-0005-0000-0000-000064300000}"/>
    <cellStyle name="Input 9 4 2 3 2" xfId="12852" xr:uid="{00000000-0005-0000-0000-000065300000}"/>
    <cellStyle name="Input 9 4 2 4" xfId="12853" xr:uid="{00000000-0005-0000-0000-000066300000}"/>
    <cellStyle name="Input 9 4 3" xfId="12854" xr:uid="{00000000-0005-0000-0000-000067300000}"/>
    <cellStyle name="Input 9 4 3 2" xfId="12855" xr:uid="{00000000-0005-0000-0000-000068300000}"/>
    <cellStyle name="Input 9 4 3 2 2" xfId="12856" xr:uid="{00000000-0005-0000-0000-000069300000}"/>
    <cellStyle name="Input 9 4 3 3" xfId="12857" xr:uid="{00000000-0005-0000-0000-00006A300000}"/>
    <cellStyle name="Input 9 4 3 3 2" xfId="12858" xr:uid="{00000000-0005-0000-0000-00006B300000}"/>
    <cellStyle name="Input 9 4 3 4" xfId="12859" xr:uid="{00000000-0005-0000-0000-00006C300000}"/>
    <cellStyle name="Input 9 4 4" xfId="12860" xr:uid="{00000000-0005-0000-0000-00006D300000}"/>
    <cellStyle name="Input 9 4 4 2" xfId="12861" xr:uid="{00000000-0005-0000-0000-00006E300000}"/>
    <cellStyle name="Input 9 4 5" xfId="12862" xr:uid="{00000000-0005-0000-0000-00006F300000}"/>
    <cellStyle name="Input 9 4 5 2" xfId="12863" xr:uid="{00000000-0005-0000-0000-000070300000}"/>
    <cellStyle name="Input 9 4 6" xfId="12864" xr:uid="{00000000-0005-0000-0000-000071300000}"/>
    <cellStyle name="Input 9 5" xfId="12865" xr:uid="{00000000-0005-0000-0000-000072300000}"/>
    <cellStyle name="Input 9 5 2" xfId="12866" xr:uid="{00000000-0005-0000-0000-000073300000}"/>
    <cellStyle name="Input 9 5 2 2" xfId="12867" xr:uid="{00000000-0005-0000-0000-000074300000}"/>
    <cellStyle name="Input 9 5 3" xfId="12868" xr:uid="{00000000-0005-0000-0000-000075300000}"/>
    <cellStyle name="Input 9 5 3 2" xfId="12869" xr:uid="{00000000-0005-0000-0000-000076300000}"/>
    <cellStyle name="Input 9 5 4" xfId="12870" xr:uid="{00000000-0005-0000-0000-000077300000}"/>
    <cellStyle name="Input 9 6" xfId="12871" xr:uid="{00000000-0005-0000-0000-000078300000}"/>
    <cellStyle name="Input 9 6 2" xfId="12872" xr:uid="{00000000-0005-0000-0000-000079300000}"/>
    <cellStyle name="Input 9 6 2 2" xfId="12873" xr:uid="{00000000-0005-0000-0000-00007A300000}"/>
    <cellStyle name="Input 9 6 3" xfId="12874" xr:uid="{00000000-0005-0000-0000-00007B300000}"/>
    <cellStyle name="Input 9 6 3 2" xfId="12875" xr:uid="{00000000-0005-0000-0000-00007C300000}"/>
    <cellStyle name="Input 9 6 4" xfId="12876" xr:uid="{00000000-0005-0000-0000-00007D300000}"/>
    <cellStyle name="Input 9 7" xfId="12877" xr:uid="{00000000-0005-0000-0000-00007E300000}"/>
    <cellStyle name="Input 9 7 2" xfId="12878" xr:uid="{00000000-0005-0000-0000-00007F300000}"/>
    <cellStyle name="Input 9 8" xfId="12879" xr:uid="{00000000-0005-0000-0000-000080300000}"/>
    <cellStyle name="Input 9 8 2" xfId="12880" xr:uid="{00000000-0005-0000-0000-000081300000}"/>
    <cellStyle name="Input 9 9" xfId="12881" xr:uid="{00000000-0005-0000-0000-000082300000}"/>
    <cellStyle name="Ioe?uaaaoayny aeia?nnueea" xfId="12882" xr:uid="{00000000-0005-0000-0000-000083300000}"/>
    <cellStyle name="Ioe?uaaaoayny aeia?nnueea 2" xfId="12883" xr:uid="{00000000-0005-0000-0000-000084300000}"/>
    <cellStyle name="Ioe?uaaaoayny aeia?nnueea 3" xfId="12884" xr:uid="{00000000-0005-0000-0000-000085300000}"/>
    <cellStyle name="Ioe?uaaaoayny aeia?nnueea 4" xfId="12885" xr:uid="{00000000-0005-0000-0000-000086300000}"/>
    <cellStyle name="ISO" xfId="12886" xr:uid="{00000000-0005-0000-0000-000087300000}"/>
    <cellStyle name="ISO 2" xfId="12887" xr:uid="{00000000-0005-0000-0000-000088300000}"/>
    <cellStyle name="ISO 3" xfId="12888" xr:uid="{00000000-0005-0000-0000-000089300000}"/>
    <cellStyle name="ISO 4" xfId="12889" xr:uid="{00000000-0005-0000-0000-00008A300000}"/>
    <cellStyle name="Komma [0]_Arcen" xfId="12890" xr:uid="{00000000-0005-0000-0000-00008B300000}"/>
    <cellStyle name="Komma_Arcen" xfId="12891" xr:uid="{00000000-0005-0000-0000-00008C300000}"/>
    <cellStyle name="Link Currency (0)" xfId="12892" xr:uid="{00000000-0005-0000-0000-00008D300000}"/>
    <cellStyle name="Link Currency (2)" xfId="12893" xr:uid="{00000000-0005-0000-0000-00008E300000}"/>
    <cellStyle name="Link Units (0)" xfId="12894" xr:uid="{00000000-0005-0000-0000-00008F300000}"/>
    <cellStyle name="Link Units (1)" xfId="12895" xr:uid="{00000000-0005-0000-0000-000090300000}"/>
    <cellStyle name="Link Units (2)" xfId="12896" xr:uid="{00000000-0005-0000-0000-000091300000}"/>
    <cellStyle name="Linked Cell" xfId="12897" xr:uid="{00000000-0005-0000-0000-000092300000}"/>
    <cellStyle name="Locked Cell - PerformancePoint" xfId="12898" xr:uid="{00000000-0005-0000-0000-000093300000}"/>
    <cellStyle name="Milliers [0]_BUDGET" xfId="12899" xr:uid="{00000000-0005-0000-0000-000094300000}"/>
    <cellStyle name="Milliers_BUDGET" xfId="12900" xr:uid="{00000000-0005-0000-0000-000095300000}"/>
    <cellStyle name="mnb" xfId="12901" xr:uid="{00000000-0005-0000-0000-000096300000}"/>
    <cellStyle name="mnb 10" xfId="12902" xr:uid="{00000000-0005-0000-0000-000097300000}"/>
    <cellStyle name="mnb 10 2" xfId="12903" xr:uid="{00000000-0005-0000-0000-000098300000}"/>
    <cellStyle name="mnb 10 2 2" xfId="12904" xr:uid="{00000000-0005-0000-0000-000099300000}"/>
    <cellStyle name="mnb 10 2 2 2" xfId="12905" xr:uid="{00000000-0005-0000-0000-00009A300000}"/>
    <cellStyle name="mnb 10 2 3" xfId="12906" xr:uid="{00000000-0005-0000-0000-00009B300000}"/>
    <cellStyle name="mnb 10 2 3 2" xfId="12907" xr:uid="{00000000-0005-0000-0000-00009C300000}"/>
    <cellStyle name="mnb 10 2 4" xfId="12908" xr:uid="{00000000-0005-0000-0000-00009D300000}"/>
    <cellStyle name="mnb 10 3" xfId="12909" xr:uid="{00000000-0005-0000-0000-00009E300000}"/>
    <cellStyle name="mnb 10 3 2" xfId="12910" xr:uid="{00000000-0005-0000-0000-00009F300000}"/>
    <cellStyle name="mnb 10 3 2 2" xfId="12911" xr:uid="{00000000-0005-0000-0000-0000A0300000}"/>
    <cellStyle name="mnb 10 3 3" xfId="12912" xr:uid="{00000000-0005-0000-0000-0000A1300000}"/>
    <cellStyle name="mnb 10 3 3 2" xfId="12913" xr:uid="{00000000-0005-0000-0000-0000A2300000}"/>
    <cellStyle name="mnb 10 3 4" xfId="12914" xr:uid="{00000000-0005-0000-0000-0000A3300000}"/>
    <cellStyle name="mnb 10 4" xfId="12915" xr:uid="{00000000-0005-0000-0000-0000A4300000}"/>
    <cellStyle name="mnb 10 4 2" xfId="12916" xr:uid="{00000000-0005-0000-0000-0000A5300000}"/>
    <cellStyle name="mnb 10 5" xfId="12917" xr:uid="{00000000-0005-0000-0000-0000A6300000}"/>
    <cellStyle name="mnb 10 5 2" xfId="12918" xr:uid="{00000000-0005-0000-0000-0000A7300000}"/>
    <cellStyle name="mnb 10 6" xfId="12919" xr:uid="{00000000-0005-0000-0000-0000A8300000}"/>
    <cellStyle name="mnb 11" xfId="12920" xr:uid="{00000000-0005-0000-0000-0000A9300000}"/>
    <cellStyle name="mnb 11 2" xfId="12921" xr:uid="{00000000-0005-0000-0000-0000AA300000}"/>
    <cellStyle name="mnb 11 2 2" xfId="12922" xr:uid="{00000000-0005-0000-0000-0000AB300000}"/>
    <cellStyle name="mnb 11 2 2 2" xfId="12923" xr:uid="{00000000-0005-0000-0000-0000AC300000}"/>
    <cellStyle name="mnb 11 2 3" xfId="12924" xr:uid="{00000000-0005-0000-0000-0000AD300000}"/>
    <cellStyle name="mnb 11 2 3 2" xfId="12925" xr:uid="{00000000-0005-0000-0000-0000AE300000}"/>
    <cellStyle name="mnb 11 2 4" xfId="12926" xr:uid="{00000000-0005-0000-0000-0000AF300000}"/>
    <cellStyle name="mnb 11 3" xfId="12927" xr:uid="{00000000-0005-0000-0000-0000B0300000}"/>
    <cellStyle name="mnb 11 3 2" xfId="12928" xr:uid="{00000000-0005-0000-0000-0000B1300000}"/>
    <cellStyle name="mnb 11 3 2 2" xfId="12929" xr:uid="{00000000-0005-0000-0000-0000B2300000}"/>
    <cellStyle name="mnb 11 3 3" xfId="12930" xr:uid="{00000000-0005-0000-0000-0000B3300000}"/>
    <cellStyle name="mnb 11 3 3 2" xfId="12931" xr:uid="{00000000-0005-0000-0000-0000B4300000}"/>
    <cellStyle name="mnb 11 3 4" xfId="12932" xr:uid="{00000000-0005-0000-0000-0000B5300000}"/>
    <cellStyle name="mnb 11 4" xfId="12933" xr:uid="{00000000-0005-0000-0000-0000B6300000}"/>
    <cellStyle name="mnb 11 4 2" xfId="12934" xr:uid="{00000000-0005-0000-0000-0000B7300000}"/>
    <cellStyle name="mnb 11 5" xfId="12935" xr:uid="{00000000-0005-0000-0000-0000B8300000}"/>
    <cellStyle name="mnb 11 5 2" xfId="12936" xr:uid="{00000000-0005-0000-0000-0000B9300000}"/>
    <cellStyle name="mnb 11 6" xfId="12937" xr:uid="{00000000-0005-0000-0000-0000BA300000}"/>
    <cellStyle name="mnb 12" xfId="12938" xr:uid="{00000000-0005-0000-0000-0000BB300000}"/>
    <cellStyle name="mnb 12 2" xfId="12939" xr:uid="{00000000-0005-0000-0000-0000BC300000}"/>
    <cellStyle name="mnb 12 2 2" xfId="12940" xr:uid="{00000000-0005-0000-0000-0000BD300000}"/>
    <cellStyle name="mnb 12 2 2 2" xfId="12941" xr:uid="{00000000-0005-0000-0000-0000BE300000}"/>
    <cellStyle name="mnb 12 2 3" xfId="12942" xr:uid="{00000000-0005-0000-0000-0000BF300000}"/>
    <cellStyle name="mnb 12 2 3 2" xfId="12943" xr:uid="{00000000-0005-0000-0000-0000C0300000}"/>
    <cellStyle name="mnb 12 2 4" xfId="12944" xr:uid="{00000000-0005-0000-0000-0000C1300000}"/>
    <cellStyle name="mnb 12 3" xfId="12945" xr:uid="{00000000-0005-0000-0000-0000C2300000}"/>
    <cellStyle name="mnb 12 3 2" xfId="12946" xr:uid="{00000000-0005-0000-0000-0000C3300000}"/>
    <cellStyle name="mnb 12 3 2 2" xfId="12947" xr:uid="{00000000-0005-0000-0000-0000C4300000}"/>
    <cellStyle name="mnb 12 3 3" xfId="12948" xr:uid="{00000000-0005-0000-0000-0000C5300000}"/>
    <cellStyle name="mnb 12 3 3 2" xfId="12949" xr:uid="{00000000-0005-0000-0000-0000C6300000}"/>
    <cellStyle name="mnb 12 3 4" xfId="12950" xr:uid="{00000000-0005-0000-0000-0000C7300000}"/>
    <cellStyle name="mnb 12 4" xfId="12951" xr:uid="{00000000-0005-0000-0000-0000C8300000}"/>
    <cellStyle name="mnb 12 4 2" xfId="12952" xr:uid="{00000000-0005-0000-0000-0000C9300000}"/>
    <cellStyle name="mnb 12 5" xfId="12953" xr:uid="{00000000-0005-0000-0000-0000CA300000}"/>
    <cellStyle name="mnb 12 5 2" xfId="12954" xr:uid="{00000000-0005-0000-0000-0000CB300000}"/>
    <cellStyle name="mnb 12 6" xfId="12955" xr:uid="{00000000-0005-0000-0000-0000CC300000}"/>
    <cellStyle name="mnb 13" xfId="12956" xr:uid="{00000000-0005-0000-0000-0000CD300000}"/>
    <cellStyle name="mnb 13 2" xfId="12957" xr:uid="{00000000-0005-0000-0000-0000CE300000}"/>
    <cellStyle name="mnb 13 2 2" xfId="12958" xr:uid="{00000000-0005-0000-0000-0000CF300000}"/>
    <cellStyle name="mnb 13 2 2 2" xfId="12959" xr:uid="{00000000-0005-0000-0000-0000D0300000}"/>
    <cellStyle name="mnb 13 2 3" xfId="12960" xr:uid="{00000000-0005-0000-0000-0000D1300000}"/>
    <cellStyle name="mnb 13 2 3 2" xfId="12961" xr:uid="{00000000-0005-0000-0000-0000D2300000}"/>
    <cellStyle name="mnb 13 2 4" xfId="12962" xr:uid="{00000000-0005-0000-0000-0000D3300000}"/>
    <cellStyle name="mnb 13 3" xfId="12963" xr:uid="{00000000-0005-0000-0000-0000D4300000}"/>
    <cellStyle name="mnb 13 3 2" xfId="12964" xr:uid="{00000000-0005-0000-0000-0000D5300000}"/>
    <cellStyle name="mnb 13 3 2 2" xfId="12965" xr:uid="{00000000-0005-0000-0000-0000D6300000}"/>
    <cellStyle name="mnb 13 3 3" xfId="12966" xr:uid="{00000000-0005-0000-0000-0000D7300000}"/>
    <cellStyle name="mnb 13 3 3 2" xfId="12967" xr:uid="{00000000-0005-0000-0000-0000D8300000}"/>
    <cellStyle name="mnb 13 3 4" xfId="12968" xr:uid="{00000000-0005-0000-0000-0000D9300000}"/>
    <cellStyle name="mnb 13 4" xfId="12969" xr:uid="{00000000-0005-0000-0000-0000DA300000}"/>
    <cellStyle name="mnb 13 4 2" xfId="12970" xr:uid="{00000000-0005-0000-0000-0000DB300000}"/>
    <cellStyle name="mnb 13 5" xfId="12971" xr:uid="{00000000-0005-0000-0000-0000DC300000}"/>
    <cellStyle name="mnb 13 5 2" xfId="12972" xr:uid="{00000000-0005-0000-0000-0000DD300000}"/>
    <cellStyle name="mnb 13 6" xfId="12973" xr:uid="{00000000-0005-0000-0000-0000DE300000}"/>
    <cellStyle name="mnb 14" xfId="12974" xr:uid="{00000000-0005-0000-0000-0000DF300000}"/>
    <cellStyle name="mnb 14 2" xfId="12975" xr:uid="{00000000-0005-0000-0000-0000E0300000}"/>
    <cellStyle name="mnb 14 2 2" xfId="12976" xr:uid="{00000000-0005-0000-0000-0000E1300000}"/>
    <cellStyle name="mnb 14 2 2 2" xfId="12977" xr:uid="{00000000-0005-0000-0000-0000E2300000}"/>
    <cellStyle name="mnb 14 2 3" xfId="12978" xr:uid="{00000000-0005-0000-0000-0000E3300000}"/>
    <cellStyle name="mnb 14 2 3 2" xfId="12979" xr:uid="{00000000-0005-0000-0000-0000E4300000}"/>
    <cellStyle name="mnb 14 2 4" xfId="12980" xr:uid="{00000000-0005-0000-0000-0000E5300000}"/>
    <cellStyle name="mnb 14 3" xfId="12981" xr:uid="{00000000-0005-0000-0000-0000E6300000}"/>
    <cellStyle name="mnb 14 3 2" xfId="12982" xr:uid="{00000000-0005-0000-0000-0000E7300000}"/>
    <cellStyle name="mnb 14 3 2 2" xfId="12983" xr:uid="{00000000-0005-0000-0000-0000E8300000}"/>
    <cellStyle name="mnb 14 3 3" xfId="12984" xr:uid="{00000000-0005-0000-0000-0000E9300000}"/>
    <cellStyle name="mnb 14 3 3 2" xfId="12985" xr:uid="{00000000-0005-0000-0000-0000EA300000}"/>
    <cellStyle name="mnb 14 3 4" xfId="12986" xr:uid="{00000000-0005-0000-0000-0000EB300000}"/>
    <cellStyle name="mnb 14 4" xfId="12987" xr:uid="{00000000-0005-0000-0000-0000EC300000}"/>
    <cellStyle name="mnb 14 4 2" xfId="12988" xr:uid="{00000000-0005-0000-0000-0000ED300000}"/>
    <cellStyle name="mnb 14 5" xfId="12989" xr:uid="{00000000-0005-0000-0000-0000EE300000}"/>
    <cellStyle name="mnb 14 5 2" xfId="12990" xr:uid="{00000000-0005-0000-0000-0000EF300000}"/>
    <cellStyle name="mnb 14 6" xfId="12991" xr:uid="{00000000-0005-0000-0000-0000F0300000}"/>
    <cellStyle name="mnb 15" xfId="12992" xr:uid="{00000000-0005-0000-0000-0000F1300000}"/>
    <cellStyle name="mnb 15 2" xfId="12993" xr:uid="{00000000-0005-0000-0000-0000F2300000}"/>
    <cellStyle name="mnb 15 2 2" xfId="12994" xr:uid="{00000000-0005-0000-0000-0000F3300000}"/>
    <cellStyle name="mnb 15 2 2 2" xfId="12995" xr:uid="{00000000-0005-0000-0000-0000F4300000}"/>
    <cellStyle name="mnb 15 2 3" xfId="12996" xr:uid="{00000000-0005-0000-0000-0000F5300000}"/>
    <cellStyle name="mnb 15 2 3 2" xfId="12997" xr:uid="{00000000-0005-0000-0000-0000F6300000}"/>
    <cellStyle name="mnb 15 2 4" xfId="12998" xr:uid="{00000000-0005-0000-0000-0000F7300000}"/>
    <cellStyle name="mnb 15 3" xfId="12999" xr:uid="{00000000-0005-0000-0000-0000F8300000}"/>
    <cellStyle name="mnb 15 3 2" xfId="13000" xr:uid="{00000000-0005-0000-0000-0000F9300000}"/>
    <cellStyle name="mnb 15 3 2 2" xfId="13001" xr:uid="{00000000-0005-0000-0000-0000FA300000}"/>
    <cellStyle name="mnb 15 3 3" xfId="13002" xr:uid="{00000000-0005-0000-0000-0000FB300000}"/>
    <cellStyle name="mnb 15 3 3 2" xfId="13003" xr:uid="{00000000-0005-0000-0000-0000FC300000}"/>
    <cellStyle name="mnb 15 3 4" xfId="13004" xr:uid="{00000000-0005-0000-0000-0000FD300000}"/>
    <cellStyle name="mnb 15 4" xfId="13005" xr:uid="{00000000-0005-0000-0000-0000FE300000}"/>
    <cellStyle name="mnb 15 4 2" xfId="13006" xr:uid="{00000000-0005-0000-0000-0000FF300000}"/>
    <cellStyle name="mnb 15 5" xfId="13007" xr:uid="{00000000-0005-0000-0000-000000310000}"/>
    <cellStyle name="mnb 15 5 2" xfId="13008" xr:uid="{00000000-0005-0000-0000-000001310000}"/>
    <cellStyle name="mnb 15 6" xfId="13009" xr:uid="{00000000-0005-0000-0000-000002310000}"/>
    <cellStyle name="mnb 16" xfId="13010" xr:uid="{00000000-0005-0000-0000-000003310000}"/>
    <cellStyle name="mnb 16 2" xfId="13011" xr:uid="{00000000-0005-0000-0000-000004310000}"/>
    <cellStyle name="mnb 16 2 2" xfId="13012" xr:uid="{00000000-0005-0000-0000-000005310000}"/>
    <cellStyle name="mnb 16 2 2 2" xfId="13013" xr:uid="{00000000-0005-0000-0000-000006310000}"/>
    <cellStyle name="mnb 16 2 3" xfId="13014" xr:uid="{00000000-0005-0000-0000-000007310000}"/>
    <cellStyle name="mnb 16 2 3 2" xfId="13015" xr:uid="{00000000-0005-0000-0000-000008310000}"/>
    <cellStyle name="mnb 16 2 4" xfId="13016" xr:uid="{00000000-0005-0000-0000-000009310000}"/>
    <cellStyle name="mnb 16 3" xfId="13017" xr:uid="{00000000-0005-0000-0000-00000A310000}"/>
    <cellStyle name="mnb 16 3 2" xfId="13018" xr:uid="{00000000-0005-0000-0000-00000B310000}"/>
    <cellStyle name="mnb 16 3 2 2" xfId="13019" xr:uid="{00000000-0005-0000-0000-00000C310000}"/>
    <cellStyle name="mnb 16 3 3" xfId="13020" xr:uid="{00000000-0005-0000-0000-00000D310000}"/>
    <cellStyle name="mnb 16 3 3 2" xfId="13021" xr:uid="{00000000-0005-0000-0000-00000E310000}"/>
    <cellStyle name="mnb 16 3 4" xfId="13022" xr:uid="{00000000-0005-0000-0000-00000F310000}"/>
    <cellStyle name="mnb 16 4" xfId="13023" xr:uid="{00000000-0005-0000-0000-000010310000}"/>
    <cellStyle name="mnb 16 4 2" xfId="13024" xr:uid="{00000000-0005-0000-0000-000011310000}"/>
    <cellStyle name="mnb 16 5" xfId="13025" xr:uid="{00000000-0005-0000-0000-000012310000}"/>
    <cellStyle name="mnb 16 5 2" xfId="13026" xr:uid="{00000000-0005-0000-0000-000013310000}"/>
    <cellStyle name="mnb 16 6" xfId="13027" xr:uid="{00000000-0005-0000-0000-000014310000}"/>
    <cellStyle name="mnb 17" xfId="13028" xr:uid="{00000000-0005-0000-0000-000015310000}"/>
    <cellStyle name="mnb 17 2" xfId="13029" xr:uid="{00000000-0005-0000-0000-000016310000}"/>
    <cellStyle name="mnb 17 2 2" xfId="13030" xr:uid="{00000000-0005-0000-0000-000017310000}"/>
    <cellStyle name="mnb 17 2 2 2" xfId="13031" xr:uid="{00000000-0005-0000-0000-000018310000}"/>
    <cellStyle name="mnb 17 2 3" xfId="13032" xr:uid="{00000000-0005-0000-0000-000019310000}"/>
    <cellStyle name="mnb 17 2 3 2" xfId="13033" xr:uid="{00000000-0005-0000-0000-00001A310000}"/>
    <cellStyle name="mnb 17 2 4" xfId="13034" xr:uid="{00000000-0005-0000-0000-00001B310000}"/>
    <cellStyle name="mnb 17 3" xfId="13035" xr:uid="{00000000-0005-0000-0000-00001C310000}"/>
    <cellStyle name="mnb 17 3 2" xfId="13036" xr:uid="{00000000-0005-0000-0000-00001D310000}"/>
    <cellStyle name="mnb 17 3 2 2" xfId="13037" xr:uid="{00000000-0005-0000-0000-00001E310000}"/>
    <cellStyle name="mnb 17 3 3" xfId="13038" xr:uid="{00000000-0005-0000-0000-00001F310000}"/>
    <cellStyle name="mnb 17 3 3 2" xfId="13039" xr:uid="{00000000-0005-0000-0000-000020310000}"/>
    <cellStyle name="mnb 17 3 4" xfId="13040" xr:uid="{00000000-0005-0000-0000-000021310000}"/>
    <cellStyle name="mnb 17 4" xfId="13041" xr:uid="{00000000-0005-0000-0000-000022310000}"/>
    <cellStyle name="mnb 17 4 2" xfId="13042" xr:uid="{00000000-0005-0000-0000-000023310000}"/>
    <cellStyle name="mnb 17 5" xfId="13043" xr:uid="{00000000-0005-0000-0000-000024310000}"/>
    <cellStyle name="mnb 17 5 2" xfId="13044" xr:uid="{00000000-0005-0000-0000-000025310000}"/>
    <cellStyle name="mnb 17 6" xfId="13045" xr:uid="{00000000-0005-0000-0000-000026310000}"/>
    <cellStyle name="mnb 18" xfId="13046" xr:uid="{00000000-0005-0000-0000-000027310000}"/>
    <cellStyle name="mnb 18 2" xfId="13047" xr:uid="{00000000-0005-0000-0000-000028310000}"/>
    <cellStyle name="mnb 18 2 2" xfId="13048" xr:uid="{00000000-0005-0000-0000-000029310000}"/>
    <cellStyle name="mnb 18 2 2 2" xfId="13049" xr:uid="{00000000-0005-0000-0000-00002A310000}"/>
    <cellStyle name="mnb 18 2 3" xfId="13050" xr:uid="{00000000-0005-0000-0000-00002B310000}"/>
    <cellStyle name="mnb 18 2 3 2" xfId="13051" xr:uid="{00000000-0005-0000-0000-00002C310000}"/>
    <cellStyle name="mnb 18 2 4" xfId="13052" xr:uid="{00000000-0005-0000-0000-00002D310000}"/>
    <cellStyle name="mnb 18 3" xfId="13053" xr:uid="{00000000-0005-0000-0000-00002E310000}"/>
    <cellStyle name="mnb 18 3 2" xfId="13054" xr:uid="{00000000-0005-0000-0000-00002F310000}"/>
    <cellStyle name="mnb 18 3 2 2" xfId="13055" xr:uid="{00000000-0005-0000-0000-000030310000}"/>
    <cellStyle name="mnb 18 3 3" xfId="13056" xr:uid="{00000000-0005-0000-0000-000031310000}"/>
    <cellStyle name="mnb 18 3 3 2" xfId="13057" xr:uid="{00000000-0005-0000-0000-000032310000}"/>
    <cellStyle name="mnb 18 3 4" xfId="13058" xr:uid="{00000000-0005-0000-0000-000033310000}"/>
    <cellStyle name="mnb 18 4" xfId="13059" xr:uid="{00000000-0005-0000-0000-000034310000}"/>
    <cellStyle name="mnb 18 4 2" xfId="13060" xr:uid="{00000000-0005-0000-0000-000035310000}"/>
    <cellStyle name="mnb 18 5" xfId="13061" xr:uid="{00000000-0005-0000-0000-000036310000}"/>
    <cellStyle name="mnb 18 5 2" xfId="13062" xr:uid="{00000000-0005-0000-0000-000037310000}"/>
    <cellStyle name="mnb 18 6" xfId="13063" xr:uid="{00000000-0005-0000-0000-000038310000}"/>
    <cellStyle name="mnb 19" xfId="13064" xr:uid="{00000000-0005-0000-0000-000039310000}"/>
    <cellStyle name="mnb 19 2" xfId="13065" xr:uid="{00000000-0005-0000-0000-00003A310000}"/>
    <cellStyle name="mnb 19 2 2" xfId="13066" xr:uid="{00000000-0005-0000-0000-00003B310000}"/>
    <cellStyle name="mnb 19 2 2 2" xfId="13067" xr:uid="{00000000-0005-0000-0000-00003C310000}"/>
    <cellStyle name="mnb 19 2 3" xfId="13068" xr:uid="{00000000-0005-0000-0000-00003D310000}"/>
    <cellStyle name="mnb 19 2 3 2" xfId="13069" xr:uid="{00000000-0005-0000-0000-00003E310000}"/>
    <cellStyle name="mnb 19 2 4" xfId="13070" xr:uid="{00000000-0005-0000-0000-00003F310000}"/>
    <cellStyle name="mnb 19 3" xfId="13071" xr:uid="{00000000-0005-0000-0000-000040310000}"/>
    <cellStyle name="mnb 19 3 2" xfId="13072" xr:uid="{00000000-0005-0000-0000-000041310000}"/>
    <cellStyle name="mnb 19 3 2 2" xfId="13073" xr:uid="{00000000-0005-0000-0000-000042310000}"/>
    <cellStyle name="mnb 19 3 3" xfId="13074" xr:uid="{00000000-0005-0000-0000-000043310000}"/>
    <cellStyle name="mnb 19 3 3 2" xfId="13075" xr:uid="{00000000-0005-0000-0000-000044310000}"/>
    <cellStyle name="mnb 19 3 4" xfId="13076" xr:uid="{00000000-0005-0000-0000-000045310000}"/>
    <cellStyle name="mnb 19 4" xfId="13077" xr:uid="{00000000-0005-0000-0000-000046310000}"/>
    <cellStyle name="mnb 19 4 2" xfId="13078" xr:uid="{00000000-0005-0000-0000-000047310000}"/>
    <cellStyle name="mnb 19 5" xfId="13079" xr:uid="{00000000-0005-0000-0000-000048310000}"/>
    <cellStyle name="mnb 19 5 2" xfId="13080" xr:uid="{00000000-0005-0000-0000-000049310000}"/>
    <cellStyle name="mnb 19 6" xfId="13081" xr:uid="{00000000-0005-0000-0000-00004A310000}"/>
    <cellStyle name="mnb 2" xfId="13082" xr:uid="{00000000-0005-0000-0000-00004B310000}"/>
    <cellStyle name="mnb 2 2" xfId="13083" xr:uid="{00000000-0005-0000-0000-00004C310000}"/>
    <cellStyle name="mnb 2 2 2" xfId="13084" xr:uid="{00000000-0005-0000-0000-00004D310000}"/>
    <cellStyle name="mnb 2 2 2 2" xfId="13085" xr:uid="{00000000-0005-0000-0000-00004E310000}"/>
    <cellStyle name="mnb 2 2 3" xfId="13086" xr:uid="{00000000-0005-0000-0000-00004F310000}"/>
    <cellStyle name="mnb 2 2 3 2" xfId="13087" xr:uid="{00000000-0005-0000-0000-000050310000}"/>
    <cellStyle name="mnb 2 2 4" xfId="13088" xr:uid="{00000000-0005-0000-0000-000051310000}"/>
    <cellStyle name="mnb 2 3" xfId="13089" xr:uid="{00000000-0005-0000-0000-000052310000}"/>
    <cellStyle name="mnb 2 3 2" xfId="13090" xr:uid="{00000000-0005-0000-0000-000053310000}"/>
    <cellStyle name="mnb 2 3 2 2" xfId="13091" xr:uid="{00000000-0005-0000-0000-000054310000}"/>
    <cellStyle name="mnb 2 3 3" xfId="13092" xr:uid="{00000000-0005-0000-0000-000055310000}"/>
    <cellStyle name="mnb 2 3 3 2" xfId="13093" xr:uid="{00000000-0005-0000-0000-000056310000}"/>
    <cellStyle name="mnb 2 3 4" xfId="13094" xr:uid="{00000000-0005-0000-0000-000057310000}"/>
    <cellStyle name="mnb 2 4" xfId="13095" xr:uid="{00000000-0005-0000-0000-000058310000}"/>
    <cellStyle name="mnb 2 4 2" xfId="13096" xr:uid="{00000000-0005-0000-0000-000059310000}"/>
    <cellStyle name="mnb 2 5" xfId="13097" xr:uid="{00000000-0005-0000-0000-00005A310000}"/>
    <cellStyle name="mnb 2 5 2" xfId="13098" xr:uid="{00000000-0005-0000-0000-00005B310000}"/>
    <cellStyle name="mnb 2 6" xfId="13099" xr:uid="{00000000-0005-0000-0000-00005C310000}"/>
    <cellStyle name="mnb 20" xfId="13100" xr:uid="{00000000-0005-0000-0000-00005D310000}"/>
    <cellStyle name="mnb 20 2" xfId="13101" xr:uid="{00000000-0005-0000-0000-00005E310000}"/>
    <cellStyle name="mnb 20 2 2" xfId="13102" xr:uid="{00000000-0005-0000-0000-00005F310000}"/>
    <cellStyle name="mnb 20 2 2 2" xfId="13103" xr:uid="{00000000-0005-0000-0000-000060310000}"/>
    <cellStyle name="mnb 20 2 3" xfId="13104" xr:uid="{00000000-0005-0000-0000-000061310000}"/>
    <cellStyle name="mnb 20 2 3 2" xfId="13105" xr:uid="{00000000-0005-0000-0000-000062310000}"/>
    <cellStyle name="mnb 20 2 4" xfId="13106" xr:uid="{00000000-0005-0000-0000-000063310000}"/>
    <cellStyle name="mnb 20 3" xfId="13107" xr:uid="{00000000-0005-0000-0000-000064310000}"/>
    <cellStyle name="mnb 20 3 2" xfId="13108" xr:uid="{00000000-0005-0000-0000-000065310000}"/>
    <cellStyle name="mnb 20 3 2 2" xfId="13109" xr:uid="{00000000-0005-0000-0000-000066310000}"/>
    <cellStyle name="mnb 20 3 3" xfId="13110" xr:uid="{00000000-0005-0000-0000-000067310000}"/>
    <cellStyle name="mnb 20 3 3 2" xfId="13111" xr:uid="{00000000-0005-0000-0000-000068310000}"/>
    <cellStyle name="mnb 20 3 4" xfId="13112" xr:uid="{00000000-0005-0000-0000-000069310000}"/>
    <cellStyle name="mnb 20 4" xfId="13113" xr:uid="{00000000-0005-0000-0000-00006A310000}"/>
    <cellStyle name="mnb 20 4 2" xfId="13114" xr:uid="{00000000-0005-0000-0000-00006B310000}"/>
    <cellStyle name="mnb 20 5" xfId="13115" xr:uid="{00000000-0005-0000-0000-00006C310000}"/>
    <cellStyle name="mnb 20 5 2" xfId="13116" xr:uid="{00000000-0005-0000-0000-00006D310000}"/>
    <cellStyle name="mnb 20 6" xfId="13117" xr:uid="{00000000-0005-0000-0000-00006E310000}"/>
    <cellStyle name="mnb 21" xfId="13118" xr:uid="{00000000-0005-0000-0000-00006F310000}"/>
    <cellStyle name="mnb 21 2" xfId="13119" xr:uid="{00000000-0005-0000-0000-000070310000}"/>
    <cellStyle name="mnb 21 2 2" xfId="13120" xr:uid="{00000000-0005-0000-0000-000071310000}"/>
    <cellStyle name="mnb 21 3" xfId="13121" xr:uid="{00000000-0005-0000-0000-000072310000}"/>
    <cellStyle name="mnb 21 3 2" xfId="13122" xr:uid="{00000000-0005-0000-0000-000073310000}"/>
    <cellStyle name="mnb 21 4" xfId="13123" xr:uid="{00000000-0005-0000-0000-000074310000}"/>
    <cellStyle name="mnb 22" xfId="13124" xr:uid="{00000000-0005-0000-0000-000075310000}"/>
    <cellStyle name="mnb 22 2" xfId="13125" xr:uid="{00000000-0005-0000-0000-000076310000}"/>
    <cellStyle name="mnb 22 2 2" xfId="13126" xr:uid="{00000000-0005-0000-0000-000077310000}"/>
    <cellStyle name="mnb 22 3" xfId="13127" xr:uid="{00000000-0005-0000-0000-000078310000}"/>
    <cellStyle name="mnb 22 3 2" xfId="13128" xr:uid="{00000000-0005-0000-0000-000079310000}"/>
    <cellStyle name="mnb 22 4" xfId="13129" xr:uid="{00000000-0005-0000-0000-00007A310000}"/>
    <cellStyle name="mnb 23" xfId="13130" xr:uid="{00000000-0005-0000-0000-00007B310000}"/>
    <cellStyle name="mnb 23 2" xfId="13131" xr:uid="{00000000-0005-0000-0000-00007C310000}"/>
    <cellStyle name="mnb 24" xfId="13132" xr:uid="{00000000-0005-0000-0000-00007D310000}"/>
    <cellStyle name="mnb 24 2" xfId="13133" xr:uid="{00000000-0005-0000-0000-00007E310000}"/>
    <cellStyle name="mnb 25" xfId="13134" xr:uid="{00000000-0005-0000-0000-00007F310000}"/>
    <cellStyle name="mnb 3" xfId="13135" xr:uid="{00000000-0005-0000-0000-000080310000}"/>
    <cellStyle name="mnb 3 2" xfId="13136" xr:uid="{00000000-0005-0000-0000-000081310000}"/>
    <cellStyle name="mnb 3 2 2" xfId="13137" xr:uid="{00000000-0005-0000-0000-000082310000}"/>
    <cellStyle name="mnb 3 2 2 2" xfId="13138" xr:uid="{00000000-0005-0000-0000-000083310000}"/>
    <cellStyle name="mnb 3 2 3" xfId="13139" xr:uid="{00000000-0005-0000-0000-000084310000}"/>
    <cellStyle name="mnb 3 2 3 2" xfId="13140" xr:uid="{00000000-0005-0000-0000-000085310000}"/>
    <cellStyle name="mnb 3 2 4" xfId="13141" xr:uid="{00000000-0005-0000-0000-000086310000}"/>
    <cellStyle name="mnb 3 3" xfId="13142" xr:uid="{00000000-0005-0000-0000-000087310000}"/>
    <cellStyle name="mnb 3 3 2" xfId="13143" xr:uid="{00000000-0005-0000-0000-000088310000}"/>
    <cellStyle name="mnb 3 3 2 2" xfId="13144" xr:uid="{00000000-0005-0000-0000-000089310000}"/>
    <cellStyle name="mnb 3 3 3" xfId="13145" xr:uid="{00000000-0005-0000-0000-00008A310000}"/>
    <cellStyle name="mnb 3 3 3 2" xfId="13146" xr:uid="{00000000-0005-0000-0000-00008B310000}"/>
    <cellStyle name="mnb 3 3 4" xfId="13147" xr:uid="{00000000-0005-0000-0000-00008C310000}"/>
    <cellStyle name="mnb 3 4" xfId="13148" xr:uid="{00000000-0005-0000-0000-00008D310000}"/>
    <cellStyle name="mnb 3 4 2" xfId="13149" xr:uid="{00000000-0005-0000-0000-00008E310000}"/>
    <cellStyle name="mnb 3 5" xfId="13150" xr:uid="{00000000-0005-0000-0000-00008F310000}"/>
    <cellStyle name="mnb 3 5 2" xfId="13151" xr:uid="{00000000-0005-0000-0000-000090310000}"/>
    <cellStyle name="mnb 3 6" xfId="13152" xr:uid="{00000000-0005-0000-0000-000091310000}"/>
    <cellStyle name="mnb 4" xfId="13153" xr:uid="{00000000-0005-0000-0000-000092310000}"/>
    <cellStyle name="mnb 4 2" xfId="13154" xr:uid="{00000000-0005-0000-0000-000093310000}"/>
    <cellStyle name="mnb 4 2 2" xfId="13155" xr:uid="{00000000-0005-0000-0000-000094310000}"/>
    <cellStyle name="mnb 4 2 2 2" xfId="13156" xr:uid="{00000000-0005-0000-0000-000095310000}"/>
    <cellStyle name="mnb 4 2 3" xfId="13157" xr:uid="{00000000-0005-0000-0000-000096310000}"/>
    <cellStyle name="mnb 4 2 3 2" xfId="13158" xr:uid="{00000000-0005-0000-0000-000097310000}"/>
    <cellStyle name="mnb 4 2 4" xfId="13159" xr:uid="{00000000-0005-0000-0000-000098310000}"/>
    <cellStyle name="mnb 4 3" xfId="13160" xr:uid="{00000000-0005-0000-0000-000099310000}"/>
    <cellStyle name="mnb 4 3 2" xfId="13161" xr:uid="{00000000-0005-0000-0000-00009A310000}"/>
    <cellStyle name="mnb 4 3 2 2" xfId="13162" xr:uid="{00000000-0005-0000-0000-00009B310000}"/>
    <cellStyle name="mnb 4 3 3" xfId="13163" xr:uid="{00000000-0005-0000-0000-00009C310000}"/>
    <cellStyle name="mnb 4 3 3 2" xfId="13164" xr:uid="{00000000-0005-0000-0000-00009D310000}"/>
    <cellStyle name="mnb 4 3 4" xfId="13165" xr:uid="{00000000-0005-0000-0000-00009E310000}"/>
    <cellStyle name="mnb 4 4" xfId="13166" xr:uid="{00000000-0005-0000-0000-00009F310000}"/>
    <cellStyle name="mnb 4 4 2" xfId="13167" xr:uid="{00000000-0005-0000-0000-0000A0310000}"/>
    <cellStyle name="mnb 4 5" xfId="13168" xr:uid="{00000000-0005-0000-0000-0000A1310000}"/>
    <cellStyle name="mnb 4 5 2" xfId="13169" xr:uid="{00000000-0005-0000-0000-0000A2310000}"/>
    <cellStyle name="mnb 4 6" xfId="13170" xr:uid="{00000000-0005-0000-0000-0000A3310000}"/>
    <cellStyle name="mnb 5" xfId="13171" xr:uid="{00000000-0005-0000-0000-0000A4310000}"/>
    <cellStyle name="mnb 5 2" xfId="13172" xr:uid="{00000000-0005-0000-0000-0000A5310000}"/>
    <cellStyle name="mnb 5 2 2" xfId="13173" xr:uid="{00000000-0005-0000-0000-0000A6310000}"/>
    <cellStyle name="mnb 5 2 2 2" xfId="13174" xr:uid="{00000000-0005-0000-0000-0000A7310000}"/>
    <cellStyle name="mnb 5 2 3" xfId="13175" xr:uid="{00000000-0005-0000-0000-0000A8310000}"/>
    <cellStyle name="mnb 5 2 3 2" xfId="13176" xr:uid="{00000000-0005-0000-0000-0000A9310000}"/>
    <cellStyle name="mnb 5 2 4" xfId="13177" xr:uid="{00000000-0005-0000-0000-0000AA310000}"/>
    <cellStyle name="mnb 5 3" xfId="13178" xr:uid="{00000000-0005-0000-0000-0000AB310000}"/>
    <cellStyle name="mnb 5 3 2" xfId="13179" xr:uid="{00000000-0005-0000-0000-0000AC310000}"/>
    <cellStyle name="mnb 5 3 2 2" xfId="13180" xr:uid="{00000000-0005-0000-0000-0000AD310000}"/>
    <cellStyle name="mnb 5 3 3" xfId="13181" xr:uid="{00000000-0005-0000-0000-0000AE310000}"/>
    <cellStyle name="mnb 5 3 3 2" xfId="13182" xr:uid="{00000000-0005-0000-0000-0000AF310000}"/>
    <cellStyle name="mnb 5 3 4" xfId="13183" xr:uid="{00000000-0005-0000-0000-0000B0310000}"/>
    <cellStyle name="mnb 5 4" xfId="13184" xr:uid="{00000000-0005-0000-0000-0000B1310000}"/>
    <cellStyle name="mnb 5 4 2" xfId="13185" xr:uid="{00000000-0005-0000-0000-0000B2310000}"/>
    <cellStyle name="mnb 5 5" xfId="13186" xr:uid="{00000000-0005-0000-0000-0000B3310000}"/>
    <cellStyle name="mnb 5 5 2" xfId="13187" xr:uid="{00000000-0005-0000-0000-0000B4310000}"/>
    <cellStyle name="mnb 5 6" xfId="13188" xr:uid="{00000000-0005-0000-0000-0000B5310000}"/>
    <cellStyle name="mnb 6" xfId="13189" xr:uid="{00000000-0005-0000-0000-0000B6310000}"/>
    <cellStyle name="mnb 6 2" xfId="13190" xr:uid="{00000000-0005-0000-0000-0000B7310000}"/>
    <cellStyle name="mnb 6 2 2" xfId="13191" xr:uid="{00000000-0005-0000-0000-0000B8310000}"/>
    <cellStyle name="mnb 6 2 2 2" xfId="13192" xr:uid="{00000000-0005-0000-0000-0000B9310000}"/>
    <cellStyle name="mnb 6 2 3" xfId="13193" xr:uid="{00000000-0005-0000-0000-0000BA310000}"/>
    <cellStyle name="mnb 6 2 3 2" xfId="13194" xr:uid="{00000000-0005-0000-0000-0000BB310000}"/>
    <cellStyle name="mnb 6 2 4" xfId="13195" xr:uid="{00000000-0005-0000-0000-0000BC310000}"/>
    <cellStyle name="mnb 6 3" xfId="13196" xr:uid="{00000000-0005-0000-0000-0000BD310000}"/>
    <cellStyle name="mnb 6 3 2" xfId="13197" xr:uid="{00000000-0005-0000-0000-0000BE310000}"/>
    <cellStyle name="mnb 6 3 2 2" xfId="13198" xr:uid="{00000000-0005-0000-0000-0000BF310000}"/>
    <cellStyle name="mnb 6 3 3" xfId="13199" xr:uid="{00000000-0005-0000-0000-0000C0310000}"/>
    <cellStyle name="mnb 6 3 3 2" xfId="13200" xr:uid="{00000000-0005-0000-0000-0000C1310000}"/>
    <cellStyle name="mnb 6 3 4" xfId="13201" xr:uid="{00000000-0005-0000-0000-0000C2310000}"/>
    <cellStyle name="mnb 6 4" xfId="13202" xr:uid="{00000000-0005-0000-0000-0000C3310000}"/>
    <cellStyle name="mnb 6 4 2" xfId="13203" xr:uid="{00000000-0005-0000-0000-0000C4310000}"/>
    <cellStyle name="mnb 6 5" xfId="13204" xr:uid="{00000000-0005-0000-0000-0000C5310000}"/>
    <cellStyle name="mnb 6 5 2" xfId="13205" xr:uid="{00000000-0005-0000-0000-0000C6310000}"/>
    <cellStyle name="mnb 6 6" xfId="13206" xr:uid="{00000000-0005-0000-0000-0000C7310000}"/>
    <cellStyle name="mnb 7" xfId="13207" xr:uid="{00000000-0005-0000-0000-0000C8310000}"/>
    <cellStyle name="mnb 7 2" xfId="13208" xr:uid="{00000000-0005-0000-0000-0000C9310000}"/>
    <cellStyle name="mnb 7 2 2" xfId="13209" xr:uid="{00000000-0005-0000-0000-0000CA310000}"/>
    <cellStyle name="mnb 7 2 2 2" xfId="13210" xr:uid="{00000000-0005-0000-0000-0000CB310000}"/>
    <cellStyle name="mnb 7 2 3" xfId="13211" xr:uid="{00000000-0005-0000-0000-0000CC310000}"/>
    <cellStyle name="mnb 7 2 3 2" xfId="13212" xr:uid="{00000000-0005-0000-0000-0000CD310000}"/>
    <cellStyle name="mnb 7 2 4" xfId="13213" xr:uid="{00000000-0005-0000-0000-0000CE310000}"/>
    <cellStyle name="mnb 7 3" xfId="13214" xr:uid="{00000000-0005-0000-0000-0000CF310000}"/>
    <cellStyle name="mnb 7 3 2" xfId="13215" xr:uid="{00000000-0005-0000-0000-0000D0310000}"/>
    <cellStyle name="mnb 7 3 2 2" xfId="13216" xr:uid="{00000000-0005-0000-0000-0000D1310000}"/>
    <cellStyle name="mnb 7 3 3" xfId="13217" xr:uid="{00000000-0005-0000-0000-0000D2310000}"/>
    <cellStyle name="mnb 7 3 3 2" xfId="13218" xr:uid="{00000000-0005-0000-0000-0000D3310000}"/>
    <cellStyle name="mnb 7 3 4" xfId="13219" xr:uid="{00000000-0005-0000-0000-0000D4310000}"/>
    <cellStyle name="mnb 7 4" xfId="13220" xr:uid="{00000000-0005-0000-0000-0000D5310000}"/>
    <cellStyle name="mnb 7 4 2" xfId="13221" xr:uid="{00000000-0005-0000-0000-0000D6310000}"/>
    <cellStyle name="mnb 7 5" xfId="13222" xr:uid="{00000000-0005-0000-0000-0000D7310000}"/>
    <cellStyle name="mnb 7 5 2" xfId="13223" xr:uid="{00000000-0005-0000-0000-0000D8310000}"/>
    <cellStyle name="mnb 7 6" xfId="13224" xr:uid="{00000000-0005-0000-0000-0000D9310000}"/>
    <cellStyle name="mnb 8" xfId="13225" xr:uid="{00000000-0005-0000-0000-0000DA310000}"/>
    <cellStyle name="mnb 8 2" xfId="13226" xr:uid="{00000000-0005-0000-0000-0000DB310000}"/>
    <cellStyle name="mnb 8 2 2" xfId="13227" xr:uid="{00000000-0005-0000-0000-0000DC310000}"/>
    <cellStyle name="mnb 8 2 2 2" xfId="13228" xr:uid="{00000000-0005-0000-0000-0000DD310000}"/>
    <cellStyle name="mnb 8 2 3" xfId="13229" xr:uid="{00000000-0005-0000-0000-0000DE310000}"/>
    <cellStyle name="mnb 8 2 3 2" xfId="13230" xr:uid="{00000000-0005-0000-0000-0000DF310000}"/>
    <cellStyle name="mnb 8 2 4" xfId="13231" xr:uid="{00000000-0005-0000-0000-0000E0310000}"/>
    <cellStyle name="mnb 8 3" xfId="13232" xr:uid="{00000000-0005-0000-0000-0000E1310000}"/>
    <cellStyle name="mnb 8 3 2" xfId="13233" xr:uid="{00000000-0005-0000-0000-0000E2310000}"/>
    <cellStyle name="mnb 8 3 2 2" xfId="13234" xr:uid="{00000000-0005-0000-0000-0000E3310000}"/>
    <cellStyle name="mnb 8 3 3" xfId="13235" xr:uid="{00000000-0005-0000-0000-0000E4310000}"/>
    <cellStyle name="mnb 8 3 3 2" xfId="13236" xr:uid="{00000000-0005-0000-0000-0000E5310000}"/>
    <cellStyle name="mnb 8 3 4" xfId="13237" xr:uid="{00000000-0005-0000-0000-0000E6310000}"/>
    <cellStyle name="mnb 8 4" xfId="13238" xr:uid="{00000000-0005-0000-0000-0000E7310000}"/>
    <cellStyle name="mnb 8 4 2" xfId="13239" xr:uid="{00000000-0005-0000-0000-0000E8310000}"/>
    <cellStyle name="mnb 8 5" xfId="13240" xr:uid="{00000000-0005-0000-0000-0000E9310000}"/>
    <cellStyle name="mnb 8 5 2" xfId="13241" xr:uid="{00000000-0005-0000-0000-0000EA310000}"/>
    <cellStyle name="mnb 8 6" xfId="13242" xr:uid="{00000000-0005-0000-0000-0000EB310000}"/>
    <cellStyle name="mnb 9" xfId="13243" xr:uid="{00000000-0005-0000-0000-0000EC310000}"/>
    <cellStyle name="mnb 9 2" xfId="13244" xr:uid="{00000000-0005-0000-0000-0000ED310000}"/>
    <cellStyle name="mnb 9 2 2" xfId="13245" xr:uid="{00000000-0005-0000-0000-0000EE310000}"/>
    <cellStyle name="mnb 9 2 2 2" xfId="13246" xr:uid="{00000000-0005-0000-0000-0000EF310000}"/>
    <cellStyle name="mnb 9 2 3" xfId="13247" xr:uid="{00000000-0005-0000-0000-0000F0310000}"/>
    <cellStyle name="mnb 9 2 3 2" xfId="13248" xr:uid="{00000000-0005-0000-0000-0000F1310000}"/>
    <cellStyle name="mnb 9 2 4" xfId="13249" xr:uid="{00000000-0005-0000-0000-0000F2310000}"/>
    <cellStyle name="mnb 9 3" xfId="13250" xr:uid="{00000000-0005-0000-0000-0000F3310000}"/>
    <cellStyle name="mnb 9 3 2" xfId="13251" xr:uid="{00000000-0005-0000-0000-0000F4310000}"/>
    <cellStyle name="mnb 9 3 2 2" xfId="13252" xr:uid="{00000000-0005-0000-0000-0000F5310000}"/>
    <cellStyle name="mnb 9 3 3" xfId="13253" xr:uid="{00000000-0005-0000-0000-0000F6310000}"/>
    <cellStyle name="mnb 9 3 3 2" xfId="13254" xr:uid="{00000000-0005-0000-0000-0000F7310000}"/>
    <cellStyle name="mnb 9 3 4" xfId="13255" xr:uid="{00000000-0005-0000-0000-0000F8310000}"/>
    <cellStyle name="mnb 9 4" xfId="13256" xr:uid="{00000000-0005-0000-0000-0000F9310000}"/>
    <cellStyle name="mnb 9 4 2" xfId="13257" xr:uid="{00000000-0005-0000-0000-0000FA310000}"/>
    <cellStyle name="mnb 9 5" xfId="13258" xr:uid="{00000000-0005-0000-0000-0000FB310000}"/>
    <cellStyle name="mnb 9 5 2" xfId="13259" xr:uid="{00000000-0005-0000-0000-0000FC310000}"/>
    <cellStyle name="mnb 9 6" xfId="13260" xr:uid="{00000000-0005-0000-0000-0000FD310000}"/>
    <cellStyle name="Monétaire [0]_BUDGET" xfId="13261" xr:uid="{00000000-0005-0000-0000-0000FE310000}"/>
    <cellStyle name="Monétaire_BUDGET" xfId="13262" xr:uid="{00000000-0005-0000-0000-0000FF310000}"/>
    <cellStyle name="MS Sans Serif1017100001516777215" xfId="30" xr:uid="{00000000-0005-0000-0000-000000320000}"/>
    <cellStyle name="Multiple" xfId="13263" xr:uid="{00000000-0005-0000-0000-000001320000}"/>
    <cellStyle name="Multiple [0]" xfId="13264" xr:uid="{00000000-0005-0000-0000-000002320000}"/>
    <cellStyle name="Multiple [1]" xfId="13265" xr:uid="{00000000-0005-0000-0000-000003320000}"/>
    <cellStyle name="Multiple_1 Dec" xfId="13266" xr:uid="{00000000-0005-0000-0000-000004320000}"/>
    <cellStyle name="Neutral" xfId="13267" xr:uid="{00000000-0005-0000-0000-000005320000}"/>
    <cellStyle name="no dec" xfId="13268" xr:uid="{00000000-0005-0000-0000-000006320000}"/>
    <cellStyle name="Norma11l" xfId="13269" xr:uid="{00000000-0005-0000-0000-000007320000}"/>
    <cellStyle name="Norma11l 2" xfId="13270" xr:uid="{00000000-0005-0000-0000-000008320000}"/>
    <cellStyle name="Normal" xfId="480" xr:uid="{00000000-0005-0000-0000-000009320000}"/>
    <cellStyle name="Normal - Style1" xfId="13271" xr:uid="{00000000-0005-0000-0000-00000A320000}"/>
    <cellStyle name="Normal 2" xfId="13272" xr:uid="{00000000-0005-0000-0000-00000B320000}"/>
    <cellStyle name="Normal 2 10" xfId="13273" xr:uid="{00000000-0005-0000-0000-00000C320000}"/>
    <cellStyle name="Normal 2 10 2" xfId="13274" xr:uid="{00000000-0005-0000-0000-00000D320000}"/>
    <cellStyle name="Normal 2 10 2 2" xfId="13275" xr:uid="{00000000-0005-0000-0000-00000E320000}"/>
    <cellStyle name="Normal 2 10 2 2 2" xfId="13276" xr:uid="{00000000-0005-0000-0000-00000F320000}"/>
    <cellStyle name="Normal 2 10 2 3" xfId="13277" xr:uid="{00000000-0005-0000-0000-000010320000}"/>
    <cellStyle name="Normal 2 10 2 3 2" xfId="13278" xr:uid="{00000000-0005-0000-0000-000011320000}"/>
    <cellStyle name="Normal 2 10 2 4" xfId="13279" xr:uid="{00000000-0005-0000-0000-000012320000}"/>
    <cellStyle name="Normal 2 10 3" xfId="13280" xr:uid="{00000000-0005-0000-0000-000013320000}"/>
    <cellStyle name="Normal 2 10 3 2" xfId="13281" xr:uid="{00000000-0005-0000-0000-000014320000}"/>
    <cellStyle name="Normal 2 10 3 2 2" xfId="13282" xr:uid="{00000000-0005-0000-0000-000015320000}"/>
    <cellStyle name="Normal 2 10 3 3" xfId="13283" xr:uid="{00000000-0005-0000-0000-000016320000}"/>
    <cellStyle name="Normal 2 10 3 3 2" xfId="13284" xr:uid="{00000000-0005-0000-0000-000017320000}"/>
    <cellStyle name="Normal 2 10 3 4" xfId="13285" xr:uid="{00000000-0005-0000-0000-000018320000}"/>
    <cellStyle name="Normal 2 10 4" xfId="13286" xr:uid="{00000000-0005-0000-0000-000019320000}"/>
    <cellStyle name="Normal 2 10 4 2" xfId="13287" xr:uid="{00000000-0005-0000-0000-00001A320000}"/>
    <cellStyle name="Normal 2 10 5" xfId="13288" xr:uid="{00000000-0005-0000-0000-00001B320000}"/>
    <cellStyle name="Normal 2 10 5 2" xfId="13289" xr:uid="{00000000-0005-0000-0000-00001C320000}"/>
    <cellStyle name="Normal 2 10 6" xfId="13290" xr:uid="{00000000-0005-0000-0000-00001D320000}"/>
    <cellStyle name="Normal 2 11" xfId="13291" xr:uid="{00000000-0005-0000-0000-00001E320000}"/>
    <cellStyle name="Normal 2 11 2" xfId="13292" xr:uid="{00000000-0005-0000-0000-00001F320000}"/>
    <cellStyle name="Normal 2 11 2 2" xfId="13293" xr:uid="{00000000-0005-0000-0000-000020320000}"/>
    <cellStyle name="Normal 2 11 2 2 2" xfId="13294" xr:uid="{00000000-0005-0000-0000-000021320000}"/>
    <cellStyle name="Normal 2 11 2 3" xfId="13295" xr:uid="{00000000-0005-0000-0000-000022320000}"/>
    <cellStyle name="Normal 2 11 2 3 2" xfId="13296" xr:uid="{00000000-0005-0000-0000-000023320000}"/>
    <cellStyle name="Normal 2 11 2 4" xfId="13297" xr:uid="{00000000-0005-0000-0000-000024320000}"/>
    <cellStyle name="Normal 2 11 3" xfId="13298" xr:uid="{00000000-0005-0000-0000-000025320000}"/>
    <cellStyle name="Normal 2 11 3 2" xfId="13299" xr:uid="{00000000-0005-0000-0000-000026320000}"/>
    <cellStyle name="Normal 2 11 3 2 2" xfId="13300" xr:uid="{00000000-0005-0000-0000-000027320000}"/>
    <cellStyle name="Normal 2 11 3 3" xfId="13301" xr:uid="{00000000-0005-0000-0000-000028320000}"/>
    <cellStyle name="Normal 2 11 3 3 2" xfId="13302" xr:uid="{00000000-0005-0000-0000-000029320000}"/>
    <cellStyle name="Normal 2 11 3 4" xfId="13303" xr:uid="{00000000-0005-0000-0000-00002A320000}"/>
    <cellStyle name="Normal 2 11 4" xfId="13304" xr:uid="{00000000-0005-0000-0000-00002B320000}"/>
    <cellStyle name="Normal 2 11 4 2" xfId="13305" xr:uid="{00000000-0005-0000-0000-00002C320000}"/>
    <cellStyle name="Normal 2 11 5" xfId="13306" xr:uid="{00000000-0005-0000-0000-00002D320000}"/>
    <cellStyle name="Normal 2 11 5 2" xfId="13307" xr:uid="{00000000-0005-0000-0000-00002E320000}"/>
    <cellStyle name="Normal 2 11 6" xfId="13308" xr:uid="{00000000-0005-0000-0000-00002F320000}"/>
    <cellStyle name="Normal 2 12" xfId="13309" xr:uid="{00000000-0005-0000-0000-000030320000}"/>
    <cellStyle name="Normal 2 12 2" xfId="13310" xr:uid="{00000000-0005-0000-0000-000031320000}"/>
    <cellStyle name="Normal 2 12 2 2" xfId="13311" xr:uid="{00000000-0005-0000-0000-000032320000}"/>
    <cellStyle name="Normal 2 12 2 2 2" xfId="13312" xr:uid="{00000000-0005-0000-0000-000033320000}"/>
    <cellStyle name="Normal 2 12 2 3" xfId="13313" xr:uid="{00000000-0005-0000-0000-000034320000}"/>
    <cellStyle name="Normal 2 12 2 3 2" xfId="13314" xr:uid="{00000000-0005-0000-0000-000035320000}"/>
    <cellStyle name="Normal 2 12 2 4" xfId="13315" xr:uid="{00000000-0005-0000-0000-000036320000}"/>
    <cellStyle name="Normal 2 12 3" xfId="13316" xr:uid="{00000000-0005-0000-0000-000037320000}"/>
    <cellStyle name="Normal 2 12 3 2" xfId="13317" xr:uid="{00000000-0005-0000-0000-000038320000}"/>
    <cellStyle name="Normal 2 12 3 2 2" xfId="13318" xr:uid="{00000000-0005-0000-0000-000039320000}"/>
    <cellStyle name="Normal 2 12 3 3" xfId="13319" xr:uid="{00000000-0005-0000-0000-00003A320000}"/>
    <cellStyle name="Normal 2 12 3 3 2" xfId="13320" xr:uid="{00000000-0005-0000-0000-00003B320000}"/>
    <cellStyle name="Normal 2 12 3 4" xfId="13321" xr:uid="{00000000-0005-0000-0000-00003C320000}"/>
    <cellStyle name="Normal 2 12 4" xfId="13322" xr:uid="{00000000-0005-0000-0000-00003D320000}"/>
    <cellStyle name="Normal 2 12 4 2" xfId="13323" xr:uid="{00000000-0005-0000-0000-00003E320000}"/>
    <cellStyle name="Normal 2 12 5" xfId="13324" xr:uid="{00000000-0005-0000-0000-00003F320000}"/>
    <cellStyle name="Normal 2 12 5 2" xfId="13325" xr:uid="{00000000-0005-0000-0000-000040320000}"/>
    <cellStyle name="Normal 2 12 6" xfId="13326" xr:uid="{00000000-0005-0000-0000-000041320000}"/>
    <cellStyle name="Normal 2 13" xfId="13327" xr:uid="{00000000-0005-0000-0000-000042320000}"/>
    <cellStyle name="Normal 2 13 2" xfId="13328" xr:uid="{00000000-0005-0000-0000-000043320000}"/>
    <cellStyle name="Normal 2 13 2 2" xfId="13329" xr:uid="{00000000-0005-0000-0000-000044320000}"/>
    <cellStyle name="Normal 2 13 2 2 2" xfId="13330" xr:uid="{00000000-0005-0000-0000-000045320000}"/>
    <cellStyle name="Normal 2 13 2 3" xfId="13331" xr:uid="{00000000-0005-0000-0000-000046320000}"/>
    <cellStyle name="Normal 2 13 2 3 2" xfId="13332" xr:uid="{00000000-0005-0000-0000-000047320000}"/>
    <cellStyle name="Normal 2 13 2 4" xfId="13333" xr:uid="{00000000-0005-0000-0000-000048320000}"/>
    <cellStyle name="Normal 2 13 3" xfId="13334" xr:uid="{00000000-0005-0000-0000-000049320000}"/>
    <cellStyle name="Normal 2 13 3 2" xfId="13335" xr:uid="{00000000-0005-0000-0000-00004A320000}"/>
    <cellStyle name="Normal 2 13 3 2 2" xfId="13336" xr:uid="{00000000-0005-0000-0000-00004B320000}"/>
    <cellStyle name="Normal 2 13 3 3" xfId="13337" xr:uid="{00000000-0005-0000-0000-00004C320000}"/>
    <cellStyle name="Normal 2 13 3 3 2" xfId="13338" xr:uid="{00000000-0005-0000-0000-00004D320000}"/>
    <cellStyle name="Normal 2 13 3 4" xfId="13339" xr:uid="{00000000-0005-0000-0000-00004E320000}"/>
    <cellStyle name="Normal 2 13 4" xfId="13340" xr:uid="{00000000-0005-0000-0000-00004F320000}"/>
    <cellStyle name="Normal 2 13 4 2" xfId="13341" xr:uid="{00000000-0005-0000-0000-000050320000}"/>
    <cellStyle name="Normal 2 13 5" xfId="13342" xr:uid="{00000000-0005-0000-0000-000051320000}"/>
    <cellStyle name="Normal 2 13 5 2" xfId="13343" xr:uid="{00000000-0005-0000-0000-000052320000}"/>
    <cellStyle name="Normal 2 13 6" xfId="13344" xr:uid="{00000000-0005-0000-0000-000053320000}"/>
    <cellStyle name="Normal 2 14" xfId="13345" xr:uid="{00000000-0005-0000-0000-000054320000}"/>
    <cellStyle name="Normal 2 14 2" xfId="13346" xr:uid="{00000000-0005-0000-0000-000055320000}"/>
    <cellStyle name="Normal 2 14 2 2" xfId="13347" xr:uid="{00000000-0005-0000-0000-000056320000}"/>
    <cellStyle name="Normal 2 14 2 2 2" xfId="13348" xr:uid="{00000000-0005-0000-0000-000057320000}"/>
    <cellStyle name="Normal 2 14 2 3" xfId="13349" xr:uid="{00000000-0005-0000-0000-000058320000}"/>
    <cellStyle name="Normal 2 14 2 3 2" xfId="13350" xr:uid="{00000000-0005-0000-0000-000059320000}"/>
    <cellStyle name="Normal 2 14 2 4" xfId="13351" xr:uid="{00000000-0005-0000-0000-00005A320000}"/>
    <cellStyle name="Normal 2 14 3" xfId="13352" xr:uid="{00000000-0005-0000-0000-00005B320000}"/>
    <cellStyle name="Normal 2 14 3 2" xfId="13353" xr:uid="{00000000-0005-0000-0000-00005C320000}"/>
    <cellStyle name="Normal 2 14 3 2 2" xfId="13354" xr:uid="{00000000-0005-0000-0000-00005D320000}"/>
    <cellStyle name="Normal 2 14 3 3" xfId="13355" xr:uid="{00000000-0005-0000-0000-00005E320000}"/>
    <cellStyle name="Normal 2 14 3 3 2" xfId="13356" xr:uid="{00000000-0005-0000-0000-00005F320000}"/>
    <cellStyle name="Normal 2 14 3 4" xfId="13357" xr:uid="{00000000-0005-0000-0000-000060320000}"/>
    <cellStyle name="Normal 2 14 4" xfId="13358" xr:uid="{00000000-0005-0000-0000-000061320000}"/>
    <cellStyle name="Normal 2 14 4 2" xfId="13359" xr:uid="{00000000-0005-0000-0000-000062320000}"/>
    <cellStyle name="Normal 2 14 5" xfId="13360" xr:uid="{00000000-0005-0000-0000-000063320000}"/>
    <cellStyle name="Normal 2 14 5 2" xfId="13361" xr:uid="{00000000-0005-0000-0000-000064320000}"/>
    <cellStyle name="Normal 2 14 6" xfId="13362" xr:uid="{00000000-0005-0000-0000-000065320000}"/>
    <cellStyle name="Normal 2 15" xfId="13363" xr:uid="{00000000-0005-0000-0000-000066320000}"/>
    <cellStyle name="Normal 2 15 2" xfId="13364" xr:uid="{00000000-0005-0000-0000-000067320000}"/>
    <cellStyle name="Normal 2 15 2 2" xfId="13365" xr:uid="{00000000-0005-0000-0000-000068320000}"/>
    <cellStyle name="Normal 2 15 2 2 2" xfId="13366" xr:uid="{00000000-0005-0000-0000-000069320000}"/>
    <cellStyle name="Normal 2 15 2 3" xfId="13367" xr:uid="{00000000-0005-0000-0000-00006A320000}"/>
    <cellStyle name="Normal 2 15 2 3 2" xfId="13368" xr:uid="{00000000-0005-0000-0000-00006B320000}"/>
    <cellStyle name="Normal 2 15 2 4" xfId="13369" xr:uid="{00000000-0005-0000-0000-00006C320000}"/>
    <cellStyle name="Normal 2 15 3" xfId="13370" xr:uid="{00000000-0005-0000-0000-00006D320000}"/>
    <cellStyle name="Normal 2 15 3 2" xfId="13371" xr:uid="{00000000-0005-0000-0000-00006E320000}"/>
    <cellStyle name="Normal 2 15 3 2 2" xfId="13372" xr:uid="{00000000-0005-0000-0000-00006F320000}"/>
    <cellStyle name="Normal 2 15 3 3" xfId="13373" xr:uid="{00000000-0005-0000-0000-000070320000}"/>
    <cellStyle name="Normal 2 15 3 3 2" xfId="13374" xr:uid="{00000000-0005-0000-0000-000071320000}"/>
    <cellStyle name="Normal 2 15 3 4" xfId="13375" xr:uid="{00000000-0005-0000-0000-000072320000}"/>
    <cellStyle name="Normal 2 15 4" xfId="13376" xr:uid="{00000000-0005-0000-0000-000073320000}"/>
    <cellStyle name="Normal 2 15 4 2" xfId="13377" xr:uid="{00000000-0005-0000-0000-000074320000}"/>
    <cellStyle name="Normal 2 15 5" xfId="13378" xr:uid="{00000000-0005-0000-0000-000075320000}"/>
    <cellStyle name="Normal 2 15 5 2" xfId="13379" xr:uid="{00000000-0005-0000-0000-000076320000}"/>
    <cellStyle name="Normal 2 15 6" xfId="13380" xr:uid="{00000000-0005-0000-0000-000077320000}"/>
    <cellStyle name="Normal 2 16" xfId="13381" xr:uid="{00000000-0005-0000-0000-000078320000}"/>
    <cellStyle name="Normal 2 16 2" xfId="13382" xr:uid="{00000000-0005-0000-0000-000079320000}"/>
    <cellStyle name="Normal 2 16 2 2" xfId="13383" xr:uid="{00000000-0005-0000-0000-00007A320000}"/>
    <cellStyle name="Normal 2 16 2 2 2" xfId="13384" xr:uid="{00000000-0005-0000-0000-00007B320000}"/>
    <cellStyle name="Normal 2 16 2 3" xfId="13385" xr:uid="{00000000-0005-0000-0000-00007C320000}"/>
    <cellStyle name="Normal 2 16 2 3 2" xfId="13386" xr:uid="{00000000-0005-0000-0000-00007D320000}"/>
    <cellStyle name="Normal 2 16 2 4" xfId="13387" xr:uid="{00000000-0005-0000-0000-00007E320000}"/>
    <cellStyle name="Normal 2 16 3" xfId="13388" xr:uid="{00000000-0005-0000-0000-00007F320000}"/>
    <cellStyle name="Normal 2 16 3 2" xfId="13389" xr:uid="{00000000-0005-0000-0000-000080320000}"/>
    <cellStyle name="Normal 2 16 3 2 2" xfId="13390" xr:uid="{00000000-0005-0000-0000-000081320000}"/>
    <cellStyle name="Normal 2 16 3 3" xfId="13391" xr:uid="{00000000-0005-0000-0000-000082320000}"/>
    <cellStyle name="Normal 2 16 3 3 2" xfId="13392" xr:uid="{00000000-0005-0000-0000-000083320000}"/>
    <cellStyle name="Normal 2 16 3 4" xfId="13393" xr:uid="{00000000-0005-0000-0000-000084320000}"/>
    <cellStyle name="Normal 2 16 4" xfId="13394" xr:uid="{00000000-0005-0000-0000-000085320000}"/>
    <cellStyle name="Normal 2 16 4 2" xfId="13395" xr:uid="{00000000-0005-0000-0000-000086320000}"/>
    <cellStyle name="Normal 2 16 5" xfId="13396" xr:uid="{00000000-0005-0000-0000-000087320000}"/>
    <cellStyle name="Normal 2 16 5 2" xfId="13397" xr:uid="{00000000-0005-0000-0000-000088320000}"/>
    <cellStyle name="Normal 2 16 6" xfId="13398" xr:uid="{00000000-0005-0000-0000-000089320000}"/>
    <cellStyle name="Normal 2 17" xfId="13399" xr:uid="{00000000-0005-0000-0000-00008A320000}"/>
    <cellStyle name="Normal 2 17 2" xfId="13400" xr:uid="{00000000-0005-0000-0000-00008B320000}"/>
    <cellStyle name="Normal 2 17 3" xfId="13401" xr:uid="{00000000-0005-0000-0000-00008C320000}"/>
    <cellStyle name="Normal 2 17 4" xfId="13402" xr:uid="{00000000-0005-0000-0000-00008D320000}"/>
    <cellStyle name="Normal 2 18" xfId="13403" xr:uid="{00000000-0005-0000-0000-00008E320000}"/>
    <cellStyle name="Normal 2 19" xfId="13404" xr:uid="{00000000-0005-0000-0000-00008F320000}"/>
    <cellStyle name="Normal 2 2" xfId="13405" xr:uid="{00000000-0005-0000-0000-000090320000}"/>
    <cellStyle name="Normal 2 2 2" xfId="13406" xr:uid="{00000000-0005-0000-0000-000091320000}"/>
    <cellStyle name="Normal 2 2 2 2" xfId="13407" xr:uid="{00000000-0005-0000-0000-000092320000}"/>
    <cellStyle name="Normal 2 2 2 2 2" xfId="13408" xr:uid="{00000000-0005-0000-0000-000093320000}"/>
    <cellStyle name="Normal 2 2 2 3" xfId="13409" xr:uid="{00000000-0005-0000-0000-000094320000}"/>
    <cellStyle name="Normal 2 2 2 3 2" xfId="13410" xr:uid="{00000000-0005-0000-0000-000095320000}"/>
    <cellStyle name="Normal 2 2 2 4" xfId="13411" xr:uid="{00000000-0005-0000-0000-000096320000}"/>
    <cellStyle name="Normal 2 3" xfId="13412" xr:uid="{00000000-0005-0000-0000-000097320000}"/>
    <cellStyle name="Normal 2 3 2" xfId="13413" xr:uid="{00000000-0005-0000-0000-000098320000}"/>
    <cellStyle name="Normal 2 3 2 2" xfId="13414" xr:uid="{00000000-0005-0000-0000-000099320000}"/>
    <cellStyle name="Normal 2 3 2 2 2" xfId="13415" xr:uid="{00000000-0005-0000-0000-00009A320000}"/>
    <cellStyle name="Normal 2 3 2 3" xfId="13416" xr:uid="{00000000-0005-0000-0000-00009B320000}"/>
    <cellStyle name="Normal 2 3 2 3 2" xfId="13417" xr:uid="{00000000-0005-0000-0000-00009C320000}"/>
    <cellStyle name="Normal 2 3 2 4" xfId="13418" xr:uid="{00000000-0005-0000-0000-00009D320000}"/>
    <cellStyle name="Normal 2 4" xfId="13419" xr:uid="{00000000-0005-0000-0000-00009E320000}"/>
    <cellStyle name="Normal 2 4 2" xfId="13420" xr:uid="{00000000-0005-0000-0000-00009F320000}"/>
    <cellStyle name="Normal 2 4 2 2" xfId="13421" xr:uid="{00000000-0005-0000-0000-0000A0320000}"/>
    <cellStyle name="Normal 2 4 2 2 2" xfId="13422" xr:uid="{00000000-0005-0000-0000-0000A1320000}"/>
    <cellStyle name="Normal 2 4 2 3" xfId="13423" xr:uid="{00000000-0005-0000-0000-0000A2320000}"/>
    <cellStyle name="Normal 2 4 2 3 2" xfId="13424" xr:uid="{00000000-0005-0000-0000-0000A3320000}"/>
    <cellStyle name="Normal 2 4 2 4" xfId="13425" xr:uid="{00000000-0005-0000-0000-0000A4320000}"/>
    <cellStyle name="Normal 2 4 3" xfId="13426" xr:uid="{00000000-0005-0000-0000-0000A5320000}"/>
    <cellStyle name="Normal 2 4 3 2" xfId="13427" xr:uid="{00000000-0005-0000-0000-0000A6320000}"/>
    <cellStyle name="Normal 2 4 3 2 2" xfId="13428" xr:uid="{00000000-0005-0000-0000-0000A7320000}"/>
    <cellStyle name="Normal 2 4 3 3" xfId="13429" xr:uid="{00000000-0005-0000-0000-0000A8320000}"/>
    <cellStyle name="Normal 2 4 3 3 2" xfId="13430" xr:uid="{00000000-0005-0000-0000-0000A9320000}"/>
    <cellStyle name="Normal 2 4 3 4" xfId="13431" xr:uid="{00000000-0005-0000-0000-0000AA320000}"/>
    <cellStyle name="Normal 2 4 4" xfId="13432" xr:uid="{00000000-0005-0000-0000-0000AB320000}"/>
    <cellStyle name="Normal 2 4 4 2" xfId="13433" xr:uid="{00000000-0005-0000-0000-0000AC320000}"/>
    <cellStyle name="Normal 2 4 5" xfId="13434" xr:uid="{00000000-0005-0000-0000-0000AD320000}"/>
    <cellStyle name="Normal 2 4 5 2" xfId="13435" xr:uid="{00000000-0005-0000-0000-0000AE320000}"/>
    <cellStyle name="Normal 2 4 6" xfId="13436" xr:uid="{00000000-0005-0000-0000-0000AF320000}"/>
    <cellStyle name="Normal 2 5" xfId="13437" xr:uid="{00000000-0005-0000-0000-0000B0320000}"/>
    <cellStyle name="Normal 2 5 2" xfId="13438" xr:uid="{00000000-0005-0000-0000-0000B1320000}"/>
    <cellStyle name="Normal 2 5 2 2" xfId="13439" xr:uid="{00000000-0005-0000-0000-0000B2320000}"/>
    <cellStyle name="Normal 2 5 2 2 2" xfId="13440" xr:uid="{00000000-0005-0000-0000-0000B3320000}"/>
    <cellStyle name="Normal 2 5 2 3" xfId="13441" xr:uid="{00000000-0005-0000-0000-0000B4320000}"/>
    <cellStyle name="Normal 2 5 2 3 2" xfId="13442" xr:uid="{00000000-0005-0000-0000-0000B5320000}"/>
    <cellStyle name="Normal 2 5 2 4" xfId="13443" xr:uid="{00000000-0005-0000-0000-0000B6320000}"/>
    <cellStyle name="Normal 2 5 3" xfId="13444" xr:uid="{00000000-0005-0000-0000-0000B7320000}"/>
    <cellStyle name="Normal 2 5 3 2" xfId="13445" xr:uid="{00000000-0005-0000-0000-0000B8320000}"/>
    <cellStyle name="Normal 2 5 3 2 2" xfId="13446" xr:uid="{00000000-0005-0000-0000-0000B9320000}"/>
    <cellStyle name="Normal 2 5 3 3" xfId="13447" xr:uid="{00000000-0005-0000-0000-0000BA320000}"/>
    <cellStyle name="Normal 2 5 3 3 2" xfId="13448" xr:uid="{00000000-0005-0000-0000-0000BB320000}"/>
    <cellStyle name="Normal 2 5 3 4" xfId="13449" xr:uid="{00000000-0005-0000-0000-0000BC320000}"/>
    <cellStyle name="Normal 2 5 4" xfId="13450" xr:uid="{00000000-0005-0000-0000-0000BD320000}"/>
    <cellStyle name="Normal 2 5 4 2" xfId="13451" xr:uid="{00000000-0005-0000-0000-0000BE320000}"/>
    <cellStyle name="Normal 2 5 5" xfId="13452" xr:uid="{00000000-0005-0000-0000-0000BF320000}"/>
    <cellStyle name="Normal 2 5 5 2" xfId="13453" xr:uid="{00000000-0005-0000-0000-0000C0320000}"/>
    <cellStyle name="Normal 2 5 6" xfId="13454" xr:uid="{00000000-0005-0000-0000-0000C1320000}"/>
    <cellStyle name="Normal 2 6" xfId="13455" xr:uid="{00000000-0005-0000-0000-0000C2320000}"/>
    <cellStyle name="Normal 2 6 2" xfId="13456" xr:uid="{00000000-0005-0000-0000-0000C3320000}"/>
    <cellStyle name="Normal 2 6 2 2" xfId="13457" xr:uid="{00000000-0005-0000-0000-0000C4320000}"/>
    <cellStyle name="Normal 2 6 2 2 2" xfId="13458" xr:uid="{00000000-0005-0000-0000-0000C5320000}"/>
    <cellStyle name="Normal 2 6 2 3" xfId="13459" xr:uid="{00000000-0005-0000-0000-0000C6320000}"/>
    <cellStyle name="Normal 2 6 2 3 2" xfId="13460" xr:uid="{00000000-0005-0000-0000-0000C7320000}"/>
    <cellStyle name="Normal 2 6 2 4" xfId="13461" xr:uid="{00000000-0005-0000-0000-0000C8320000}"/>
    <cellStyle name="Normal 2 6 3" xfId="13462" xr:uid="{00000000-0005-0000-0000-0000C9320000}"/>
    <cellStyle name="Normal 2 6 3 2" xfId="13463" xr:uid="{00000000-0005-0000-0000-0000CA320000}"/>
    <cellStyle name="Normal 2 6 3 2 2" xfId="13464" xr:uid="{00000000-0005-0000-0000-0000CB320000}"/>
    <cellStyle name="Normal 2 6 3 3" xfId="13465" xr:uid="{00000000-0005-0000-0000-0000CC320000}"/>
    <cellStyle name="Normal 2 6 3 3 2" xfId="13466" xr:uid="{00000000-0005-0000-0000-0000CD320000}"/>
    <cellStyle name="Normal 2 6 3 4" xfId="13467" xr:uid="{00000000-0005-0000-0000-0000CE320000}"/>
    <cellStyle name="Normal 2 6 4" xfId="13468" xr:uid="{00000000-0005-0000-0000-0000CF320000}"/>
    <cellStyle name="Normal 2 6 4 2" xfId="13469" xr:uid="{00000000-0005-0000-0000-0000D0320000}"/>
    <cellStyle name="Normal 2 6 5" xfId="13470" xr:uid="{00000000-0005-0000-0000-0000D1320000}"/>
    <cellStyle name="Normal 2 6 5 2" xfId="13471" xr:uid="{00000000-0005-0000-0000-0000D2320000}"/>
    <cellStyle name="Normal 2 6 6" xfId="13472" xr:uid="{00000000-0005-0000-0000-0000D3320000}"/>
    <cellStyle name="Normal 2 7" xfId="13473" xr:uid="{00000000-0005-0000-0000-0000D4320000}"/>
    <cellStyle name="Normal 2 7 2" xfId="13474" xr:uid="{00000000-0005-0000-0000-0000D5320000}"/>
    <cellStyle name="Normal 2 7 2 2" xfId="13475" xr:uid="{00000000-0005-0000-0000-0000D6320000}"/>
    <cellStyle name="Normal 2 7 2 2 2" xfId="13476" xr:uid="{00000000-0005-0000-0000-0000D7320000}"/>
    <cellStyle name="Normal 2 7 2 3" xfId="13477" xr:uid="{00000000-0005-0000-0000-0000D8320000}"/>
    <cellStyle name="Normal 2 7 2 3 2" xfId="13478" xr:uid="{00000000-0005-0000-0000-0000D9320000}"/>
    <cellStyle name="Normal 2 7 2 4" xfId="13479" xr:uid="{00000000-0005-0000-0000-0000DA320000}"/>
    <cellStyle name="Normal 2 7 3" xfId="13480" xr:uid="{00000000-0005-0000-0000-0000DB320000}"/>
    <cellStyle name="Normal 2 7 3 2" xfId="13481" xr:uid="{00000000-0005-0000-0000-0000DC320000}"/>
    <cellStyle name="Normal 2 7 3 2 2" xfId="13482" xr:uid="{00000000-0005-0000-0000-0000DD320000}"/>
    <cellStyle name="Normal 2 7 3 3" xfId="13483" xr:uid="{00000000-0005-0000-0000-0000DE320000}"/>
    <cellStyle name="Normal 2 7 3 3 2" xfId="13484" xr:uid="{00000000-0005-0000-0000-0000DF320000}"/>
    <cellStyle name="Normal 2 7 3 4" xfId="13485" xr:uid="{00000000-0005-0000-0000-0000E0320000}"/>
    <cellStyle name="Normal 2 7 4" xfId="13486" xr:uid="{00000000-0005-0000-0000-0000E1320000}"/>
    <cellStyle name="Normal 2 7 4 2" xfId="13487" xr:uid="{00000000-0005-0000-0000-0000E2320000}"/>
    <cellStyle name="Normal 2 7 5" xfId="13488" xr:uid="{00000000-0005-0000-0000-0000E3320000}"/>
    <cellStyle name="Normal 2 7 5 2" xfId="13489" xr:uid="{00000000-0005-0000-0000-0000E4320000}"/>
    <cellStyle name="Normal 2 7 6" xfId="13490" xr:uid="{00000000-0005-0000-0000-0000E5320000}"/>
    <cellStyle name="Normal 2 8" xfId="13491" xr:uid="{00000000-0005-0000-0000-0000E6320000}"/>
    <cellStyle name="Normal 2 8 2" xfId="13492" xr:uid="{00000000-0005-0000-0000-0000E7320000}"/>
    <cellStyle name="Normal 2 8 2 2" xfId="13493" xr:uid="{00000000-0005-0000-0000-0000E8320000}"/>
    <cellStyle name="Normal 2 8 2 2 2" xfId="13494" xr:uid="{00000000-0005-0000-0000-0000E9320000}"/>
    <cellStyle name="Normal 2 8 2 3" xfId="13495" xr:uid="{00000000-0005-0000-0000-0000EA320000}"/>
    <cellStyle name="Normal 2 8 2 3 2" xfId="13496" xr:uid="{00000000-0005-0000-0000-0000EB320000}"/>
    <cellStyle name="Normal 2 8 2 4" xfId="13497" xr:uid="{00000000-0005-0000-0000-0000EC320000}"/>
    <cellStyle name="Normal 2 8 3" xfId="13498" xr:uid="{00000000-0005-0000-0000-0000ED320000}"/>
    <cellStyle name="Normal 2 8 3 2" xfId="13499" xr:uid="{00000000-0005-0000-0000-0000EE320000}"/>
    <cellStyle name="Normal 2 8 3 2 2" xfId="13500" xr:uid="{00000000-0005-0000-0000-0000EF320000}"/>
    <cellStyle name="Normal 2 8 3 3" xfId="13501" xr:uid="{00000000-0005-0000-0000-0000F0320000}"/>
    <cellStyle name="Normal 2 8 3 3 2" xfId="13502" xr:uid="{00000000-0005-0000-0000-0000F1320000}"/>
    <cellStyle name="Normal 2 8 3 4" xfId="13503" xr:uid="{00000000-0005-0000-0000-0000F2320000}"/>
    <cellStyle name="Normal 2 8 4" xfId="13504" xr:uid="{00000000-0005-0000-0000-0000F3320000}"/>
    <cellStyle name="Normal 2 8 4 2" xfId="13505" xr:uid="{00000000-0005-0000-0000-0000F4320000}"/>
    <cellStyle name="Normal 2 8 5" xfId="13506" xr:uid="{00000000-0005-0000-0000-0000F5320000}"/>
    <cellStyle name="Normal 2 8 5 2" xfId="13507" xr:uid="{00000000-0005-0000-0000-0000F6320000}"/>
    <cellStyle name="Normal 2 8 6" xfId="13508" xr:uid="{00000000-0005-0000-0000-0000F7320000}"/>
    <cellStyle name="Normal 2 9" xfId="13509" xr:uid="{00000000-0005-0000-0000-0000F8320000}"/>
    <cellStyle name="Normal 2 9 2" xfId="13510" xr:uid="{00000000-0005-0000-0000-0000F9320000}"/>
    <cellStyle name="Normal 2 9 2 2" xfId="13511" xr:uid="{00000000-0005-0000-0000-0000FA320000}"/>
    <cellStyle name="Normal 2 9 2 2 2" xfId="13512" xr:uid="{00000000-0005-0000-0000-0000FB320000}"/>
    <cellStyle name="Normal 2 9 2 3" xfId="13513" xr:uid="{00000000-0005-0000-0000-0000FC320000}"/>
    <cellStyle name="Normal 2 9 2 3 2" xfId="13514" xr:uid="{00000000-0005-0000-0000-0000FD320000}"/>
    <cellStyle name="Normal 2 9 2 4" xfId="13515" xr:uid="{00000000-0005-0000-0000-0000FE320000}"/>
    <cellStyle name="Normal 2 9 3" xfId="13516" xr:uid="{00000000-0005-0000-0000-0000FF320000}"/>
    <cellStyle name="Normal 2 9 3 2" xfId="13517" xr:uid="{00000000-0005-0000-0000-000000330000}"/>
    <cellStyle name="Normal 2 9 3 2 2" xfId="13518" xr:uid="{00000000-0005-0000-0000-000001330000}"/>
    <cellStyle name="Normal 2 9 3 3" xfId="13519" xr:uid="{00000000-0005-0000-0000-000002330000}"/>
    <cellStyle name="Normal 2 9 3 3 2" xfId="13520" xr:uid="{00000000-0005-0000-0000-000003330000}"/>
    <cellStyle name="Normal 2 9 3 4" xfId="13521" xr:uid="{00000000-0005-0000-0000-000004330000}"/>
    <cellStyle name="Normal 2 9 4" xfId="13522" xr:uid="{00000000-0005-0000-0000-000005330000}"/>
    <cellStyle name="Normal 2 9 4 2" xfId="13523" xr:uid="{00000000-0005-0000-0000-000006330000}"/>
    <cellStyle name="Normal 2 9 5" xfId="13524" xr:uid="{00000000-0005-0000-0000-000007330000}"/>
    <cellStyle name="Normal 2 9 5 2" xfId="13525" xr:uid="{00000000-0005-0000-0000-000008330000}"/>
    <cellStyle name="Normal 2 9 6" xfId="13526" xr:uid="{00000000-0005-0000-0000-000009330000}"/>
    <cellStyle name="Normal 3" xfId="13527" xr:uid="{00000000-0005-0000-0000-00000A330000}"/>
    <cellStyle name="Normal." xfId="13528" xr:uid="{00000000-0005-0000-0000-00000B330000}"/>
    <cellStyle name="Normal. 2" xfId="13529" xr:uid="{00000000-0005-0000-0000-00000C330000}"/>
    <cellStyle name="Normal. 3" xfId="13530" xr:uid="{00000000-0005-0000-0000-00000D330000}"/>
    <cellStyle name="Normal. 4" xfId="13531" xr:uid="{00000000-0005-0000-0000-00000E330000}"/>
    <cellStyle name="Normal_# 41-Market &amp;Trends" xfId="13532" xr:uid="{00000000-0005-0000-0000-00000F330000}"/>
    <cellStyle name="Normál_1." xfId="13533" xr:uid="{00000000-0005-0000-0000-000010330000}"/>
    <cellStyle name="Normal_7y-предприятие-010305" xfId="13534" xr:uid="{00000000-0005-0000-0000-000011330000}"/>
    <cellStyle name="Normál_VERZIOK" xfId="13535" xr:uid="{00000000-0005-0000-0000-000012330000}"/>
    <cellStyle name="Normal_АУФ_АГН" xfId="13536" xr:uid="{00000000-0005-0000-0000-000013330000}"/>
    <cellStyle name="NormalGB" xfId="13537" xr:uid="{00000000-0005-0000-0000-000014330000}"/>
    <cellStyle name="NormalGB 2" xfId="13538" xr:uid="{00000000-0005-0000-0000-000015330000}"/>
    <cellStyle name="NormalGB 3" xfId="13539" xr:uid="{00000000-0005-0000-0000-000016330000}"/>
    <cellStyle name="NormalGB 4" xfId="13540" xr:uid="{00000000-0005-0000-0000-000017330000}"/>
    <cellStyle name="Note" xfId="13541" xr:uid="{00000000-0005-0000-0000-000018330000}"/>
    <cellStyle name="Note 10" xfId="13542" xr:uid="{00000000-0005-0000-0000-000019330000}"/>
    <cellStyle name="Note 11" xfId="13543" xr:uid="{00000000-0005-0000-0000-00001A330000}"/>
    <cellStyle name="Note 12" xfId="13544" xr:uid="{00000000-0005-0000-0000-00001B330000}"/>
    <cellStyle name="Note 13" xfId="13545" xr:uid="{00000000-0005-0000-0000-00001C330000}"/>
    <cellStyle name="Note 14" xfId="13546" xr:uid="{00000000-0005-0000-0000-00001D330000}"/>
    <cellStyle name="Note 2" xfId="13547" xr:uid="{00000000-0005-0000-0000-00001E330000}"/>
    <cellStyle name="Note 2 2" xfId="13548" xr:uid="{00000000-0005-0000-0000-00001F330000}"/>
    <cellStyle name="Note 2 2 2" xfId="13549" xr:uid="{00000000-0005-0000-0000-000020330000}"/>
    <cellStyle name="Note 2 3" xfId="13550" xr:uid="{00000000-0005-0000-0000-000021330000}"/>
    <cellStyle name="Note 2 3 2" xfId="13551" xr:uid="{00000000-0005-0000-0000-000022330000}"/>
    <cellStyle name="Note 2 4" xfId="13552" xr:uid="{00000000-0005-0000-0000-000023330000}"/>
    <cellStyle name="Note 3" xfId="13553" xr:uid="{00000000-0005-0000-0000-000024330000}"/>
    <cellStyle name="Note 3 2" xfId="13554" xr:uid="{00000000-0005-0000-0000-000025330000}"/>
    <cellStyle name="Note 3 2 2" xfId="13555" xr:uid="{00000000-0005-0000-0000-000026330000}"/>
    <cellStyle name="Note 3 3" xfId="13556" xr:uid="{00000000-0005-0000-0000-000027330000}"/>
    <cellStyle name="Note 3 3 2" xfId="13557" xr:uid="{00000000-0005-0000-0000-000028330000}"/>
    <cellStyle name="Note 3 4" xfId="13558" xr:uid="{00000000-0005-0000-0000-000029330000}"/>
    <cellStyle name="Note 4" xfId="13559" xr:uid="{00000000-0005-0000-0000-00002A330000}"/>
    <cellStyle name="Note 4 2" xfId="13560" xr:uid="{00000000-0005-0000-0000-00002B330000}"/>
    <cellStyle name="Note 5" xfId="13561" xr:uid="{00000000-0005-0000-0000-00002C330000}"/>
    <cellStyle name="Note 5 2" xfId="13562" xr:uid="{00000000-0005-0000-0000-00002D330000}"/>
    <cellStyle name="Note 6" xfId="13563" xr:uid="{00000000-0005-0000-0000-00002E330000}"/>
    <cellStyle name="Note 7" xfId="13564" xr:uid="{00000000-0005-0000-0000-00002F330000}"/>
    <cellStyle name="Note 8" xfId="13565" xr:uid="{00000000-0005-0000-0000-000030330000}"/>
    <cellStyle name="Note 9" xfId="13566" xr:uid="{00000000-0005-0000-0000-000031330000}"/>
    <cellStyle name="Output" xfId="13567" xr:uid="{00000000-0005-0000-0000-000032330000}"/>
    <cellStyle name="Output 10" xfId="13568" xr:uid="{00000000-0005-0000-0000-000033330000}"/>
    <cellStyle name="Output 11" xfId="13569" xr:uid="{00000000-0005-0000-0000-000034330000}"/>
    <cellStyle name="Output 12" xfId="13570" xr:uid="{00000000-0005-0000-0000-000035330000}"/>
    <cellStyle name="Output 13" xfId="13571" xr:uid="{00000000-0005-0000-0000-000036330000}"/>
    <cellStyle name="Output 14" xfId="13572" xr:uid="{00000000-0005-0000-0000-000037330000}"/>
    <cellStyle name="Output 2" xfId="13573" xr:uid="{00000000-0005-0000-0000-000038330000}"/>
    <cellStyle name="Output 2 2" xfId="13574" xr:uid="{00000000-0005-0000-0000-000039330000}"/>
    <cellStyle name="Output 2 2 2" xfId="13575" xr:uid="{00000000-0005-0000-0000-00003A330000}"/>
    <cellStyle name="Output 2 3" xfId="13576" xr:uid="{00000000-0005-0000-0000-00003B330000}"/>
    <cellStyle name="Output 2 3 2" xfId="13577" xr:uid="{00000000-0005-0000-0000-00003C330000}"/>
    <cellStyle name="Output 2 4" xfId="13578" xr:uid="{00000000-0005-0000-0000-00003D330000}"/>
    <cellStyle name="Output 3" xfId="13579" xr:uid="{00000000-0005-0000-0000-00003E330000}"/>
    <cellStyle name="Output 3 2" xfId="13580" xr:uid="{00000000-0005-0000-0000-00003F330000}"/>
    <cellStyle name="Output 3 2 2" xfId="13581" xr:uid="{00000000-0005-0000-0000-000040330000}"/>
    <cellStyle name="Output 3 3" xfId="13582" xr:uid="{00000000-0005-0000-0000-000041330000}"/>
    <cellStyle name="Output 3 3 2" xfId="13583" xr:uid="{00000000-0005-0000-0000-000042330000}"/>
    <cellStyle name="Output 3 4" xfId="13584" xr:uid="{00000000-0005-0000-0000-000043330000}"/>
    <cellStyle name="Output 4" xfId="13585" xr:uid="{00000000-0005-0000-0000-000044330000}"/>
    <cellStyle name="Output 4 2" xfId="13586" xr:uid="{00000000-0005-0000-0000-000045330000}"/>
    <cellStyle name="Output 5" xfId="13587" xr:uid="{00000000-0005-0000-0000-000046330000}"/>
    <cellStyle name="Output 5 2" xfId="13588" xr:uid="{00000000-0005-0000-0000-000047330000}"/>
    <cellStyle name="Output 6" xfId="13589" xr:uid="{00000000-0005-0000-0000-000048330000}"/>
    <cellStyle name="Output 7" xfId="13590" xr:uid="{00000000-0005-0000-0000-000049330000}"/>
    <cellStyle name="Output 8" xfId="13591" xr:uid="{00000000-0005-0000-0000-00004A330000}"/>
    <cellStyle name="Output 9" xfId="13592" xr:uid="{00000000-0005-0000-0000-00004B330000}"/>
    <cellStyle name="Output Amounts" xfId="13593" xr:uid="{00000000-0005-0000-0000-00004C330000}"/>
    <cellStyle name="Output Column Headings" xfId="13594" xr:uid="{00000000-0005-0000-0000-00004D330000}"/>
    <cellStyle name="Output Column Headings 2" xfId="13595" xr:uid="{00000000-0005-0000-0000-00004E330000}"/>
    <cellStyle name="Output Column Headings 3" xfId="13596" xr:uid="{00000000-0005-0000-0000-00004F330000}"/>
    <cellStyle name="Output Column Headings 4" xfId="13597" xr:uid="{00000000-0005-0000-0000-000050330000}"/>
    <cellStyle name="Output Line Items" xfId="13598" xr:uid="{00000000-0005-0000-0000-000051330000}"/>
    <cellStyle name="Output Line Items 2" xfId="13599" xr:uid="{00000000-0005-0000-0000-000052330000}"/>
    <cellStyle name="Output Line Items 3" xfId="13600" xr:uid="{00000000-0005-0000-0000-000053330000}"/>
    <cellStyle name="Output Line Items 4" xfId="13601" xr:uid="{00000000-0005-0000-0000-000054330000}"/>
    <cellStyle name="Output Report Heading" xfId="13602" xr:uid="{00000000-0005-0000-0000-000055330000}"/>
    <cellStyle name="Output Report Heading 2" xfId="13603" xr:uid="{00000000-0005-0000-0000-000056330000}"/>
    <cellStyle name="Output Report Heading 3" xfId="13604" xr:uid="{00000000-0005-0000-0000-000057330000}"/>
    <cellStyle name="Output Report Heading 4" xfId="13605" xr:uid="{00000000-0005-0000-0000-000058330000}"/>
    <cellStyle name="Output Report Title" xfId="13606" xr:uid="{00000000-0005-0000-0000-000059330000}"/>
    <cellStyle name="Output Report Title 2" xfId="13607" xr:uid="{00000000-0005-0000-0000-00005A330000}"/>
    <cellStyle name="Output Report Title 3" xfId="13608" xr:uid="{00000000-0005-0000-0000-00005B330000}"/>
    <cellStyle name="Output Report Title 4" xfId="13609" xr:uid="{00000000-0005-0000-0000-00005C330000}"/>
    <cellStyle name="Outputtitle" xfId="13610" xr:uid="{00000000-0005-0000-0000-00005D330000}"/>
    <cellStyle name="Outputtitle 2" xfId="13611" xr:uid="{00000000-0005-0000-0000-00005E330000}"/>
    <cellStyle name="Outputtitle 3" xfId="13612" xr:uid="{00000000-0005-0000-0000-00005F330000}"/>
    <cellStyle name="Outputtitle 4" xfId="13613" xr:uid="{00000000-0005-0000-0000-000060330000}"/>
    <cellStyle name="Paaotsikko" xfId="13614" xr:uid="{00000000-0005-0000-0000-000061330000}"/>
    <cellStyle name="Paaotsikko 2" xfId="13615" xr:uid="{00000000-0005-0000-0000-000062330000}"/>
    <cellStyle name="Paaotsikko 3" xfId="13616" xr:uid="{00000000-0005-0000-0000-000063330000}"/>
    <cellStyle name="Paaotsikko 4" xfId="13617" xr:uid="{00000000-0005-0000-0000-000064330000}"/>
    <cellStyle name="Page Number" xfId="13618" xr:uid="{00000000-0005-0000-0000-000065330000}"/>
    <cellStyle name="Pénznem [0]_Document" xfId="13619" xr:uid="{00000000-0005-0000-0000-000066330000}"/>
    <cellStyle name="Pénznem_Document" xfId="13620" xr:uid="{00000000-0005-0000-0000-000067330000}"/>
    <cellStyle name="Percent [0]" xfId="13621" xr:uid="{00000000-0005-0000-0000-000068330000}"/>
    <cellStyle name="Percent [0] 2" xfId="13622" xr:uid="{00000000-0005-0000-0000-000069330000}"/>
    <cellStyle name="Percent [0] 3" xfId="13623" xr:uid="{00000000-0005-0000-0000-00006A330000}"/>
    <cellStyle name="Percent [0] 4" xfId="13624" xr:uid="{00000000-0005-0000-0000-00006B330000}"/>
    <cellStyle name="Percent [00]" xfId="13625" xr:uid="{00000000-0005-0000-0000-00006C330000}"/>
    <cellStyle name="Percent [00] 2" xfId="13626" xr:uid="{00000000-0005-0000-0000-00006D330000}"/>
    <cellStyle name="Percent [1]" xfId="13627" xr:uid="{00000000-0005-0000-0000-00006E330000}"/>
    <cellStyle name="Percent 2" xfId="13628" xr:uid="{00000000-0005-0000-0000-00006F330000}"/>
    <cellStyle name="Percent 2 2" xfId="13629" xr:uid="{00000000-0005-0000-0000-000070330000}"/>
    <cellStyle name="Percent_#6 Temps &amp; Contractors" xfId="13630" xr:uid="{00000000-0005-0000-0000-000071330000}"/>
    <cellStyle name="PrePop Currency (0)" xfId="13631" xr:uid="{00000000-0005-0000-0000-000072330000}"/>
    <cellStyle name="PrePop Currency (2)" xfId="13632" xr:uid="{00000000-0005-0000-0000-000073330000}"/>
    <cellStyle name="PrePop Units (0)" xfId="13633" xr:uid="{00000000-0005-0000-0000-000074330000}"/>
    <cellStyle name="PrePop Units (1)" xfId="13634" xr:uid="{00000000-0005-0000-0000-000075330000}"/>
    <cellStyle name="PrePop Units (2)" xfId="13635" xr:uid="{00000000-0005-0000-0000-000076330000}"/>
    <cellStyle name="prochrek" xfId="13636" xr:uid="{00000000-0005-0000-0000-000077330000}"/>
    <cellStyle name="prochrek 10" xfId="13637" xr:uid="{00000000-0005-0000-0000-000078330000}"/>
    <cellStyle name="prochrek 10 2" xfId="13638" xr:uid="{00000000-0005-0000-0000-000079330000}"/>
    <cellStyle name="prochrek 10 3" xfId="13639" xr:uid="{00000000-0005-0000-0000-00007A330000}"/>
    <cellStyle name="prochrek 11" xfId="13640" xr:uid="{00000000-0005-0000-0000-00007B330000}"/>
    <cellStyle name="prochrek 11 2" xfId="13641" xr:uid="{00000000-0005-0000-0000-00007C330000}"/>
    <cellStyle name="prochrek 11 3" xfId="13642" xr:uid="{00000000-0005-0000-0000-00007D330000}"/>
    <cellStyle name="prochrek 12" xfId="13643" xr:uid="{00000000-0005-0000-0000-00007E330000}"/>
    <cellStyle name="prochrek 12 2" xfId="13644" xr:uid="{00000000-0005-0000-0000-00007F330000}"/>
    <cellStyle name="prochrek 12 3" xfId="13645" xr:uid="{00000000-0005-0000-0000-000080330000}"/>
    <cellStyle name="prochrek 13" xfId="13646" xr:uid="{00000000-0005-0000-0000-000081330000}"/>
    <cellStyle name="prochrek 13 2" xfId="13647" xr:uid="{00000000-0005-0000-0000-000082330000}"/>
    <cellStyle name="prochrek 13 3" xfId="13648" xr:uid="{00000000-0005-0000-0000-000083330000}"/>
    <cellStyle name="prochrek 14" xfId="13649" xr:uid="{00000000-0005-0000-0000-000084330000}"/>
    <cellStyle name="prochrek 15" xfId="13650" xr:uid="{00000000-0005-0000-0000-000085330000}"/>
    <cellStyle name="prochrek 2" xfId="13651" xr:uid="{00000000-0005-0000-0000-000086330000}"/>
    <cellStyle name="prochrek 2 2" xfId="13652" xr:uid="{00000000-0005-0000-0000-000087330000}"/>
    <cellStyle name="prochrek 2 3" xfId="13653" xr:uid="{00000000-0005-0000-0000-000088330000}"/>
    <cellStyle name="prochrek 3" xfId="13654" xr:uid="{00000000-0005-0000-0000-000089330000}"/>
    <cellStyle name="prochrek 3 2" xfId="13655" xr:uid="{00000000-0005-0000-0000-00008A330000}"/>
    <cellStyle name="prochrek 3 3" xfId="13656" xr:uid="{00000000-0005-0000-0000-00008B330000}"/>
    <cellStyle name="prochrek 4" xfId="13657" xr:uid="{00000000-0005-0000-0000-00008C330000}"/>
    <cellStyle name="prochrek 4 2" xfId="13658" xr:uid="{00000000-0005-0000-0000-00008D330000}"/>
    <cellStyle name="prochrek 4 3" xfId="13659" xr:uid="{00000000-0005-0000-0000-00008E330000}"/>
    <cellStyle name="prochrek 5" xfId="13660" xr:uid="{00000000-0005-0000-0000-00008F330000}"/>
    <cellStyle name="prochrek 5 2" xfId="13661" xr:uid="{00000000-0005-0000-0000-000090330000}"/>
    <cellStyle name="prochrek 5 3" xfId="13662" xr:uid="{00000000-0005-0000-0000-000091330000}"/>
    <cellStyle name="prochrek 6" xfId="13663" xr:uid="{00000000-0005-0000-0000-000092330000}"/>
    <cellStyle name="prochrek 6 2" xfId="13664" xr:uid="{00000000-0005-0000-0000-000093330000}"/>
    <cellStyle name="prochrek 6 3" xfId="13665" xr:uid="{00000000-0005-0000-0000-000094330000}"/>
    <cellStyle name="prochrek 7" xfId="13666" xr:uid="{00000000-0005-0000-0000-000095330000}"/>
    <cellStyle name="prochrek 7 2" xfId="13667" xr:uid="{00000000-0005-0000-0000-000096330000}"/>
    <cellStyle name="prochrek 7 3" xfId="13668" xr:uid="{00000000-0005-0000-0000-000097330000}"/>
    <cellStyle name="prochrek 8" xfId="13669" xr:uid="{00000000-0005-0000-0000-000098330000}"/>
    <cellStyle name="prochrek 8 2" xfId="13670" xr:uid="{00000000-0005-0000-0000-000099330000}"/>
    <cellStyle name="prochrek 8 3" xfId="13671" xr:uid="{00000000-0005-0000-0000-00009A330000}"/>
    <cellStyle name="prochrek 9" xfId="13672" xr:uid="{00000000-0005-0000-0000-00009B330000}"/>
    <cellStyle name="prochrek 9 2" xfId="13673" xr:uid="{00000000-0005-0000-0000-00009C330000}"/>
    <cellStyle name="prochrek 9 3" xfId="13674" xr:uid="{00000000-0005-0000-0000-00009D330000}"/>
    <cellStyle name="Pддotsikko" xfId="13675" xr:uid="{00000000-0005-0000-0000-00009E330000}"/>
    <cellStyle name="Pддotsikko 2" xfId="13676" xr:uid="{00000000-0005-0000-0000-00009F330000}"/>
    <cellStyle name="Pддotsikko 3" xfId="13677" xr:uid="{00000000-0005-0000-0000-0000A0330000}"/>
    <cellStyle name="Pддotsikko 4" xfId="13678" xr:uid="{00000000-0005-0000-0000-0000A1330000}"/>
    <cellStyle name="Red" xfId="13679" xr:uid="{00000000-0005-0000-0000-0000A2330000}"/>
    <cellStyle name="Red 2" xfId="13680" xr:uid="{00000000-0005-0000-0000-0000A3330000}"/>
    <cellStyle name="Red 3" xfId="13681" xr:uid="{00000000-0005-0000-0000-0000A4330000}"/>
    <cellStyle name="Red 4" xfId="13682" xr:uid="{00000000-0005-0000-0000-0000A5330000}"/>
    <cellStyle name="Salomon Logo" xfId="13683" xr:uid="{00000000-0005-0000-0000-0000A6330000}"/>
    <cellStyle name="Salomon Logo 2" xfId="13684" xr:uid="{00000000-0005-0000-0000-0000A7330000}"/>
    <cellStyle name="Salomon Logo 3" xfId="13685" xr:uid="{00000000-0005-0000-0000-0000A8330000}"/>
    <cellStyle name="Salomon Logo 4" xfId="13686" xr:uid="{00000000-0005-0000-0000-0000A9330000}"/>
    <cellStyle name="SAPBEXaggData" xfId="31" xr:uid="{00000000-0005-0000-0000-0000AA330000}"/>
    <cellStyle name="SAPBEXaggData 2" xfId="32" xr:uid="{00000000-0005-0000-0000-0000AB330000}"/>
    <cellStyle name="SAPBEXaggData 2 2" xfId="13687" xr:uid="{00000000-0005-0000-0000-0000AC330000}"/>
    <cellStyle name="SAPBEXaggData 2 2 2" xfId="13688" xr:uid="{00000000-0005-0000-0000-0000AD330000}"/>
    <cellStyle name="SAPBEXaggData 2 2 2 2" xfId="13689" xr:uid="{00000000-0005-0000-0000-0000AE330000}"/>
    <cellStyle name="SAPBEXaggData 2 2 3" xfId="13690" xr:uid="{00000000-0005-0000-0000-0000AF330000}"/>
    <cellStyle name="SAPBEXaggData 2 2 3 2" xfId="13691" xr:uid="{00000000-0005-0000-0000-0000B0330000}"/>
    <cellStyle name="SAPBEXaggData 2 2 4" xfId="13692" xr:uid="{00000000-0005-0000-0000-0000B1330000}"/>
    <cellStyle name="SAPBEXaggData 2 3" xfId="13693" xr:uid="{00000000-0005-0000-0000-0000B2330000}"/>
    <cellStyle name="SAPBEXaggData 2 3 2" xfId="13694" xr:uid="{00000000-0005-0000-0000-0000B3330000}"/>
    <cellStyle name="SAPBEXaggData 2 3 2 2" xfId="13695" xr:uid="{00000000-0005-0000-0000-0000B4330000}"/>
    <cellStyle name="SAPBEXaggData 2 3 3" xfId="13696" xr:uid="{00000000-0005-0000-0000-0000B5330000}"/>
    <cellStyle name="SAPBEXaggData 2 3 3 2" xfId="13697" xr:uid="{00000000-0005-0000-0000-0000B6330000}"/>
    <cellStyle name="SAPBEXaggData 2 3 4" xfId="13698" xr:uid="{00000000-0005-0000-0000-0000B7330000}"/>
    <cellStyle name="SAPBEXaggData 2 4" xfId="13699" xr:uid="{00000000-0005-0000-0000-0000B8330000}"/>
    <cellStyle name="SAPBEXaggData 2 4 2" xfId="13700" xr:uid="{00000000-0005-0000-0000-0000B9330000}"/>
    <cellStyle name="SAPBEXaggData 2 5" xfId="13701" xr:uid="{00000000-0005-0000-0000-0000BA330000}"/>
    <cellStyle name="SAPBEXaggData 2 5 2" xfId="13702" xr:uid="{00000000-0005-0000-0000-0000BB330000}"/>
    <cellStyle name="SAPBEXaggData 2 6" xfId="13703" xr:uid="{00000000-0005-0000-0000-0000BC330000}"/>
    <cellStyle name="SAPBEXaggData 3" xfId="33" xr:uid="{00000000-0005-0000-0000-0000BD330000}"/>
    <cellStyle name="SAPBEXaggData 3 2" xfId="13704" xr:uid="{00000000-0005-0000-0000-0000BE330000}"/>
    <cellStyle name="SAPBEXaggData 3 2 2" xfId="13705" xr:uid="{00000000-0005-0000-0000-0000BF330000}"/>
    <cellStyle name="SAPBEXaggData 3 3" xfId="13706" xr:uid="{00000000-0005-0000-0000-0000C0330000}"/>
    <cellStyle name="SAPBEXaggData 3 3 2" xfId="13707" xr:uid="{00000000-0005-0000-0000-0000C1330000}"/>
    <cellStyle name="SAPBEXaggData 3 4" xfId="13708" xr:uid="{00000000-0005-0000-0000-0000C2330000}"/>
    <cellStyle name="SAPBEXaggData 4" xfId="34" xr:uid="{00000000-0005-0000-0000-0000C3330000}"/>
    <cellStyle name="SAPBEXaggData 4 2" xfId="13709" xr:uid="{00000000-0005-0000-0000-0000C4330000}"/>
    <cellStyle name="SAPBEXaggData 4 2 2" xfId="13710" xr:uid="{00000000-0005-0000-0000-0000C5330000}"/>
    <cellStyle name="SAPBEXaggData 4 3" xfId="13711" xr:uid="{00000000-0005-0000-0000-0000C6330000}"/>
    <cellStyle name="SAPBEXaggData 4 3 2" xfId="13712" xr:uid="{00000000-0005-0000-0000-0000C7330000}"/>
    <cellStyle name="SAPBEXaggData 4 4" xfId="13713" xr:uid="{00000000-0005-0000-0000-0000C8330000}"/>
    <cellStyle name="SAPBEXaggData 5" xfId="13714" xr:uid="{00000000-0005-0000-0000-0000C9330000}"/>
    <cellStyle name="SAPBEXaggData 5 2" xfId="13715" xr:uid="{00000000-0005-0000-0000-0000CA330000}"/>
    <cellStyle name="SAPBEXaggData 6" xfId="13716" xr:uid="{00000000-0005-0000-0000-0000CB330000}"/>
    <cellStyle name="SAPBEXaggData 6 2" xfId="13717" xr:uid="{00000000-0005-0000-0000-0000CC330000}"/>
    <cellStyle name="SAPBEXaggData 7" xfId="13718" xr:uid="{00000000-0005-0000-0000-0000CD330000}"/>
    <cellStyle name="SAPBEXaggDataEmph" xfId="35" xr:uid="{00000000-0005-0000-0000-0000CE330000}"/>
    <cellStyle name="SAPBEXaggDataEmph 2" xfId="36" xr:uid="{00000000-0005-0000-0000-0000CF330000}"/>
    <cellStyle name="SAPBEXaggDataEmph 2 2" xfId="13719" xr:uid="{00000000-0005-0000-0000-0000D0330000}"/>
    <cellStyle name="SAPBEXaggDataEmph 2 2 2" xfId="13720" xr:uid="{00000000-0005-0000-0000-0000D1330000}"/>
    <cellStyle name="SAPBEXaggDataEmph 2 2 2 2" xfId="13721" xr:uid="{00000000-0005-0000-0000-0000D2330000}"/>
    <cellStyle name="SAPBEXaggDataEmph 2 2 3" xfId="13722" xr:uid="{00000000-0005-0000-0000-0000D3330000}"/>
    <cellStyle name="SAPBEXaggDataEmph 2 2 3 2" xfId="13723" xr:uid="{00000000-0005-0000-0000-0000D4330000}"/>
    <cellStyle name="SAPBEXaggDataEmph 2 2 4" xfId="13724" xr:uid="{00000000-0005-0000-0000-0000D5330000}"/>
    <cellStyle name="SAPBEXaggDataEmph 2 3" xfId="13725" xr:uid="{00000000-0005-0000-0000-0000D6330000}"/>
    <cellStyle name="SAPBEXaggDataEmph 2 3 2" xfId="13726" xr:uid="{00000000-0005-0000-0000-0000D7330000}"/>
    <cellStyle name="SAPBEXaggDataEmph 2 4" xfId="13727" xr:uid="{00000000-0005-0000-0000-0000D8330000}"/>
    <cellStyle name="SAPBEXaggDataEmph 2 4 2" xfId="13728" xr:uid="{00000000-0005-0000-0000-0000D9330000}"/>
    <cellStyle name="SAPBEXaggDataEmph 2 5" xfId="13729" xr:uid="{00000000-0005-0000-0000-0000DA330000}"/>
    <cellStyle name="SAPBEXaggDataEmph 3" xfId="37" xr:uid="{00000000-0005-0000-0000-0000DB330000}"/>
    <cellStyle name="SAPBEXaggDataEmph 3 2" xfId="13730" xr:uid="{00000000-0005-0000-0000-0000DC330000}"/>
    <cellStyle name="SAPBEXaggDataEmph 3 2 2" xfId="13731" xr:uid="{00000000-0005-0000-0000-0000DD330000}"/>
    <cellStyle name="SAPBEXaggDataEmph 3 3" xfId="13732" xr:uid="{00000000-0005-0000-0000-0000DE330000}"/>
    <cellStyle name="SAPBEXaggDataEmph 3 3 2" xfId="13733" xr:uid="{00000000-0005-0000-0000-0000DF330000}"/>
    <cellStyle name="SAPBEXaggDataEmph 3 4" xfId="13734" xr:uid="{00000000-0005-0000-0000-0000E0330000}"/>
    <cellStyle name="SAPBEXaggDataEmph 4" xfId="38" xr:uid="{00000000-0005-0000-0000-0000E1330000}"/>
    <cellStyle name="SAPBEXaggDataEmph 4 2" xfId="13735" xr:uid="{00000000-0005-0000-0000-0000E2330000}"/>
    <cellStyle name="SAPBEXaggDataEmph 4 2 2" xfId="13736" xr:uid="{00000000-0005-0000-0000-0000E3330000}"/>
    <cellStyle name="SAPBEXaggDataEmph 4 3" xfId="13737" xr:uid="{00000000-0005-0000-0000-0000E4330000}"/>
    <cellStyle name="SAPBEXaggDataEmph 4 3 2" xfId="13738" xr:uid="{00000000-0005-0000-0000-0000E5330000}"/>
    <cellStyle name="SAPBEXaggDataEmph 4 4" xfId="13739" xr:uid="{00000000-0005-0000-0000-0000E6330000}"/>
    <cellStyle name="SAPBEXaggDataEmph 5" xfId="13740" xr:uid="{00000000-0005-0000-0000-0000E7330000}"/>
    <cellStyle name="SAPBEXaggDataEmph 5 2" xfId="13741" xr:uid="{00000000-0005-0000-0000-0000E8330000}"/>
    <cellStyle name="SAPBEXaggDataEmph 6" xfId="13742" xr:uid="{00000000-0005-0000-0000-0000E9330000}"/>
    <cellStyle name="SAPBEXaggDataEmph 6 2" xfId="13743" xr:uid="{00000000-0005-0000-0000-0000EA330000}"/>
    <cellStyle name="SAPBEXaggDataEmph 7" xfId="13744" xr:uid="{00000000-0005-0000-0000-0000EB330000}"/>
    <cellStyle name="SAPBEXaggItem" xfId="39" xr:uid="{00000000-0005-0000-0000-0000EC330000}"/>
    <cellStyle name="SAPBEXaggItem 2" xfId="40" xr:uid="{00000000-0005-0000-0000-0000ED330000}"/>
    <cellStyle name="SAPBEXaggItem 2 2" xfId="13745" xr:uid="{00000000-0005-0000-0000-0000EE330000}"/>
    <cellStyle name="SAPBEXaggItem 2 2 2" xfId="13746" xr:uid="{00000000-0005-0000-0000-0000EF330000}"/>
    <cellStyle name="SAPBEXaggItem 2 2 2 2" xfId="13747" xr:uid="{00000000-0005-0000-0000-0000F0330000}"/>
    <cellStyle name="SAPBEXaggItem 2 2 3" xfId="13748" xr:uid="{00000000-0005-0000-0000-0000F1330000}"/>
    <cellStyle name="SAPBEXaggItem 2 2 3 2" xfId="13749" xr:uid="{00000000-0005-0000-0000-0000F2330000}"/>
    <cellStyle name="SAPBEXaggItem 2 2 4" xfId="13750" xr:uid="{00000000-0005-0000-0000-0000F3330000}"/>
    <cellStyle name="SAPBEXaggItem 2 3" xfId="13751" xr:uid="{00000000-0005-0000-0000-0000F4330000}"/>
    <cellStyle name="SAPBEXaggItem 2 3 2" xfId="13752" xr:uid="{00000000-0005-0000-0000-0000F5330000}"/>
    <cellStyle name="SAPBEXaggItem 2 3 2 2" xfId="13753" xr:uid="{00000000-0005-0000-0000-0000F6330000}"/>
    <cellStyle name="SAPBEXaggItem 2 3 3" xfId="13754" xr:uid="{00000000-0005-0000-0000-0000F7330000}"/>
    <cellStyle name="SAPBEXaggItem 2 3 3 2" xfId="13755" xr:uid="{00000000-0005-0000-0000-0000F8330000}"/>
    <cellStyle name="SAPBEXaggItem 2 3 4" xfId="13756" xr:uid="{00000000-0005-0000-0000-0000F9330000}"/>
    <cellStyle name="SAPBEXaggItem 2 4" xfId="13757" xr:uid="{00000000-0005-0000-0000-0000FA330000}"/>
    <cellStyle name="SAPBEXaggItem 2 4 2" xfId="13758" xr:uid="{00000000-0005-0000-0000-0000FB330000}"/>
    <cellStyle name="SAPBEXaggItem 2 5" xfId="13759" xr:uid="{00000000-0005-0000-0000-0000FC330000}"/>
    <cellStyle name="SAPBEXaggItem 2 5 2" xfId="13760" xr:uid="{00000000-0005-0000-0000-0000FD330000}"/>
    <cellStyle name="SAPBEXaggItem 2 6" xfId="13761" xr:uid="{00000000-0005-0000-0000-0000FE330000}"/>
    <cellStyle name="SAPBEXaggItem 3" xfId="41" xr:uid="{00000000-0005-0000-0000-0000FF330000}"/>
    <cellStyle name="SAPBEXaggItem 3 2" xfId="13762" xr:uid="{00000000-0005-0000-0000-000000340000}"/>
    <cellStyle name="SAPBEXaggItem 3 2 2" xfId="13763" xr:uid="{00000000-0005-0000-0000-000001340000}"/>
    <cellStyle name="SAPBEXaggItem 3 3" xfId="13764" xr:uid="{00000000-0005-0000-0000-000002340000}"/>
    <cellStyle name="SAPBEXaggItem 3 3 2" xfId="13765" xr:uid="{00000000-0005-0000-0000-000003340000}"/>
    <cellStyle name="SAPBEXaggItem 3 4" xfId="13766" xr:uid="{00000000-0005-0000-0000-000004340000}"/>
    <cellStyle name="SAPBEXaggItem 4" xfId="42" xr:uid="{00000000-0005-0000-0000-000005340000}"/>
    <cellStyle name="SAPBEXaggItem 4 2" xfId="13767" xr:uid="{00000000-0005-0000-0000-000006340000}"/>
    <cellStyle name="SAPBEXaggItem 4 2 2" xfId="13768" xr:uid="{00000000-0005-0000-0000-000007340000}"/>
    <cellStyle name="SAPBEXaggItem 4 3" xfId="13769" xr:uid="{00000000-0005-0000-0000-000008340000}"/>
    <cellStyle name="SAPBEXaggItem 4 3 2" xfId="13770" xr:uid="{00000000-0005-0000-0000-000009340000}"/>
    <cellStyle name="SAPBEXaggItem 4 4" xfId="13771" xr:uid="{00000000-0005-0000-0000-00000A340000}"/>
    <cellStyle name="SAPBEXaggItem 5" xfId="13772" xr:uid="{00000000-0005-0000-0000-00000B340000}"/>
    <cellStyle name="SAPBEXaggItem 5 2" xfId="13773" xr:uid="{00000000-0005-0000-0000-00000C340000}"/>
    <cellStyle name="SAPBEXaggItem 6" xfId="13774" xr:uid="{00000000-0005-0000-0000-00000D340000}"/>
    <cellStyle name="SAPBEXaggItem 6 2" xfId="13775" xr:uid="{00000000-0005-0000-0000-00000E340000}"/>
    <cellStyle name="SAPBEXaggItem 7" xfId="13776" xr:uid="{00000000-0005-0000-0000-00000F340000}"/>
    <cellStyle name="SAPBEXaggItemX" xfId="43" xr:uid="{00000000-0005-0000-0000-000010340000}"/>
    <cellStyle name="SAPBEXaggItemX 2" xfId="44" xr:uid="{00000000-0005-0000-0000-000011340000}"/>
    <cellStyle name="SAPBEXaggItemX 2 2" xfId="13777" xr:uid="{00000000-0005-0000-0000-000012340000}"/>
    <cellStyle name="SAPBEXaggItemX 2 2 2" xfId="13778" xr:uid="{00000000-0005-0000-0000-000013340000}"/>
    <cellStyle name="SAPBEXaggItemX 2 2 2 2" xfId="13779" xr:uid="{00000000-0005-0000-0000-000014340000}"/>
    <cellStyle name="SAPBEXaggItemX 2 2 3" xfId="13780" xr:uid="{00000000-0005-0000-0000-000015340000}"/>
    <cellStyle name="SAPBEXaggItemX 2 2 3 2" xfId="13781" xr:uid="{00000000-0005-0000-0000-000016340000}"/>
    <cellStyle name="SAPBEXaggItemX 2 2 4" xfId="13782" xr:uid="{00000000-0005-0000-0000-000017340000}"/>
    <cellStyle name="SAPBEXaggItemX 2 3" xfId="13783" xr:uid="{00000000-0005-0000-0000-000018340000}"/>
    <cellStyle name="SAPBEXaggItemX 2 3 2" xfId="13784" xr:uid="{00000000-0005-0000-0000-000019340000}"/>
    <cellStyle name="SAPBEXaggItemX 2 4" xfId="13785" xr:uid="{00000000-0005-0000-0000-00001A340000}"/>
    <cellStyle name="SAPBEXaggItemX 2 4 2" xfId="13786" xr:uid="{00000000-0005-0000-0000-00001B340000}"/>
    <cellStyle name="SAPBEXaggItemX 2 5" xfId="13787" xr:uid="{00000000-0005-0000-0000-00001C340000}"/>
    <cellStyle name="SAPBEXaggItemX 3" xfId="45" xr:uid="{00000000-0005-0000-0000-00001D340000}"/>
    <cellStyle name="SAPBEXaggItemX 3 2" xfId="13788" xr:uid="{00000000-0005-0000-0000-00001E340000}"/>
    <cellStyle name="SAPBEXaggItemX 3 2 2" xfId="13789" xr:uid="{00000000-0005-0000-0000-00001F340000}"/>
    <cellStyle name="SAPBEXaggItemX 3 3" xfId="13790" xr:uid="{00000000-0005-0000-0000-000020340000}"/>
    <cellStyle name="SAPBEXaggItemX 3 3 2" xfId="13791" xr:uid="{00000000-0005-0000-0000-000021340000}"/>
    <cellStyle name="SAPBEXaggItemX 3 4" xfId="13792" xr:uid="{00000000-0005-0000-0000-000022340000}"/>
    <cellStyle name="SAPBEXaggItemX 4" xfId="46" xr:uid="{00000000-0005-0000-0000-000023340000}"/>
    <cellStyle name="SAPBEXaggItemX 4 2" xfId="13793" xr:uid="{00000000-0005-0000-0000-000024340000}"/>
    <cellStyle name="SAPBEXaggItemX 4 2 2" xfId="13794" xr:uid="{00000000-0005-0000-0000-000025340000}"/>
    <cellStyle name="SAPBEXaggItemX 4 3" xfId="13795" xr:uid="{00000000-0005-0000-0000-000026340000}"/>
    <cellStyle name="SAPBEXaggItemX 4 3 2" xfId="13796" xr:uid="{00000000-0005-0000-0000-000027340000}"/>
    <cellStyle name="SAPBEXaggItemX 4 4" xfId="13797" xr:uid="{00000000-0005-0000-0000-000028340000}"/>
    <cellStyle name="SAPBEXaggItemX 5" xfId="13798" xr:uid="{00000000-0005-0000-0000-000029340000}"/>
    <cellStyle name="SAPBEXaggItemX 5 2" xfId="13799" xr:uid="{00000000-0005-0000-0000-00002A340000}"/>
    <cellStyle name="SAPBEXaggItemX 6" xfId="13800" xr:uid="{00000000-0005-0000-0000-00002B340000}"/>
    <cellStyle name="SAPBEXaggItemX 6 2" xfId="13801" xr:uid="{00000000-0005-0000-0000-00002C340000}"/>
    <cellStyle name="SAPBEXaggItemX 7" xfId="13802" xr:uid="{00000000-0005-0000-0000-00002D340000}"/>
    <cellStyle name="SAPBEXchaText" xfId="47" xr:uid="{00000000-0005-0000-0000-00002E340000}"/>
    <cellStyle name="SAPBEXchaText 2" xfId="48" xr:uid="{00000000-0005-0000-0000-00002F340000}"/>
    <cellStyle name="SAPBEXchaText 2 2" xfId="49" xr:uid="{00000000-0005-0000-0000-000030340000}"/>
    <cellStyle name="SAPBEXchaText 2 2 2" xfId="50" xr:uid="{00000000-0005-0000-0000-000031340000}"/>
    <cellStyle name="SAPBEXchaText 2 2 2 2" xfId="13803" xr:uid="{00000000-0005-0000-0000-000032340000}"/>
    <cellStyle name="SAPBEXchaText 2 2 3" xfId="13804" xr:uid="{00000000-0005-0000-0000-000033340000}"/>
    <cellStyle name="SAPBEXchaText 2 2 3 2" xfId="13805" xr:uid="{00000000-0005-0000-0000-000034340000}"/>
    <cellStyle name="SAPBEXchaText 2 2 4" xfId="13806" xr:uid="{00000000-0005-0000-0000-000035340000}"/>
    <cellStyle name="SAPBEXchaText 2 3" xfId="51" xr:uid="{00000000-0005-0000-0000-000036340000}"/>
    <cellStyle name="SAPBEXchaText 2 3 2" xfId="13807" xr:uid="{00000000-0005-0000-0000-000037340000}"/>
    <cellStyle name="SAPBEXchaText 2 3 2 2" xfId="13808" xr:uid="{00000000-0005-0000-0000-000038340000}"/>
    <cellStyle name="SAPBEXchaText 2 3 3" xfId="13809" xr:uid="{00000000-0005-0000-0000-000039340000}"/>
    <cellStyle name="SAPBEXchaText 2 3 3 2" xfId="13810" xr:uid="{00000000-0005-0000-0000-00003A340000}"/>
    <cellStyle name="SAPBEXchaText 2 3 4" xfId="13811" xr:uid="{00000000-0005-0000-0000-00003B340000}"/>
    <cellStyle name="SAPBEXchaText 2 4" xfId="52" xr:uid="{00000000-0005-0000-0000-00003C340000}"/>
    <cellStyle name="SAPBEXchaText 2 4 2" xfId="13812" xr:uid="{00000000-0005-0000-0000-00003D340000}"/>
    <cellStyle name="SAPBEXchaText 2 5" xfId="13813" xr:uid="{00000000-0005-0000-0000-00003E340000}"/>
    <cellStyle name="SAPBEXchaText 2 5 2" xfId="13814" xr:uid="{00000000-0005-0000-0000-00003F340000}"/>
    <cellStyle name="SAPBEXchaText 2 6" xfId="13815" xr:uid="{00000000-0005-0000-0000-000040340000}"/>
    <cellStyle name="SAPBEXchaText 3" xfId="53" xr:uid="{00000000-0005-0000-0000-000041340000}"/>
    <cellStyle name="SAPBEXchaText 4" xfId="54" xr:uid="{00000000-0005-0000-0000-000042340000}"/>
    <cellStyle name="SAPBEXchaText 5" xfId="55" xr:uid="{00000000-0005-0000-0000-000043340000}"/>
    <cellStyle name="SAPBEXexcBad7" xfId="56" xr:uid="{00000000-0005-0000-0000-000044340000}"/>
    <cellStyle name="SAPBEXexcBad7 2" xfId="57" xr:uid="{00000000-0005-0000-0000-000045340000}"/>
    <cellStyle name="SAPBEXexcBad7 2 2" xfId="58" xr:uid="{00000000-0005-0000-0000-000046340000}"/>
    <cellStyle name="SAPBEXexcBad7 2 2 2" xfId="13816" xr:uid="{00000000-0005-0000-0000-000047340000}"/>
    <cellStyle name="SAPBEXexcBad7 2 2 2 2" xfId="13817" xr:uid="{00000000-0005-0000-0000-000048340000}"/>
    <cellStyle name="SAPBEXexcBad7 2 2 3" xfId="13818" xr:uid="{00000000-0005-0000-0000-000049340000}"/>
    <cellStyle name="SAPBEXexcBad7 2 2 3 2" xfId="13819" xr:uid="{00000000-0005-0000-0000-00004A340000}"/>
    <cellStyle name="SAPBEXexcBad7 2 2 4" xfId="13820" xr:uid="{00000000-0005-0000-0000-00004B340000}"/>
    <cellStyle name="SAPBEXexcBad7 2 3" xfId="59" xr:uid="{00000000-0005-0000-0000-00004C340000}"/>
    <cellStyle name="SAPBEXexcBad7 2 3 2" xfId="13821" xr:uid="{00000000-0005-0000-0000-00004D340000}"/>
    <cellStyle name="SAPBEXexcBad7 2 4" xfId="60" xr:uid="{00000000-0005-0000-0000-00004E340000}"/>
    <cellStyle name="SAPBEXexcBad7 2 4 2" xfId="13822" xr:uid="{00000000-0005-0000-0000-00004F340000}"/>
    <cellStyle name="SAPBEXexcBad7 2 5" xfId="13823" xr:uid="{00000000-0005-0000-0000-000050340000}"/>
    <cellStyle name="SAPBEXexcBad7 3" xfId="61" xr:uid="{00000000-0005-0000-0000-000051340000}"/>
    <cellStyle name="SAPBEXexcBad7 3 2" xfId="13824" xr:uid="{00000000-0005-0000-0000-000052340000}"/>
    <cellStyle name="SAPBEXexcBad7 3 2 2" xfId="13825" xr:uid="{00000000-0005-0000-0000-000053340000}"/>
    <cellStyle name="SAPBEXexcBad7 3 3" xfId="13826" xr:uid="{00000000-0005-0000-0000-000054340000}"/>
    <cellStyle name="SAPBEXexcBad7 3 3 2" xfId="13827" xr:uid="{00000000-0005-0000-0000-000055340000}"/>
    <cellStyle name="SAPBEXexcBad7 3 4" xfId="13828" xr:uid="{00000000-0005-0000-0000-000056340000}"/>
    <cellStyle name="SAPBEXexcBad7 4" xfId="62" xr:uid="{00000000-0005-0000-0000-000057340000}"/>
    <cellStyle name="SAPBEXexcBad7 4 2" xfId="13829" xr:uid="{00000000-0005-0000-0000-000058340000}"/>
    <cellStyle name="SAPBEXexcBad7 4 2 2" xfId="13830" xr:uid="{00000000-0005-0000-0000-000059340000}"/>
    <cellStyle name="SAPBEXexcBad7 4 3" xfId="13831" xr:uid="{00000000-0005-0000-0000-00005A340000}"/>
    <cellStyle name="SAPBEXexcBad7 4 3 2" xfId="13832" xr:uid="{00000000-0005-0000-0000-00005B340000}"/>
    <cellStyle name="SAPBEXexcBad7 4 4" xfId="13833" xr:uid="{00000000-0005-0000-0000-00005C340000}"/>
    <cellStyle name="SAPBEXexcBad7 5" xfId="63" xr:uid="{00000000-0005-0000-0000-00005D340000}"/>
    <cellStyle name="SAPBEXexcBad7 5 2" xfId="13834" xr:uid="{00000000-0005-0000-0000-00005E340000}"/>
    <cellStyle name="SAPBEXexcBad7 6" xfId="13835" xr:uid="{00000000-0005-0000-0000-00005F340000}"/>
    <cellStyle name="SAPBEXexcBad7 6 2" xfId="13836" xr:uid="{00000000-0005-0000-0000-000060340000}"/>
    <cellStyle name="SAPBEXexcBad7 7" xfId="13837" xr:uid="{00000000-0005-0000-0000-000061340000}"/>
    <cellStyle name="SAPBEXexcBad8" xfId="64" xr:uid="{00000000-0005-0000-0000-000062340000}"/>
    <cellStyle name="SAPBEXexcBad8 2" xfId="65" xr:uid="{00000000-0005-0000-0000-000063340000}"/>
    <cellStyle name="SAPBEXexcBad8 2 2" xfId="66" xr:uid="{00000000-0005-0000-0000-000064340000}"/>
    <cellStyle name="SAPBEXexcBad8 2 2 2" xfId="13838" xr:uid="{00000000-0005-0000-0000-000065340000}"/>
    <cellStyle name="SAPBEXexcBad8 2 2 2 2" xfId="13839" xr:uid="{00000000-0005-0000-0000-000066340000}"/>
    <cellStyle name="SAPBEXexcBad8 2 2 3" xfId="13840" xr:uid="{00000000-0005-0000-0000-000067340000}"/>
    <cellStyle name="SAPBEXexcBad8 2 2 3 2" xfId="13841" xr:uid="{00000000-0005-0000-0000-000068340000}"/>
    <cellStyle name="SAPBEXexcBad8 2 2 4" xfId="13842" xr:uid="{00000000-0005-0000-0000-000069340000}"/>
    <cellStyle name="SAPBEXexcBad8 2 3" xfId="67" xr:uid="{00000000-0005-0000-0000-00006A340000}"/>
    <cellStyle name="SAPBEXexcBad8 2 3 2" xfId="13843" xr:uid="{00000000-0005-0000-0000-00006B340000}"/>
    <cellStyle name="SAPBEXexcBad8 2 4" xfId="68" xr:uid="{00000000-0005-0000-0000-00006C340000}"/>
    <cellStyle name="SAPBEXexcBad8 2 4 2" xfId="13844" xr:uid="{00000000-0005-0000-0000-00006D340000}"/>
    <cellStyle name="SAPBEXexcBad8 2 5" xfId="13845" xr:uid="{00000000-0005-0000-0000-00006E340000}"/>
    <cellStyle name="SAPBEXexcBad8 3" xfId="69" xr:uid="{00000000-0005-0000-0000-00006F340000}"/>
    <cellStyle name="SAPBEXexcBad8 3 2" xfId="13846" xr:uid="{00000000-0005-0000-0000-000070340000}"/>
    <cellStyle name="SAPBEXexcBad8 3 2 2" xfId="13847" xr:uid="{00000000-0005-0000-0000-000071340000}"/>
    <cellStyle name="SAPBEXexcBad8 3 3" xfId="13848" xr:uid="{00000000-0005-0000-0000-000072340000}"/>
    <cellStyle name="SAPBEXexcBad8 3 3 2" xfId="13849" xr:uid="{00000000-0005-0000-0000-000073340000}"/>
    <cellStyle name="SAPBEXexcBad8 3 4" xfId="13850" xr:uid="{00000000-0005-0000-0000-000074340000}"/>
    <cellStyle name="SAPBEXexcBad8 4" xfId="70" xr:uid="{00000000-0005-0000-0000-000075340000}"/>
    <cellStyle name="SAPBEXexcBad8 4 2" xfId="13851" xr:uid="{00000000-0005-0000-0000-000076340000}"/>
    <cellStyle name="SAPBEXexcBad8 4 2 2" xfId="13852" xr:uid="{00000000-0005-0000-0000-000077340000}"/>
    <cellStyle name="SAPBEXexcBad8 4 3" xfId="13853" xr:uid="{00000000-0005-0000-0000-000078340000}"/>
    <cellStyle name="SAPBEXexcBad8 4 3 2" xfId="13854" xr:uid="{00000000-0005-0000-0000-000079340000}"/>
    <cellStyle name="SAPBEXexcBad8 4 4" xfId="13855" xr:uid="{00000000-0005-0000-0000-00007A340000}"/>
    <cellStyle name="SAPBEXexcBad8 5" xfId="71" xr:uid="{00000000-0005-0000-0000-00007B340000}"/>
    <cellStyle name="SAPBEXexcBad8 5 2" xfId="13856" xr:uid="{00000000-0005-0000-0000-00007C340000}"/>
    <cellStyle name="SAPBEXexcBad8 6" xfId="13857" xr:uid="{00000000-0005-0000-0000-00007D340000}"/>
    <cellStyle name="SAPBEXexcBad8 6 2" xfId="13858" xr:uid="{00000000-0005-0000-0000-00007E340000}"/>
    <cellStyle name="SAPBEXexcBad8 7" xfId="13859" xr:uid="{00000000-0005-0000-0000-00007F340000}"/>
    <cellStyle name="SAPBEXexcBad9" xfId="72" xr:uid="{00000000-0005-0000-0000-000080340000}"/>
    <cellStyle name="SAPBEXexcBad9 2" xfId="73" xr:uid="{00000000-0005-0000-0000-000081340000}"/>
    <cellStyle name="SAPBEXexcBad9 2 2" xfId="74" xr:uid="{00000000-0005-0000-0000-000082340000}"/>
    <cellStyle name="SAPBEXexcBad9 2 2 2" xfId="13860" xr:uid="{00000000-0005-0000-0000-000083340000}"/>
    <cellStyle name="SAPBEXexcBad9 2 2 2 2" xfId="13861" xr:uid="{00000000-0005-0000-0000-000084340000}"/>
    <cellStyle name="SAPBEXexcBad9 2 2 3" xfId="13862" xr:uid="{00000000-0005-0000-0000-000085340000}"/>
    <cellStyle name="SAPBEXexcBad9 2 2 3 2" xfId="13863" xr:uid="{00000000-0005-0000-0000-000086340000}"/>
    <cellStyle name="SAPBEXexcBad9 2 2 4" xfId="13864" xr:uid="{00000000-0005-0000-0000-000087340000}"/>
    <cellStyle name="SAPBEXexcBad9 2 3" xfId="75" xr:uid="{00000000-0005-0000-0000-000088340000}"/>
    <cellStyle name="SAPBEXexcBad9 2 3 2" xfId="13865" xr:uid="{00000000-0005-0000-0000-000089340000}"/>
    <cellStyle name="SAPBEXexcBad9 2 4" xfId="76" xr:uid="{00000000-0005-0000-0000-00008A340000}"/>
    <cellStyle name="SAPBEXexcBad9 2 4 2" xfId="13866" xr:uid="{00000000-0005-0000-0000-00008B340000}"/>
    <cellStyle name="SAPBEXexcBad9 2 5" xfId="13867" xr:uid="{00000000-0005-0000-0000-00008C340000}"/>
    <cellStyle name="SAPBEXexcBad9 3" xfId="77" xr:uid="{00000000-0005-0000-0000-00008D340000}"/>
    <cellStyle name="SAPBEXexcBad9 3 2" xfId="13868" xr:uid="{00000000-0005-0000-0000-00008E340000}"/>
    <cellStyle name="SAPBEXexcBad9 3 2 2" xfId="13869" xr:uid="{00000000-0005-0000-0000-00008F340000}"/>
    <cellStyle name="SAPBEXexcBad9 3 3" xfId="13870" xr:uid="{00000000-0005-0000-0000-000090340000}"/>
    <cellStyle name="SAPBEXexcBad9 3 3 2" xfId="13871" xr:uid="{00000000-0005-0000-0000-000091340000}"/>
    <cellStyle name="SAPBEXexcBad9 3 4" xfId="13872" xr:uid="{00000000-0005-0000-0000-000092340000}"/>
    <cellStyle name="SAPBEXexcBad9 4" xfId="78" xr:uid="{00000000-0005-0000-0000-000093340000}"/>
    <cellStyle name="SAPBEXexcBad9 4 2" xfId="13873" xr:uid="{00000000-0005-0000-0000-000094340000}"/>
    <cellStyle name="SAPBEXexcBad9 4 2 2" xfId="13874" xr:uid="{00000000-0005-0000-0000-000095340000}"/>
    <cellStyle name="SAPBEXexcBad9 4 3" xfId="13875" xr:uid="{00000000-0005-0000-0000-000096340000}"/>
    <cellStyle name="SAPBEXexcBad9 4 3 2" xfId="13876" xr:uid="{00000000-0005-0000-0000-000097340000}"/>
    <cellStyle name="SAPBEXexcBad9 4 4" xfId="13877" xr:uid="{00000000-0005-0000-0000-000098340000}"/>
    <cellStyle name="SAPBEXexcBad9 5" xfId="79" xr:uid="{00000000-0005-0000-0000-000099340000}"/>
    <cellStyle name="SAPBEXexcBad9 5 2" xfId="13878" xr:uid="{00000000-0005-0000-0000-00009A340000}"/>
    <cellStyle name="SAPBEXexcBad9 6" xfId="13879" xr:uid="{00000000-0005-0000-0000-00009B340000}"/>
    <cellStyle name="SAPBEXexcBad9 6 2" xfId="13880" xr:uid="{00000000-0005-0000-0000-00009C340000}"/>
    <cellStyle name="SAPBEXexcBad9 7" xfId="13881" xr:uid="{00000000-0005-0000-0000-00009D340000}"/>
    <cellStyle name="SAPBEXexcCritical4" xfId="80" xr:uid="{00000000-0005-0000-0000-00009E340000}"/>
    <cellStyle name="SAPBEXexcCritical4 2" xfId="81" xr:uid="{00000000-0005-0000-0000-00009F340000}"/>
    <cellStyle name="SAPBEXexcCritical4 2 2" xfId="82" xr:uid="{00000000-0005-0000-0000-0000A0340000}"/>
    <cellStyle name="SAPBEXexcCritical4 2 2 2" xfId="13882" xr:uid="{00000000-0005-0000-0000-0000A1340000}"/>
    <cellStyle name="SAPBEXexcCritical4 2 2 2 2" xfId="13883" xr:uid="{00000000-0005-0000-0000-0000A2340000}"/>
    <cellStyle name="SAPBEXexcCritical4 2 2 3" xfId="13884" xr:uid="{00000000-0005-0000-0000-0000A3340000}"/>
    <cellStyle name="SAPBEXexcCritical4 2 2 3 2" xfId="13885" xr:uid="{00000000-0005-0000-0000-0000A4340000}"/>
    <cellStyle name="SAPBEXexcCritical4 2 2 4" xfId="13886" xr:uid="{00000000-0005-0000-0000-0000A5340000}"/>
    <cellStyle name="SAPBEXexcCritical4 2 3" xfId="83" xr:uid="{00000000-0005-0000-0000-0000A6340000}"/>
    <cellStyle name="SAPBEXexcCritical4 2 3 2" xfId="13887" xr:uid="{00000000-0005-0000-0000-0000A7340000}"/>
    <cellStyle name="SAPBEXexcCritical4 2 4" xfId="84" xr:uid="{00000000-0005-0000-0000-0000A8340000}"/>
    <cellStyle name="SAPBEXexcCritical4 2 4 2" xfId="13888" xr:uid="{00000000-0005-0000-0000-0000A9340000}"/>
    <cellStyle name="SAPBEXexcCritical4 2 5" xfId="13889" xr:uid="{00000000-0005-0000-0000-0000AA340000}"/>
    <cellStyle name="SAPBEXexcCritical4 3" xfId="85" xr:uid="{00000000-0005-0000-0000-0000AB340000}"/>
    <cellStyle name="SAPBEXexcCritical4 3 2" xfId="13890" xr:uid="{00000000-0005-0000-0000-0000AC340000}"/>
    <cellStyle name="SAPBEXexcCritical4 3 2 2" xfId="13891" xr:uid="{00000000-0005-0000-0000-0000AD340000}"/>
    <cellStyle name="SAPBEXexcCritical4 3 3" xfId="13892" xr:uid="{00000000-0005-0000-0000-0000AE340000}"/>
    <cellStyle name="SAPBEXexcCritical4 3 3 2" xfId="13893" xr:uid="{00000000-0005-0000-0000-0000AF340000}"/>
    <cellStyle name="SAPBEXexcCritical4 3 4" xfId="13894" xr:uid="{00000000-0005-0000-0000-0000B0340000}"/>
    <cellStyle name="SAPBEXexcCritical4 4" xfId="86" xr:uid="{00000000-0005-0000-0000-0000B1340000}"/>
    <cellStyle name="SAPBEXexcCritical4 4 2" xfId="13895" xr:uid="{00000000-0005-0000-0000-0000B2340000}"/>
    <cellStyle name="SAPBEXexcCritical4 4 2 2" xfId="13896" xr:uid="{00000000-0005-0000-0000-0000B3340000}"/>
    <cellStyle name="SAPBEXexcCritical4 4 3" xfId="13897" xr:uid="{00000000-0005-0000-0000-0000B4340000}"/>
    <cellStyle name="SAPBEXexcCritical4 4 3 2" xfId="13898" xr:uid="{00000000-0005-0000-0000-0000B5340000}"/>
    <cellStyle name="SAPBEXexcCritical4 4 4" xfId="13899" xr:uid="{00000000-0005-0000-0000-0000B6340000}"/>
    <cellStyle name="SAPBEXexcCritical4 5" xfId="87" xr:uid="{00000000-0005-0000-0000-0000B7340000}"/>
    <cellStyle name="SAPBEXexcCritical4 5 2" xfId="13900" xr:uid="{00000000-0005-0000-0000-0000B8340000}"/>
    <cellStyle name="SAPBEXexcCritical4 6" xfId="13901" xr:uid="{00000000-0005-0000-0000-0000B9340000}"/>
    <cellStyle name="SAPBEXexcCritical4 6 2" xfId="13902" xr:uid="{00000000-0005-0000-0000-0000BA340000}"/>
    <cellStyle name="SAPBEXexcCritical4 7" xfId="13903" xr:uid="{00000000-0005-0000-0000-0000BB340000}"/>
    <cellStyle name="SAPBEXexcCritical5" xfId="88" xr:uid="{00000000-0005-0000-0000-0000BC340000}"/>
    <cellStyle name="SAPBEXexcCritical5 2" xfId="89" xr:uid="{00000000-0005-0000-0000-0000BD340000}"/>
    <cellStyle name="SAPBEXexcCritical5 2 2" xfId="90" xr:uid="{00000000-0005-0000-0000-0000BE340000}"/>
    <cellStyle name="SAPBEXexcCritical5 2 2 2" xfId="13904" xr:uid="{00000000-0005-0000-0000-0000BF340000}"/>
    <cellStyle name="SAPBEXexcCritical5 2 2 2 2" xfId="13905" xr:uid="{00000000-0005-0000-0000-0000C0340000}"/>
    <cellStyle name="SAPBEXexcCritical5 2 2 3" xfId="13906" xr:uid="{00000000-0005-0000-0000-0000C1340000}"/>
    <cellStyle name="SAPBEXexcCritical5 2 2 3 2" xfId="13907" xr:uid="{00000000-0005-0000-0000-0000C2340000}"/>
    <cellStyle name="SAPBEXexcCritical5 2 2 4" xfId="13908" xr:uid="{00000000-0005-0000-0000-0000C3340000}"/>
    <cellStyle name="SAPBEXexcCritical5 2 3" xfId="91" xr:uid="{00000000-0005-0000-0000-0000C4340000}"/>
    <cellStyle name="SAPBEXexcCritical5 2 3 2" xfId="13909" xr:uid="{00000000-0005-0000-0000-0000C5340000}"/>
    <cellStyle name="SAPBEXexcCritical5 2 4" xfId="92" xr:uid="{00000000-0005-0000-0000-0000C6340000}"/>
    <cellStyle name="SAPBEXexcCritical5 2 4 2" xfId="13910" xr:uid="{00000000-0005-0000-0000-0000C7340000}"/>
    <cellStyle name="SAPBEXexcCritical5 2 5" xfId="13911" xr:uid="{00000000-0005-0000-0000-0000C8340000}"/>
    <cellStyle name="SAPBEXexcCritical5 3" xfId="93" xr:uid="{00000000-0005-0000-0000-0000C9340000}"/>
    <cellStyle name="SAPBEXexcCritical5 3 2" xfId="13912" xr:uid="{00000000-0005-0000-0000-0000CA340000}"/>
    <cellStyle name="SAPBEXexcCritical5 3 2 2" xfId="13913" xr:uid="{00000000-0005-0000-0000-0000CB340000}"/>
    <cellStyle name="SAPBEXexcCritical5 3 3" xfId="13914" xr:uid="{00000000-0005-0000-0000-0000CC340000}"/>
    <cellStyle name="SAPBEXexcCritical5 3 3 2" xfId="13915" xr:uid="{00000000-0005-0000-0000-0000CD340000}"/>
    <cellStyle name="SAPBEXexcCritical5 3 4" xfId="13916" xr:uid="{00000000-0005-0000-0000-0000CE340000}"/>
    <cellStyle name="SAPBEXexcCritical5 4" xfId="94" xr:uid="{00000000-0005-0000-0000-0000CF340000}"/>
    <cellStyle name="SAPBEXexcCritical5 4 2" xfId="13917" xr:uid="{00000000-0005-0000-0000-0000D0340000}"/>
    <cellStyle name="SAPBEXexcCritical5 4 2 2" xfId="13918" xr:uid="{00000000-0005-0000-0000-0000D1340000}"/>
    <cellStyle name="SAPBEXexcCritical5 4 3" xfId="13919" xr:uid="{00000000-0005-0000-0000-0000D2340000}"/>
    <cellStyle name="SAPBEXexcCritical5 4 3 2" xfId="13920" xr:uid="{00000000-0005-0000-0000-0000D3340000}"/>
    <cellStyle name="SAPBEXexcCritical5 4 4" xfId="13921" xr:uid="{00000000-0005-0000-0000-0000D4340000}"/>
    <cellStyle name="SAPBEXexcCritical5 5" xfId="95" xr:uid="{00000000-0005-0000-0000-0000D5340000}"/>
    <cellStyle name="SAPBEXexcCritical5 5 2" xfId="13922" xr:uid="{00000000-0005-0000-0000-0000D6340000}"/>
    <cellStyle name="SAPBEXexcCritical5 6" xfId="13923" xr:uid="{00000000-0005-0000-0000-0000D7340000}"/>
    <cellStyle name="SAPBEXexcCritical5 6 2" xfId="13924" xr:uid="{00000000-0005-0000-0000-0000D8340000}"/>
    <cellStyle name="SAPBEXexcCritical5 7" xfId="13925" xr:uid="{00000000-0005-0000-0000-0000D9340000}"/>
    <cellStyle name="SAPBEXexcCritical6" xfId="96" xr:uid="{00000000-0005-0000-0000-0000DA340000}"/>
    <cellStyle name="SAPBEXexcCritical6 2" xfId="97" xr:uid="{00000000-0005-0000-0000-0000DB340000}"/>
    <cellStyle name="SAPBEXexcCritical6 2 2" xfId="98" xr:uid="{00000000-0005-0000-0000-0000DC340000}"/>
    <cellStyle name="SAPBEXexcCritical6 2 2 2" xfId="13926" xr:uid="{00000000-0005-0000-0000-0000DD340000}"/>
    <cellStyle name="SAPBEXexcCritical6 2 2 2 2" xfId="13927" xr:uid="{00000000-0005-0000-0000-0000DE340000}"/>
    <cellStyle name="SAPBEXexcCritical6 2 2 3" xfId="13928" xr:uid="{00000000-0005-0000-0000-0000DF340000}"/>
    <cellStyle name="SAPBEXexcCritical6 2 2 3 2" xfId="13929" xr:uid="{00000000-0005-0000-0000-0000E0340000}"/>
    <cellStyle name="SAPBEXexcCritical6 2 2 4" xfId="13930" xr:uid="{00000000-0005-0000-0000-0000E1340000}"/>
    <cellStyle name="SAPBEXexcCritical6 2 3" xfId="99" xr:uid="{00000000-0005-0000-0000-0000E2340000}"/>
    <cellStyle name="SAPBEXexcCritical6 2 3 2" xfId="13931" xr:uid="{00000000-0005-0000-0000-0000E3340000}"/>
    <cellStyle name="SAPBEXexcCritical6 2 4" xfId="100" xr:uid="{00000000-0005-0000-0000-0000E4340000}"/>
    <cellStyle name="SAPBEXexcCritical6 2 4 2" xfId="13932" xr:uid="{00000000-0005-0000-0000-0000E5340000}"/>
    <cellStyle name="SAPBEXexcCritical6 2 5" xfId="13933" xr:uid="{00000000-0005-0000-0000-0000E6340000}"/>
    <cellStyle name="SAPBEXexcCritical6 3" xfId="101" xr:uid="{00000000-0005-0000-0000-0000E7340000}"/>
    <cellStyle name="SAPBEXexcCritical6 3 2" xfId="13934" xr:uid="{00000000-0005-0000-0000-0000E8340000}"/>
    <cellStyle name="SAPBEXexcCritical6 3 2 2" xfId="13935" xr:uid="{00000000-0005-0000-0000-0000E9340000}"/>
    <cellStyle name="SAPBEXexcCritical6 3 3" xfId="13936" xr:uid="{00000000-0005-0000-0000-0000EA340000}"/>
    <cellStyle name="SAPBEXexcCritical6 3 3 2" xfId="13937" xr:uid="{00000000-0005-0000-0000-0000EB340000}"/>
    <cellStyle name="SAPBEXexcCritical6 3 4" xfId="13938" xr:uid="{00000000-0005-0000-0000-0000EC340000}"/>
    <cellStyle name="SAPBEXexcCritical6 4" xfId="102" xr:uid="{00000000-0005-0000-0000-0000ED340000}"/>
    <cellStyle name="SAPBEXexcCritical6 4 2" xfId="13939" xr:uid="{00000000-0005-0000-0000-0000EE340000}"/>
    <cellStyle name="SAPBEXexcCritical6 4 2 2" xfId="13940" xr:uid="{00000000-0005-0000-0000-0000EF340000}"/>
    <cellStyle name="SAPBEXexcCritical6 4 3" xfId="13941" xr:uid="{00000000-0005-0000-0000-0000F0340000}"/>
    <cellStyle name="SAPBEXexcCritical6 4 3 2" xfId="13942" xr:uid="{00000000-0005-0000-0000-0000F1340000}"/>
    <cellStyle name="SAPBEXexcCritical6 4 4" xfId="13943" xr:uid="{00000000-0005-0000-0000-0000F2340000}"/>
    <cellStyle name="SAPBEXexcCritical6 5" xfId="103" xr:uid="{00000000-0005-0000-0000-0000F3340000}"/>
    <cellStyle name="SAPBEXexcCritical6 5 2" xfId="13944" xr:uid="{00000000-0005-0000-0000-0000F4340000}"/>
    <cellStyle name="SAPBEXexcCritical6 6" xfId="13945" xr:uid="{00000000-0005-0000-0000-0000F5340000}"/>
    <cellStyle name="SAPBEXexcCritical6 6 2" xfId="13946" xr:uid="{00000000-0005-0000-0000-0000F6340000}"/>
    <cellStyle name="SAPBEXexcCritical6 7" xfId="13947" xr:uid="{00000000-0005-0000-0000-0000F7340000}"/>
    <cellStyle name="SAPBEXexcGood1" xfId="104" xr:uid="{00000000-0005-0000-0000-0000F8340000}"/>
    <cellStyle name="SAPBEXexcGood1 2" xfId="105" xr:uid="{00000000-0005-0000-0000-0000F9340000}"/>
    <cellStyle name="SAPBEXexcGood1 2 2" xfId="106" xr:uid="{00000000-0005-0000-0000-0000FA340000}"/>
    <cellStyle name="SAPBEXexcGood1 2 2 2" xfId="13948" xr:uid="{00000000-0005-0000-0000-0000FB340000}"/>
    <cellStyle name="SAPBEXexcGood1 2 2 2 2" xfId="13949" xr:uid="{00000000-0005-0000-0000-0000FC340000}"/>
    <cellStyle name="SAPBEXexcGood1 2 2 3" xfId="13950" xr:uid="{00000000-0005-0000-0000-0000FD340000}"/>
    <cellStyle name="SAPBEXexcGood1 2 2 3 2" xfId="13951" xr:uid="{00000000-0005-0000-0000-0000FE340000}"/>
    <cellStyle name="SAPBEXexcGood1 2 2 4" xfId="13952" xr:uid="{00000000-0005-0000-0000-0000FF340000}"/>
    <cellStyle name="SAPBEXexcGood1 2 3" xfId="107" xr:uid="{00000000-0005-0000-0000-000000350000}"/>
    <cellStyle name="SAPBEXexcGood1 2 3 2" xfId="13953" xr:uid="{00000000-0005-0000-0000-000001350000}"/>
    <cellStyle name="SAPBEXexcGood1 2 4" xfId="108" xr:uid="{00000000-0005-0000-0000-000002350000}"/>
    <cellStyle name="SAPBEXexcGood1 2 4 2" xfId="13954" xr:uid="{00000000-0005-0000-0000-000003350000}"/>
    <cellStyle name="SAPBEXexcGood1 2 5" xfId="13955" xr:uid="{00000000-0005-0000-0000-000004350000}"/>
    <cellStyle name="SAPBEXexcGood1 3" xfId="109" xr:uid="{00000000-0005-0000-0000-000005350000}"/>
    <cellStyle name="SAPBEXexcGood1 3 2" xfId="13956" xr:uid="{00000000-0005-0000-0000-000006350000}"/>
    <cellStyle name="SAPBEXexcGood1 3 2 2" xfId="13957" xr:uid="{00000000-0005-0000-0000-000007350000}"/>
    <cellStyle name="SAPBEXexcGood1 3 3" xfId="13958" xr:uid="{00000000-0005-0000-0000-000008350000}"/>
    <cellStyle name="SAPBEXexcGood1 3 3 2" xfId="13959" xr:uid="{00000000-0005-0000-0000-000009350000}"/>
    <cellStyle name="SAPBEXexcGood1 3 4" xfId="13960" xr:uid="{00000000-0005-0000-0000-00000A350000}"/>
    <cellStyle name="SAPBEXexcGood1 4" xfId="110" xr:uid="{00000000-0005-0000-0000-00000B350000}"/>
    <cellStyle name="SAPBEXexcGood1 4 2" xfId="13961" xr:uid="{00000000-0005-0000-0000-00000C350000}"/>
    <cellStyle name="SAPBEXexcGood1 4 2 2" xfId="13962" xr:uid="{00000000-0005-0000-0000-00000D350000}"/>
    <cellStyle name="SAPBEXexcGood1 4 3" xfId="13963" xr:uid="{00000000-0005-0000-0000-00000E350000}"/>
    <cellStyle name="SAPBEXexcGood1 4 3 2" xfId="13964" xr:uid="{00000000-0005-0000-0000-00000F350000}"/>
    <cellStyle name="SAPBEXexcGood1 4 4" xfId="13965" xr:uid="{00000000-0005-0000-0000-000010350000}"/>
    <cellStyle name="SAPBEXexcGood1 5" xfId="111" xr:uid="{00000000-0005-0000-0000-000011350000}"/>
    <cellStyle name="SAPBEXexcGood1 5 2" xfId="13966" xr:uid="{00000000-0005-0000-0000-000012350000}"/>
    <cellStyle name="SAPBEXexcGood1 6" xfId="13967" xr:uid="{00000000-0005-0000-0000-000013350000}"/>
    <cellStyle name="SAPBEXexcGood1 6 2" xfId="13968" xr:uid="{00000000-0005-0000-0000-000014350000}"/>
    <cellStyle name="SAPBEXexcGood1 7" xfId="13969" xr:uid="{00000000-0005-0000-0000-000015350000}"/>
    <cellStyle name="SAPBEXexcGood2" xfId="112" xr:uid="{00000000-0005-0000-0000-000016350000}"/>
    <cellStyle name="SAPBEXexcGood2 2" xfId="113" xr:uid="{00000000-0005-0000-0000-000017350000}"/>
    <cellStyle name="SAPBEXexcGood2 2 2" xfId="114" xr:uid="{00000000-0005-0000-0000-000018350000}"/>
    <cellStyle name="SAPBEXexcGood2 2 2 2" xfId="13970" xr:uid="{00000000-0005-0000-0000-000019350000}"/>
    <cellStyle name="SAPBEXexcGood2 2 2 2 2" xfId="13971" xr:uid="{00000000-0005-0000-0000-00001A350000}"/>
    <cellStyle name="SAPBEXexcGood2 2 2 3" xfId="13972" xr:uid="{00000000-0005-0000-0000-00001B350000}"/>
    <cellStyle name="SAPBEXexcGood2 2 2 3 2" xfId="13973" xr:uid="{00000000-0005-0000-0000-00001C350000}"/>
    <cellStyle name="SAPBEXexcGood2 2 2 4" xfId="13974" xr:uid="{00000000-0005-0000-0000-00001D350000}"/>
    <cellStyle name="SAPBEXexcGood2 2 3" xfId="115" xr:uid="{00000000-0005-0000-0000-00001E350000}"/>
    <cellStyle name="SAPBEXexcGood2 2 3 2" xfId="13975" xr:uid="{00000000-0005-0000-0000-00001F350000}"/>
    <cellStyle name="SAPBEXexcGood2 2 4" xfId="116" xr:uid="{00000000-0005-0000-0000-000020350000}"/>
    <cellStyle name="SAPBEXexcGood2 2 4 2" xfId="13976" xr:uid="{00000000-0005-0000-0000-000021350000}"/>
    <cellStyle name="SAPBEXexcGood2 2 5" xfId="13977" xr:uid="{00000000-0005-0000-0000-000022350000}"/>
    <cellStyle name="SAPBEXexcGood2 3" xfId="117" xr:uid="{00000000-0005-0000-0000-000023350000}"/>
    <cellStyle name="SAPBEXexcGood2 3 2" xfId="13978" xr:uid="{00000000-0005-0000-0000-000024350000}"/>
    <cellStyle name="SAPBEXexcGood2 3 2 2" xfId="13979" xr:uid="{00000000-0005-0000-0000-000025350000}"/>
    <cellStyle name="SAPBEXexcGood2 3 3" xfId="13980" xr:uid="{00000000-0005-0000-0000-000026350000}"/>
    <cellStyle name="SAPBEXexcGood2 3 3 2" xfId="13981" xr:uid="{00000000-0005-0000-0000-000027350000}"/>
    <cellStyle name="SAPBEXexcGood2 3 4" xfId="13982" xr:uid="{00000000-0005-0000-0000-000028350000}"/>
    <cellStyle name="SAPBEXexcGood2 4" xfId="118" xr:uid="{00000000-0005-0000-0000-000029350000}"/>
    <cellStyle name="SAPBEXexcGood2 4 2" xfId="13983" xr:uid="{00000000-0005-0000-0000-00002A350000}"/>
    <cellStyle name="SAPBEXexcGood2 4 2 2" xfId="13984" xr:uid="{00000000-0005-0000-0000-00002B350000}"/>
    <cellStyle name="SAPBEXexcGood2 4 3" xfId="13985" xr:uid="{00000000-0005-0000-0000-00002C350000}"/>
    <cellStyle name="SAPBEXexcGood2 4 3 2" xfId="13986" xr:uid="{00000000-0005-0000-0000-00002D350000}"/>
    <cellStyle name="SAPBEXexcGood2 4 4" xfId="13987" xr:uid="{00000000-0005-0000-0000-00002E350000}"/>
    <cellStyle name="SAPBEXexcGood2 5" xfId="119" xr:uid="{00000000-0005-0000-0000-00002F350000}"/>
    <cellStyle name="SAPBEXexcGood2 5 2" xfId="13988" xr:uid="{00000000-0005-0000-0000-000030350000}"/>
    <cellStyle name="SAPBEXexcGood2 6" xfId="13989" xr:uid="{00000000-0005-0000-0000-000031350000}"/>
    <cellStyle name="SAPBEXexcGood2 6 2" xfId="13990" xr:uid="{00000000-0005-0000-0000-000032350000}"/>
    <cellStyle name="SAPBEXexcGood2 7" xfId="13991" xr:uid="{00000000-0005-0000-0000-000033350000}"/>
    <cellStyle name="SAPBEXexcGood3" xfId="120" xr:uid="{00000000-0005-0000-0000-000034350000}"/>
    <cellStyle name="SAPBEXexcGood3 2" xfId="121" xr:uid="{00000000-0005-0000-0000-000035350000}"/>
    <cellStyle name="SAPBEXexcGood3 2 2" xfId="122" xr:uid="{00000000-0005-0000-0000-000036350000}"/>
    <cellStyle name="SAPBEXexcGood3 2 2 2" xfId="13992" xr:uid="{00000000-0005-0000-0000-000037350000}"/>
    <cellStyle name="SAPBEXexcGood3 2 2 2 2" xfId="13993" xr:uid="{00000000-0005-0000-0000-000038350000}"/>
    <cellStyle name="SAPBEXexcGood3 2 2 3" xfId="13994" xr:uid="{00000000-0005-0000-0000-000039350000}"/>
    <cellStyle name="SAPBEXexcGood3 2 2 3 2" xfId="13995" xr:uid="{00000000-0005-0000-0000-00003A350000}"/>
    <cellStyle name="SAPBEXexcGood3 2 2 4" xfId="13996" xr:uid="{00000000-0005-0000-0000-00003B350000}"/>
    <cellStyle name="SAPBEXexcGood3 2 3" xfId="123" xr:uid="{00000000-0005-0000-0000-00003C350000}"/>
    <cellStyle name="SAPBEXexcGood3 2 3 2" xfId="13997" xr:uid="{00000000-0005-0000-0000-00003D350000}"/>
    <cellStyle name="SAPBEXexcGood3 2 4" xfId="124" xr:uid="{00000000-0005-0000-0000-00003E350000}"/>
    <cellStyle name="SAPBEXexcGood3 2 4 2" xfId="13998" xr:uid="{00000000-0005-0000-0000-00003F350000}"/>
    <cellStyle name="SAPBEXexcGood3 2 5" xfId="13999" xr:uid="{00000000-0005-0000-0000-000040350000}"/>
    <cellStyle name="SAPBEXexcGood3 3" xfId="125" xr:uid="{00000000-0005-0000-0000-000041350000}"/>
    <cellStyle name="SAPBEXexcGood3 3 2" xfId="14000" xr:uid="{00000000-0005-0000-0000-000042350000}"/>
    <cellStyle name="SAPBEXexcGood3 3 2 2" xfId="14001" xr:uid="{00000000-0005-0000-0000-000043350000}"/>
    <cellStyle name="SAPBEXexcGood3 3 3" xfId="14002" xr:uid="{00000000-0005-0000-0000-000044350000}"/>
    <cellStyle name="SAPBEXexcGood3 3 3 2" xfId="14003" xr:uid="{00000000-0005-0000-0000-000045350000}"/>
    <cellStyle name="SAPBEXexcGood3 3 4" xfId="14004" xr:uid="{00000000-0005-0000-0000-000046350000}"/>
    <cellStyle name="SAPBEXexcGood3 4" xfId="126" xr:uid="{00000000-0005-0000-0000-000047350000}"/>
    <cellStyle name="SAPBEXexcGood3 4 2" xfId="14005" xr:uid="{00000000-0005-0000-0000-000048350000}"/>
    <cellStyle name="SAPBEXexcGood3 4 2 2" xfId="14006" xr:uid="{00000000-0005-0000-0000-000049350000}"/>
    <cellStyle name="SAPBEXexcGood3 4 3" xfId="14007" xr:uid="{00000000-0005-0000-0000-00004A350000}"/>
    <cellStyle name="SAPBEXexcGood3 4 3 2" xfId="14008" xr:uid="{00000000-0005-0000-0000-00004B350000}"/>
    <cellStyle name="SAPBEXexcGood3 4 4" xfId="14009" xr:uid="{00000000-0005-0000-0000-00004C350000}"/>
    <cellStyle name="SAPBEXexcGood3 5" xfId="127" xr:uid="{00000000-0005-0000-0000-00004D350000}"/>
    <cellStyle name="SAPBEXexcGood3 5 2" xfId="14010" xr:uid="{00000000-0005-0000-0000-00004E350000}"/>
    <cellStyle name="SAPBEXexcGood3 6" xfId="14011" xr:uid="{00000000-0005-0000-0000-00004F350000}"/>
    <cellStyle name="SAPBEXexcGood3 6 2" xfId="14012" xr:uid="{00000000-0005-0000-0000-000050350000}"/>
    <cellStyle name="SAPBEXexcGood3 7" xfId="14013" xr:uid="{00000000-0005-0000-0000-000051350000}"/>
    <cellStyle name="SAPBEXfilterDrill" xfId="128" xr:uid="{00000000-0005-0000-0000-000052350000}"/>
    <cellStyle name="SAPBEXfilterDrill 2" xfId="129" xr:uid="{00000000-0005-0000-0000-000053350000}"/>
    <cellStyle name="SAPBEXfilterDrill 2 2" xfId="130" xr:uid="{00000000-0005-0000-0000-000054350000}"/>
    <cellStyle name="SAPBEXfilterDrill 2 2 2" xfId="14014" xr:uid="{00000000-0005-0000-0000-000055350000}"/>
    <cellStyle name="SAPBEXfilterDrill 2 2 2 2" xfId="14015" xr:uid="{00000000-0005-0000-0000-000056350000}"/>
    <cellStyle name="SAPBEXfilterDrill 2 2 3" xfId="14016" xr:uid="{00000000-0005-0000-0000-000057350000}"/>
    <cellStyle name="SAPBEXfilterDrill 2 2 3 2" xfId="14017" xr:uid="{00000000-0005-0000-0000-000058350000}"/>
    <cellStyle name="SAPBEXfilterDrill 2 2 4" xfId="14018" xr:uid="{00000000-0005-0000-0000-000059350000}"/>
    <cellStyle name="SAPBEXfilterDrill 2 3" xfId="131" xr:uid="{00000000-0005-0000-0000-00005A350000}"/>
    <cellStyle name="SAPBEXfilterDrill 2 3 2" xfId="14019" xr:uid="{00000000-0005-0000-0000-00005B350000}"/>
    <cellStyle name="SAPBEXfilterDrill 2 4" xfId="132" xr:uid="{00000000-0005-0000-0000-00005C350000}"/>
    <cellStyle name="SAPBEXfilterDrill 2 4 2" xfId="14020" xr:uid="{00000000-0005-0000-0000-00005D350000}"/>
    <cellStyle name="SAPBEXfilterDrill 2 5" xfId="14021" xr:uid="{00000000-0005-0000-0000-00005E350000}"/>
    <cellStyle name="SAPBEXfilterDrill 3" xfId="133" xr:uid="{00000000-0005-0000-0000-00005F350000}"/>
    <cellStyle name="SAPBEXfilterDrill 3 2" xfId="14022" xr:uid="{00000000-0005-0000-0000-000060350000}"/>
    <cellStyle name="SAPBEXfilterDrill 3 2 2" xfId="14023" xr:uid="{00000000-0005-0000-0000-000061350000}"/>
    <cellStyle name="SAPBEXfilterDrill 3 3" xfId="14024" xr:uid="{00000000-0005-0000-0000-000062350000}"/>
    <cellStyle name="SAPBEXfilterDrill 3 3 2" xfId="14025" xr:uid="{00000000-0005-0000-0000-000063350000}"/>
    <cellStyle name="SAPBEXfilterDrill 3 4" xfId="14026" xr:uid="{00000000-0005-0000-0000-000064350000}"/>
    <cellStyle name="SAPBEXfilterDrill 4" xfId="134" xr:uid="{00000000-0005-0000-0000-000065350000}"/>
    <cellStyle name="SAPBEXfilterDrill 4 2" xfId="14027" xr:uid="{00000000-0005-0000-0000-000066350000}"/>
    <cellStyle name="SAPBEXfilterDrill 4 2 2" xfId="14028" xr:uid="{00000000-0005-0000-0000-000067350000}"/>
    <cellStyle name="SAPBEXfilterDrill 4 3" xfId="14029" xr:uid="{00000000-0005-0000-0000-000068350000}"/>
    <cellStyle name="SAPBEXfilterDrill 4 3 2" xfId="14030" xr:uid="{00000000-0005-0000-0000-000069350000}"/>
    <cellStyle name="SAPBEXfilterDrill 4 4" xfId="14031" xr:uid="{00000000-0005-0000-0000-00006A350000}"/>
    <cellStyle name="SAPBEXfilterDrill 5" xfId="135" xr:uid="{00000000-0005-0000-0000-00006B350000}"/>
    <cellStyle name="SAPBEXfilterDrill 5 2" xfId="14032" xr:uid="{00000000-0005-0000-0000-00006C350000}"/>
    <cellStyle name="SAPBEXfilterDrill 6" xfId="14033" xr:uid="{00000000-0005-0000-0000-00006D350000}"/>
    <cellStyle name="SAPBEXfilterDrill 6 2" xfId="14034" xr:uid="{00000000-0005-0000-0000-00006E350000}"/>
    <cellStyle name="SAPBEXfilterDrill 7" xfId="14035" xr:uid="{00000000-0005-0000-0000-00006F350000}"/>
    <cellStyle name="SAPBEXfilterItem" xfId="136" xr:uid="{00000000-0005-0000-0000-000070350000}"/>
    <cellStyle name="SAPBEXfilterItem 2" xfId="137" xr:uid="{00000000-0005-0000-0000-000071350000}"/>
    <cellStyle name="SAPBEXfilterItem 2 2" xfId="14036" xr:uid="{00000000-0005-0000-0000-000072350000}"/>
    <cellStyle name="SAPBEXfilterItem 2 2 2" xfId="14037" xr:uid="{00000000-0005-0000-0000-000073350000}"/>
    <cellStyle name="SAPBEXfilterItem 2 2 3" xfId="14038" xr:uid="{00000000-0005-0000-0000-000074350000}"/>
    <cellStyle name="SAPBEXfilterItem 2 3" xfId="14039" xr:uid="{00000000-0005-0000-0000-000075350000}"/>
    <cellStyle name="SAPBEXfilterItem 2 4" xfId="14040" xr:uid="{00000000-0005-0000-0000-000076350000}"/>
    <cellStyle name="SAPBEXfilterItem 3" xfId="138" xr:uid="{00000000-0005-0000-0000-000077350000}"/>
    <cellStyle name="SAPBEXfilterItem 3 2" xfId="14041" xr:uid="{00000000-0005-0000-0000-000078350000}"/>
    <cellStyle name="SAPBEXfilterItem 3 3" xfId="14042" xr:uid="{00000000-0005-0000-0000-000079350000}"/>
    <cellStyle name="SAPBEXfilterItem 4" xfId="139" xr:uid="{00000000-0005-0000-0000-00007A350000}"/>
    <cellStyle name="SAPBEXfilterItem 4 2" xfId="14043" xr:uid="{00000000-0005-0000-0000-00007B350000}"/>
    <cellStyle name="SAPBEXfilterItem 4 3" xfId="14044" xr:uid="{00000000-0005-0000-0000-00007C350000}"/>
    <cellStyle name="SAPBEXfilterItem 5" xfId="14045" xr:uid="{00000000-0005-0000-0000-00007D350000}"/>
    <cellStyle name="SAPBEXfilterItem 6" xfId="14046" xr:uid="{00000000-0005-0000-0000-00007E350000}"/>
    <cellStyle name="SAPBEXfilterText" xfId="140" xr:uid="{00000000-0005-0000-0000-00007F350000}"/>
    <cellStyle name="SAPBEXfilterText 2" xfId="141" xr:uid="{00000000-0005-0000-0000-000080350000}"/>
    <cellStyle name="SAPBEXfilterText 3" xfId="142" xr:uid="{00000000-0005-0000-0000-000081350000}"/>
    <cellStyle name="SAPBEXfilterText 4" xfId="143" xr:uid="{00000000-0005-0000-0000-000082350000}"/>
    <cellStyle name="SAPBEXformats" xfId="144" xr:uid="{00000000-0005-0000-0000-000083350000}"/>
    <cellStyle name="SAPBEXformats 2" xfId="145" xr:uid="{00000000-0005-0000-0000-000084350000}"/>
    <cellStyle name="SAPBEXformats 2 2" xfId="146" xr:uid="{00000000-0005-0000-0000-000085350000}"/>
    <cellStyle name="SAPBEXformats 2 2 2" xfId="14047" xr:uid="{00000000-0005-0000-0000-000086350000}"/>
    <cellStyle name="SAPBEXformats 2 2 2 2" xfId="14048" xr:uid="{00000000-0005-0000-0000-000087350000}"/>
    <cellStyle name="SAPBEXformats 2 2 3" xfId="14049" xr:uid="{00000000-0005-0000-0000-000088350000}"/>
    <cellStyle name="SAPBEXformats 2 2 3 2" xfId="14050" xr:uid="{00000000-0005-0000-0000-000089350000}"/>
    <cellStyle name="SAPBEXformats 2 2 4" xfId="14051" xr:uid="{00000000-0005-0000-0000-00008A350000}"/>
    <cellStyle name="SAPBEXformats 2 3" xfId="147" xr:uid="{00000000-0005-0000-0000-00008B350000}"/>
    <cellStyle name="SAPBEXformats 2 3 2" xfId="14052" xr:uid="{00000000-0005-0000-0000-00008C350000}"/>
    <cellStyle name="SAPBEXformats 2 3 2 2" xfId="14053" xr:uid="{00000000-0005-0000-0000-00008D350000}"/>
    <cellStyle name="SAPBEXformats 2 3 3" xfId="14054" xr:uid="{00000000-0005-0000-0000-00008E350000}"/>
    <cellStyle name="SAPBEXformats 2 3 3 2" xfId="14055" xr:uid="{00000000-0005-0000-0000-00008F350000}"/>
    <cellStyle name="SAPBEXformats 2 3 4" xfId="14056" xr:uid="{00000000-0005-0000-0000-000090350000}"/>
    <cellStyle name="SAPBEXformats 2 4" xfId="148" xr:uid="{00000000-0005-0000-0000-000091350000}"/>
    <cellStyle name="SAPBEXformats 2 4 2" xfId="14057" xr:uid="{00000000-0005-0000-0000-000092350000}"/>
    <cellStyle name="SAPBEXformats 2 5" xfId="14058" xr:uid="{00000000-0005-0000-0000-000093350000}"/>
    <cellStyle name="SAPBEXformats 2 5 2" xfId="14059" xr:uid="{00000000-0005-0000-0000-000094350000}"/>
    <cellStyle name="SAPBEXformats 2 6" xfId="14060" xr:uid="{00000000-0005-0000-0000-000095350000}"/>
    <cellStyle name="SAPBEXformats 3" xfId="149" xr:uid="{00000000-0005-0000-0000-000096350000}"/>
    <cellStyle name="SAPBEXformats 4" xfId="150" xr:uid="{00000000-0005-0000-0000-000097350000}"/>
    <cellStyle name="SAPBEXformats 5" xfId="151" xr:uid="{00000000-0005-0000-0000-000098350000}"/>
    <cellStyle name="SAPBEXheaderItem" xfId="152" xr:uid="{00000000-0005-0000-0000-000099350000}"/>
    <cellStyle name="SAPBEXheaderItem 2" xfId="153" xr:uid="{00000000-0005-0000-0000-00009A350000}"/>
    <cellStyle name="SAPBEXheaderItem 2 2" xfId="154" xr:uid="{00000000-0005-0000-0000-00009B350000}"/>
    <cellStyle name="SAPBEXheaderItem 2 3" xfId="155" xr:uid="{00000000-0005-0000-0000-00009C350000}"/>
    <cellStyle name="SAPBEXheaderItem 2 4" xfId="156" xr:uid="{00000000-0005-0000-0000-00009D350000}"/>
    <cellStyle name="SAPBEXheaderItem 3" xfId="157" xr:uid="{00000000-0005-0000-0000-00009E350000}"/>
    <cellStyle name="SAPBEXheaderItem 4" xfId="158" xr:uid="{00000000-0005-0000-0000-00009F350000}"/>
    <cellStyle name="SAPBEXheaderItem 5" xfId="159" xr:uid="{00000000-0005-0000-0000-0000A0350000}"/>
    <cellStyle name="SAPBEXheaderText" xfId="160" xr:uid="{00000000-0005-0000-0000-0000A1350000}"/>
    <cellStyle name="SAPBEXheaderText 2" xfId="161" xr:uid="{00000000-0005-0000-0000-0000A2350000}"/>
    <cellStyle name="SAPBEXheaderText 2 2" xfId="162" xr:uid="{00000000-0005-0000-0000-0000A3350000}"/>
    <cellStyle name="SAPBEXheaderText 2 3" xfId="163" xr:uid="{00000000-0005-0000-0000-0000A4350000}"/>
    <cellStyle name="SAPBEXheaderText 2 4" xfId="164" xr:uid="{00000000-0005-0000-0000-0000A5350000}"/>
    <cellStyle name="SAPBEXheaderText 3" xfId="165" xr:uid="{00000000-0005-0000-0000-0000A6350000}"/>
    <cellStyle name="SAPBEXheaderText 4" xfId="166" xr:uid="{00000000-0005-0000-0000-0000A7350000}"/>
    <cellStyle name="SAPBEXheaderText 5" xfId="167" xr:uid="{00000000-0005-0000-0000-0000A8350000}"/>
    <cellStyle name="SAPBEXHLevel0" xfId="168" xr:uid="{00000000-0005-0000-0000-0000A9350000}"/>
    <cellStyle name="SAPBEXHLevel0 2" xfId="169" xr:uid="{00000000-0005-0000-0000-0000AA350000}"/>
    <cellStyle name="SAPBEXHLevel0 2 2" xfId="170" xr:uid="{00000000-0005-0000-0000-0000AB350000}"/>
    <cellStyle name="SAPBEXHLevel0 2 3" xfId="171" xr:uid="{00000000-0005-0000-0000-0000AC350000}"/>
    <cellStyle name="SAPBEXHLevel0 2 4" xfId="172" xr:uid="{00000000-0005-0000-0000-0000AD350000}"/>
    <cellStyle name="SAPBEXHLevel0 3" xfId="173" xr:uid="{00000000-0005-0000-0000-0000AE350000}"/>
    <cellStyle name="SAPBEXHLevel0 4" xfId="174" xr:uid="{00000000-0005-0000-0000-0000AF350000}"/>
    <cellStyle name="SAPBEXHLevel0 5" xfId="175" xr:uid="{00000000-0005-0000-0000-0000B0350000}"/>
    <cellStyle name="SAPBEXHLevel0X" xfId="176" xr:uid="{00000000-0005-0000-0000-0000B1350000}"/>
    <cellStyle name="SAPBEXHLevel0X 2" xfId="177" xr:uid="{00000000-0005-0000-0000-0000B2350000}"/>
    <cellStyle name="SAPBEXHLevel0X 2 2" xfId="178" xr:uid="{00000000-0005-0000-0000-0000B3350000}"/>
    <cellStyle name="SAPBEXHLevel0X 2 3" xfId="179" xr:uid="{00000000-0005-0000-0000-0000B4350000}"/>
    <cellStyle name="SAPBEXHLevel0X 2 4" xfId="180" xr:uid="{00000000-0005-0000-0000-0000B5350000}"/>
    <cellStyle name="SAPBEXHLevel0X 2 5" xfId="181" xr:uid="{00000000-0005-0000-0000-0000B6350000}"/>
    <cellStyle name="SAPBEXHLevel0X 3" xfId="182" xr:uid="{00000000-0005-0000-0000-0000B7350000}"/>
    <cellStyle name="SAPBEXHLevel0X 4" xfId="183" xr:uid="{00000000-0005-0000-0000-0000B8350000}"/>
    <cellStyle name="SAPBEXHLevel0X 5" xfId="184" xr:uid="{00000000-0005-0000-0000-0000B9350000}"/>
    <cellStyle name="SAPBEXHLevel1" xfId="185" xr:uid="{00000000-0005-0000-0000-0000BA350000}"/>
    <cellStyle name="SAPBEXHLevel1 2" xfId="186" xr:uid="{00000000-0005-0000-0000-0000BB350000}"/>
    <cellStyle name="SAPBEXHLevel1 2 2" xfId="187" xr:uid="{00000000-0005-0000-0000-0000BC350000}"/>
    <cellStyle name="SAPBEXHLevel1 2 3" xfId="188" xr:uid="{00000000-0005-0000-0000-0000BD350000}"/>
    <cellStyle name="SAPBEXHLevel1 2 4" xfId="189" xr:uid="{00000000-0005-0000-0000-0000BE350000}"/>
    <cellStyle name="SAPBEXHLevel1 3" xfId="190" xr:uid="{00000000-0005-0000-0000-0000BF350000}"/>
    <cellStyle name="SAPBEXHLevel1 4" xfId="191" xr:uid="{00000000-0005-0000-0000-0000C0350000}"/>
    <cellStyle name="SAPBEXHLevel1 5" xfId="192" xr:uid="{00000000-0005-0000-0000-0000C1350000}"/>
    <cellStyle name="SAPBEXHLevel1X" xfId="193" xr:uid="{00000000-0005-0000-0000-0000C2350000}"/>
    <cellStyle name="SAPBEXHLevel1X 2" xfId="194" xr:uid="{00000000-0005-0000-0000-0000C3350000}"/>
    <cellStyle name="SAPBEXHLevel1X 2 2" xfId="195" xr:uid="{00000000-0005-0000-0000-0000C4350000}"/>
    <cellStyle name="SAPBEXHLevel1X 2 3" xfId="196" xr:uid="{00000000-0005-0000-0000-0000C5350000}"/>
    <cellStyle name="SAPBEXHLevel1X 2 4" xfId="197" xr:uid="{00000000-0005-0000-0000-0000C6350000}"/>
    <cellStyle name="SAPBEXHLevel1X 2 5" xfId="198" xr:uid="{00000000-0005-0000-0000-0000C7350000}"/>
    <cellStyle name="SAPBEXHLevel1X 3" xfId="199" xr:uid="{00000000-0005-0000-0000-0000C8350000}"/>
    <cellStyle name="SAPBEXHLevel1X 4" xfId="200" xr:uid="{00000000-0005-0000-0000-0000C9350000}"/>
    <cellStyle name="SAPBEXHLevel1X 5" xfId="201" xr:uid="{00000000-0005-0000-0000-0000CA350000}"/>
    <cellStyle name="SAPBEXHLevel2" xfId="202" xr:uid="{00000000-0005-0000-0000-0000CB350000}"/>
    <cellStyle name="SAPBEXHLevel2 2" xfId="203" xr:uid="{00000000-0005-0000-0000-0000CC350000}"/>
    <cellStyle name="SAPBEXHLevel2 2 2" xfId="204" xr:uid="{00000000-0005-0000-0000-0000CD350000}"/>
    <cellStyle name="SAPBEXHLevel2 2 3" xfId="205" xr:uid="{00000000-0005-0000-0000-0000CE350000}"/>
    <cellStyle name="SAPBEXHLevel2 2 4" xfId="206" xr:uid="{00000000-0005-0000-0000-0000CF350000}"/>
    <cellStyle name="SAPBEXHLevel2 3" xfId="207" xr:uid="{00000000-0005-0000-0000-0000D0350000}"/>
    <cellStyle name="SAPBEXHLevel2 4" xfId="208" xr:uid="{00000000-0005-0000-0000-0000D1350000}"/>
    <cellStyle name="SAPBEXHLevel2 5" xfId="209" xr:uid="{00000000-0005-0000-0000-0000D2350000}"/>
    <cellStyle name="SAPBEXHLevel2X" xfId="210" xr:uid="{00000000-0005-0000-0000-0000D3350000}"/>
    <cellStyle name="SAPBEXHLevel2X 2" xfId="211" xr:uid="{00000000-0005-0000-0000-0000D4350000}"/>
    <cellStyle name="SAPBEXHLevel2X 2 2" xfId="212" xr:uid="{00000000-0005-0000-0000-0000D5350000}"/>
    <cellStyle name="SAPBEXHLevel2X 2 2 2" xfId="14061" xr:uid="{00000000-0005-0000-0000-0000D6350000}"/>
    <cellStyle name="SAPBEXHLevel2X 2 2 2 2" xfId="14062" xr:uid="{00000000-0005-0000-0000-0000D7350000}"/>
    <cellStyle name="SAPBEXHLevel2X 2 2 3" xfId="14063" xr:uid="{00000000-0005-0000-0000-0000D8350000}"/>
    <cellStyle name="SAPBEXHLevel2X 2 2 3 2" xfId="14064" xr:uid="{00000000-0005-0000-0000-0000D9350000}"/>
    <cellStyle name="SAPBEXHLevel2X 2 2 4" xfId="14065" xr:uid="{00000000-0005-0000-0000-0000DA350000}"/>
    <cellStyle name="SAPBEXHLevel2X 2 3" xfId="213" xr:uid="{00000000-0005-0000-0000-0000DB350000}"/>
    <cellStyle name="SAPBEXHLevel2X 2 3 2" xfId="14066" xr:uid="{00000000-0005-0000-0000-0000DC350000}"/>
    <cellStyle name="SAPBEXHLevel2X 2 4" xfId="214" xr:uid="{00000000-0005-0000-0000-0000DD350000}"/>
    <cellStyle name="SAPBEXHLevel2X 2 4 2" xfId="14067" xr:uid="{00000000-0005-0000-0000-0000DE350000}"/>
    <cellStyle name="SAPBEXHLevel2X 2 5" xfId="215" xr:uid="{00000000-0005-0000-0000-0000DF350000}"/>
    <cellStyle name="SAPBEXHLevel2X 3" xfId="216" xr:uid="{00000000-0005-0000-0000-0000E0350000}"/>
    <cellStyle name="SAPBEXHLevel2X 3 2" xfId="14068" xr:uid="{00000000-0005-0000-0000-0000E1350000}"/>
    <cellStyle name="SAPBEXHLevel2X 3 2 2" xfId="14069" xr:uid="{00000000-0005-0000-0000-0000E2350000}"/>
    <cellStyle name="SAPBEXHLevel2X 3 3" xfId="14070" xr:uid="{00000000-0005-0000-0000-0000E3350000}"/>
    <cellStyle name="SAPBEXHLevel2X 3 3 2" xfId="14071" xr:uid="{00000000-0005-0000-0000-0000E4350000}"/>
    <cellStyle name="SAPBEXHLevel2X 3 4" xfId="14072" xr:uid="{00000000-0005-0000-0000-0000E5350000}"/>
    <cellStyle name="SAPBEXHLevel2X 4" xfId="217" xr:uid="{00000000-0005-0000-0000-0000E6350000}"/>
    <cellStyle name="SAPBEXHLevel2X 4 2" xfId="14073" xr:uid="{00000000-0005-0000-0000-0000E7350000}"/>
    <cellStyle name="SAPBEXHLevel2X 4 2 2" xfId="14074" xr:uid="{00000000-0005-0000-0000-0000E8350000}"/>
    <cellStyle name="SAPBEXHLevel2X 4 3" xfId="14075" xr:uid="{00000000-0005-0000-0000-0000E9350000}"/>
    <cellStyle name="SAPBEXHLevel2X 4 3 2" xfId="14076" xr:uid="{00000000-0005-0000-0000-0000EA350000}"/>
    <cellStyle name="SAPBEXHLevel2X 4 4" xfId="14077" xr:uid="{00000000-0005-0000-0000-0000EB350000}"/>
    <cellStyle name="SAPBEXHLevel2X 5" xfId="218" xr:uid="{00000000-0005-0000-0000-0000EC350000}"/>
    <cellStyle name="SAPBEXHLevel2X 5 2" xfId="14078" xr:uid="{00000000-0005-0000-0000-0000ED350000}"/>
    <cellStyle name="SAPBEXHLevel2X 6" xfId="14079" xr:uid="{00000000-0005-0000-0000-0000EE350000}"/>
    <cellStyle name="SAPBEXHLevel2X 6 2" xfId="14080" xr:uid="{00000000-0005-0000-0000-0000EF350000}"/>
    <cellStyle name="SAPBEXHLevel2X 7" xfId="14081" xr:uid="{00000000-0005-0000-0000-0000F0350000}"/>
    <cellStyle name="SAPBEXHLevel3" xfId="219" xr:uid="{00000000-0005-0000-0000-0000F1350000}"/>
    <cellStyle name="SAPBEXHLevel3 2" xfId="220" xr:uid="{00000000-0005-0000-0000-0000F2350000}"/>
    <cellStyle name="SAPBEXHLevel3 2 2" xfId="221" xr:uid="{00000000-0005-0000-0000-0000F3350000}"/>
    <cellStyle name="SAPBEXHLevel3 2 3" xfId="222" xr:uid="{00000000-0005-0000-0000-0000F4350000}"/>
    <cellStyle name="SAPBEXHLevel3 2 4" xfId="223" xr:uid="{00000000-0005-0000-0000-0000F5350000}"/>
    <cellStyle name="SAPBEXHLevel3 3" xfId="224" xr:uid="{00000000-0005-0000-0000-0000F6350000}"/>
    <cellStyle name="SAPBEXHLevel3 4" xfId="225" xr:uid="{00000000-0005-0000-0000-0000F7350000}"/>
    <cellStyle name="SAPBEXHLevel3 5" xfId="226" xr:uid="{00000000-0005-0000-0000-0000F8350000}"/>
    <cellStyle name="SAPBEXHLevel3X" xfId="227" xr:uid="{00000000-0005-0000-0000-0000F9350000}"/>
    <cellStyle name="SAPBEXHLevel3X 2" xfId="228" xr:uid="{00000000-0005-0000-0000-0000FA350000}"/>
    <cellStyle name="SAPBEXHLevel3X 2 2" xfId="229" xr:uid="{00000000-0005-0000-0000-0000FB350000}"/>
    <cellStyle name="SAPBEXHLevel3X 2 2 2" xfId="14082" xr:uid="{00000000-0005-0000-0000-0000FC350000}"/>
    <cellStyle name="SAPBEXHLevel3X 2 2 2 2" xfId="14083" xr:uid="{00000000-0005-0000-0000-0000FD350000}"/>
    <cellStyle name="SAPBEXHLevel3X 2 2 3" xfId="14084" xr:uid="{00000000-0005-0000-0000-0000FE350000}"/>
    <cellStyle name="SAPBEXHLevel3X 2 2 3 2" xfId="14085" xr:uid="{00000000-0005-0000-0000-0000FF350000}"/>
    <cellStyle name="SAPBEXHLevel3X 2 2 4" xfId="14086" xr:uid="{00000000-0005-0000-0000-000000360000}"/>
    <cellStyle name="SAPBEXHLevel3X 2 3" xfId="230" xr:uid="{00000000-0005-0000-0000-000001360000}"/>
    <cellStyle name="SAPBEXHLevel3X 2 3 2" xfId="14087" xr:uid="{00000000-0005-0000-0000-000002360000}"/>
    <cellStyle name="SAPBEXHLevel3X 2 4" xfId="231" xr:uid="{00000000-0005-0000-0000-000003360000}"/>
    <cellStyle name="SAPBEXHLevel3X 2 4 2" xfId="14088" xr:uid="{00000000-0005-0000-0000-000004360000}"/>
    <cellStyle name="SAPBEXHLevel3X 2 5" xfId="232" xr:uid="{00000000-0005-0000-0000-000005360000}"/>
    <cellStyle name="SAPBEXHLevel3X 3" xfId="233" xr:uid="{00000000-0005-0000-0000-000006360000}"/>
    <cellStyle name="SAPBEXHLevel3X 3 2" xfId="14089" xr:uid="{00000000-0005-0000-0000-000007360000}"/>
    <cellStyle name="SAPBEXHLevel3X 3 2 2" xfId="14090" xr:uid="{00000000-0005-0000-0000-000008360000}"/>
    <cellStyle name="SAPBEXHLevel3X 3 3" xfId="14091" xr:uid="{00000000-0005-0000-0000-000009360000}"/>
    <cellStyle name="SAPBEXHLevel3X 3 3 2" xfId="14092" xr:uid="{00000000-0005-0000-0000-00000A360000}"/>
    <cellStyle name="SAPBEXHLevel3X 3 4" xfId="14093" xr:uid="{00000000-0005-0000-0000-00000B360000}"/>
    <cellStyle name="SAPBEXHLevel3X 4" xfId="234" xr:uid="{00000000-0005-0000-0000-00000C360000}"/>
    <cellStyle name="SAPBEXHLevel3X 4 2" xfId="14094" xr:uid="{00000000-0005-0000-0000-00000D360000}"/>
    <cellStyle name="SAPBEXHLevel3X 4 2 2" xfId="14095" xr:uid="{00000000-0005-0000-0000-00000E360000}"/>
    <cellStyle name="SAPBEXHLevel3X 4 3" xfId="14096" xr:uid="{00000000-0005-0000-0000-00000F360000}"/>
    <cellStyle name="SAPBEXHLevel3X 4 3 2" xfId="14097" xr:uid="{00000000-0005-0000-0000-000010360000}"/>
    <cellStyle name="SAPBEXHLevel3X 4 4" xfId="14098" xr:uid="{00000000-0005-0000-0000-000011360000}"/>
    <cellStyle name="SAPBEXHLevel3X 5" xfId="235" xr:uid="{00000000-0005-0000-0000-000012360000}"/>
    <cellStyle name="SAPBEXHLevel3X 5 2" xfId="14099" xr:uid="{00000000-0005-0000-0000-000013360000}"/>
    <cellStyle name="SAPBEXHLevel3X 6" xfId="14100" xr:uid="{00000000-0005-0000-0000-000014360000}"/>
    <cellStyle name="SAPBEXHLevel3X 6 2" xfId="14101" xr:uid="{00000000-0005-0000-0000-000015360000}"/>
    <cellStyle name="SAPBEXHLevel3X 7" xfId="14102" xr:uid="{00000000-0005-0000-0000-000016360000}"/>
    <cellStyle name="SAPBEXinputData" xfId="236" xr:uid="{00000000-0005-0000-0000-000017360000}"/>
    <cellStyle name="SAPBEXinputData 2" xfId="237" xr:uid="{00000000-0005-0000-0000-000018360000}"/>
    <cellStyle name="SAPBEXinputData 2 2" xfId="238" xr:uid="{00000000-0005-0000-0000-000019360000}"/>
    <cellStyle name="SAPBEXinputData 3" xfId="14103" xr:uid="{00000000-0005-0000-0000-00001A360000}"/>
    <cellStyle name="SAPBEXinputData 3 2" xfId="14104" xr:uid="{00000000-0005-0000-0000-00001B360000}"/>
    <cellStyle name="SAPBEXinputData 4" xfId="14105" xr:uid="{00000000-0005-0000-0000-00001C360000}"/>
    <cellStyle name="SAPBEXItemHeader" xfId="239" xr:uid="{00000000-0005-0000-0000-00001D360000}"/>
    <cellStyle name="SAPBEXItemHeader 2" xfId="240" xr:uid="{00000000-0005-0000-0000-00001E360000}"/>
    <cellStyle name="SAPBEXItemHeader 2 2" xfId="14106" xr:uid="{00000000-0005-0000-0000-00001F360000}"/>
    <cellStyle name="SAPBEXItemHeader 2 2 2" xfId="14107" xr:uid="{00000000-0005-0000-0000-000020360000}"/>
    <cellStyle name="SAPBEXItemHeader 2 3" xfId="14108" xr:uid="{00000000-0005-0000-0000-000021360000}"/>
    <cellStyle name="SAPBEXItemHeader 2 3 2" xfId="14109" xr:uid="{00000000-0005-0000-0000-000022360000}"/>
    <cellStyle name="SAPBEXItemHeader 2 4" xfId="14110" xr:uid="{00000000-0005-0000-0000-000023360000}"/>
    <cellStyle name="SAPBEXItemHeader 3" xfId="241" xr:uid="{00000000-0005-0000-0000-000024360000}"/>
    <cellStyle name="SAPBEXItemHeader 3 2" xfId="14111" xr:uid="{00000000-0005-0000-0000-000025360000}"/>
    <cellStyle name="SAPBEXItemHeader 3 2 2" xfId="14112" xr:uid="{00000000-0005-0000-0000-000026360000}"/>
    <cellStyle name="SAPBEXItemHeader 3 3" xfId="14113" xr:uid="{00000000-0005-0000-0000-000027360000}"/>
    <cellStyle name="SAPBEXItemHeader 3 3 2" xfId="14114" xr:uid="{00000000-0005-0000-0000-000028360000}"/>
    <cellStyle name="SAPBEXItemHeader 3 4" xfId="14115" xr:uid="{00000000-0005-0000-0000-000029360000}"/>
    <cellStyle name="SAPBEXItemHeader 4" xfId="242" xr:uid="{00000000-0005-0000-0000-00002A360000}"/>
    <cellStyle name="SAPBEXItemHeader 4 2" xfId="14116" xr:uid="{00000000-0005-0000-0000-00002B360000}"/>
    <cellStyle name="SAPBEXItemHeader 5" xfId="14117" xr:uid="{00000000-0005-0000-0000-00002C360000}"/>
    <cellStyle name="SAPBEXItemHeader 5 2" xfId="14118" xr:uid="{00000000-0005-0000-0000-00002D360000}"/>
    <cellStyle name="SAPBEXItemHeader 6" xfId="14119" xr:uid="{00000000-0005-0000-0000-00002E360000}"/>
    <cellStyle name="SAPBEXresData" xfId="243" xr:uid="{00000000-0005-0000-0000-00002F360000}"/>
    <cellStyle name="SAPBEXresData 2" xfId="244" xr:uid="{00000000-0005-0000-0000-000030360000}"/>
    <cellStyle name="SAPBEXresData 2 2" xfId="14120" xr:uid="{00000000-0005-0000-0000-000031360000}"/>
    <cellStyle name="SAPBEXresData 2 2 2" xfId="14121" xr:uid="{00000000-0005-0000-0000-000032360000}"/>
    <cellStyle name="SAPBEXresData 2 2 2 2" xfId="14122" xr:uid="{00000000-0005-0000-0000-000033360000}"/>
    <cellStyle name="SAPBEXresData 2 2 3" xfId="14123" xr:uid="{00000000-0005-0000-0000-000034360000}"/>
    <cellStyle name="SAPBEXresData 2 2 3 2" xfId="14124" xr:uid="{00000000-0005-0000-0000-000035360000}"/>
    <cellStyle name="SAPBEXresData 2 2 4" xfId="14125" xr:uid="{00000000-0005-0000-0000-000036360000}"/>
    <cellStyle name="SAPBEXresData 2 3" xfId="14126" xr:uid="{00000000-0005-0000-0000-000037360000}"/>
    <cellStyle name="SAPBEXresData 2 3 2" xfId="14127" xr:uid="{00000000-0005-0000-0000-000038360000}"/>
    <cellStyle name="SAPBEXresData 2 4" xfId="14128" xr:uid="{00000000-0005-0000-0000-000039360000}"/>
    <cellStyle name="SAPBEXresData 2 4 2" xfId="14129" xr:uid="{00000000-0005-0000-0000-00003A360000}"/>
    <cellStyle name="SAPBEXresData 2 5" xfId="14130" xr:uid="{00000000-0005-0000-0000-00003B360000}"/>
    <cellStyle name="SAPBEXresData 3" xfId="245" xr:uid="{00000000-0005-0000-0000-00003C360000}"/>
    <cellStyle name="SAPBEXresData 3 2" xfId="14131" xr:uid="{00000000-0005-0000-0000-00003D360000}"/>
    <cellStyle name="SAPBEXresData 3 2 2" xfId="14132" xr:uid="{00000000-0005-0000-0000-00003E360000}"/>
    <cellStyle name="SAPBEXresData 3 3" xfId="14133" xr:uid="{00000000-0005-0000-0000-00003F360000}"/>
    <cellStyle name="SAPBEXresData 3 3 2" xfId="14134" xr:uid="{00000000-0005-0000-0000-000040360000}"/>
    <cellStyle name="SAPBEXresData 3 4" xfId="14135" xr:uid="{00000000-0005-0000-0000-000041360000}"/>
    <cellStyle name="SAPBEXresData 4" xfId="246" xr:uid="{00000000-0005-0000-0000-000042360000}"/>
    <cellStyle name="SAPBEXresData 4 2" xfId="14136" xr:uid="{00000000-0005-0000-0000-000043360000}"/>
    <cellStyle name="SAPBEXresData 4 2 2" xfId="14137" xr:uid="{00000000-0005-0000-0000-000044360000}"/>
    <cellStyle name="SAPBEXresData 4 3" xfId="14138" xr:uid="{00000000-0005-0000-0000-000045360000}"/>
    <cellStyle name="SAPBEXresData 4 3 2" xfId="14139" xr:uid="{00000000-0005-0000-0000-000046360000}"/>
    <cellStyle name="SAPBEXresData 4 4" xfId="14140" xr:uid="{00000000-0005-0000-0000-000047360000}"/>
    <cellStyle name="SAPBEXresData 5" xfId="14141" xr:uid="{00000000-0005-0000-0000-000048360000}"/>
    <cellStyle name="SAPBEXresData 5 2" xfId="14142" xr:uid="{00000000-0005-0000-0000-000049360000}"/>
    <cellStyle name="SAPBEXresData 6" xfId="14143" xr:uid="{00000000-0005-0000-0000-00004A360000}"/>
    <cellStyle name="SAPBEXresData 6 2" xfId="14144" xr:uid="{00000000-0005-0000-0000-00004B360000}"/>
    <cellStyle name="SAPBEXresData 7" xfId="14145" xr:uid="{00000000-0005-0000-0000-00004C360000}"/>
    <cellStyle name="SAPBEXresDataEmph" xfId="247" xr:uid="{00000000-0005-0000-0000-00004D360000}"/>
    <cellStyle name="SAPBEXresDataEmph 2" xfId="248" xr:uid="{00000000-0005-0000-0000-00004E360000}"/>
    <cellStyle name="SAPBEXresDataEmph 2 2" xfId="14146" xr:uid="{00000000-0005-0000-0000-00004F360000}"/>
    <cellStyle name="SAPBEXresDataEmph 2 2 2" xfId="14147" xr:uid="{00000000-0005-0000-0000-000050360000}"/>
    <cellStyle name="SAPBEXresDataEmph 2 2 2 2" xfId="14148" xr:uid="{00000000-0005-0000-0000-000051360000}"/>
    <cellStyle name="SAPBEXresDataEmph 2 2 3" xfId="14149" xr:uid="{00000000-0005-0000-0000-000052360000}"/>
    <cellStyle name="SAPBEXresDataEmph 2 2 3 2" xfId="14150" xr:uid="{00000000-0005-0000-0000-000053360000}"/>
    <cellStyle name="SAPBEXresDataEmph 2 2 4" xfId="14151" xr:uid="{00000000-0005-0000-0000-000054360000}"/>
    <cellStyle name="SAPBEXresDataEmph 2 3" xfId="14152" xr:uid="{00000000-0005-0000-0000-000055360000}"/>
    <cellStyle name="SAPBEXresDataEmph 2 3 2" xfId="14153" xr:uid="{00000000-0005-0000-0000-000056360000}"/>
    <cellStyle name="SAPBEXresDataEmph 2 4" xfId="14154" xr:uid="{00000000-0005-0000-0000-000057360000}"/>
    <cellStyle name="SAPBEXresDataEmph 2 4 2" xfId="14155" xr:uid="{00000000-0005-0000-0000-000058360000}"/>
    <cellStyle name="SAPBEXresDataEmph 2 5" xfId="14156" xr:uid="{00000000-0005-0000-0000-000059360000}"/>
    <cellStyle name="SAPBEXresDataEmph 3" xfId="249" xr:uid="{00000000-0005-0000-0000-00005A360000}"/>
    <cellStyle name="SAPBEXresDataEmph 3 2" xfId="14157" xr:uid="{00000000-0005-0000-0000-00005B360000}"/>
    <cellStyle name="SAPBEXresDataEmph 3 2 2" xfId="14158" xr:uid="{00000000-0005-0000-0000-00005C360000}"/>
    <cellStyle name="SAPBEXresDataEmph 3 3" xfId="14159" xr:uid="{00000000-0005-0000-0000-00005D360000}"/>
    <cellStyle name="SAPBEXresDataEmph 3 3 2" xfId="14160" xr:uid="{00000000-0005-0000-0000-00005E360000}"/>
    <cellStyle name="SAPBEXresDataEmph 3 4" xfId="14161" xr:uid="{00000000-0005-0000-0000-00005F360000}"/>
    <cellStyle name="SAPBEXresDataEmph 4" xfId="250" xr:uid="{00000000-0005-0000-0000-000060360000}"/>
    <cellStyle name="SAPBEXresDataEmph 4 2" xfId="14162" xr:uid="{00000000-0005-0000-0000-000061360000}"/>
    <cellStyle name="SAPBEXresDataEmph 4 2 2" xfId="14163" xr:uid="{00000000-0005-0000-0000-000062360000}"/>
    <cellStyle name="SAPBEXresDataEmph 4 3" xfId="14164" xr:uid="{00000000-0005-0000-0000-000063360000}"/>
    <cellStyle name="SAPBEXresDataEmph 4 3 2" xfId="14165" xr:uid="{00000000-0005-0000-0000-000064360000}"/>
    <cellStyle name="SAPBEXresDataEmph 4 4" xfId="14166" xr:uid="{00000000-0005-0000-0000-000065360000}"/>
    <cellStyle name="SAPBEXresDataEmph 5" xfId="14167" xr:uid="{00000000-0005-0000-0000-000066360000}"/>
    <cellStyle name="SAPBEXresDataEmph 5 2" xfId="14168" xr:uid="{00000000-0005-0000-0000-000067360000}"/>
    <cellStyle name="SAPBEXresDataEmph 6" xfId="14169" xr:uid="{00000000-0005-0000-0000-000068360000}"/>
    <cellStyle name="SAPBEXresDataEmph 6 2" xfId="14170" xr:uid="{00000000-0005-0000-0000-000069360000}"/>
    <cellStyle name="SAPBEXresDataEmph 7" xfId="14171" xr:uid="{00000000-0005-0000-0000-00006A360000}"/>
    <cellStyle name="SAPBEXresItem" xfId="251" xr:uid="{00000000-0005-0000-0000-00006B360000}"/>
    <cellStyle name="SAPBEXresItem 2" xfId="252" xr:uid="{00000000-0005-0000-0000-00006C360000}"/>
    <cellStyle name="SAPBEXresItem 2 2" xfId="14172" xr:uid="{00000000-0005-0000-0000-00006D360000}"/>
    <cellStyle name="SAPBEXresItem 2 2 2" xfId="14173" xr:uid="{00000000-0005-0000-0000-00006E360000}"/>
    <cellStyle name="SAPBEXresItem 2 2 2 2" xfId="14174" xr:uid="{00000000-0005-0000-0000-00006F360000}"/>
    <cellStyle name="SAPBEXresItem 2 2 3" xfId="14175" xr:uid="{00000000-0005-0000-0000-000070360000}"/>
    <cellStyle name="SAPBEXresItem 2 2 3 2" xfId="14176" xr:uid="{00000000-0005-0000-0000-000071360000}"/>
    <cellStyle name="SAPBEXresItem 2 2 4" xfId="14177" xr:uid="{00000000-0005-0000-0000-000072360000}"/>
    <cellStyle name="SAPBEXresItem 2 3" xfId="14178" xr:uid="{00000000-0005-0000-0000-000073360000}"/>
    <cellStyle name="SAPBEXresItem 2 3 2" xfId="14179" xr:uid="{00000000-0005-0000-0000-000074360000}"/>
    <cellStyle name="SAPBEXresItem 2 4" xfId="14180" xr:uid="{00000000-0005-0000-0000-000075360000}"/>
    <cellStyle name="SAPBEXresItem 2 4 2" xfId="14181" xr:uid="{00000000-0005-0000-0000-000076360000}"/>
    <cellStyle name="SAPBEXresItem 2 5" xfId="14182" xr:uid="{00000000-0005-0000-0000-000077360000}"/>
    <cellStyle name="SAPBEXresItem 3" xfId="253" xr:uid="{00000000-0005-0000-0000-000078360000}"/>
    <cellStyle name="SAPBEXresItem 3 2" xfId="14183" xr:uid="{00000000-0005-0000-0000-000079360000}"/>
    <cellStyle name="SAPBEXresItem 3 2 2" xfId="14184" xr:uid="{00000000-0005-0000-0000-00007A360000}"/>
    <cellStyle name="SAPBEXresItem 3 3" xfId="14185" xr:uid="{00000000-0005-0000-0000-00007B360000}"/>
    <cellStyle name="SAPBEXresItem 3 3 2" xfId="14186" xr:uid="{00000000-0005-0000-0000-00007C360000}"/>
    <cellStyle name="SAPBEXresItem 3 4" xfId="14187" xr:uid="{00000000-0005-0000-0000-00007D360000}"/>
    <cellStyle name="SAPBEXresItem 4" xfId="254" xr:uid="{00000000-0005-0000-0000-00007E360000}"/>
    <cellStyle name="SAPBEXresItem 4 2" xfId="14188" xr:uid="{00000000-0005-0000-0000-00007F360000}"/>
    <cellStyle name="SAPBEXresItem 4 2 2" xfId="14189" xr:uid="{00000000-0005-0000-0000-000080360000}"/>
    <cellStyle name="SAPBEXresItem 4 3" xfId="14190" xr:uid="{00000000-0005-0000-0000-000081360000}"/>
    <cellStyle name="SAPBEXresItem 4 3 2" xfId="14191" xr:uid="{00000000-0005-0000-0000-000082360000}"/>
    <cellStyle name="SAPBEXresItem 4 4" xfId="14192" xr:uid="{00000000-0005-0000-0000-000083360000}"/>
    <cellStyle name="SAPBEXresItem 5" xfId="14193" xr:uid="{00000000-0005-0000-0000-000084360000}"/>
    <cellStyle name="SAPBEXresItem 5 2" xfId="14194" xr:uid="{00000000-0005-0000-0000-000085360000}"/>
    <cellStyle name="SAPBEXresItem 6" xfId="14195" xr:uid="{00000000-0005-0000-0000-000086360000}"/>
    <cellStyle name="SAPBEXresItem 6 2" xfId="14196" xr:uid="{00000000-0005-0000-0000-000087360000}"/>
    <cellStyle name="SAPBEXresItem 7" xfId="14197" xr:uid="{00000000-0005-0000-0000-000088360000}"/>
    <cellStyle name="SAPBEXresItemX" xfId="255" xr:uid="{00000000-0005-0000-0000-000089360000}"/>
    <cellStyle name="SAPBEXresItemX 2" xfId="256" xr:uid="{00000000-0005-0000-0000-00008A360000}"/>
    <cellStyle name="SAPBEXresItemX 2 2" xfId="14198" xr:uid="{00000000-0005-0000-0000-00008B360000}"/>
    <cellStyle name="SAPBEXresItemX 2 2 2" xfId="14199" xr:uid="{00000000-0005-0000-0000-00008C360000}"/>
    <cellStyle name="SAPBEXresItemX 2 2 2 2" xfId="14200" xr:uid="{00000000-0005-0000-0000-00008D360000}"/>
    <cellStyle name="SAPBEXresItemX 2 2 3" xfId="14201" xr:uid="{00000000-0005-0000-0000-00008E360000}"/>
    <cellStyle name="SAPBEXresItemX 2 2 3 2" xfId="14202" xr:uid="{00000000-0005-0000-0000-00008F360000}"/>
    <cellStyle name="SAPBEXresItemX 2 2 4" xfId="14203" xr:uid="{00000000-0005-0000-0000-000090360000}"/>
    <cellStyle name="SAPBEXresItemX 2 3" xfId="14204" xr:uid="{00000000-0005-0000-0000-000091360000}"/>
    <cellStyle name="SAPBEXresItemX 2 3 2" xfId="14205" xr:uid="{00000000-0005-0000-0000-000092360000}"/>
    <cellStyle name="SAPBEXresItemX 2 4" xfId="14206" xr:uid="{00000000-0005-0000-0000-000093360000}"/>
    <cellStyle name="SAPBEXresItemX 2 4 2" xfId="14207" xr:uid="{00000000-0005-0000-0000-000094360000}"/>
    <cellStyle name="SAPBEXresItemX 2 5" xfId="14208" xr:uid="{00000000-0005-0000-0000-000095360000}"/>
    <cellStyle name="SAPBEXresItemX 3" xfId="257" xr:uid="{00000000-0005-0000-0000-000096360000}"/>
    <cellStyle name="SAPBEXresItemX 3 2" xfId="14209" xr:uid="{00000000-0005-0000-0000-000097360000}"/>
    <cellStyle name="SAPBEXresItemX 3 2 2" xfId="14210" xr:uid="{00000000-0005-0000-0000-000098360000}"/>
    <cellStyle name="SAPBEXresItemX 3 3" xfId="14211" xr:uid="{00000000-0005-0000-0000-000099360000}"/>
    <cellStyle name="SAPBEXresItemX 3 3 2" xfId="14212" xr:uid="{00000000-0005-0000-0000-00009A360000}"/>
    <cellStyle name="SAPBEXresItemX 3 4" xfId="14213" xr:uid="{00000000-0005-0000-0000-00009B360000}"/>
    <cellStyle name="SAPBEXresItemX 4" xfId="258" xr:uid="{00000000-0005-0000-0000-00009C360000}"/>
    <cellStyle name="SAPBEXresItemX 4 2" xfId="14214" xr:uid="{00000000-0005-0000-0000-00009D360000}"/>
    <cellStyle name="SAPBEXresItemX 4 2 2" xfId="14215" xr:uid="{00000000-0005-0000-0000-00009E360000}"/>
    <cellStyle name="SAPBEXresItemX 4 3" xfId="14216" xr:uid="{00000000-0005-0000-0000-00009F360000}"/>
    <cellStyle name="SAPBEXresItemX 4 3 2" xfId="14217" xr:uid="{00000000-0005-0000-0000-0000A0360000}"/>
    <cellStyle name="SAPBEXresItemX 4 4" xfId="14218" xr:uid="{00000000-0005-0000-0000-0000A1360000}"/>
    <cellStyle name="SAPBEXresItemX 5" xfId="14219" xr:uid="{00000000-0005-0000-0000-0000A2360000}"/>
    <cellStyle name="SAPBEXresItemX 5 2" xfId="14220" xr:uid="{00000000-0005-0000-0000-0000A3360000}"/>
    <cellStyle name="SAPBEXresItemX 6" xfId="14221" xr:uid="{00000000-0005-0000-0000-0000A4360000}"/>
    <cellStyle name="SAPBEXresItemX 6 2" xfId="14222" xr:uid="{00000000-0005-0000-0000-0000A5360000}"/>
    <cellStyle name="SAPBEXresItemX 7" xfId="14223" xr:uid="{00000000-0005-0000-0000-0000A6360000}"/>
    <cellStyle name="SAPBEXstdData" xfId="259" xr:uid="{00000000-0005-0000-0000-0000A7360000}"/>
    <cellStyle name="SAPBEXstdData 2" xfId="260" xr:uid="{00000000-0005-0000-0000-0000A8360000}"/>
    <cellStyle name="SAPBEXstdData 2 2" xfId="261" xr:uid="{00000000-0005-0000-0000-0000A9360000}"/>
    <cellStyle name="SAPBEXstdData 2 2 2" xfId="14224" xr:uid="{00000000-0005-0000-0000-0000AA360000}"/>
    <cellStyle name="SAPBEXstdData 2 2 2 2" xfId="14225" xr:uid="{00000000-0005-0000-0000-0000AB360000}"/>
    <cellStyle name="SAPBEXstdData 2 2 3" xfId="14226" xr:uid="{00000000-0005-0000-0000-0000AC360000}"/>
    <cellStyle name="SAPBEXstdData 2 2 3 2" xfId="14227" xr:uid="{00000000-0005-0000-0000-0000AD360000}"/>
    <cellStyle name="SAPBEXstdData 2 2 4" xfId="14228" xr:uid="{00000000-0005-0000-0000-0000AE360000}"/>
    <cellStyle name="SAPBEXstdData 2 3" xfId="262" xr:uid="{00000000-0005-0000-0000-0000AF360000}"/>
    <cellStyle name="SAPBEXstdData 2 3 2" xfId="14229" xr:uid="{00000000-0005-0000-0000-0000B0360000}"/>
    <cellStyle name="SAPBEXstdData 2 3 2 2" xfId="14230" xr:uid="{00000000-0005-0000-0000-0000B1360000}"/>
    <cellStyle name="SAPBEXstdData 2 3 3" xfId="14231" xr:uid="{00000000-0005-0000-0000-0000B2360000}"/>
    <cellStyle name="SAPBEXstdData 2 3 3 2" xfId="14232" xr:uid="{00000000-0005-0000-0000-0000B3360000}"/>
    <cellStyle name="SAPBEXstdData 2 3 4" xfId="14233" xr:uid="{00000000-0005-0000-0000-0000B4360000}"/>
    <cellStyle name="SAPBEXstdData 2 4" xfId="263" xr:uid="{00000000-0005-0000-0000-0000B5360000}"/>
    <cellStyle name="SAPBEXstdData 2 4 2" xfId="14234" xr:uid="{00000000-0005-0000-0000-0000B6360000}"/>
    <cellStyle name="SAPBEXstdData 2 5" xfId="14235" xr:uid="{00000000-0005-0000-0000-0000B7360000}"/>
    <cellStyle name="SAPBEXstdData 2 5 2" xfId="14236" xr:uid="{00000000-0005-0000-0000-0000B8360000}"/>
    <cellStyle name="SAPBEXstdData 2 6" xfId="14237" xr:uid="{00000000-0005-0000-0000-0000B9360000}"/>
    <cellStyle name="SAPBEXstdData 22 2" xfId="14238" xr:uid="{00000000-0005-0000-0000-0000BA360000}"/>
    <cellStyle name="SAPBEXstdData 22 2 2" xfId="14239" xr:uid="{00000000-0005-0000-0000-0000BB360000}"/>
    <cellStyle name="SAPBEXstdData 3" xfId="264" xr:uid="{00000000-0005-0000-0000-0000BC360000}"/>
    <cellStyle name="SAPBEXstdData 3 2" xfId="14240" xr:uid="{00000000-0005-0000-0000-0000BD360000}"/>
    <cellStyle name="SAPBEXstdData 3 2 2" xfId="14241" xr:uid="{00000000-0005-0000-0000-0000BE360000}"/>
    <cellStyle name="SAPBEXstdData 3 3" xfId="14242" xr:uid="{00000000-0005-0000-0000-0000BF360000}"/>
    <cellStyle name="SAPBEXstdData 3 3 2" xfId="14243" xr:uid="{00000000-0005-0000-0000-0000C0360000}"/>
    <cellStyle name="SAPBEXstdData 3 4" xfId="14244" xr:uid="{00000000-0005-0000-0000-0000C1360000}"/>
    <cellStyle name="SAPBEXstdData 4" xfId="265" xr:uid="{00000000-0005-0000-0000-0000C2360000}"/>
    <cellStyle name="SAPBEXstdData 4 2" xfId="14245" xr:uid="{00000000-0005-0000-0000-0000C3360000}"/>
    <cellStyle name="SAPBEXstdData 4 2 2" xfId="14246" xr:uid="{00000000-0005-0000-0000-0000C4360000}"/>
    <cellStyle name="SAPBEXstdData 4 3" xfId="14247" xr:uid="{00000000-0005-0000-0000-0000C5360000}"/>
    <cellStyle name="SAPBEXstdData 4 3 2" xfId="14248" xr:uid="{00000000-0005-0000-0000-0000C6360000}"/>
    <cellStyle name="SAPBEXstdData 4 4" xfId="14249" xr:uid="{00000000-0005-0000-0000-0000C7360000}"/>
    <cellStyle name="SAPBEXstdData 5" xfId="266" xr:uid="{00000000-0005-0000-0000-0000C8360000}"/>
    <cellStyle name="SAPBEXstdData 5 2" xfId="14250" xr:uid="{00000000-0005-0000-0000-0000C9360000}"/>
    <cellStyle name="SAPBEXstdData 6" xfId="14251" xr:uid="{00000000-0005-0000-0000-0000CA360000}"/>
    <cellStyle name="SAPBEXstdData 6 2" xfId="14252" xr:uid="{00000000-0005-0000-0000-0000CB360000}"/>
    <cellStyle name="SAPBEXstdData 7" xfId="14253" xr:uid="{00000000-0005-0000-0000-0000CC360000}"/>
    <cellStyle name="SAPBEXstdDataEmph" xfId="267" xr:uid="{00000000-0005-0000-0000-0000CD360000}"/>
    <cellStyle name="SAPBEXstdDataEmph 2" xfId="268" xr:uid="{00000000-0005-0000-0000-0000CE360000}"/>
    <cellStyle name="SAPBEXstdDataEmph 2 2" xfId="14254" xr:uid="{00000000-0005-0000-0000-0000CF360000}"/>
    <cellStyle name="SAPBEXstdDataEmph 2 2 2" xfId="14255" xr:uid="{00000000-0005-0000-0000-0000D0360000}"/>
    <cellStyle name="SAPBEXstdDataEmph 2 2 2 2" xfId="14256" xr:uid="{00000000-0005-0000-0000-0000D1360000}"/>
    <cellStyle name="SAPBEXstdDataEmph 2 2 3" xfId="14257" xr:uid="{00000000-0005-0000-0000-0000D2360000}"/>
    <cellStyle name="SAPBEXstdDataEmph 2 2 3 2" xfId="14258" xr:uid="{00000000-0005-0000-0000-0000D3360000}"/>
    <cellStyle name="SAPBEXstdDataEmph 2 2 4" xfId="14259" xr:uid="{00000000-0005-0000-0000-0000D4360000}"/>
    <cellStyle name="SAPBEXstdDataEmph 2 3" xfId="14260" xr:uid="{00000000-0005-0000-0000-0000D5360000}"/>
    <cellStyle name="SAPBEXstdDataEmph 2 3 2" xfId="14261" xr:uid="{00000000-0005-0000-0000-0000D6360000}"/>
    <cellStyle name="SAPBEXstdDataEmph 2 4" xfId="14262" xr:uid="{00000000-0005-0000-0000-0000D7360000}"/>
    <cellStyle name="SAPBEXstdDataEmph 2 4 2" xfId="14263" xr:uid="{00000000-0005-0000-0000-0000D8360000}"/>
    <cellStyle name="SAPBEXstdDataEmph 2 5" xfId="14264" xr:uid="{00000000-0005-0000-0000-0000D9360000}"/>
    <cellStyle name="SAPBEXstdDataEmph 3" xfId="269" xr:uid="{00000000-0005-0000-0000-0000DA360000}"/>
    <cellStyle name="SAPBEXstdDataEmph 3 2" xfId="14265" xr:uid="{00000000-0005-0000-0000-0000DB360000}"/>
    <cellStyle name="SAPBEXstdDataEmph 3 2 2" xfId="14266" xr:uid="{00000000-0005-0000-0000-0000DC360000}"/>
    <cellStyle name="SAPBEXstdDataEmph 3 3" xfId="14267" xr:uid="{00000000-0005-0000-0000-0000DD360000}"/>
    <cellStyle name="SAPBEXstdDataEmph 3 3 2" xfId="14268" xr:uid="{00000000-0005-0000-0000-0000DE360000}"/>
    <cellStyle name="SAPBEXstdDataEmph 3 4" xfId="14269" xr:uid="{00000000-0005-0000-0000-0000DF360000}"/>
    <cellStyle name="SAPBEXstdDataEmph 4" xfId="270" xr:uid="{00000000-0005-0000-0000-0000E0360000}"/>
    <cellStyle name="SAPBEXstdDataEmph 4 2" xfId="14270" xr:uid="{00000000-0005-0000-0000-0000E1360000}"/>
    <cellStyle name="SAPBEXstdDataEmph 4 2 2" xfId="14271" xr:uid="{00000000-0005-0000-0000-0000E2360000}"/>
    <cellStyle name="SAPBEXstdDataEmph 4 3" xfId="14272" xr:uid="{00000000-0005-0000-0000-0000E3360000}"/>
    <cellStyle name="SAPBEXstdDataEmph 4 3 2" xfId="14273" xr:uid="{00000000-0005-0000-0000-0000E4360000}"/>
    <cellStyle name="SAPBEXstdDataEmph 4 4" xfId="14274" xr:uid="{00000000-0005-0000-0000-0000E5360000}"/>
    <cellStyle name="SAPBEXstdDataEmph 5" xfId="14275" xr:uid="{00000000-0005-0000-0000-0000E6360000}"/>
    <cellStyle name="SAPBEXstdDataEmph 5 2" xfId="14276" xr:uid="{00000000-0005-0000-0000-0000E7360000}"/>
    <cellStyle name="SAPBEXstdDataEmph 6" xfId="14277" xr:uid="{00000000-0005-0000-0000-0000E8360000}"/>
    <cellStyle name="SAPBEXstdDataEmph 6 2" xfId="14278" xr:uid="{00000000-0005-0000-0000-0000E9360000}"/>
    <cellStyle name="SAPBEXstdDataEmph 7" xfId="14279" xr:uid="{00000000-0005-0000-0000-0000EA360000}"/>
    <cellStyle name="SAPBEXstdItem" xfId="271" xr:uid="{00000000-0005-0000-0000-0000EB360000}"/>
    <cellStyle name="SAPBEXstdItem 2" xfId="272" xr:uid="{00000000-0005-0000-0000-0000EC360000}"/>
    <cellStyle name="SAPBEXstdItem 2 2" xfId="273" xr:uid="{00000000-0005-0000-0000-0000ED360000}"/>
    <cellStyle name="SAPBEXstdItem 2 2 2" xfId="14280" xr:uid="{00000000-0005-0000-0000-0000EE360000}"/>
    <cellStyle name="SAPBEXstdItem 2 2 2 2" xfId="14281" xr:uid="{00000000-0005-0000-0000-0000EF360000}"/>
    <cellStyle name="SAPBEXstdItem 2 2 3" xfId="14282" xr:uid="{00000000-0005-0000-0000-0000F0360000}"/>
    <cellStyle name="SAPBEXstdItem 2 2 3 2" xfId="14283" xr:uid="{00000000-0005-0000-0000-0000F1360000}"/>
    <cellStyle name="SAPBEXstdItem 2 2 4" xfId="14284" xr:uid="{00000000-0005-0000-0000-0000F2360000}"/>
    <cellStyle name="SAPBEXstdItem 2 3" xfId="274" xr:uid="{00000000-0005-0000-0000-0000F3360000}"/>
    <cellStyle name="SAPBEXstdItem 2 3 2" xfId="14285" xr:uid="{00000000-0005-0000-0000-0000F4360000}"/>
    <cellStyle name="SAPBEXstdItem 2 3 2 2" xfId="14286" xr:uid="{00000000-0005-0000-0000-0000F5360000}"/>
    <cellStyle name="SAPBEXstdItem 2 3 3" xfId="14287" xr:uid="{00000000-0005-0000-0000-0000F6360000}"/>
    <cellStyle name="SAPBEXstdItem 2 3 3 2" xfId="14288" xr:uid="{00000000-0005-0000-0000-0000F7360000}"/>
    <cellStyle name="SAPBEXstdItem 2 3 4" xfId="14289" xr:uid="{00000000-0005-0000-0000-0000F8360000}"/>
    <cellStyle name="SAPBEXstdItem 2 4" xfId="275" xr:uid="{00000000-0005-0000-0000-0000F9360000}"/>
    <cellStyle name="SAPBEXstdItem 2 4 2" xfId="14290" xr:uid="{00000000-0005-0000-0000-0000FA360000}"/>
    <cellStyle name="SAPBEXstdItem 2 5" xfId="14291" xr:uid="{00000000-0005-0000-0000-0000FB360000}"/>
    <cellStyle name="SAPBEXstdItem 2 5 2" xfId="14292" xr:uid="{00000000-0005-0000-0000-0000FC360000}"/>
    <cellStyle name="SAPBEXstdItem 2 6" xfId="14293" xr:uid="{00000000-0005-0000-0000-0000FD360000}"/>
    <cellStyle name="SAPBEXstdItem 3" xfId="276" xr:uid="{00000000-0005-0000-0000-0000FE360000}"/>
    <cellStyle name="SAPBEXstdItem 3 2" xfId="277" xr:uid="{00000000-0005-0000-0000-0000FF360000}"/>
    <cellStyle name="SAPBEXstdItem 4" xfId="278" xr:uid="{00000000-0005-0000-0000-000000370000}"/>
    <cellStyle name="SAPBEXstdItem 5" xfId="279" xr:uid="{00000000-0005-0000-0000-000001370000}"/>
    <cellStyle name="SAPBEXstdItemX" xfId="280" xr:uid="{00000000-0005-0000-0000-000002370000}"/>
    <cellStyle name="SAPBEXstdItemX 2" xfId="281" xr:uid="{00000000-0005-0000-0000-000003370000}"/>
    <cellStyle name="SAPBEXstdItemX 3" xfId="282" xr:uid="{00000000-0005-0000-0000-000004370000}"/>
    <cellStyle name="SAPBEXstdItemX 4" xfId="283" xr:uid="{00000000-0005-0000-0000-000005370000}"/>
    <cellStyle name="SAPBEXtitle" xfId="284" xr:uid="{00000000-0005-0000-0000-000006370000}"/>
    <cellStyle name="SAPBEXtitle 2" xfId="285" xr:uid="{00000000-0005-0000-0000-000007370000}"/>
    <cellStyle name="SAPBEXtitle 3" xfId="286" xr:uid="{00000000-0005-0000-0000-000008370000}"/>
    <cellStyle name="SAPBEXtitle 4" xfId="287" xr:uid="{00000000-0005-0000-0000-000009370000}"/>
    <cellStyle name="SAPBEXunassignedItem" xfId="288" xr:uid="{00000000-0005-0000-0000-00000A370000}"/>
    <cellStyle name="SAPBEXunassignedItem 2" xfId="289" xr:uid="{00000000-0005-0000-0000-00000B370000}"/>
    <cellStyle name="SAPBEXunassignedItem 2 2" xfId="290" xr:uid="{00000000-0005-0000-0000-00000C370000}"/>
    <cellStyle name="SAPBEXunassignedItem 2 3" xfId="291" xr:uid="{00000000-0005-0000-0000-00000D370000}"/>
    <cellStyle name="SAPBEXunassignedItem 2 4" xfId="292" xr:uid="{00000000-0005-0000-0000-00000E370000}"/>
    <cellStyle name="SAPBEXunassignedItem 3" xfId="293" xr:uid="{00000000-0005-0000-0000-00000F370000}"/>
    <cellStyle name="SAPBEXunassignedItem 3 2" xfId="14294" xr:uid="{00000000-0005-0000-0000-000010370000}"/>
    <cellStyle name="SAPBEXunassignedItem 4" xfId="294" xr:uid="{00000000-0005-0000-0000-000011370000}"/>
    <cellStyle name="SAPBEXunassignedItem 5" xfId="295" xr:uid="{00000000-0005-0000-0000-000012370000}"/>
    <cellStyle name="SAPBEXundefined" xfId="296" xr:uid="{00000000-0005-0000-0000-000013370000}"/>
    <cellStyle name="SAPBEXundefined 2" xfId="297" xr:uid="{00000000-0005-0000-0000-000014370000}"/>
    <cellStyle name="SAPBEXundefined 2 2" xfId="14295" xr:uid="{00000000-0005-0000-0000-000015370000}"/>
    <cellStyle name="SAPBEXundefined 2 2 2" xfId="14296" xr:uid="{00000000-0005-0000-0000-000016370000}"/>
    <cellStyle name="SAPBEXundefined 2 2 2 2" xfId="14297" xr:uid="{00000000-0005-0000-0000-000017370000}"/>
    <cellStyle name="SAPBEXundefined 2 2 3" xfId="14298" xr:uid="{00000000-0005-0000-0000-000018370000}"/>
    <cellStyle name="SAPBEXundefined 2 2 3 2" xfId="14299" xr:uid="{00000000-0005-0000-0000-000019370000}"/>
    <cellStyle name="SAPBEXundefined 2 2 4" xfId="14300" xr:uid="{00000000-0005-0000-0000-00001A370000}"/>
    <cellStyle name="SAPBEXundefined 2 3" xfId="14301" xr:uid="{00000000-0005-0000-0000-00001B370000}"/>
    <cellStyle name="SAPBEXundefined 2 3 2" xfId="14302" xr:uid="{00000000-0005-0000-0000-00001C370000}"/>
    <cellStyle name="SAPBEXundefined 2 4" xfId="14303" xr:uid="{00000000-0005-0000-0000-00001D370000}"/>
    <cellStyle name="SAPBEXundefined 2 4 2" xfId="14304" xr:uid="{00000000-0005-0000-0000-00001E370000}"/>
    <cellStyle name="SAPBEXundefined 2 5" xfId="14305" xr:uid="{00000000-0005-0000-0000-00001F370000}"/>
    <cellStyle name="SAPBEXundefined 3" xfId="298" xr:uid="{00000000-0005-0000-0000-000020370000}"/>
    <cellStyle name="SAPBEXundefined 3 2" xfId="14306" xr:uid="{00000000-0005-0000-0000-000021370000}"/>
    <cellStyle name="SAPBEXundefined 3 2 2" xfId="14307" xr:uid="{00000000-0005-0000-0000-000022370000}"/>
    <cellStyle name="SAPBEXundefined 3 3" xfId="14308" xr:uid="{00000000-0005-0000-0000-000023370000}"/>
    <cellStyle name="SAPBEXundefined 3 3 2" xfId="14309" xr:uid="{00000000-0005-0000-0000-000024370000}"/>
    <cellStyle name="SAPBEXundefined 3 4" xfId="14310" xr:uid="{00000000-0005-0000-0000-000025370000}"/>
    <cellStyle name="SAPBEXundefined 4" xfId="299" xr:uid="{00000000-0005-0000-0000-000026370000}"/>
    <cellStyle name="SAPBEXundefined 4 2" xfId="14311" xr:uid="{00000000-0005-0000-0000-000027370000}"/>
    <cellStyle name="SAPBEXundefined 4 2 2" xfId="14312" xr:uid="{00000000-0005-0000-0000-000028370000}"/>
    <cellStyle name="SAPBEXundefined 4 3" xfId="14313" xr:uid="{00000000-0005-0000-0000-000029370000}"/>
    <cellStyle name="SAPBEXundefined 4 3 2" xfId="14314" xr:uid="{00000000-0005-0000-0000-00002A370000}"/>
    <cellStyle name="SAPBEXundefined 4 4" xfId="14315" xr:uid="{00000000-0005-0000-0000-00002B370000}"/>
    <cellStyle name="SAPBEXundefined 5" xfId="14316" xr:uid="{00000000-0005-0000-0000-00002C370000}"/>
    <cellStyle name="SAPBEXundefined 5 2" xfId="14317" xr:uid="{00000000-0005-0000-0000-00002D370000}"/>
    <cellStyle name="SAPBEXundefined 6" xfId="14318" xr:uid="{00000000-0005-0000-0000-00002E370000}"/>
    <cellStyle name="SAPBEXundefined 6 2" xfId="14319" xr:uid="{00000000-0005-0000-0000-00002F370000}"/>
    <cellStyle name="SAPBEXundefined 7" xfId="14320" xr:uid="{00000000-0005-0000-0000-000030370000}"/>
    <cellStyle name="ScotchRule" xfId="14321" xr:uid="{00000000-0005-0000-0000-000031370000}"/>
    <cellStyle name="ScotchRule 2" xfId="14322" xr:uid="{00000000-0005-0000-0000-000032370000}"/>
    <cellStyle name="ScotchRule 2 2" xfId="14323" xr:uid="{00000000-0005-0000-0000-000033370000}"/>
    <cellStyle name="ScotchRule 3" xfId="14324" xr:uid="{00000000-0005-0000-0000-000034370000}"/>
    <cellStyle name="ScotchRule 3 2" xfId="14325" xr:uid="{00000000-0005-0000-0000-000035370000}"/>
    <cellStyle name="ScotchRule 4" xfId="14326" xr:uid="{00000000-0005-0000-0000-000036370000}"/>
    <cellStyle name="ScotchRule 4 2" xfId="14327" xr:uid="{00000000-0005-0000-0000-000037370000}"/>
    <cellStyle name="ScotchRule 5" xfId="14328" xr:uid="{00000000-0005-0000-0000-000038370000}"/>
    <cellStyle name="Sheet Title" xfId="300" xr:uid="{00000000-0005-0000-0000-000039370000}"/>
    <cellStyle name="Single Accounting" xfId="14329" xr:uid="{00000000-0005-0000-0000-00003A370000}"/>
    <cellStyle name="Single Accounting 2" xfId="14330" xr:uid="{00000000-0005-0000-0000-00003B370000}"/>
    <cellStyle name="Single Accounting 3" xfId="14331" xr:uid="{00000000-0005-0000-0000-00003C370000}"/>
    <cellStyle name="Single Accounting 4" xfId="14332" xr:uid="{00000000-0005-0000-0000-00003D370000}"/>
    <cellStyle name="small" xfId="14333" xr:uid="{00000000-0005-0000-0000-00003E370000}"/>
    <cellStyle name="small 2" xfId="14334" xr:uid="{00000000-0005-0000-0000-00003F370000}"/>
    <cellStyle name="small 2 2" xfId="14335" xr:uid="{00000000-0005-0000-0000-000040370000}"/>
    <cellStyle name="small 3" xfId="14336" xr:uid="{00000000-0005-0000-0000-000041370000}"/>
    <cellStyle name="small 3 2" xfId="14337" xr:uid="{00000000-0005-0000-0000-000042370000}"/>
    <cellStyle name="small 4" xfId="14338" xr:uid="{00000000-0005-0000-0000-000043370000}"/>
    <cellStyle name="small 4 2" xfId="14339" xr:uid="{00000000-0005-0000-0000-000044370000}"/>
    <cellStyle name="small 5" xfId="14340" xr:uid="{00000000-0005-0000-0000-000045370000}"/>
    <cellStyle name="Standard_tabelle" xfId="14341" xr:uid="{00000000-0005-0000-0000-000046370000}"/>
    <cellStyle name="Subtitle" xfId="14342" xr:uid="{00000000-0005-0000-0000-000047370000}"/>
    <cellStyle name="Subtitle 2" xfId="14343" xr:uid="{00000000-0005-0000-0000-000048370000}"/>
    <cellStyle name="Subtitle 3" xfId="14344" xr:uid="{00000000-0005-0000-0000-000049370000}"/>
    <cellStyle name="Subtitle 4" xfId="14345" xr:uid="{00000000-0005-0000-0000-00004A370000}"/>
    <cellStyle name="SUCH" xfId="14346" xr:uid="{00000000-0005-0000-0000-00004B370000}"/>
    <cellStyle name="Summary style" xfId="301" xr:uid="{00000000-0005-0000-0000-00004C370000}"/>
    <cellStyle name="Table Head" xfId="14347" xr:uid="{00000000-0005-0000-0000-00004D370000}"/>
    <cellStyle name="Table Head 2" xfId="14348" xr:uid="{00000000-0005-0000-0000-00004E370000}"/>
    <cellStyle name="Table Head 3" xfId="14349" xr:uid="{00000000-0005-0000-0000-00004F370000}"/>
    <cellStyle name="Table Head 4" xfId="14350" xr:uid="{00000000-0005-0000-0000-000050370000}"/>
    <cellStyle name="Table Head Aligned" xfId="14351" xr:uid="{00000000-0005-0000-0000-000051370000}"/>
    <cellStyle name="Table Head Aligned 2" xfId="14352" xr:uid="{00000000-0005-0000-0000-000052370000}"/>
    <cellStyle name="Table Head Aligned 3" xfId="14353" xr:uid="{00000000-0005-0000-0000-000053370000}"/>
    <cellStyle name="Table Head Aligned 4" xfId="14354" xr:uid="{00000000-0005-0000-0000-000054370000}"/>
    <cellStyle name="Table Head Blue" xfId="14355" xr:uid="{00000000-0005-0000-0000-000055370000}"/>
    <cellStyle name="Table Head Blue 2" xfId="14356" xr:uid="{00000000-0005-0000-0000-000056370000}"/>
    <cellStyle name="Table Head Blue 3" xfId="14357" xr:uid="{00000000-0005-0000-0000-000057370000}"/>
    <cellStyle name="Table Head Blue 4" xfId="14358" xr:uid="{00000000-0005-0000-0000-000058370000}"/>
    <cellStyle name="Table Head Green" xfId="14359" xr:uid="{00000000-0005-0000-0000-000059370000}"/>
    <cellStyle name="Table Head Green 2" xfId="14360" xr:uid="{00000000-0005-0000-0000-00005A370000}"/>
    <cellStyle name="Table Head Green 3" xfId="14361" xr:uid="{00000000-0005-0000-0000-00005B370000}"/>
    <cellStyle name="Table Head Green 4" xfId="14362" xr:uid="{00000000-0005-0000-0000-00005C370000}"/>
    <cellStyle name="Table Head_Val_Sum_Graph" xfId="14363" xr:uid="{00000000-0005-0000-0000-00005D370000}"/>
    <cellStyle name="Table Text" xfId="14364" xr:uid="{00000000-0005-0000-0000-00005E370000}"/>
    <cellStyle name="Table Text 2" xfId="14365" xr:uid="{00000000-0005-0000-0000-00005F370000}"/>
    <cellStyle name="Table Text 3" xfId="14366" xr:uid="{00000000-0005-0000-0000-000060370000}"/>
    <cellStyle name="Table Text 4" xfId="14367" xr:uid="{00000000-0005-0000-0000-000061370000}"/>
    <cellStyle name="Table Title" xfId="14368" xr:uid="{00000000-0005-0000-0000-000062370000}"/>
    <cellStyle name="Table Title 2" xfId="14369" xr:uid="{00000000-0005-0000-0000-000063370000}"/>
    <cellStyle name="Table Title 3" xfId="14370" xr:uid="{00000000-0005-0000-0000-000064370000}"/>
    <cellStyle name="Table Title 4" xfId="14371" xr:uid="{00000000-0005-0000-0000-000065370000}"/>
    <cellStyle name="Table Units" xfId="14372" xr:uid="{00000000-0005-0000-0000-000066370000}"/>
    <cellStyle name="Table Units 2" xfId="14373" xr:uid="{00000000-0005-0000-0000-000067370000}"/>
    <cellStyle name="Table Units 3" xfId="14374" xr:uid="{00000000-0005-0000-0000-000068370000}"/>
    <cellStyle name="Table Units 4" xfId="14375" xr:uid="{00000000-0005-0000-0000-000069370000}"/>
    <cellStyle name="Table_Header" xfId="14376" xr:uid="{00000000-0005-0000-0000-00006A370000}"/>
    <cellStyle name="Text 1" xfId="14377" xr:uid="{00000000-0005-0000-0000-00006B370000}"/>
    <cellStyle name="Text 1 2" xfId="14378" xr:uid="{00000000-0005-0000-0000-00006C370000}"/>
    <cellStyle name="Text 1 3" xfId="14379" xr:uid="{00000000-0005-0000-0000-00006D370000}"/>
    <cellStyle name="Text 1 4" xfId="14380" xr:uid="{00000000-0005-0000-0000-00006E370000}"/>
    <cellStyle name="Text Head 1" xfId="14381" xr:uid="{00000000-0005-0000-0000-00006F370000}"/>
    <cellStyle name="Text Head 1 2" xfId="14382" xr:uid="{00000000-0005-0000-0000-000070370000}"/>
    <cellStyle name="Text Head 1 3" xfId="14383" xr:uid="{00000000-0005-0000-0000-000071370000}"/>
    <cellStyle name="Text Head 1 4" xfId="14384" xr:uid="{00000000-0005-0000-0000-000072370000}"/>
    <cellStyle name="Text Indent A" xfId="14385" xr:uid="{00000000-0005-0000-0000-000073370000}"/>
    <cellStyle name="Text Indent B" xfId="14386" xr:uid="{00000000-0005-0000-0000-000074370000}"/>
    <cellStyle name="Text Indent B 2" xfId="14387" xr:uid="{00000000-0005-0000-0000-000075370000}"/>
    <cellStyle name="Text Indent C" xfId="14388" xr:uid="{00000000-0005-0000-0000-000076370000}"/>
    <cellStyle name="Text Indent C 2" xfId="14389" xr:uid="{00000000-0005-0000-0000-000077370000}"/>
    <cellStyle name="Times 10" xfId="14390" xr:uid="{00000000-0005-0000-0000-000078370000}"/>
    <cellStyle name="Times 10 2" xfId="14391" xr:uid="{00000000-0005-0000-0000-000079370000}"/>
    <cellStyle name="Times 10 3" xfId="14392" xr:uid="{00000000-0005-0000-0000-00007A370000}"/>
    <cellStyle name="Times 10 4" xfId="14393" xr:uid="{00000000-0005-0000-0000-00007B370000}"/>
    <cellStyle name="Times 12" xfId="14394" xr:uid="{00000000-0005-0000-0000-00007C370000}"/>
    <cellStyle name="Times 12 2" xfId="14395" xr:uid="{00000000-0005-0000-0000-00007D370000}"/>
    <cellStyle name="Times 12 3" xfId="14396" xr:uid="{00000000-0005-0000-0000-00007E370000}"/>
    <cellStyle name="Times 12 4" xfId="14397" xr:uid="{00000000-0005-0000-0000-00007F370000}"/>
    <cellStyle name="Times New Roman01100000015536870911" xfId="14398" xr:uid="{00000000-0005-0000-0000-000080370000}"/>
    <cellStyle name="Times New Roman01101000015536870911" xfId="14399" xr:uid="{00000000-0005-0000-0000-000081370000}"/>
    <cellStyle name="Times New Roman01121000015536870911" xfId="14400" xr:uid="{00000000-0005-0000-0000-000082370000}"/>
    <cellStyle name="Times New Roman0181000015536870911" xfId="14401" xr:uid="{00000000-0005-0000-0000-000083370000}"/>
    <cellStyle name="Times New Roman0181000015536870911 2" xfId="14402" xr:uid="{00000000-0005-0000-0000-000084370000}"/>
    <cellStyle name="Times New Roman0181000015536870911 2 2" xfId="14403" xr:uid="{00000000-0005-0000-0000-000085370000}"/>
    <cellStyle name="Times New Roman0181000015536870911 2 2 2" xfId="14404" xr:uid="{00000000-0005-0000-0000-000086370000}"/>
    <cellStyle name="Times New Roman0181000015536870911 2 3" xfId="14405" xr:uid="{00000000-0005-0000-0000-000087370000}"/>
    <cellStyle name="Times New Roman0181000015536870911 2 3 2" xfId="14406" xr:uid="{00000000-0005-0000-0000-000088370000}"/>
    <cellStyle name="Times New Roman0181000015536870911 2 4" xfId="14407" xr:uid="{00000000-0005-0000-0000-000089370000}"/>
    <cellStyle name="Times New Roman0181000015536870911 3" xfId="14408" xr:uid="{00000000-0005-0000-0000-00008A370000}"/>
    <cellStyle name="Times New Roman0181000015536870911 3 2" xfId="14409" xr:uid="{00000000-0005-0000-0000-00008B370000}"/>
    <cellStyle name="Times New Roman0181000015536870911 3 2 2" xfId="14410" xr:uid="{00000000-0005-0000-0000-00008C370000}"/>
    <cellStyle name="Times New Roman0181000015536870911 3 3" xfId="14411" xr:uid="{00000000-0005-0000-0000-00008D370000}"/>
    <cellStyle name="Times New Roman0181000015536870911 3 3 2" xfId="14412" xr:uid="{00000000-0005-0000-0000-00008E370000}"/>
    <cellStyle name="Times New Roman0181000015536870911 3 4" xfId="14413" xr:uid="{00000000-0005-0000-0000-00008F370000}"/>
    <cellStyle name="Times New Roman0181000015536870911 4" xfId="14414" xr:uid="{00000000-0005-0000-0000-000090370000}"/>
    <cellStyle name="Times New Roman0181000015536870911 4 2" xfId="14415" xr:uid="{00000000-0005-0000-0000-000091370000}"/>
    <cellStyle name="Times New Roman0181000015536870911 5" xfId="14416" xr:uid="{00000000-0005-0000-0000-000092370000}"/>
    <cellStyle name="Times New Roman0181000015536870911 5 2" xfId="14417" xr:uid="{00000000-0005-0000-0000-000093370000}"/>
    <cellStyle name="Times New Roman0181000015536870911 6" xfId="14418" xr:uid="{00000000-0005-0000-0000-000094370000}"/>
    <cellStyle name="Title" xfId="14419" xr:uid="{00000000-0005-0000-0000-000095370000}"/>
    <cellStyle name="Title 2" xfId="14420" xr:uid="{00000000-0005-0000-0000-000096370000}"/>
    <cellStyle name="Title 3" xfId="14421" xr:uid="{00000000-0005-0000-0000-000097370000}"/>
    <cellStyle name="Title 4" xfId="14422" xr:uid="{00000000-0005-0000-0000-000098370000}"/>
    <cellStyle name="TL_CheckBox" xfId="14423" xr:uid="{00000000-0005-0000-0000-000099370000}"/>
    <cellStyle name="To" xfId="14424" xr:uid="{00000000-0005-0000-0000-00009A370000}"/>
    <cellStyle name="To 2" xfId="14425" xr:uid="{00000000-0005-0000-0000-00009B370000}"/>
    <cellStyle name="To 3" xfId="14426" xr:uid="{00000000-0005-0000-0000-00009C370000}"/>
    <cellStyle name="To 4" xfId="14427" xr:uid="{00000000-0005-0000-0000-00009D370000}"/>
    <cellStyle name="Total" xfId="14428" xr:uid="{00000000-0005-0000-0000-00009E370000}"/>
    <cellStyle name="Total 10" xfId="14429" xr:uid="{00000000-0005-0000-0000-00009F370000}"/>
    <cellStyle name="Total 11" xfId="14430" xr:uid="{00000000-0005-0000-0000-0000A0370000}"/>
    <cellStyle name="Total 12" xfId="14431" xr:uid="{00000000-0005-0000-0000-0000A1370000}"/>
    <cellStyle name="Total 13" xfId="14432" xr:uid="{00000000-0005-0000-0000-0000A2370000}"/>
    <cellStyle name="Total 14" xfId="14433" xr:uid="{00000000-0005-0000-0000-0000A3370000}"/>
    <cellStyle name="Total 2" xfId="14434" xr:uid="{00000000-0005-0000-0000-0000A4370000}"/>
    <cellStyle name="Total 2 2" xfId="14435" xr:uid="{00000000-0005-0000-0000-0000A5370000}"/>
    <cellStyle name="Total 2 2 2" xfId="14436" xr:uid="{00000000-0005-0000-0000-0000A6370000}"/>
    <cellStyle name="Total 2 2 2 2" xfId="14437" xr:uid="{00000000-0005-0000-0000-0000A7370000}"/>
    <cellStyle name="Total 2 2 3" xfId="14438" xr:uid="{00000000-0005-0000-0000-0000A8370000}"/>
    <cellStyle name="Total 2 2 3 2" xfId="14439" xr:uid="{00000000-0005-0000-0000-0000A9370000}"/>
    <cellStyle name="Total 2 2 4" xfId="14440" xr:uid="{00000000-0005-0000-0000-0000AA370000}"/>
    <cellStyle name="Total 2 3" xfId="14441" xr:uid="{00000000-0005-0000-0000-0000AB370000}"/>
    <cellStyle name="Total 2 3 2" xfId="14442" xr:uid="{00000000-0005-0000-0000-0000AC370000}"/>
    <cellStyle name="Total 2 3 2 2" xfId="14443" xr:uid="{00000000-0005-0000-0000-0000AD370000}"/>
    <cellStyle name="Total 2 3 3" xfId="14444" xr:uid="{00000000-0005-0000-0000-0000AE370000}"/>
    <cellStyle name="Total 2 3 3 2" xfId="14445" xr:uid="{00000000-0005-0000-0000-0000AF370000}"/>
    <cellStyle name="Total 2 3 4" xfId="14446" xr:uid="{00000000-0005-0000-0000-0000B0370000}"/>
    <cellStyle name="Total 2 4" xfId="14447" xr:uid="{00000000-0005-0000-0000-0000B1370000}"/>
    <cellStyle name="Total 2 4 2" xfId="14448" xr:uid="{00000000-0005-0000-0000-0000B2370000}"/>
    <cellStyle name="Total 2 4 2 2" xfId="14449" xr:uid="{00000000-0005-0000-0000-0000B3370000}"/>
    <cellStyle name="Total 2 4 3" xfId="14450" xr:uid="{00000000-0005-0000-0000-0000B4370000}"/>
    <cellStyle name="Total 2 4 3 2" xfId="14451" xr:uid="{00000000-0005-0000-0000-0000B5370000}"/>
    <cellStyle name="Total 2 4 4" xfId="14452" xr:uid="{00000000-0005-0000-0000-0000B6370000}"/>
    <cellStyle name="Total 2 5" xfId="14453" xr:uid="{00000000-0005-0000-0000-0000B7370000}"/>
    <cellStyle name="Total 2 5 2" xfId="14454" xr:uid="{00000000-0005-0000-0000-0000B8370000}"/>
    <cellStyle name="Total 2 6" xfId="14455" xr:uid="{00000000-0005-0000-0000-0000B9370000}"/>
    <cellStyle name="Total 2 6 2" xfId="14456" xr:uid="{00000000-0005-0000-0000-0000BA370000}"/>
    <cellStyle name="Total 2 7" xfId="14457" xr:uid="{00000000-0005-0000-0000-0000BB370000}"/>
    <cellStyle name="Total 3" xfId="14458" xr:uid="{00000000-0005-0000-0000-0000BC370000}"/>
    <cellStyle name="Total 3 2" xfId="14459" xr:uid="{00000000-0005-0000-0000-0000BD370000}"/>
    <cellStyle name="Total 3 2 2" xfId="14460" xr:uid="{00000000-0005-0000-0000-0000BE370000}"/>
    <cellStyle name="Total 3 2 2 2" xfId="14461" xr:uid="{00000000-0005-0000-0000-0000BF370000}"/>
    <cellStyle name="Total 3 2 3" xfId="14462" xr:uid="{00000000-0005-0000-0000-0000C0370000}"/>
    <cellStyle name="Total 3 2 3 2" xfId="14463" xr:uid="{00000000-0005-0000-0000-0000C1370000}"/>
    <cellStyle name="Total 3 2 4" xfId="14464" xr:uid="{00000000-0005-0000-0000-0000C2370000}"/>
    <cellStyle name="Total 3 3" xfId="14465" xr:uid="{00000000-0005-0000-0000-0000C3370000}"/>
    <cellStyle name="Total 3 3 2" xfId="14466" xr:uid="{00000000-0005-0000-0000-0000C4370000}"/>
    <cellStyle name="Total 3 3 2 2" xfId="14467" xr:uid="{00000000-0005-0000-0000-0000C5370000}"/>
    <cellStyle name="Total 3 3 3" xfId="14468" xr:uid="{00000000-0005-0000-0000-0000C6370000}"/>
    <cellStyle name="Total 3 3 3 2" xfId="14469" xr:uid="{00000000-0005-0000-0000-0000C7370000}"/>
    <cellStyle name="Total 3 3 4" xfId="14470" xr:uid="{00000000-0005-0000-0000-0000C8370000}"/>
    <cellStyle name="Total 3 4" xfId="14471" xr:uid="{00000000-0005-0000-0000-0000C9370000}"/>
    <cellStyle name="Total 3 4 2" xfId="14472" xr:uid="{00000000-0005-0000-0000-0000CA370000}"/>
    <cellStyle name="Total 3 4 2 2" xfId="14473" xr:uid="{00000000-0005-0000-0000-0000CB370000}"/>
    <cellStyle name="Total 3 4 3" xfId="14474" xr:uid="{00000000-0005-0000-0000-0000CC370000}"/>
    <cellStyle name="Total 3 4 3 2" xfId="14475" xr:uid="{00000000-0005-0000-0000-0000CD370000}"/>
    <cellStyle name="Total 3 4 4" xfId="14476" xr:uid="{00000000-0005-0000-0000-0000CE370000}"/>
    <cellStyle name="Total 3 5" xfId="14477" xr:uid="{00000000-0005-0000-0000-0000CF370000}"/>
    <cellStyle name="Total 3 5 2" xfId="14478" xr:uid="{00000000-0005-0000-0000-0000D0370000}"/>
    <cellStyle name="Total 3 6" xfId="14479" xr:uid="{00000000-0005-0000-0000-0000D1370000}"/>
    <cellStyle name="Total 3 6 2" xfId="14480" xr:uid="{00000000-0005-0000-0000-0000D2370000}"/>
    <cellStyle name="Total 3 7" xfId="14481" xr:uid="{00000000-0005-0000-0000-0000D3370000}"/>
    <cellStyle name="Total 4" xfId="14482" xr:uid="{00000000-0005-0000-0000-0000D4370000}"/>
    <cellStyle name="Total 4 2" xfId="14483" xr:uid="{00000000-0005-0000-0000-0000D5370000}"/>
    <cellStyle name="Total 4 2 2" xfId="14484" xr:uid="{00000000-0005-0000-0000-0000D6370000}"/>
    <cellStyle name="Total 4 2 2 2" xfId="14485" xr:uid="{00000000-0005-0000-0000-0000D7370000}"/>
    <cellStyle name="Total 4 2 3" xfId="14486" xr:uid="{00000000-0005-0000-0000-0000D8370000}"/>
    <cellStyle name="Total 4 2 3 2" xfId="14487" xr:uid="{00000000-0005-0000-0000-0000D9370000}"/>
    <cellStyle name="Total 4 2 4" xfId="14488" xr:uid="{00000000-0005-0000-0000-0000DA370000}"/>
    <cellStyle name="Total 4 3" xfId="14489" xr:uid="{00000000-0005-0000-0000-0000DB370000}"/>
    <cellStyle name="Total 4 3 2" xfId="14490" xr:uid="{00000000-0005-0000-0000-0000DC370000}"/>
    <cellStyle name="Total 4 3 2 2" xfId="14491" xr:uid="{00000000-0005-0000-0000-0000DD370000}"/>
    <cellStyle name="Total 4 3 3" xfId="14492" xr:uid="{00000000-0005-0000-0000-0000DE370000}"/>
    <cellStyle name="Total 4 3 3 2" xfId="14493" xr:uid="{00000000-0005-0000-0000-0000DF370000}"/>
    <cellStyle name="Total 4 3 4" xfId="14494" xr:uid="{00000000-0005-0000-0000-0000E0370000}"/>
    <cellStyle name="Total 4 4" xfId="14495" xr:uid="{00000000-0005-0000-0000-0000E1370000}"/>
    <cellStyle name="Total 4 4 2" xfId="14496" xr:uid="{00000000-0005-0000-0000-0000E2370000}"/>
    <cellStyle name="Total 4 4 2 2" xfId="14497" xr:uid="{00000000-0005-0000-0000-0000E3370000}"/>
    <cellStyle name="Total 4 4 3" xfId="14498" xr:uid="{00000000-0005-0000-0000-0000E4370000}"/>
    <cellStyle name="Total 4 4 3 2" xfId="14499" xr:uid="{00000000-0005-0000-0000-0000E5370000}"/>
    <cellStyle name="Total 4 4 4" xfId="14500" xr:uid="{00000000-0005-0000-0000-0000E6370000}"/>
    <cellStyle name="Total 4 5" xfId="14501" xr:uid="{00000000-0005-0000-0000-0000E7370000}"/>
    <cellStyle name="Total 4 5 2" xfId="14502" xr:uid="{00000000-0005-0000-0000-0000E8370000}"/>
    <cellStyle name="Total 4 6" xfId="14503" xr:uid="{00000000-0005-0000-0000-0000E9370000}"/>
    <cellStyle name="Total 4 6 2" xfId="14504" xr:uid="{00000000-0005-0000-0000-0000EA370000}"/>
    <cellStyle name="Total 4 7" xfId="14505" xr:uid="{00000000-0005-0000-0000-0000EB370000}"/>
    <cellStyle name="Total 5" xfId="14506" xr:uid="{00000000-0005-0000-0000-0000EC370000}"/>
    <cellStyle name="Total 5 2" xfId="14507" xr:uid="{00000000-0005-0000-0000-0000ED370000}"/>
    <cellStyle name="Total 5 2 2" xfId="14508" xr:uid="{00000000-0005-0000-0000-0000EE370000}"/>
    <cellStyle name="Total 5 3" xfId="14509" xr:uid="{00000000-0005-0000-0000-0000EF370000}"/>
    <cellStyle name="Total 5 3 2" xfId="14510" xr:uid="{00000000-0005-0000-0000-0000F0370000}"/>
    <cellStyle name="Total 5 4" xfId="14511" xr:uid="{00000000-0005-0000-0000-0000F1370000}"/>
    <cellStyle name="Total 6" xfId="14512" xr:uid="{00000000-0005-0000-0000-0000F2370000}"/>
    <cellStyle name="Total 6 2" xfId="14513" xr:uid="{00000000-0005-0000-0000-0000F3370000}"/>
    <cellStyle name="Total 6 2 2" xfId="14514" xr:uid="{00000000-0005-0000-0000-0000F4370000}"/>
    <cellStyle name="Total 6 3" xfId="14515" xr:uid="{00000000-0005-0000-0000-0000F5370000}"/>
    <cellStyle name="Total 6 3 2" xfId="14516" xr:uid="{00000000-0005-0000-0000-0000F6370000}"/>
    <cellStyle name="Total 6 4" xfId="14517" xr:uid="{00000000-0005-0000-0000-0000F7370000}"/>
    <cellStyle name="Total 7" xfId="14518" xr:uid="{00000000-0005-0000-0000-0000F8370000}"/>
    <cellStyle name="Total 7 2" xfId="14519" xr:uid="{00000000-0005-0000-0000-0000F9370000}"/>
    <cellStyle name="Total 8" xfId="14520" xr:uid="{00000000-0005-0000-0000-0000FA370000}"/>
    <cellStyle name="Total 8 2" xfId="14521" xr:uid="{00000000-0005-0000-0000-0000FB370000}"/>
    <cellStyle name="Total 9" xfId="14522" xr:uid="{00000000-0005-0000-0000-0000FC370000}"/>
    <cellStyle name="Underline_Single" xfId="14523" xr:uid="{00000000-0005-0000-0000-0000FD370000}"/>
    <cellStyle name="Valiotsikko" xfId="14524" xr:uid="{00000000-0005-0000-0000-0000FE370000}"/>
    <cellStyle name="Valiotsikko 2" xfId="14525" xr:uid="{00000000-0005-0000-0000-0000FF370000}"/>
    <cellStyle name="Valiotsikko 3" xfId="14526" xr:uid="{00000000-0005-0000-0000-000000380000}"/>
    <cellStyle name="Valiotsikko 4" xfId="14527" xr:uid="{00000000-0005-0000-0000-000001380000}"/>
    <cellStyle name="Valuta [0]_Arcen" xfId="14528" xr:uid="{00000000-0005-0000-0000-000002380000}"/>
    <cellStyle name="Valuta_Arcen" xfId="14529" xr:uid="{00000000-0005-0000-0000-000003380000}"/>
    <cellStyle name="Vдliotsikko" xfId="14530" xr:uid="{00000000-0005-0000-0000-000004380000}"/>
    <cellStyle name="Vдliotsikko 2" xfId="14531" xr:uid="{00000000-0005-0000-0000-000005380000}"/>
    <cellStyle name="Vдliotsikko 3" xfId="14532" xr:uid="{00000000-0005-0000-0000-000006380000}"/>
    <cellStyle name="Vдliotsikko 4" xfId="14533" xr:uid="{00000000-0005-0000-0000-000007380000}"/>
    <cellStyle name="Warning Text" xfId="14534" xr:uid="{00000000-0005-0000-0000-000008380000}"/>
    <cellStyle name="WIP" xfId="14535" xr:uid="{00000000-0005-0000-0000-000009380000}"/>
    <cellStyle name="WIP 2" xfId="14536" xr:uid="{00000000-0005-0000-0000-00000A380000}"/>
    <cellStyle name="WIP 3" xfId="14537" xr:uid="{00000000-0005-0000-0000-00000B380000}"/>
    <cellStyle name="WIP 4" xfId="14538" xr:uid="{00000000-0005-0000-0000-00000C380000}"/>
    <cellStyle name="WK? Settings" xfId="14539" xr:uid="{00000000-0005-0000-0000-00000D380000}"/>
    <cellStyle name="year" xfId="14540" xr:uid="{00000000-0005-0000-0000-00000E380000}"/>
    <cellStyle name="year 2" xfId="14541" xr:uid="{00000000-0005-0000-0000-00000F380000}"/>
    <cellStyle name="year 2 2" xfId="14542" xr:uid="{00000000-0005-0000-0000-000010380000}"/>
    <cellStyle name="year 3" xfId="14543" xr:uid="{00000000-0005-0000-0000-000011380000}"/>
    <cellStyle name="year 3 2" xfId="14544" xr:uid="{00000000-0005-0000-0000-000012380000}"/>
    <cellStyle name="year 4" xfId="14545" xr:uid="{00000000-0005-0000-0000-000013380000}"/>
    <cellStyle name="year 4 2" xfId="14546" xr:uid="{00000000-0005-0000-0000-000014380000}"/>
    <cellStyle name="year 5" xfId="14547" xr:uid="{00000000-0005-0000-0000-000015380000}"/>
    <cellStyle name="Yen" xfId="14548" xr:uid="{00000000-0005-0000-0000-000016380000}"/>
    <cellStyle name="zas_style1" xfId="14549" xr:uid="{00000000-0005-0000-0000-000017380000}"/>
    <cellStyle name="Zero" xfId="14550" xr:uid="{00000000-0005-0000-0000-000018380000}"/>
    <cellStyle name="ZTOTAL 3" xfId="14551" xr:uid="{00000000-0005-0000-0000-000019380000}"/>
    <cellStyle name="Акцент1 10" xfId="14552" xr:uid="{00000000-0005-0000-0000-00001A380000}"/>
    <cellStyle name="Акцент1 100" xfId="14553" xr:uid="{00000000-0005-0000-0000-00001B380000}"/>
    <cellStyle name="Акцент1 101" xfId="14554" xr:uid="{00000000-0005-0000-0000-00001C380000}"/>
    <cellStyle name="Акцент1 102" xfId="14555" xr:uid="{00000000-0005-0000-0000-00001D380000}"/>
    <cellStyle name="Акцент1 103" xfId="14556" xr:uid="{00000000-0005-0000-0000-00001E380000}"/>
    <cellStyle name="Акцент1 104" xfId="14557" xr:uid="{00000000-0005-0000-0000-00001F380000}"/>
    <cellStyle name="Акцент1 105" xfId="14558" xr:uid="{00000000-0005-0000-0000-000020380000}"/>
    <cellStyle name="Акцент1 106" xfId="14559" xr:uid="{00000000-0005-0000-0000-000021380000}"/>
    <cellStyle name="Акцент1 107" xfId="14560" xr:uid="{00000000-0005-0000-0000-000022380000}"/>
    <cellStyle name="Акцент1 108" xfId="14561" xr:uid="{00000000-0005-0000-0000-000023380000}"/>
    <cellStyle name="Акцент1 109" xfId="14562" xr:uid="{00000000-0005-0000-0000-000024380000}"/>
    <cellStyle name="Акцент1 11" xfId="14563" xr:uid="{00000000-0005-0000-0000-000025380000}"/>
    <cellStyle name="Акцент1 110" xfId="14564" xr:uid="{00000000-0005-0000-0000-000026380000}"/>
    <cellStyle name="Акцент1 111" xfId="14565" xr:uid="{00000000-0005-0000-0000-000027380000}"/>
    <cellStyle name="Акцент1 112" xfId="14566" xr:uid="{00000000-0005-0000-0000-000028380000}"/>
    <cellStyle name="Акцент1 113" xfId="14567" xr:uid="{00000000-0005-0000-0000-000029380000}"/>
    <cellStyle name="Акцент1 114" xfId="14568" xr:uid="{00000000-0005-0000-0000-00002A380000}"/>
    <cellStyle name="Акцент1 115" xfId="14569" xr:uid="{00000000-0005-0000-0000-00002B380000}"/>
    <cellStyle name="Акцент1 116" xfId="14570" xr:uid="{00000000-0005-0000-0000-00002C380000}"/>
    <cellStyle name="Акцент1 117" xfId="14571" xr:uid="{00000000-0005-0000-0000-00002D380000}"/>
    <cellStyle name="Акцент1 118" xfId="14572" xr:uid="{00000000-0005-0000-0000-00002E380000}"/>
    <cellStyle name="Акцент1 119" xfId="14573" xr:uid="{00000000-0005-0000-0000-00002F380000}"/>
    <cellStyle name="Акцент1 12" xfId="14574" xr:uid="{00000000-0005-0000-0000-000030380000}"/>
    <cellStyle name="Акцент1 120" xfId="14575" xr:uid="{00000000-0005-0000-0000-000031380000}"/>
    <cellStyle name="Акцент1 121" xfId="14576" xr:uid="{00000000-0005-0000-0000-000032380000}"/>
    <cellStyle name="Акцент1 122" xfId="14577" xr:uid="{00000000-0005-0000-0000-000033380000}"/>
    <cellStyle name="Акцент1 123" xfId="14578" xr:uid="{00000000-0005-0000-0000-000034380000}"/>
    <cellStyle name="Акцент1 124" xfId="14579" xr:uid="{00000000-0005-0000-0000-000035380000}"/>
    <cellStyle name="Акцент1 125" xfId="14580" xr:uid="{00000000-0005-0000-0000-000036380000}"/>
    <cellStyle name="Акцент1 126" xfId="14581" xr:uid="{00000000-0005-0000-0000-000037380000}"/>
    <cellStyle name="Акцент1 127" xfId="14582" xr:uid="{00000000-0005-0000-0000-000038380000}"/>
    <cellStyle name="Акцент1 128" xfId="14583" xr:uid="{00000000-0005-0000-0000-000039380000}"/>
    <cellStyle name="Акцент1 129" xfId="14584" xr:uid="{00000000-0005-0000-0000-00003A380000}"/>
    <cellStyle name="Акцент1 13" xfId="14585" xr:uid="{00000000-0005-0000-0000-00003B380000}"/>
    <cellStyle name="Акцент1 130" xfId="14586" xr:uid="{00000000-0005-0000-0000-00003C380000}"/>
    <cellStyle name="Акцент1 131" xfId="14587" xr:uid="{00000000-0005-0000-0000-00003D380000}"/>
    <cellStyle name="Акцент1 132" xfId="14588" xr:uid="{00000000-0005-0000-0000-00003E380000}"/>
    <cellStyle name="Акцент1 133" xfId="14589" xr:uid="{00000000-0005-0000-0000-00003F380000}"/>
    <cellStyle name="Акцент1 134" xfId="14590" xr:uid="{00000000-0005-0000-0000-000040380000}"/>
    <cellStyle name="Акцент1 135" xfId="14591" xr:uid="{00000000-0005-0000-0000-000041380000}"/>
    <cellStyle name="Акцент1 136" xfId="14592" xr:uid="{00000000-0005-0000-0000-000042380000}"/>
    <cellStyle name="Акцент1 137" xfId="14593" xr:uid="{00000000-0005-0000-0000-000043380000}"/>
    <cellStyle name="Акцент1 138" xfId="14594" xr:uid="{00000000-0005-0000-0000-000044380000}"/>
    <cellStyle name="Акцент1 139" xfId="14595" xr:uid="{00000000-0005-0000-0000-000045380000}"/>
    <cellStyle name="Акцент1 14" xfId="14596" xr:uid="{00000000-0005-0000-0000-000046380000}"/>
    <cellStyle name="Акцент1 140" xfId="14597" xr:uid="{00000000-0005-0000-0000-000047380000}"/>
    <cellStyle name="Акцент1 141" xfId="14598" xr:uid="{00000000-0005-0000-0000-000048380000}"/>
    <cellStyle name="Акцент1 142" xfId="14599" xr:uid="{00000000-0005-0000-0000-000049380000}"/>
    <cellStyle name="Акцент1 143" xfId="14600" xr:uid="{00000000-0005-0000-0000-00004A380000}"/>
    <cellStyle name="Акцент1 144" xfId="14601" xr:uid="{00000000-0005-0000-0000-00004B380000}"/>
    <cellStyle name="Акцент1 145" xfId="14602" xr:uid="{00000000-0005-0000-0000-00004C380000}"/>
    <cellStyle name="Акцент1 146" xfId="14603" xr:uid="{00000000-0005-0000-0000-00004D380000}"/>
    <cellStyle name="Акцент1 147" xfId="14604" xr:uid="{00000000-0005-0000-0000-00004E380000}"/>
    <cellStyle name="Акцент1 148" xfId="14605" xr:uid="{00000000-0005-0000-0000-00004F380000}"/>
    <cellStyle name="Акцент1 149" xfId="14606" xr:uid="{00000000-0005-0000-0000-000050380000}"/>
    <cellStyle name="Акцент1 15" xfId="14607" xr:uid="{00000000-0005-0000-0000-000051380000}"/>
    <cellStyle name="Акцент1 150" xfId="14608" xr:uid="{00000000-0005-0000-0000-000052380000}"/>
    <cellStyle name="Акцент1 151" xfId="14609" xr:uid="{00000000-0005-0000-0000-000053380000}"/>
    <cellStyle name="Акцент1 152" xfId="14610" xr:uid="{00000000-0005-0000-0000-000054380000}"/>
    <cellStyle name="Акцент1 16" xfId="14611" xr:uid="{00000000-0005-0000-0000-000055380000}"/>
    <cellStyle name="Акцент1 17" xfId="14612" xr:uid="{00000000-0005-0000-0000-000056380000}"/>
    <cellStyle name="Акцент1 18" xfId="14613" xr:uid="{00000000-0005-0000-0000-000057380000}"/>
    <cellStyle name="Акцент1 19" xfId="14614" xr:uid="{00000000-0005-0000-0000-000058380000}"/>
    <cellStyle name="Акцент1 2" xfId="302" xr:uid="{00000000-0005-0000-0000-000059380000}"/>
    <cellStyle name="Акцент1 2 2" xfId="14615" xr:uid="{00000000-0005-0000-0000-00005A380000}"/>
    <cellStyle name="Акцент1 2 3" xfId="14616" xr:uid="{00000000-0005-0000-0000-00005B380000}"/>
    <cellStyle name="Акцент1 2 4" xfId="14617" xr:uid="{00000000-0005-0000-0000-00005C380000}"/>
    <cellStyle name="Акцент1 2 5" xfId="14618" xr:uid="{00000000-0005-0000-0000-00005D380000}"/>
    <cellStyle name="Акцент1 2 6" xfId="14619" xr:uid="{00000000-0005-0000-0000-00005E380000}"/>
    <cellStyle name="Акцент1 2 7" xfId="14620" xr:uid="{00000000-0005-0000-0000-00005F380000}"/>
    <cellStyle name="Акцент1 20" xfId="14621" xr:uid="{00000000-0005-0000-0000-000060380000}"/>
    <cellStyle name="Акцент1 20 2" xfId="14622" xr:uid="{00000000-0005-0000-0000-000061380000}"/>
    <cellStyle name="Акцент1 21" xfId="14623" xr:uid="{00000000-0005-0000-0000-000062380000}"/>
    <cellStyle name="Акцент1 22" xfId="14624" xr:uid="{00000000-0005-0000-0000-000063380000}"/>
    <cellStyle name="Акцент1 23" xfId="14625" xr:uid="{00000000-0005-0000-0000-000064380000}"/>
    <cellStyle name="Акцент1 24" xfId="14626" xr:uid="{00000000-0005-0000-0000-000065380000}"/>
    <cellStyle name="Акцент1 25" xfId="14627" xr:uid="{00000000-0005-0000-0000-000066380000}"/>
    <cellStyle name="Акцент1 26" xfId="14628" xr:uid="{00000000-0005-0000-0000-000067380000}"/>
    <cellStyle name="Акцент1 27" xfId="14629" xr:uid="{00000000-0005-0000-0000-000068380000}"/>
    <cellStyle name="Акцент1 28" xfId="14630" xr:uid="{00000000-0005-0000-0000-000069380000}"/>
    <cellStyle name="Акцент1 29" xfId="14631" xr:uid="{00000000-0005-0000-0000-00006A380000}"/>
    <cellStyle name="Акцент1 3" xfId="14632" xr:uid="{00000000-0005-0000-0000-00006B380000}"/>
    <cellStyle name="Акцент1 30" xfId="14633" xr:uid="{00000000-0005-0000-0000-00006C380000}"/>
    <cellStyle name="Акцент1 31" xfId="14634" xr:uid="{00000000-0005-0000-0000-00006D380000}"/>
    <cellStyle name="Акцент1 32" xfId="14635" xr:uid="{00000000-0005-0000-0000-00006E380000}"/>
    <cellStyle name="Акцент1 33" xfId="14636" xr:uid="{00000000-0005-0000-0000-00006F380000}"/>
    <cellStyle name="Акцент1 34" xfId="14637" xr:uid="{00000000-0005-0000-0000-000070380000}"/>
    <cellStyle name="Акцент1 35" xfId="14638" xr:uid="{00000000-0005-0000-0000-000071380000}"/>
    <cellStyle name="Акцент1 36" xfId="14639" xr:uid="{00000000-0005-0000-0000-000072380000}"/>
    <cellStyle name="Акцент1 37" xfId="14640" xr:uid="{00000000-0005-0000-0000-000073380000}"/>
    <cellStyle name="Акцент1 38" xfId="14641" xr:uid="{00000000-0005-0000-0000-000074380000}"/>
    <cellStyle name="Акцент1 39" xfId="14642" xr:uid="{00000000-0005-0000-0000-000075380000}"/>
    <cellStyle name="Акцент1 4" xfId="14643" xr:uid="{00000000-0005-0000-0000-000076380000}"/>
    <cellStyle name="Акцент1 40" xfId="14644" xr:uid="{00000000-0005-0000-0000-000077380000}"/>
    <cellStyle name="Акцент1 41" xfId="14645" xr:uid="{00000000-0005-0000-0000-000078380000}"/>
    <cellStyle name="Акцент1 42" xfId="14646" xr:uid="{00000000-0005-0000-0000-000079380000}"/>
    <cellStyle name="Акцент1 43" xfId="14647" xr:uid="{00000000-0005-0000-0000-00007A380000}"/>
    <cellStyle name="Акцент1 44" xfId="14648" xr:uid="{00000000-0005-0000-0000-00007B380000}"/>
    <cellStyle name="Акцент1 45" xfId="14649" xr:uid="{00000000-0005-0000-0000-00007C380000}"/>
    <cellStyle name="Акцент1 46" xfId="14650" xr:uid="{00000000-0005-0000-0000-00007D380000}"/>
    <cellStyle name="Акцент1 47" xfId="14651" xr:uid="{00000000-0005-0000-0000-00007E380000}"/>
    <cellStyle name="Акцент1 48" xfId="14652" xr:uid="{00000000-0005-0000-0000-00007F380000}"/>
    <cellStyle name="Акцент1 49" xfId="14653" xr:uid="{00000000-0005-0000-0000-000080380000}"/>
    <cellStyle name="Акцент1 5" xfId="14654" xr:uid="{00000000-0005-0000-0000-000081380000}"/>
    <cellStyle name="Акцент1 50" xfId="14655" xr:uid="{00000000-0005-0000-0000-000082380000}"/>
    <cellStyle name="Акцент1 51" xfId="14656" xr:uid="{00000000-0005-0000-0000-000083380000}"/>
    <cellStyle name="Акцент1 52" xfId="14657" xr:uid="{00000000-0005-0000-0000-000084380000}"/>
    <cellStyle name="Акцент1 53" xfId="14658" xr:uid="{00000000-0005-0000-0000-000085380000}"/>
    <cellStyle name="Акцент1 54" xfId="14659" xr:uid="{00000000-0005-0000-0000-000086380000}"/>
    <cellStyle name="Акцент1 55" xfId="14660" xr:uid="{00000000-0005-0000-0000-000087380000}"/>
    <cellStyle name="Акцент1 56" xfId="14661" xr:uid="{00000000-0005-0000-0000-000088380000}"/>
    <cellStyle name="Акцент1 57" xfId="14662" xr:uid="{00000000-0005-0000-0000-000089380000}"/>
    <cellStyle name="Акцент1 58" xfId="14663" xr:uid="{00000000-0005-0000-0000-00008A380000}"/>
    <cellStyle name="Акцент1 59" xfId="14664" xr:uid="{00000000-0005-0000-0000-00008B380000}"/>
    <cellStyle name="Акцент1 6" xfId="14665" xr:uid="{00000000-0005-0000-0000-00008C380000}"/>
    <cellStyle name="Акцент1 60" xfId="14666" xr:uid="{00000000-0005-0000-0000-00008D380000}"/>
    <cellStyle name="Акцент1 61" xfId="14667" xr:uid="{00000000-0005-0000-0000-00008E380000}"/>
    <cellStyle name="Акцент1 62" xfId="14668" xr:uid="{00000000-0005-0000-0000-00008F380000}"/>
    <cellStyle name="Акцент1 63" xfId="14669" xr:uid="{00000000-0005-0000-0000-000090380000}"/>
    <cellStyle name="Акцент1 64" xfId="14670" xr:uid="{00000000-0005-0000-0000-000091380000}"/>
    <cellStyle name="Акцент1 65" xfId="14671" xr:uid="{00000000-0005-0000-0000-000092380000}"/>
    <cellStyle name="Акцент1 66" xfId="14672" xr:uid="{00000000-0005-0000-0000-000093380000}"/>
    <cellStyle name="Акцент1 67" xfId="14673" xr:uid="{00000000-0005-0000-0000-000094380000}"/>
    <cellStyle name="Акцент1 68" xfId="14674" xr:uid="{00000000-0005-0000-0000-000095380000}"/>
    <cellStyle name="Акцент1 69" xfId="14675" xr:uid="{00000000-0005-0000-0000-000096380000}"/>
    <cellStyle name="Акцент1 7" xfId="14676" xr:uid="{00000000-0005-0000-0000-000097380000}"/>
    <cellStyle name="Акцент1 70" xfId="14677" xr:uid="{00000000-0005-0000-0000-000098380000}"/>
    <cellStyle name="Акцент1 71" xfId="14678" xr:uid="{00000000-0005-0000-0000-000099380000}"/>
    <cellStyle name="Акцент1 72" xfId="14679" xr:uid="{00000000-0005-0000-0000-00009A380000}"/>
    <cellStyle name="Акцент1 73" xfId="14680" xr:uid="{00000000-0005-0000-0000-00009B380000}"/>
    <cellStyle name="Акцент1 74" xfId="14681" xr:uid="{00000000-0005-0000-0000-00009C380000}"/>
    <cellStyle name="Акцент1 75" xfId="14682" xr:uid="{00000000-0005-0000-0000-00009D380000}"/>
    <cellStyle name="Акцент1 76" xfId="14683" xr:uid="{00000000-0005-0000-0000-00009E380000}"/>
    <cellStyle name="Акцент1 77" xfId="14684" xr:uid="{00000000-0005-0000-0000-00009F380000}"/>
    <cellStyle name="Акцент1 78" xfId="14685" xr:uid="{00000000-0005-0000-0000-0000A0380000}"/>
    <cellStyle name="Акцент1 79" xfId="14686" xr:uid="{00000000-0005-0000-0000-0000A1380000}"/>
    <cellStyle name="Акцент1 8" xfId="14687" xr:uid="{00000000-0005-0000-0000-0000A2380000}"/>
    <cellStyle name="Акцент1 80" xfId="14688" xr:uid="{00000000-0005-0000-0000-0000A3380000}"/>
    <cellStyle name="Акцент1 81" xfId="14689" xr:uid="{00000000-0005-0000-0000-0000A4380000}"/>
    <cellStyle name="Акцент1 82" xfId="14690" xr:uid="{00000000-0005-0000-0000-0000A5380000}"/>
    <cellStyle name="Акцент1 83" xfId="14691" xr:uid="{00000000-0005-0000-0000-0000A6380000}"/>
    <cellStyle name="Акцент1 84" xfId="14692" xr:uid="{00000000-0005-0000-0000-0000A7380000}"/>
    <cellStyle name="Акцент1 85" xfId="14693" xr:uid="{00000000-0005-0000-0000-0000A8380000}"/>
    <cellStyle name="Акцент1 86" xfId="14694" xr:uid="{00000000-0005-0000-0000-0000A9380000}"/>
    <cellStyle name="Акцент1 87" xfId="14695" xr:uid="{00000000-0005-0000-0000-0000AA380000}"/>
    <cellStyle name="Акцент1 88" xfId="14696" xr:uid="{00000000-0005-0000-0000-0000AB380000}"/>
    <cellStyle name="Акцент1 89" xfId="14697" xr:uid="{00000000-0005-0000-0000-0000AC380000}"/>
    <cellStyle name="Акцент1 9" xfId="14698" xr:uid="{00000000-0005-0000-0000-0000AD380000}"/>
    <cellStyle name="Акцент1 90" xfId="14699" xr:uid="{00000000-0005-0000-0000-0000AE380000}"/>
    <cellStyle name="Акцент1 91" xfId="14700" xr:uid="{00000000-0005-0000-0000-0000AF380000}"/>
    <cellStyle name="Акцент1 92" xfId="14701" xr:uid="{00000000-0005-0000-0000-0000B0380000}"/>
    <cellStyle name="Акцент1 93" xfId="14702" xr:uid="{00000000-0005-0000-0000-0000B1380000}"/>
    <cellStyle name="Акцент1 94" xfId="14703" xr:uid="{00000000-0005-0000-0000-0000B2380000}"/>
    <cellStyle name="Акцент1 95" xfId="14704" xr:uid="{00000000-0005-0000-0000-0000B3380000}"/>
    <cellStyle name="Акцент1 96" xfId="14705" xr:uid="{00000000-0005-0000-0000-0000B4380000}"/>
    <cellStyle name="Акцент1 97" xfId="14706" xr:uid="{00000000-0005-0000-0000-0000B5380000}"/>
    <cellStyle name="Акцент1 98" xfId="14707" xr:uid="{00000000-0005-0000-0000-0000B6380000}"/>
    <cellStyle name="Акцент1 99" xfId="14708" xr:uid="{00000000-0005-0000-0000-0000B7380000}"/>
    <cellStyle name="Акцент2 10" xfId="14709" xr:uid="{00000000-0005-0000-0000-0000B8380000}"/>
    <cellStyle name="Акцент2 100" xfId="14710" xr:uid="{00000000-0005-0000-0000-0000B9380000}"/>
    <cellStyle name="Акцент2 101" xfId="14711" xr:uid="{00000000-0005-0000-0000-0000BA380000}"/>
    <cellStyle name="Акцент2 102" xfId="14712" xr:uid="{00000000-0005-0000-0000-0000BB380000}"/>
    <cellStyle name="Акцент2 103" xfId="14713" xr:uid="{00000000-0005-0000-0000-0000BC380000}"/>
    <cellStyle name="Акцент2 104" xfId="14714" xr:uid="{00000000-0005-0000-0000-0000BD380000}"/>
    <cellStyle name="Акцент2 105" xfId="14715" xr:uid="{00000000-0005-0000-0000-0000BE380000}"/>
    <cellStyle name="Акцент2 106" xfId="14716" xr:uid="{00000000-0005-0000-0000-0000BF380000}"/>
    <cellStyle name="Акцент2 107" xfId="14717" xr:uid="{00000000-0005-0000-0000-0000C0380000}"/>
    <cellStyle name="Акцент2 108" xfId="14718" xr:uid="{00000000-0005-0000-0000-0000C1380000}"/>
    <cellStyle name="Акцент2 109" xfId="14719" xr:uid="{00000000-0005-0000-0000-0000C2380000}"/>
    <cellStyle name="Акцент2 11" xfId="14720" xr:uid="{00000000-0005-0000-0000-0000C3380000}"/>
    <cellStyle name="Акцент2 110" xfId="14721" xr:uid="{00000000-0005-0000-0000-0000C4380000}"/>
    <cellStyle name="Акцент2 111" xfId="14722" xr:uid="{00000000-0005-0000-0000-0000C5380000}"/>
    <cellStyle name="Акцент2 112" xfId="14723" xr:uid="{00000000-0005-0000-0000-0000C6380000}"/>
    <cellStyle name="Акцент2 113" xfId="14724" xr:uid="{00000000-0005-0000-0000-0000C7380000}"/>
    <cellStyle name="Акцент2 114" xfId="14725" xr:uid="{00000000-0005-0000-0000-0000C8380000}"/>
    <cellStyle name="Акцент2 115" xfId="14726" xr:uid="{00000000-0005-0000-0000-0000C9380000}"/>
    <cellStyle name="Акцент2 116" xfId="14727" xr:uid="{00000000-0005-0000-0000-0000CA380000}"/>
    <cellStyle name="Акцент2 117" xfId="14728" xr:uid="{00000000-0005-0000-0000-0000CB380000}"/>
    <cellStyle name="Акцент2 118" xfId="14729" xr:uid="{00000000-0005-0000-0000-0000CC380000}"/>
    <cellStyle name="Акцент2 119" xfId="14730" xr:uid="{00000000-0005-0000-0000-0000CD380000}"/>
    <cellStyle name="Акцент2 12" xfId="14731" xr:uid="{00000000-0005-0000-0000-0000CE380000}"/>
    <cellStyle name="Акцент2 120" xfId="14732" xr:uid="{00000000-0005-0000-0000-0000CF380000}"/>
    <cellStyle name="Акцент2 121" xfId="14733" xr:uid="{00000000-0005-0000-0000-0000D0380000}"/>
    <cellStyle name="Акцент2 122" xfId="14734" xr:uid="{00000000-0005-0000-0000-0000D1380000}"/>
    <cellStyle name="Акцент2 123" xfId="14735" xr:uid="{00000000-0005-0000-0000-0000D2380000}"/>
    <cellStyle name="Акцент2 124" xfId="14736" xr:uid="{00000000-0005-0000-0000-0000D3380000}"/>
    <cellStyle name="Акцент2 125" xfId="14737" xr:uid="{00000000-0005-0000-0000-0000D4380000}"/>
    <cellStyle name="Акцент2 126" xfId="14738" xr:uid="{00000000-0005-0000-0000-0000D5380000}"/>
    <cellStyle name="Акцент2 127" xfId="14739" xr:uid="{00000000-0005-0000-0000-0000D6380000}"/>
    <cellStyle name="Акцент2 128" xfId="14740" xr:uid="{00000000-0005-0000-0000-0000D7380000}"/>
    <cellStyle name="Акцент2 129" xfId="14741" xr:uid="{00000000-0005-0000-0000-0000D8380000}"/>
    <cellStyle name="Акцент2 13" xfId="14742" xr:uid="{00000000-0005-0000-0000-0000D9380000}"/>
    <cellStyle name="Акцент2 130" xfId="14743" xr:uid="{00000000-0005-0000-0000-0000DA380000}"/>
    <cellStyle name="Акцент2 131" xfId="14744" xr:uid="{00000000-0005-0000-0000-0000DB380000}"/>
    <cellStyle name="Акцент2 132" xfId="14745" xr:uid="{00000000-0005-0000-0000-0000DC380000}"/>
    <cellStyle name="Акцент2 133" xfId="14746" xr:uid="{00000000-0005-0000-0000-0000DD380000}"/>
    <cellStyle name="Акцент2 134" xfId="14747" xr:uid="{00000000-0005-0000-0000-0000DE380000}"/>
    <cellStyle name="Акцент2 135" xfId="14748" xr:uid="{00000000-0005-0000-0000-0000DF380000}"/>
    <cellStyle name="Акцент2 136" xfId="14749" xr:uid="{00000000-0005-0000-0000-0000E0380000}"/>
    <cellStyle name="Акцент2 137" xfId="14750" xr:uid="{00000000-0005-0000-0000-0000E1380000}"/>
    <cellStyle name="Акцент2 138" xfId="14751" xr:uid="{00000000-0005-0000-0000-0000E2380000}"/>
    <cellStyle name="Акцент2 139" xfId="14752" xr:uid="{00000000-0005-0000-0000-0000E3380000}"/>
    <cellStyle name="Акцент2 14" xfId="14753" xr:uid="{00000000-0005-0000-0000-0000E4380000}"/>
    <cellStyle name="Акцент2 140" xfId="14754" xr:uid="{00000000-0005-0000-0000-0000E5380000}"/>
    <cellStyle name="Акцент2 141" xfId="14755" xr:uid="{00000000-0005-0000-0000-0000E6380000}"/>
    <cellStyle name="Акцент2 142" xfId="14756" xr:uid="{00000000-0005-0000-0000-0000E7380000}"/>
    <cellStyle name="Акцент2 143" xfId="14757" xr:uid="{00000000-0005-0000-0000-0000E8380000}"/>
    <cellStyle name="Акцент2 144" xfId="14758" xr:uid="{00000000-0005-0000-0000-0000E9380000}"/>
    <cellStyle name="Акцент2 145" xfId="14759" xr:uid="{00000000-0005-0000-0000-0000EA380000}"/>
    <cellStyle name="Акцент2 146" xfId="14760" xr:uid="{00000000-0005-0000-0000-0000EB380000}"/>
    <cellStyle name="Акцент2 147" xfId="14761" xr:uid="{00000000-0005-0000-0000-0000EC380000}"/>
    <cellStyle name="Акцент2 148" xfId="14762" xr:uid="{00000000-0005-0000-0000-0000ED380000}"/>
    <cellStyle name="Акцент2 149" xfId="14763" xr:uid="{00000000-0005-0000-0000-0000EE380000}"/>
    <cellStyle name="Акцент2 15" xfId="14764" xr:uid="{00000000-0005-0000-0000-0000EF380000}"/>
    <cellStyle name="Акцент2 150" xfId="14765" xr:uid="{00000000-0005-0000-0000-0000F0380000}"/>
    <cellStyle name="Акцент2 151" xfId="14766" xr:uid="{00000000-0005-0000-0000-0000F1380000}"/>
    <cellStyle name="Акцент2 152" xfId="14767" xr:uid="{00000000-0005-0000-0000-0000F2380000}"/>
    <cellStyle name="Акцент2 16" xfId="14768" xr:uid="{00000000-0005-0000-0000-0000F3380000}"/>
    <cellStyle name="Акцент2 17" xfId="14769" xr:uid="{00000000-0005-0000-0000-0000F4380000}"/>
    <cellStyle name="Акцент2 18" xfId="14770" xr:uid="{00000000-0005-0000-0000-0000F5380000}"/>
    <cellStyle name="Акцент2 19" xfId="14771" xr:uid="{00000000-0005-0000-0000-0000F6380000}"/>
    <cellStyle name="Акцент2 2" xfId="303" xr:uid="{00000000-0005-0000-0000-0000F7380000}"/>
    <cellStyle name="Акцент2 2 2" xfId="14772" xr:uid="{00000000-0005-0000-0000-0000F8380000}"/>
    <cellStyle name="Акцент2 2 3" xfId="14773" xr:uid="{00000000-0005-0000-0000-0000F9380000}"/>
    <cellStyle name="Акцент2 2 4" xfId="14774" xr:uid="{00000000-0005-0000-0000-0000FA380000}"/>
    <cellStyle name="Акцент2 2 5" xfId="14775" xr:uid="{00000000-0005-0000-0000-0000FB380000}"/>
    <cellStyle name="Акцент2 2 6" xfId="14776" xr:uid="{00000000-0005-0000-0000-0000FC380000}"/>
    <cellStyle name="Акцент2 2 7" xfId="14777" xr:uid="{00000000-0005-0000-0000-0000FD380000}"/>
    <cellStyle name="Акцент2 20" xfId="14778" xr:uid="{00000000-0005-0000-0000-0000FE380000}"/>
    <cellStyle name="Акцент2 20 2" xfId="14779" xr:uid="{00000000-0005-0000-0000-0000FF380000}"/>
    <cellStyle name="Акцент2 21" xfId="14780" xr:uid="{00000000-0005-0000-0000-000000390000}"/>
    <cellStyle name="Акцент2 22" xfId="14781" xr:uid="{00000000-0005-0000-0000-000001390000}"/>
    <cellStyle name="Акцент2 23" xfId="14782" xr:uid="{00000000-0005-0000-0000-000002390000}"/>
    <cellStyle name="Акцент2 24" xfId="14783" xr:uid="{00000000-0005-0000-0000-000003390000}"/>
    <cellStyle name="Акцент2 25" xfId="14784" xr:uid="{00000000-0005-0000-0000-000004390000}"/>
    <cellStyle name="Акцент2 26" xfId="14785" xr:uid="{00000000-0005-0000-0000-000005390000}"/>
    <cellStyle name="Акцент2 27" xfId="14786" xr:uid="{00000000-0005-0000-0000-000006390000}"/>
    <cellStyle name="Акцент2 28" xfId="14787" xr:uid="{00000000-0005-0000-0000-000007390000}"/>
    <cellStyle name="Акцент2 29" xfId="14788" xr:uid="{00000000-0005-0000-0000-000008390000}"/>
    <cellStyle name="Акцент2 3" xfId="14789" xr:uid="{00000000-0005-0000-0000-000009390000}"/>
    <cellStyle name="Акцент2 30" xfId="14790" xr:uid="{00000000-0005-0000-0000-00000A390000}"/>
    <cellStyle name="Акцент2 31" xfId="14791" xr:uid="{00000000-0005-0000-0000-00000B390000}"/>
    <cellStyle name="Акцент2 32" xfId="14792" xr:uid="{00000000-0005-0000-0000-00000C390000}"/>
    <cellStyle name="Акцент2 33" xfId="14793" xr:uid="{00000000-0005-0000-0000-00000D390000}"/>
    <cellStyle name="Акцент2 34" xfId="14794" xr:uid="{00000000-0005-0000-0000-00000E390000}"/>
    <cellStyle name="Акцент2 35" xfId="14795" xr:uid="{00000000-0005-0000-0000-00000F390000}"/>
    <cellStyle name="Акцент2 36" xfId="14796" xr:uid="{00000000-0005-0000-0000-000010390000}"/>
    <cellStyle name="Акцент2 37" xfId="14797" xr:uid="{00000000-0005-0000-0000-000011390000}"/>
    <cellStyle name="Акцент2 38" xfId="14798" xr:uid="{00000000-0005-0000-0000-000012390000}"/>
    <cellStyle name="Акцент2 39" xfId="14799" xr:uid="{00000000-0005-0000-0000-000013390000}"/>
    <cellStyle name="Акцент2 4" xfId="14800" xr:uid="{00000000-0005-0000-0000-000014390000}"/>
    <cellStyle name="Акцент2 40" xfId="14801" xr:uid="{00000000-0005-0000-0000-000015390000}"/>
    <cellStyle name="Акцент2 41" xfId="14802" xr:uid="{00000000-0005-0000-0000-000016390000}"/>
    <cellStyle name="Акцент2 42" xfId="14803" xr:uid="{00000000-0005-0000-0000-000017390000}"/>
    <cellStyle name="Акцент2 43" xfId="14804" xr:uid="{00000000-0005-0000-0000-000018390000}"/>
    <cellStyle name="Акцент2 44" xfId="14805" xr:uid="{00000000-0005-0000-0000-000019390000}"/>
    <cellStyle name="Акцент2 45" xfId="14806" xr:uid="{00000000-0005-0000-0000-00001A390000}"/>
    <cellStyle name="Акцент2 46" xfId="14807" xr:uid="{00000000-0005-0000-0000-00001B390000}"/>
    <cellStyle name="Акцент2 47" xfId="14808" xr:uid="{00000000-0005-0000-0000-00001C390000}"/>
    <cellStyle name="Акцент2 48" xfId="14809" xr:uid="{00000000-0005-0000-0000-00001D390000}"/>
    <cellStyle name="Акцент2 49" xfId="14810" xr:uid="{00000000-0005-0000-0000-00001E390000}"/>
    <cellStyle name="Акцент2 5" xfId="14811" xr:uid="{00000000-0005-0000-0000-00001F390000}"/>
    <cellStyle name="Акцент2 50" xfId="14812" xr:uid="{00000000-0005-0000-0000-000020390000}"/>
    <cellStyle name="Акцент2 51" xfId="14813" xr:uid="{00000000-0005-0000-0000-000021390000}"/>
    <cellStyle name="Акцент2 52" xfId="14814" xr:uid="{00000000-0005-0000-0000-000022390000}"/>
    <cellStyle name="Акцент2 53" xfId="14815" xr:uid="{00000000-0005-0000-0000-000023390000}"/>
    <cellStyle name="Акцент2 54" xfId="14816" xr:uid="{00000000-0005-0000-0000-000024390000}"/>
    <cellStyle name="Акцент2 55" xfId="14817" xr:uid="{00000000-0005-0000-0000-000025390000}"/>
    <cellStyle name="Акцент2 56" xfId="14818" xr:uid="{00000000-0005-0000-0000-000026390000}"/>
    <cellStyle name="Акцент2 57" xfId="14819" xr:uid="{00000000-0005-0000-0000-000027390000}"/>
    <cellStyle name="Акцент2 58" xfId="14820" xr:uid="{00000000-0005-0000-0000-000028390000}"/>
    <cellStyle name="Акцент2 59" xfId="14821" xr:uid="{00000000-0005-0000-0000-000029390000}"/>
    <cellStyle name="Акцент2 6" xfId="14822" xr:uid="{00000000-0005-0000-0000-00002A390000}"/>
    <cellStyle name="Акцент2 60" xfId="14823" xr:uid="{00000000-0005-0000-0000-00002B390000}"/>
    <cellStyle name="Акцент2 61" xfId="14824" xr:uid="{00000000-0005-0000-0000-00002C390000}"/>
    <cellStyle name="Акцент2 62" xfId="14825" xr:uid="{00000000-0005-0000-0000-00002D390000}"/>
    <cellStyle name="Акцент2 63" xfId="14826" xr:uid="{00000000-0005-0000-0000-00002E390000}"/>
    <cellStyle name="Акцент2 64" xfId="14827" xr:uid="{00000000-0005-0000-0000-00002F390000}"/>
    <cellStyle name="Акцент2 65" xfId="14828" xr:uid="{00000000-0005-0000-0000-000030390000}"/>
    <cellStyle name="Акцент2 66" xfId="14829" xr:uid="{00000000-0005-0000-0000-000031390000}"/>
    <cellStyle name="Акцент2 67" xfId="14830" xr:uid="{00000000-0005-0000-0000-000032390000}"/>
    <cellStyle name="Акцент2 68" xfId="14831" xr:uid="{00000000-0005-0000-0000-000033390000}"/>
    <cellStyle name="Акцент2 69" xfId="14832" xr:uid="{00000000-0005-0000-0000-000034390000}"/>
    <cellStyle name="Акцент2 7" xfId="14833" xr:uid="{00000000-0005-0000-0000-000035390000}"/>
    <cellStyle name="Акцент2 70" xfId="14834" xr:uid="{00000000-0005-0000-0000-000036390000}"/>
    <cellStyle name="Акцент2 71" xfId="14835" xr:uid="{00000000-0005-0000-0000-000037390000}"/>
    <cellStyle name="Акцент2 72" xfId="14836" xr:uid="{00000000-0005-0000-0000-000038390000}"/>
    <cellStyle name="Акцент2 73" xfId="14837" xr:uid="{00000000-0005-0000-0000-000039390000}"/>
    <cellStyle name="Акцент2 74" xfId="14838" xr:uid="{00000000-0005-0000-0000-00003A390000}"/>
    <cellStyle name="Акцент2 75" xfId="14839" xr:uid="{00000000-0005-0000-0000-00003B390000}"/>
    <cellStyle name="Акцент2 76" xfId="14840" xr:uid="{00000000-0005-0000-0000-00003C390000}"/>
    <cellStyle name="Акцент2 77" xfId="14841" xr:uid="{00000000-0005-0000-0000-00003D390000}"/>
    <cellStyle name="Акцент2 78" xfId="14842" xr:uid="{00000000-0005-0000-0000-00003E390000}"/>
    <cellStyle name="Акцент2 79" xfId="14843" xr:uid="{00000000-0005-0000-0000-00003F390000}"/>
    <cellStyle name="Акцент2 8" xfId="14844" xr:uid="{00000000-0005-0000-0000-000040390000}"/>
    <cellStyle name="Акцент2 80" xfId="14845" xr:uid="{00000000-0005-0000-0000-000041390000}"/>
    <cellStyle name="Акцент2 81" xfId="14846" xr:uid="{00000000-0005-0000-0000-000042390000}"/>
    <cellStyle name="Акцент2 82" xfId="14847" xr:uid="{00000000-0005-0000-0000-000043390000}"/>
    <cellStyle name="Акцент2 83" xfId="14848" xr:uid="{00000000-0005-0000-0000-000044390000}"/>
    <cellStyle name="Акцент2 84" xfId="14849" xr:uid="{00000000-0005-0000-0000-000045390000}"/>
    <cellStyle name="Акцент2 85" xfId="14850" xr:uid="{00000000-0005-0000-0000-000046390000}"/>
    <cellStyle name="Акцент2 86" xfId="14851" xr:uid="{00000000-0005-0000-0000-000047390000}"/>
    <cellStyle name="Акцент2 87" xfId="14852" xr:uid="{00000000-0005-0000-0000-000048390000}"/>
    <cellStyle name="Акцент2 88" xfId="14853" xr:uid="{00000000-0005-0000-0000-000049390000}"/>
    <cellStyle name="Акцент2 89" xfId="14854" xr:uid="{00000000-0005-0000-0000-00004A390000}"/>
    <cellStyle name="Акцент2 9" xfId="14855" xr:uid="{00000000-0005-0000-0000-00004B390000}"/>
    <cellStyle name="Акцент2 90" xfId="14856" xr:uid="{00000000-0005-0000-0000-00004C390000}"/>
    <cellStyle name="Акцент2 91" xfId="14857" xr:uid="{00000000-0005-0000-0000-00004D390000}"/>
    <cellStyle name="Акцент2 92" xfId="14858" xr:uid="{00000000-0005-0000-0000-00004E390000}"/>
    <cellStyle name="Акцент2 93" xfId="14859" xr:uid="{00000000-0005-0000-0000-00004F390000}"/>
    <cellStyle name="Акцент2 94" xfId="14860" xr:uid="{00000000-0005-0000-0000-000050390000}"/>
    <cellStyle name="Акцент2 95" xfId="14861" xr:uid="{00000000-0005-0000-0000-000051390000}"/>
    <cellStyle name="Акцент2 96" xfId="14862" xr:uid="{00000000-0005-0000-0000-000052390000}"/>
    <cellStyle name="Акцент2 97" xfId="14863" xr:uid="{00000000-0005-0000-0000-000053390000}"/>
    <cellStyle name="Акцент2 98" xfId="14864" xr:uid="{00000000-0005-0000-0000-000054390000}"/>
    <cellStyle name="Акцент2 99" xfId="14865" xr:uid="{00000000-0005-0000-0000-000055390000}"/>
    <cellStyle name="Акцент3 10" xfId="14866" xr:uid="{00000000-0005-0000-0000-000056390000}"/>
    <cellStyle name="Акцент3 100" xfId="14867" xr:uid="{00000000-0005-0000-0000-000057390000}"/>
    <cellStyle name="Акцент3 101" xfId="14868" xr:uid="{00000000-0005-0000-0000-000058390000}"/>
    <cellStyle name="Акцент3 102" xfId="14869" xr:uid="{00000000-0005-0000-0000-000059390000}"/>
    <cellStyle name="Акцент3 103" xfId="14870" xr:uid="{00000000-0005-0000-0000-00005A390000}"/>
    <cellStyle name="Акцент3 104" xfId="14871" xr:uid="{00000000-0005-0000-0000-00005B390000}"/>
    <cellStyle name="Акцент3 105" xfId="14872" xr:uid="{00000000-0005-0000-0000-00005C390000}"/>
    <cellStyle name="Акцент3 106" xfId="14873" xr:uid="{00000000-0005-0000-0000-00005D390000}"/>
    <cellStyle name="Акцент3 107" xfId="14874" xr:uid="{00000000-0005-0000-0000-00005E390000}"/>
    <cellStyle name="Акцент3 108" xfId="14875" xr:uid="{00000000-0005-0000-0000-00005F390000}"/>
    <cellStyle name="Акцент3 109" xfId="14876" xr:uid="{00000000-0005-0000-0000-000060390000}"/>
    <cellStyle name="Акцент3 11" xfId="14877" xr:uid="{00000000-0005-0000-0000-000061390000}"/>
    <cellStyle name="Акцент3 110" xfId="14878" xr:uid="{00000000-0005-0000-0000-000062390000}"/>
    <cellStyle name="Акцент3 111" xfId="14879" xr:uid="{00000000-0005-0000-0000-000063390000}"/>
    <cellStyle name="Акцент3 112" xfId="14880" xr:uid="{00000000-0005-0000-0000-000064390000}"/>
    <cellStyle name="Акцент3 113" xfId="14881" xr:uid="{00000000-0005-0000-0000-000065390000}"/>
    <cellStyle name="Акцент3 114" xfId="14882" xr:uid="{00000000-0005-0000-0000-000066390000}"/>
    <cellStyle name="Акцент3 115" xfId="14883" xr:uid="{00000000-0005-0000-0000-000067390000}"/>
    <cellStyle name="Акцент3 116" xfId="14884" xr:uid="{00000000-0005-0000-0000-000068390000}"/>
    <cellStyle name="Акцент3 117" xfId="14885" xr:uid="{00000000-0005-0000-0000-000069390000}"/>
    <cellStyle name="Акцент3 118" xfId="14886" xr:uid="{00000000-0005-0000-0000-00006A390000}"/>
    <cellStyle name="Акцент3 119" xfId="14887" xr:uid="{00000000-0005-0000-0000-00006B390000}"/>
    <cellStyle name="Акцент3 12" xfId="14888" xr:uid="{00000000-0005-0000-0000-00006C390000}"/>
    <cellStyle name="Акцент3 120" xfId="14889" xr:uid="{00000000-0005-0000-0000-00006D390000}"/>
    <cellStyle name="Акцент3 121" xfId="14890" xr:uid="{00000000-0005-0000-0000-00006E390000}"/>
    <cellStyle name="Акцент3 122" xfId="14891" xr:uid="{00000000-0005-0000-0000-00006F390000}"/>
    <cellStyle name="Акцент3 123" xfId="14892" xr:uid="{00000000-0005-0000-0000-000070390000}"/>
    <cellStyle name="Акцент3 124" xfId="14893" xr:uid="{00000000-0005-0000-0000-000071390000}"/>
    <cellStyle name="Акцент3 125" xfId="14894" xr:uid="{00000000-0005-0000-0000-000072390000}"/>
    <cellStyle name="Акцент3 126" xfId="14895" xr:uid="{00000000-0005-0000-0000-000073390000}"/>
    <cellStyle name="Акцент3 127" xfId="14896" xr:uid="{00000000-0005-0000-0000-000074390000}"/>
    <cellStyle name="Акцент3 128" xfId="14897" xr:uid="{00000000-0005-0000-0000-000075390000}"/>
    <cellStyle name="Акцент3 129" xfId="14898" xr:uid="{00000000-0005-0000-0000-000076390000}"/>
    <cellStyle name="Акцент3 13" xfId="14899" xr:uid="{00000000-0005-0000-0000-000077390000}"/>
    <cellStyle name="Акцент3 130" xfId="14900" xr:uid="{00000000-0005-0000-0000-000078390000}"/>
    <cellStyle name="Акцент3 131" xfId="14901" xr:uid="{00000000-0005-0000-0000-000079390000}"/>
    <cellStyle name="Акцент3 132" xfId="14902" xr:uid="{00000000-0005-0000-0000-00007A390000}"/>
    <cellStyle name="Акцент3 133" xfId="14903" xr:uid="{00000000-0005-0000-0000-00007B390000}"/>
    <cellStyle name="Акцент3 134" xfId="14904" xr:uid="{00000000-0005-0000-0000-00007C390000}"/>
    <cellStyle name="Акцент3 135" xfId="14905" xr:uid="{00000000-0005-0000-0000-00007D390000}"/>
    <cellStyle name="Акцент3 136" xfId="14906" xr:uid="{00000000-0005-0000-0000-00007E390000}"/>
    <cellStyle name="Акцент3 137" xfId="14907" xr:uid="{00000000-0005-0000-0000-00007F390000}"/>
    <cellStyle name="Акцент3 138" xfId="14908" xr:uid="{00000000-0005-0000-0000-000080390000}"/>
    <cellStyle name="Акцент3 139" xfId="14909" xr:uid="{00000000-0005-0000-0000-000081390000}"/>
    <cellStyle name="Акцент3 14" xfId="14910" xr:uid="{00000000-0005-0000-0000-000082390000}"/>
    <cellStyle name="Акцент3 140" xfId="14911" xr:uid="{00000000-0005-0000-0000-000083390000}"/>
    <cellStyle name="Акцент3 141" xfId="14912" xr:uid="{00000000-0005-0000-0000-000084390000}"/>
    <cellStyle name="Акцент3 142" xfId="14913" xr:uid="{00000000-0005-0000-0000-000085390000}"/>
    <cellStyle name="Акцент3 143" xfId="14914" xr:uid="{00000000-0005-0000-0000-000086390000}"/>
    <cellStyle name="Акцент3 144" xfId="14915" xr:uid="{00000000-0005-0000-0000-000087390000}"/>
    <cellStyle name="Акцент3 145" xfId="14916" xr:uid="{00000000-0005-0000-0000-000088390000}"/>
    <cellStyle name="Акцент3 146" xfId="14917" xr:uid="{00000000-0005-0000-0000-000089390000}"/>
    <cellStyle name="Акцент3 147" xfId="14918" xr:uid="{00000000-0005-0000-0000-00008A390000}"/>
    <cellStyle name="Акцент3 148" xfId="14919" xr:uid="{00000000-0005-0000-0000-00008B390000}"/>
    <cellStyle name="Акцент3 149" xfId="14920" xr:uid="{00000000-0005-0000-0000-00008C390000}"/>
    <cellStyle name="Акцент3 15" xfId="14921" xr:uid="{00000000-0005-0000-0000-00008D390000}"/>
    <cellStyle name="Акцент3 150" xfId="14922" xr:uid="{00000000-0005-0000-0000-00008E390000}"/>
    <cellStyle name="Акцент3 151" xfId="14923" xr:uid="{00000000-0005-0000-0000-00008F390000}"/>
    <cellStyle name="Акцент3 152" xfId="14924" xr:uid="{00000000-0005-0000-0000-000090390000}"/>
    <cellStyle name="Акцент3 16" xfId="14925" xr:uid="{00000000-0005-0000-0000-000091390000}"/>
    <cellStyle name="Акцент3 17" xfId="14926" xr:uid="{00000000-0005-0000-0000-000092390000}"/>
    <cellStyle name="Акцент3 18" xfId="14927" xr:uid="{00000000-0005-0000-0000-000093390000}"/>
    <cellStyle name="Акцент3 19" xfId="14928" xr:uid="{00000000-0005-0000-0000-000094390000}"/>
    <cellStyle name="Акцент3 2" xfId="304" xr:uid="{00000000-0005-0000-0000-000095390000}"/>
    <cellStyle name="Акцент3 2 2" xfId="14929" xr:uid="{00000000-0005-0000-0000-000096390000}"/>
    <cellStyle name="Акцент3 2 3" xfId="14930" xr:uid="{00000000-0005-0000-0000-000097390000}"/>
    <cellStyle name="Акцент3 2 4" xfId="14931" xr:uid="{00000000-0005-0000-0000-000098390000}"/>
    <cellStyle name="Акцент3 2 5" xfId="14932" xr:uid="{00000000-0005-0000-0000-000099390000}"/>
    <cellStyle name="Акцент3 2 6" xfId="14933" xr:uid="{00000000-0005-0000-0000-00009A390000}"/>
    <cellStyle name="Акцент3 2 7" xfId="14934" xr:uid="{00000000-0005-0000-0000-00009B390000}"/>
    <cellStyle name="Акцент3 20" xfId="14935" xr:uid="{00000000-0005-0000-0000-00009C390000}"/>
    <cellStyle name="Акцент3 20 2" xfId="14936" xr:uid="{00000000-0005-0000-0000-00009D390000}"/>
    <cellStyle name="Акцент3 21" xfId="14937" xr:uid="{00000000-0005-0000-0000-00009E390000}"/>
    <cellStyle name="Акцент3 22" xfId="14938" xr:uid="{00000000-0005-0000-0000-00009F390000}"/>
    <cellStyle name="Акцент3 23" xfId="14939" xr:uid="{00000000-0005-0000-0000-0000A0390000}"/>
    <cellStyle name="Акцент3 24" xfId="14940" xr:uid="{00000000-0005-0000-0000-0000A1390000}"/>
    <cellStyle name="Акцент3 25" xfId="14941" xr:uid="{00000000-0005-0000-0000-0000A2390000}"/>
    <cellStyle name="Акцент3 26" xfId="14942" xr:uid="{00000000-0005-0000-0000-0000A3390000}"/>
    <cellStyle name="Акцент3 27" xfId="14943" xr:uid="{00000000-0005-0000-0000-0000A4390000}"/>
    <cellStyle name="Акцент3 28" xfId="14944" xr:uid="{00000000-0005-0000-0000-0000A5390000}"/>
    <cellStyle name="Акцент3 29" xfId="14945" xr:uid="{00000000-0005-0000-0000-0000A6390000}"/>
    <cellStyle name="Акцент3 3" xfId="14946" xr:uid="{00000000-0005-0000-0000-0000A7390000}"/>
    <cellStyle name="Акцент3 30" xfId="14947" xr:uid="{00000000-0005-0000-0000-0000A8390000}"/>
    <cellStyle name="Акцент3 31" xfId="14948" xr:uid="{00000000-0005-0000-0000-0000A9390000}"/>
    <cellStyle name="Акцент3 32" xfId="14949" xr:uid="{00000000-0005-0000-0000-0000AA390000}"/>
    <cellStyle name="Акцент3 33" xfId="14950" xr:uid="{00000000-0005-0000-0000-0000AB390000}"/>
    <cellStyle name="Акцент3 34" xfId="14951" xr:uid="{00000000-0005-0000-0000-0000AC390000}"/>
    <cellStyle name="Акцент3 35" xfId="14952" xr:uid="{00000000-0005-0000-0000-0000AD390000}"/>
    <cellStyle name="Акцент3 36" xfId="14953" xr:uid="{00000000-0005-0000-0000-0000AE390000}"/>
    <cellStyle name="Акцент3 37" xfId="14954" xr:uid="{00000000-0005-0000-0000-0000AF390000}"/>
    <cellStyle name="Акцент3 38" xfId="14955" xr:uid="{00000000-0005-0000-0000-0000B0390000}"/>
    <cellStyle name="Акцент3 39" xfId="14956" xr:uid="{00000000-0005-0000-0000-0000B1390000}"/>
    <cellStyle name="Акцент3 4" xfId="14957" xr:uid="{00000000-0005-0000-0000-0000B2390000}"/>
    <cellStyle name="Акцент3 40" xfId="14958" xr:uid="{00000000-0005-0000-0000-0000B3390000}"/>
    <cellStyle name="Акцент3 41" xfId="14959" xr:uid="{00000000-0005-0000-0000-0000B4390000}"/>
    <cellStyle name="Акцент3 42" xfId="14960" xr:uid="{00000000-0005-0000-0000-0000B5390000}"/>
    <cellStyle name="Акцент3 43" xfId="14961" xr:uid="{00000000-0005-0000-0000-0000B6390000}"/>
    <cellStyle name="Акцент3 44" xfId="14962" xr:uid="{00000000-0005-0000-0000-0000B7390000}"/>
    <cellStyle name="Акцент3 45" xfId="14963" xr:uid="{00000000-0005-0000-0000-0000B8390000}"/>
    <cellStyle name="Акцент3 46" xfId="14964" xr:uid="{00000000-0005-0000-0000-0000B9390000}"/>
    <cellStyle name="Акцент3 47" xfId="14965" xr:uid="{00000000-0005-0000-0000-0000BA390000}"/>
    <cellStyle name="Акцент3 48" xfId="14966" xr:uid="{00000000-0005-0000-0000-0000BB390000}"/>
    <cellStyle name="Акцент3 49" xfId="14967" xr:uid="{00000000-0005-0000-0000-0000BC390000}"/>
    <cellStyle name="Акцент3 5" xfId="14968" xr:uid="{00000000-0005-0000-0000-0000BD390000}"/>
    <cellStyle name="Акцент3 50" xfId="14969" xr:uid="{00000000-0005-0000-0000-0000BE390000}"/>
    <cellStyle name="Акцент3 51" xfId="14970" xr:uid="{00000000-0005-0000-0000-0000BF390000}"/>
    <cellStyle name="Акцент3 52" xfId="14971" xr:uid="{00000000-0005-0000-0000-0000C0390000}"/>
    <cellStyle name="Акцент3 53" xfId="14972" xr:uid="{00000000-0005-0000-0000-0000C1390000}"/>
    <cellStyle name="Акцент3 54" xfId="14973" xr:uid="{00000000-0005-0000-0000-0000C2390000}"/>
    <cellStyle name="Акцент3 55" xfId="14974" xr:uid="{00000000-0005-0000-0000-0000C3390000}"/>
    <cellStyle name="Акцент3 56" xfId="14975" xr:uid="{00000000-0005-0000-0000-0000C4390000}"/>
    <cellStyle name="Акцент3 57" xfId="14976" xr:uid="{00000000-0005-0000-0000-0000C5390000}"/>
    <cellStyle name="Акцент3 58" xfId="14977" xr:uid="{00000000-0005-0000-0000-0000C6390000}"/>
    <cellStyle name="Акцент3 59" xfId="14978" xr:uid="{00000000-0005-0000-0000-0000C7390000}"/>
    <cellStyle name="Акцент3 6" xfId="14979" xr:uid="{00000000-0005-0000-0000-0000C8390000}"/>
    <cellStyle name="Акцент3 60" xfId="14980" xr:uid="{00000000-0005-0000-0000-0000C9390000}"/>
    <cellStyle name="Акцент3 61" xfId="14981" xr:uid="{00000000-0005-0000-0000-0000CA390000}"/>
    <cellStyle name="Акцент3 62" xfId="14982" xr:uid="{00000000-0005-0000-0000-0000CB390000}"/>
    <cellStyle name="Акцент3 63" xfId="14983" xr:uid="{00000000-0005-0000-0000-0000CC390000}"/>
    <cellStyle name="Акцент3 64" xfId="14984" xr:uid="{00000000-0005-0000-0000-0000CD390000}"/>
    <cellStyle name="Акцент3 65" xfId="14985" xr:uid="{00000000-0005-0000-0000-0000CE390000}"/>
    <cellStyle name="Акцент3 66" xfId="14986" xr:uid="{00000000-0005-0000-0000-0000CF390000}"/>
    <cellStyle name="Акцент3 67" xfId="14987" xr:uid="{00000000-0005-0000-0000-0000D0390000}"/>
    <cellStyle name="Акцент3 68" xfId="14988" xr:uid="{00000000-0005-0000-0000-0000D1390000}"/>
    <cellStyle name="Акцент3 69" xfId="14989" xr:uid="{00000000-0005-0000-0000-0000D2390000}"/>
    <cellStyle name="Акцент3 7" xfId="14990" xr:uid="{00000000-0005-0000-0000-0000D3390000}"/>
    <cellStyle name="Акцент3 70" xfId="14991" xr:uid="{00000000-0005-0000-0000-0000D4390000}"/>
    <cellStyle name="Акцент3 71" xfId="14992" xr:uid="{00000000-0005-0000-0000-0000D5390000}"/>
    <cellStyle name="Акцент3 72" xfId="14993" xr:uid="{00000000-0005-0000-0000-0000D6390000}"/>
    <cellStyle name="Акцент3 73" xfId="14994" xr:uid="{00000000-0005-0000-0000-0000D7390000}"/>
    <cellStyle name="Акцент3 74" xfId="14995" xr:uid="{00000000-0005-0000-0000-0000D8390000}"/>
    <cellStyle name="Акцент3 75" xfId="14996" xr:uid="{00000000-0005-0000-0000-0000D9390000}"/>
    <cellStyle name="Акцент3 76" xfId="14997" xr:uid="{00000000-0005-0000-0000-0000DA390000}"/>
    <cellStyle name="Акцент3 77" xfId="14998" xr:uid="{00000000-0005-0000-0000-0000DB390000}"/>
    <cellStyle name="Акцент3 78" xfId="14999" xr:uid="{00000000-0005-0000-0000-0000DC390000}"/>
    <cellStyle name="Акцент3 79" xfId="15000" xr:uid="{00000000-0005-0000-0000-0000DD390000}"/>
    <cellStyle name="Акцент3 8" xfId="15001" xr:uid="{00000000-0005-0000-0000-0000DE390000}"/>
    <cellStyle name="Акцент3 80" xfId="15002" xr:uid="{00000000-0005-0000-0000-0000DF390000}"/>
    <cellStyle name="Акцент3 81" xfId="15003" xr:uid="{00000000-0005-0000-0000-0000E0390000}"/>
    <cellStyle name="Акцент3 82" xfId="15004" xr:uid="{00000000-0005-0000-0000-0000E1390000}"/>
    <cellStyle name="Акцент3 83" xfId="15005" xr:uid="{00000000-0005-0000-0000-0000E2390000}"/>
    <cellStyle name="Акцент3 84" xfId="15006" xr:uid="{00000000-0005-0000-0000-0000E3390000}"/>
    <cellStyle name="Акцент3 85" xfId="15007" xr:uid="{00000000-0005-0000-0000-0000E4390000}"/>
    <cellStyle name="Акцент3 86" xfId="15008" xr:uid="{00000000-0005-0000-0000-0000E5390000}"/>
    <cellStyle name="Акцент3 87" xfId="15009" xr:uid="{00000000-0005-0000-0000-0000E6390000}"/>
    <cellStyle name="Акцент3 88" xfId="15010" xr:uid="{00000000-0005-0000-0000-0000E7390000}"/>
    <cellStyle name="Акцент3 89" xfId="15011" xr:uid="{00000000-0005-0000-0000-0000E8390000}"/>
    <cellStyle name="Акцент3 9" xfId="15012" xr:uid="{00000000-0005-0000-0000-0000E9390000}"/>
    <cellStyle name="Акцент3 90" xfId="15013" xr:uid="{00000000-0005-0000-0000-0000EA390000}"/>
    <cellStyle name="Акцент3 91" xfId="15014" xr:uid="{00000000-0005-0000-0000-0000EB390000}"/>
    <cellStyle name="Акцент3 92" xfId="15015" xr:uid="{00000000-0005-0000-0000-0000EC390000}"/>
    <cellStyle name="Акцент3 93" xfId="15016" xr:uid="{00000000-0005-0000-0000-0000ED390000}"/>
    <cellStyle name="Акцент3 94" xfId="15017" xr:uid="{00000000-0005-0000-0000-0000EE390000}"/>
    <cellStyle name="Акцент3 95" xfId="15018" xr:uid="{00000000-0005-0000-0000-0000EF390000}"/>
    <cellStyle name="Акцент3 96" xfId="15019" xr:uid="{00000000-0005-0000-0000-0000F0390000}"/>
    <cellStyle name="Акцент3 97" xfId="15020" xr:uid="{00000000-0005-0000-0000-0000F1390000}"/>
    <cellStyle name="Акцент3 98" xfId="15021" xr:uid="{00000000-0005-0000-0000-0000F2390000}"/>
    <cellStyle name="Акцент3 99" xfId="15022" xr:uid="{00000000-0005-0000-0000-0000F3390000}"/>
    <cellStyle name="Акцент4 10" xfId="15023" xr:uid="{00000000-0005-0000-0000-0000F4390000}"/>
    <cellStyle name="Акцент4 100" xfId="15024" xr:uid="{00000000-0005-0000-0000-0000F5390000}"/>
    <cellStyle name="Акцент4 101" xfId="15025" xr:uid="{00000000-0005-0000-0000-0000F6390000}"/>
    <cellStyle name="Акцент4 102" xfId="15026" xr:uid="{00000000-0005-0000-0000-0000F7390000}"/>
    <cellStyle name="Акцент4 103" xfId="15027" xr:uid="{00000000-0005-0000-0000-0000F8390000}"/>
    <cellStyle name="Акцент4 104" xfId="15028" xr:uid="{00000000-0005-0000-0000-0000F9390000}"/>
    <cellStyle name="Акцент4 105" xfId="15029" xr:uid="{00000000-0005-0000-0000-0000FA390000}"/>
    <cellStyle name="Акцент4 106" xfId="15030" xr:uid="{00000000-0005-0000-0000-0000FB390000}"/>
    <cellStyle name="Акцент4 107" xfId="15031" xr:uid="{00000000-0005-0000-0000-0000FC390000}"/>
    <cellStyle name="Акцент4 108" xfId="15032" xr:uid="{00000000-0005-0000-0000-0000FD390000}"/>
    <cellStyle name="Акцент4 109" xfId="15033" xr:uid="{00000000-0005-0000-0000-0000FE390000}"/>
    <cellStyle name="Акцент4 11" xfId="15034" xr:uid="{00000000-0005-0000-0000-0000FF390000}"/>
    <cellStyle name="Акцент4 110" xfId="15035" xr:uid="{00000000-0005-0000-0000-0000003A0000}"/>
    <cellStyle name="Акцент4 111" xfId="15036" xr:uid="{00000000-0005-0000-0000-0000013A0000}"/>
    <cellStyle name="Акцент4 112" xfId="15037" xr:uid="{00000000-0005-0000-0000-0000023A0000}"/>
    <cellStyle name="Акцент4 113" xfId="15038" xr:uid="{00000000-0005-0000-0000-0000033A0000}"/>
    <cellStyle name="Акцент4 114" xfId="15039" xr:uid="{00000000-0005-0000-0000-0000043A0000}"/>
    <cellStyle name="Акцент4 115" xfId="15040" xr:uid="{00000000-0005-0000-0000-0000053A0000}"/>
    <cellStyle name="Акцент4 116" xfId="15041" xr:uid="{00000000-0005-0000-0000-0000063A0000}"/>
    <cellStyle name="Акцент4 117" xfId="15042" xr:uid="{00000000-0005-0000-0000-0000073A0000}"/>
    <cellStyle name="Акцент4 118" xfId="15043" xr:uid="{00000000-0005-0000-0000-0000083A0000}"/>
    <cellStyle name="Акцент4 119" xfId="15044" xr:uid="{00000000-0005-0000-0000-0000093A0000}"/>
    <cellStyle name="Акцент4 12" xfId="15045" xr:uid="{00000000-0005-0000-0000-00000A3A0000}"/>
    <cellStyle name="Акцент4 120" xfId="15046" xr:uid="{00000000-0005-0000-0000-00000B3A0000}"/>
    <cellStyle name="Акцент4 121" xfId="15047" xr:uid="{00000000-0005-0000-0000-00000C3A0000}"/>
    <cellStyle name="Акцент4 122" xfId="15048" xr:uid="{00000000-0005-0000-0000-00000D3A0000}"/>
    <cellStyle name="Акцент4 123" xfId="15049" xr:uid="{00000000-0005-0000-0000-00000E3A0000}"/>
    <cellStyle name="Акцент4 124" xfId="15050" xr:uid="{00000000-0005-0000-0000-00000F3A0000}"/>
    <cellStyle name="Акцент4 125" xfId="15051" xr:uid="{00000000-0005-0000-0000-0000103A0000}"/>
    <cellStyle name="Акцент4 126" xfId="15052" xr:uid="{00000000-0005-0000-0000-0000113A0000}"/>
    <cellStyle name="Акцент4 127" xfId="15053" xr:uid="{00000000-0005-0000-0000-0000123A0000}"/>
    <cellStyle name="Акцент4 128" xfId="15054" xr:uid="{00000000-0005-0000-0000-0000133A0000}"/>
    <cellStyle name="Акцент4 129" xfId="15055" xr:uid="{00000000-0005-0000-0000-0000143A0000}"/>
    <cellStyle name="Акцент4 13" xfId="15056" xr:uid="{00000000-0005-0000-0000-0000153A0000}"/>
    <cellStyle name="Акцент4 130" xfId="15057" xr:uid="{00000000-0005-0000-0000-0000163A0000}"/>
    <cellStyle name="Акцент4 131" xfId="15058" xr:uid="{00000000-0005-0000-0000-0000173A0000}"/>
    <cellStyle name="Акцент4 132" xfId="15059" xr:uid="{00000000-0005-0000-0000-0000183A0000}"/>
    <cellStyle name="Акцент4 133" xfId="15060" xr:uid="{00000000-0005-0000-0000-0000193A0000}"/>
    <cellStyle name="Акцент4 134" xfId="15061" xr:uid="{00000000-0005-0000-0000-00001A3A0000}"/>
    <cellStyle name="Акцент4 135" xfId="15062" xr:uid="{00000000-0005-0000-0000-00001B3A0000}"/>
    <cellStyle name="Акцент4 136" xfId="15063" xr:uid="{00000000-0005-0000-0000-00001C3A0000}"/>
    <cellStyle name="Акцент4 137" xfId="15064" xr:uid="{00000000-0005-0000-0000-00001D3A0000}"/>
    <cellStyle name="Акцент4 138" xfId="15065" xr:uid="{00000000-0005-0000-0000-00001E3A0000}"/>
    <cellStyle name="Акцент4 139" xfId="15066" xr:uid="{00000000-0005-0000-0000-00001F3A0000}"/>
    <cellStyle name="Акцент4 14" xfId="15067" xr:uid="{00000000-0005-0000-0000-0000203A0000}"/>
    <cellStyle name="Акцент4 140" xfId="15068" xr:uid="{00000000-0005-0000-0000-0000213A0000}"/>
    <cellStyle name="Акцент4 141" xfId="15069" xr:uid="{00000000-0005-0000-0000-0000223A0000}"/>
    <cellStyle name="Акцент4 142" xfId="15070" xr:uid="{00000000-0005-0000-0000-0000233A0000}"/>
    <cellStyle name="Акцент4 143" xfId="15071" xr:uid="{00000000-0005-0000-0000-0000243A0000}"/>
    <cellStyle name="Акцент4 144" xfId="15072" xr:uid="{00000000-0005-0000-0000-0000253A0000}"/>
    <cellStyle name="Акцент4 145" xfId="15073" xr:uid="{00000000-0005-0000-0000-0000263A0000}"/>
    <cellStyle name="Акцент4 146" xfId="15074" xr:uid="{00000000-0005-0000-0000-0000273A0000}"/>
    <cellStyle name="Акцент4 147" xfId="15075" xr:uid="{00000000-0005-0000-0000-0000283A0000}"/>
    <cellStyle name="Акцент4 148" xfId="15076" xr:uid="{00000000-0005-0000-0000-0000293A0000}"/>
    <cellStyle name="Акцент4 149" xfId="15077" xr:uid="{00000000-0005-0000-0000-00002A3A0000}"/>
    <cellStyle name="Акцент4 15" xfId="15078" xr:uid="{00000000-0005-0000-0000-00002B3A0000}"/>
    <cellStyle name="Акцент4 150" xfId="15079" xr:uid="{00000000-0005-0000-0000-00002C3A0000}"/>
    <cellStyle name="Акцент4 151" xfId="15080" xr:uid="{00000000-0005-0000-0000-00002D3A0000}"/>
    <cellStyle name="Акцент4 152" xfId="15081" xr:uid="{00000000-0005-0000-0000-00002E3A0000}"/>
    <cellStyle name="Акцент4 16" xfId="15082" xr:uid="{00000000-0005-0000-0000-00002F3A0000}"/>
    <cellStyle name="Акцент4 17" xfId="15083" xr:uid="{00000000-0005-0000-0000-0000303A0000}"/>
    <cellStyle name="Акцент4 18" xfId="15084" xr:uid="{00000000-0005-0000-0000-0000313A0000}"/>
    <cellStyle name="Акцент4 19" xfId="15085" xr:uid="{00000000-0005-0000-0000-0000323A0000}"/>
    <cellStyle name="Акцент4 2" xfId="305" xr:uid="{00000000-0005-0000-0000-0000333A0000}"/>
    <cellStyle name="Акцент4 2 2" xfId="15086" xr:uid="{00000000-0005-0000-0000-0000343A0000}"/>
    <cellStyle name="Акцент4 2 3" xfId="15087" xr:uid="{00000000-0005-0000-0000-0000353A0000}"/>
    <cellStyle name="Акцент4 2 4" xfId="15088" xr:uid="{00000000-0005-0000-0000-0000363A0000}"/>
    <cellStyle name="Акцент4 2 5" xfId="15089" xr:uid="{00000000-0005-0000-0000-0000373A0000}"/>
    <cellStyle name="Акцент4 2 6" xfId="15090" xr:uid="{00000000-0005-0000-0000-0000383A0000}"/>
    <cellStyle name="Акцент4 2 7" xfId="15091" xr:uid="{00000000-0005-0000-0000-0000393A0000}"/>
    <cellStyle name="Акцент4 20" xfId="15092" xr:uid="{00000000-0005-0000-0000-00003A3A0000}"/>
    <cellStyle name="Акцент4 20 2" xfId="15093" xr:uid="{00000000-0005-0000-0000-00003B3A0000}"/>
    <cellStyle name="Акцент4 21" xfId="15094" xr:uid="{00000000-0005-0000-0000-00003C3A0000}"/>
    <cellStyle name="Акцент4 22" xfId="15095" xr:uid="{00000000-0005-0000-0000-00003D3A0000}"/>
    <cellStyle name="Акцент4 23" xfId="15096" xr:uid="{00000000-0005-0000-0000-00003E3A0000}"/>
    <cellStyle name="Акцент4 24" xfId="15097" xr:uid="{00000000-0005-0000-0000-00003F3A0000}"/>
    <cellStyle name="Акцент4 25" xfId="15098" xr:uid="{00000000-0005-0000-0000-0000403A0000}"/>
    <cellStyle name="Акцент4 26" xfId="15099" xr:uid="{00000000-0005-0000-0000-0000413A0000}"/>
    <cellStyle name="Акцент4 27" xfId="15100" xr:uid="{00000000-0005-0000-0000-0000423A0000}"/>
    <cellStyle name="Акцент4 28" xfId="15101" xr:uid="{00000000-0005-0000-0000-0000433A0000}"/>
    <cellStyle name="Акцент4 29" xfId="15102" xr:uid="{00000000-0005-0000-0000-0000443A0000}"/>
    <cellStyle name="Акцент4 3" xfId="15103" xr:uid="{00000000-0005-0000-0000-0000453A0000}"/>
    <cellStyle name="Акцент4 30" xfId="15104" xr:uid="{00000000-0005-0000-0000-0000463A0000}"/>
    <cellStyle name="Акцент4 31" xfId="15105" xr:uid="{00000000-0005-0000-0000-0000473A0000}"/>
    <cellStyle name="Акцент4 32" xfId="15106" xr:uid="{00000000-0005-0000-0000-0000483A0000}"/>
    <cellStyle name="Акцент4 33" xfId="15107" xr:uid="{00000000-0005-0000-0000-0000493A0000}"/>
    <cellStyle name="Акцент4 34" xfId="15108" xr:uid="{00000000-0005-0000-0000-00004A3A0000}"/>
    <cellStyle name="Акцент4 35" xfId="15109" xr:uid="{00000000-0005-0000-0000-00004B3A0000}"/>
    <cellStyle name="Акцент4 36" xfId="15110" xr:uid="{00000000-0005-0000-0000-00004C3A0000}"/>
    <cellStyle name="Акцент4 37" xfId="15111" xr:uid="{00000000-0005-0000-0000-00004D3A0000}"/>
    <cellStyle name="Акцент4 38" xfId="15112" xr:uid="{00000000-0005-0000-0000-00004E3A0000}"/>
    <cellStyle name="Акцент4 39" xfId="15113" xr:uid="{00000000-0005-0000-0000-00004F3A0000}"/>
    <cellStyle name="Акцент4 4" xfId="15114" xr:uid="{00000000-0005-0000-0000-0000503A0000}"/>
    <cellStyle name="Акцент4 40" xfId="15115" xr:uid="{00000000-0005-0000-0000-0000513A0000}"/>
    <cellStyle name="Акцент4 41" xfId="15116" xr:uid="{00000000-0005-0000-0000-0000523A0000}"/>
    <cellStyle name="Акцент4 42" xfId="15117" xr:uid="{00000000-0005-0000-0000-0000533A0000}"/>
    <cellStyle name="Акцент4 43" xfId="15118" xr:uid="{00000000-0005-0000-0000-0000543A0000}"/>
    <cellStyle name="Акцент4 44" xfId="15119" xr:uid="{00000000-0005-0000-0000-0000553A0000}"/>
    <cellStyle name="Акцент4 45" xfId="15120" xr:uid="{00000000-0005-0000-0000-0000563A0000}"/>
    <cellStyle name="Акцент4 46" xfId="15121" xr:uid="{00000000-0005-0000-0000-0000573A0000}"/>
    <cellStyle name="Акцент4 47" xfId="15122" xr:uid="{00000000-0005-0000-0000-0000583A0000}"/>
    <cellStyle name="Акцент4 48" xfId="15123" xr:uid="{00000000-0005-0000-0000-0000593A0000}"/>
    <cellStyle name="Акцент4 49" xfId="15124" xr:uid="{00000000-0005-0000-0000-00005A3A0000}"/>
    <cellStyle name="Акцент4 5" xfId="15125" xr:uid="{00000000-0005-0000-0000-00005B3A0000}"/>
    <cellStyle name="Акцент4 50" xfId="15126" xr:uid="{00000000-0005-0000-0000-00005C3A0000}"/>
    <cellStyle name="Акцент4 51" xfId="15127" xr:uid="{00000000-0005-0000-0000-00005D3A0000}"/>
    <cellStyle name="Акцент4 52" xfId="15128" xr:uid="{00000000-0005-0000-0000-00005E3A0000}"/>
    <cellStyle name="Акцент4 53" xfId="15129" xr:uid="{00000000-0005-0000-0000-00005F3A0000}"/>
    <cellStyle name="Акцент4 54" xfId="15130" xr:uid="{00000000-0005-0000-0000-0000603A0000}"/>
    <cellStyle name="Акцент4 55" xfId="15131" xr:uid="{00000000-0005-0000-0000-0000613A0000}"/>
    <cellStyle name="Акцент4 56" xfId="15132" xr:uid="{00000000-0005-0000-0000-0000623A0000}"/>
    <cellStyle name="Акцент4 57" xfId="15133" xr:uid="{00000000-0005-0000-0000-0000633A0000}"/>
    <cellStyle name="Акцент4 58" xfId="15134" xr:uid="{00000000-0005-0000-0000-0000643A0000}"/>
    <cellStyle name="Акцент4 59" xfId="15135" xr:uid="{00000000-0005-0000-0000-0000653A0000}"/>
    <cellStyle name="Акцент4 6" xfId="15136" xr:uid="{00000000-0005-0000-0000-0000663A0000}"/>
    <cellStyle name="Акцент4 60" xfId="15137" xr:uid="{00000000-0005-0000-0000-0000673A0000}"/>
    <cellStyle name="Акцент4 61" xfId="15138" xr:uid="{00000000-0005-0000-0000-0000683A0000}"/>
    <cellStyle name="Акцент4 62" xfId="15139" xr:uid="{00000000-0005-0000-0000-0000693A0000}"/>
    <cellStyle name="Акцент4 63" xfId="15140" xr:uid="{00000000-0005-0000-0000-00006A3A0000}"/>
    <cellStyle name="Акцент4 64" xfId="15141" xr:uid="{00000000-0005-0000-0000-00006B3A0000}"/>
    <cellStyle name="Акцент4 65" xfId="15142" xr:uid="{00000000-0005-0000-0000-00006C3A0000}"/>
    <cellStyle name="Акцент4 66" xfId="15143" xr:uid="{00000000-0005-0000-0000-00006D3A0000}"/>
    <cellStyle name="Акцент4 67" xfId="15144" xr:uid="{00000000-0005-0000-0000-00006E3A0000}"/>
    <cellStyle name="Акцент4 68" xfId="15145" xr:uid="{00000000-0005-0000-0000-00006F3A0000}"/>
    <cellStyle name="Акцент4 69" xfId="15146" xr:uid="{00000000-0005-0000-0000-0000703A0000}"/>
    <cellStyle name="Акцент4 7" xfId="15147" xr:uid="{00000000-0005-0000-0000-0000713A0000}"/>
    <cellStyle name="Акцент4 70" xfId="15148" xr:uid="{00000000-0005-0000-0000-0000723A0000}"/>
    <cellStyle name="Акцент4 71" xfId="15149" xr:uid="{00000000-0005-0000-0000-0000733A0000}"/>
    <cellStyle name="Акцент4 72" xfId="15150" xr:uid="{00000000-0005-0000-0000-0000743A0000}"/>
    <cellStyle name="Акцент4 73" xfId="15151" xr:uid="{00000000-0005-0000-0000-0000753A0000}"/>
    <cellStyle name="Акцент4 74" xfId="15152" xr:uid="{00000000-0005-0000-0000-0000763A0000}"/>
    <cellStyle name="Акцент4 75" xfId="15153" xr:uid="{00000000-0005-0000-0000-0000773A0000}"/>
    <cellStyle name="Акцент4 76" xfId="15154" xr:uid="{00000000-0005-0000-0000-0000783A0000}"/>
    <cellStyle name="Акцент4 77" xfId="15155" xr:uid="{00000000-0005-0000-0000-0000793A0000}"/>
    <cellStyle name="Акцент4 78" xfId="15156" xr:uid="{00000000-0005-0000-0000-00007A3A0000}"/>
    <cellStyle name="Акцент4 79" xfId="15157" xr:uid="{00000000-0005-0000-0000-00007B3A0000}"/>
    <cellStyle name="Акцент4 8" xfId="15158" xr:uid="{00000000-0005-0000-0000-00007C3A0000}"/>
    <cellStyle name="Акцент4 80" xfId="15159" xr:uid="{00000000-0005-0000-0000-00007D3A0000}"/>
    <cellStyle name="Акцент4 81" xfId="15160" xr:uid="{00000000-0005-0000-0000-00007E3A0000}"/>
    <cellStyle name="Акцент4 82" xfId="15161" xr:uid="{00000000-0005-0000-0000-00007F3A0000}"/>
    <cellStyle name="Акцент4 83" xfId="15162" xr:uid="{00000000-0005-0000-0000-0000803A0000}"/>
    <cellStyle name="Акцент4 84" xfId="15163" xr:uid="{00000000-0005-0000-0000-0000813A0000}"/>
    <cellStyle name="Акцент4 85" xfId="15164" xr:uid="{00000000-0005-0000-0000-0000823A0000}"/>
    <cellStyle name="Акцент4 86" xfId="15165" xr:uid="{00000000-0005-0000-0000-0000833A0000}"/>
    <cellStyle name="Акцент4 87" xfId="15166" xr:uid="{00000000-0005-0000-0000-0000843A0000}"/>
    <cellStyle name="Акцент4 88" xfId="15167" xr:uid="{00000000-0005-0000-0000-0000853A0000}"/>
    <cellStyle name="Акцент4 89" xfId="15168" xr:uid="{00000000-0005-0000-0000-0000863A0000}"/>
    <cellStyle name="Акцент4 9" xfId="15169" xr:uid="{00000000-0005-0000-0000-0000873A0000}"/>
    <cellStyle name="Акцент4 90" xfId="15170" xr:uid="{00000000-0005-0000-0000-0000883A0000}"/>
    <cellStyle name="Акцент4 91" xfId="15171" xr:uid="{00000000-0005-0000-0000-0000893A0000}"/>
    <cellStyle name="Акцент4 92" xfId="15172" xr:uid="{00000000-0005-0000-0000-00008A3A0000}"/>
    <cellStyle name="Акцент4 93" xfId="15173" xr:uid="{00000000-0005-0000-0000-00008B3A0000}"/>
    <cellStyle name="Акцент4 94" xfId="15174" xr:uid="{00000000-0005-0000-0000-00008C3A0000}"/>
    <cellStyle name="Акцент4 95" xfId="15175" xr:uid="{00000000-0005-0000-0000-00008D3A0000}"/>
    <cellStyle name="Акцент4 96" xfId="15176" xr:uid="{00000000-0005-0000-0000-00008E3A0000}"/>
    <cellStyle name="Акцент4 97" xfId="15177" xr:uid="{00000000-0005-0000-0000-00008F3A0000}"/>
    <cellStyle name="Акцент4 98" xfId="15178" xr:uid="{00000000-0005-0000-0000-0000903A0000}"/>
    <cellStyle name="Акцент4 99" xfId="15179" xr:uid="{00000000-0005-0000-0000-0000913A0000}"/>
    <cellStyle name="Акцент5 10" xfId="15180" xr:uid="{00000000-0005-0000-0000-0000923A0000}"/>
    <cellStyle name="Акцент5 100" xfId="15181" xr:uid="{00000000-0005-0000-0000-0000933A0000}"/>
    <cellStyle name="Акцент5 101" xfId="15182" xr:uid="{00000000-0005-0000-0000-0000943A0000}"/>
    <cellStyle name="Акцент5 102" xfId="15183" xr:uid="{00000000-0005-0000-0000-0000953A0000}"/>
    <cellStyle name="Акцент5 103" xfId="15184" xr:uid="{00000000-0005-0000-0000-0000963A0000}"/>
    <cellStyle name="Акцент5 104" xfId="15185" xr:uid="{00000000-0005-0000-0000-0000973A0000}"/>
    <cellStyle name="Акцент5 105" xfId="15186" xr:uid="{00000000-0005-0000-0000-0000983A0000}"/>
    <cellStyle name="Акцент5 106" xfId="15187" xr:uid="{00000000-0005-0000-0000-0000993A0000}"/>
    <cellStyle name="Акцент5 107" xfId="15188" xr:uid="{00000000-0005-0000-0000-00009A3A0000}"/>
    <cellStyle name="Акцент5 108" xfId="15189" xr:uid="{00000000-0005-0000-0000-00009B3A0000}"/>
    <cellStyle name="Акцент5 109" xfId="15190" xr:uid="{00000000-0005-0000-0000-00009C3A0000}"/>
    <cellStyle name="Акцент5 11" xfId="15191" xr:uid="{00000000-0005-0000-0000-00009D3A0000}"/>
    <cellStyle name="Акцент5 110" xfId="15192" xr:uid="{00000000-0005-0000-0000-00009E3A0000}"/>
    <cellStyle name="Акцент5 111" xfId="15193" xr:uid="{00000000-0005-0000-0000-00009F3A0000}"/>
    <cellStyle name="Акцент5 112" xfId="15194" xr:uid="{00000000-0005-0000-0000-0000A03A0000}"/>
    <cellStyle name="Акцент5 113" xfId="15195" xr:uid="{00000000-0005-0000-0000-0000A13A0000}"/>
    <cellStyle name="Акцент5 114" xfId="15196" xr:uid="{00000000-0005-0000-0000-0000A23A0000}"/>
    <cellStyle name="Акцент5 115" xfId="15197" xr:uid="{00000000-0005-0000-0000-0000A33A0000}"/>
    <cellStyle name="Акцент5 116" xfId="15198" xr:uid="{00000000-0005-0000-0000-0000A43A0000}"/>
    <cellStyle name="Акцент5 117" xfId="15199" xr:uid="{00000000-0005-0000-0000-0000A53A0000}"/>
    <cellStyle name="Акцент5 118" xfId="15200" xr:uid="{00000000-0005-0000-0000-0000A63A0000}"/>
    <cellStyle name="Акцент5 119" xfId="15201" xr:uid="{00000000-0005-0000-0000-0000A73A0000}"/>
    <cellStyle name="Акцент5 12" xfId="15202" xr:uid="{00000000-0005-0000-0000-0000A83A0000}"/>
    <cellStyle name="Акцент5 120" xfId="15203" xr:uid="{00000000-0005-0000-0000-0000A93A0000}"/>
    <cellStyle name="Акцент5 121" xfId="15204" xr:uid="{00000000-0005-0000-0000-0000AA3A0000}"/>
    <cellStyle name="Акцент5 122" xfId="15205" xr:uid="{00000000-0005-0000-0000-0000AB3A0000}"/>
    <cellStyle name="Акцент5 123" xfId="15206" xr:uid="{00000000-0005-0000-0000-0000AC3A0000}"/>
    <cellStyle name="Акцент5 124" xfId="15207" xr:uid="{00000000-0005-0000-0000-0000AD3A0000}"/>
    <cellStyle name="Акцент5 125" xfId="15208" xr:uid="{00000000-0005-0000-0000-0000AE3A0000}"/>
    <cellStyle name="Акцент5 126" xfId="15209" xr:uid="{00000000-0005-0000-0000-0000AF3A0000}"/>
    <cellStyle name="Акцент5 127" xfId="15210" xr:uid="{00000000-0005-0000-0000-0000B03A0000}"/>
    <cellStyle name="Акцент5 128" xfId="15211" xr:uid="{00000000-0005-0000-0000-0000B13A0000}"/>
    <cellStyle name="Акцент5 129" xfId="15212" xr:uid="{00000000-0005-0000-0000-0000B23A0000}"/>
    <cellStyle name="Акцент5 13" xfId="15213" xr:uid="{00000000-0005-0000-0000-0000B33A0000}"/>
    <cellStyle name="Акцент5 130" xfId="15214" xr:uid="{00000000-0005-0000-0000-0000B43A0000}"/>
    <cellStyle name="Акцент5 131" xfId="15215" xr:uid="{00000000-0005-0000-0000-0000B53A0000}"/>
    <cellStyle name="Акцент5 132" xfId="15216" xr:uid="{00000000-0005-0000-0000-0000B63A0000}"/>
    <cellStyle name="Акцент5 133" xfId="15217" xr:uid="{00000000-0005-0000-0000-0000B73A0000}"/>
    <cellStyle name="Акцент5 134" xfId="15218" xr:uid="{00000000-0005-0000-0000-0000B83A0000}"/>
    <cellStyle name="Акцент5 135" xfId="15219" xr:uid="{00000000-0005-0000-0000-0000B93A0000}"/>
    <cellStyle name="Акцент5 136" xfId="15220" xr:uid="{00000000-0005-0000-0000-0000BA3A0000}"/>
    <cellStyle name="Акцент5 137" xfId="15221" xr:uid="{00000000-0005-0000-0000-0000BB3A0000}"/>
    <cellStyle name="Акцент5 138" xfId="15222" xr:uid="{00000000-0005-0000-0000-0000BC3A0000}"/>
    <cellStyle name="Акцент5 139" xfId="15223" xr:uid="{00000000-0005-0000-0000-0000BD3A0000}"/>
    <cellStyle name="Акцент5 14" xfId="15224" xr:uid="{00000000-0005-0000-0000-0000BE3A0000}"/>
    <cellStyle name="Акцент5 140" xfId="15225" xr:uid="{00000000-0005-0000-0000-0000BF3A0000}"/>
    <cellStyle name="Акцент5 141" xfId="15226" xr:uid="{00000000-0005-0000-0000-0000C03A0000}"/>
    <cellStyle name="Акцент5 142" xfId="15227" xr:uid="{00000000-0005-0000-0000-0000C13A0000}"/>
    <cellStyle name="Акцент5 143" xfId="15228" xr:uid="{00000000-0005-0000-0000-0000C23A0000}"/>
    <cellStyle name="Акцент5 144" xfId="15229" xr:uid="{00000000-0005-0000-0000-0000C33A0000}"/>
    <cellStyle name="Акцент5 145" xfId="15230" xr:uid="{00000000-0005-0000-0000-0000C43A0000}"/>
    <cellStyle name="Акцент5 146" xfId="15231" xr:uid="{00000000-0005-0000-0000-0000C53A0000}"/>
    <cellStyle name="Акцент5 147" xfId="15232" xr:uid="{00000000-0005-0000-0000-0000C63A0000}"/>
    <cellStyle name="Акцент5 148" xfId="15233" xr:uid="{00000000-0005-0000-0000-0000C73A0000}"/>
    <cellStyle name="Акцент5 149" xfId="15234" xr:uid="{00000000-0005-0000-0000-0000C83A0000}"/>
    <cellStyle name="Акцент5 15" xfId="15235" xr:uid="{00000000-0005-0000-0000-0000C93A0000}"/>
    <cellStyle name="Акцент5 150" xfId="15236" xr:uid="{00000000-0005-0000-0000-0000CA3A0000}"/>
    <cellStyle name="Акцент5 151" xfId="15237" xr:uid="{00000000-0005-0000-0000-0000CB3A0000}"/>
    <cellStyle name="Акцент5 152" xfId="15238" xr:uid="{00000000-0005-0000-0000-0000CC3A0000}"/>
    <cellStyle name="Акцент5 16" xfId="15239" xr:uid="{00000000-0005-0000-0000-0000CD3A0000}"/>
    <cellStyle name="Акцент5 17" xfId="15240" xr:uid="{00000000-0005-0000-0000-0000CE3A0000}"/>
    <cellStyle name="Акцент5 18" xfId="15241" xr:uid="{00000000-0005-0000-0000-0000CF3A0000}"/>
    <cellStyle name="Акцент5 19" xfId="15242" xr:uid="{00000000-0005-0000-0000-0000D03A0000}"/>
    <cellStyle name="Акцент5 2" xfId="306" xr:uid="{00000000-0005-0000-0000-0000D13A0000}"/>
    <cellStyle name="Акцент5 2 2" xfId="15243" xr:uid="{00000000-0005-0000-0000-0000D23A0000}"/>
    <cellStyle name="Акцент5 2 3" xfId="15244" xr:uid="{00000000-0005-0000-0000-0000D33A0000}"/>
    <cellStyle name="Акцент5 2 4" xfId="15245" xr:uid="{00000000-0005-0000-0000-0000D43A0000}"/>
    <cellStyle name="Акцент5 2 5" xfId="15246" xr:uid="{00000000-0005-0000-0000-0000D53A0000}"/>
    <cellStyle name="Акцент5 2 6" xfId="15247" xr:uid="{00000000-0005-0000-0000-0000D63A0000}"/>
    <cellStyle name="Акцент5 2 7" xfId="15248" xr:uid="{00000000-0005-0000-0000-0000D73A0000}"/>
    <cellStyle name="Акцент5 20" xfId="15249" xr:uid="{00000000-0005-0000-0000-0000D83A0000}"/>
    <cellStyle name="Акцент5 20 2" xfId="15250" xr:uid="{00000000-0005-0000-0000-0000D93A0000}"/>
    <cellStyle name="Акцент5 21" xfId="15251" xr:uid="{00000000-0005-0000-0000-0000DA3A0000}"/>
    <cellStyle name="Акцент5 22" xfId="15252" xr:uid="{00000000-0005-0000-0000-0000DB3A0000}"/>
    <cellStyle name="Акцент5 23" xfId="15253" xr:uid="{00000000-0005-0000-0000-0000DC3A0000}"/>
    <cellStyle name="Акцент5 24" xfId="15254" xr:uid="{00000000-0005-0000-0000-0000DD3A0000}"/>
    <cellStyle name="Акцент5 25" xfId="15255" xr:uid="{00000000-0005-0000-0000-0000DE3A0000}"/>
    <cellStyle name="Акцент5 26" xfId="15256" xr:uid="{00000000-0005-0000-0000-0000DF3A0000}"/>
    <cellStyle name="Акцент5 27" xfId="15257" xr:uid="{00000000-0005-0000-0000-0000E03A0000}"/>
    <cellStyle name="Акцент5 28" xfId="15258" xr:uid="{00000000-0005-0000-0000-0000E13A0000}"/>
    <cellStyle name="Акцент5 29" xfId="15259" xr:uid="{00000000-0005-0000-0000-0000E23A0000}"/>
    <cellStyle name="Акцент5 3" xfId="15260" xr:uid="{00000000-0005-0000-0000-0000E33A0000}"/>
    <cellStyle name="Акцент5 30" xfId="15261" xr:uid="{00000000-0005-0000-0000-0000E43A0000}"/>
    <cellStyle name="Акцент5 31" xfId="15262" xr:uid="{00000000-0005-0000-0000-0000E53A0000}"/>
    <cellStyle name="Акцент5 32" xfId="15263" xr:uid="{00000000-0005-0000-0000-0000E63A0000}"/>
    <cellStyle name="Акцент5 33" xfId="15264" xr:uid="{00000000-0005-0000-0000-0000E73A0000}"/>
    <cellStyle name="Акцент5 34" xfId="15265" xr:uid="{00000000-0005-0000-0000-0000E83A0000}"/>
    <cellStyle name="Акцент5 35" xfId="15266" xr:uid="{00000000-0005-0000-0000-0000E93A0000}"/>
    <cellStyle name="Акцент5 36" xfId="15267" xr:uid="{00000000-0005-0000-0000-0000EA3A0000}"/>
    <cellStyle name="Акцент5 37" xfId="15268" xr:uid="{00000000-0005-0000-0000-0000EB3A0000}"/>
    <cellStyle name="Акцент5 38" xfId="15269" xr:uid="{00000000-0005-0000-0000-0000EC3A0000}"/>
    <cellStyle name="Акцент5 39" xfId="15270" xr:uid="{00000000-0005-0000-0000-0000ED3A0000}"/>
    <cellStyle name="Акцент5 4" xfId="15271" xr:uid="{00000000-0005-0000-0000-0000EE3A0000}"/>
    <cellStyle name="Акцент5 40" xfId="15272" xr:uid="{00000000-0005-0000-0000-0000EF3A0000}"/>
    <cellStyle name="Акцент5 41" xfId="15273" xr:uid="{00000000-0005-0000-0000-0000F03A0000}"/>
    <cellStyle name="Акцент5 42" xfId="15274" xr:uid="{00000000-0005-0000-0000-0000F13A0000}"/>
    <cellStyle name="Акцент5 43" xfId="15275" xr:uid="{00000000-0005-0000-0000-0000F23A0000}"/>
    <cellStyle name="Акцент5 44" xfId="15276" xr:uid="{00000000-0005-0000-0000-0000F33A0000}"/>
    <cellStyle name="Акцент5 45" xfId="15277" xr:uid="{00000000-0005-0000-0000-0000F43A0000}"/>
    <cellStyle name="Акцент5 46" xfId="15278" xr:uid="{00000000-0005-0000-0000-0000F53A0000}"/>
    <cellStyle name="Акцент5 47" xfId="15279" xr:uid="{00000000-0005-0000-0000-0000F63A0000}"/>
    <cellStyle name="Акцент5 48" xfId="15280" xr:uid="{00000000-0005-0000-0000-0000F73A0000}"/>
    <cellStyle name="Акцент5 49" xfId="15281" xr:uid="{00000000-0005-0000-0000-0000F83A0000}"/>
    <cellStyle name="Акцент5 5" xfId="15282" xr:uid="{00000000-0005-0000-0000-0000F93A0000}"/>
    <cellStyle name="Акцент5 50" xfId="15283" xr:uid="{00000000-0005-0000-0000-0000FA3A0000}"/>
    <cellStyle name="Акцент5 51" xfId="15284" xr:uid="{00000000-0005-0000-0000-0000FB3A0000}"/>
    <cellStyle name="Акцент5 52" xfId="15285" xr:uid="{00000000-0005-0000-0000-0000FC3A0000}"/>
    <cellStyle name="Акцент5 53" xfId="15286" xr:uid="{00000000-0005-0000-0000-0000FD3A0000}"/>
    <cellStyle name="Акцент5 54" xfId="15287" xr:uid="{00000000-0005-0000-0000-0000FE3A0000}"/>
    <cellStyle name="Акцент5 55" xfId="15288" xr:uid="{00000000-0005-0000-0000-0000FF3A0000}"/>
    <cellStyle name="Акцент5 56" xfId="15289" xr:uid="{00000000-0005-0000-0000-0000003B0000}"/>
    <cellStyle name="Акцент5 57" xfId="15290" xr:uid="{00000000-0005-0000-0000-0000013B0000}"/>
    <cellStyle name="Акцент5 58" xfId="15291" xr:uid="{00000000-0005-0000-0000-0000023B0000}"/>
    <cellStyle name="Акцент5 59" xfId="15292" xr:uid="{00000000-0005-0000-0000-0000033B0000}"/>
    <cellStyle name="Акцент5 6" xfId="15293" xr:uid="{00000000-0005-0000-0000-0000043B0000}"/>
    <cellStyle name="Акцент5 60" xfId="15294" xr:uid="{00000000-0005-0000-0000-0000053B0000}"/>
    <cellStyle name="Акцент5 61" xfId="15295" xr:uid="{00000000-0005-0000-0000-0000063B0000}"/>
    <cellStyle name="Акцент5 62" xfId="15296" xr:uid="{00000000-0005-0000-0000-0000073B0000}"/>
    <cellStyle name="Акцент5 63" xfId="15297" xr:uid="{00000000-0005-0000-0000-0000083B0000}"/>
    <cellStyle name="Акцент5 64" xfId="15298" xr:uid="{00000000-0005-0000-0000-0000093B0000}"/>
    <cellStyle name="Акцент5 65" xfId="15299" xr:uid="{00000000-0005-0000-0000-00000A3B0000}"/>
    <cellStyle name="Акцент5 66" xfId="15300" xr:uid="{00000000-0005-0000-0000-00000B3B0000}"/>
    <cellStyle name="Акцент5 67" xfId="15301" xr:uid="{00000000-0005-0000-0000-00000C3B0000}"/>
    <cellStyle name="Акцент5 68" xfId="15302" xr:uid="{00000000-0005-0000-0000-00000D3B0000}"/>
    <cellStyle name="Акцент5 69" xfId="15303" xr:uid="{00000000-0005-0000-0000-00000E3B0000}"/>
    <cellStyle name="Акцент5 7" xfId="15304" xr:uid="{00000000-0005-0000-0000-00000F3B0000}"/>
    <cellStyle name="Акцент5 70" xfId="15305" xr:uid="{00000000-0005-0000-0000-0000103B0000}"/>
    <cellStyle name="Акцент5 71" xfId="15306" xr:uid="{00000000-0005-0000-0000-0000113B0000}"/>
    <cellStyle name="Акцент5 72" xfId="15307" xr:uid="{00000000-0005-0000-0000-0000123B0000}"/>
    <cellStyle name="Акцент5 73" xfId="15308" xr:uid="{00000000-0005-0000-0000-0000133B0000}"/>
    <cellStyle name="Акцент5 74" xfId="15309" xr:uid="{00000000-0005-0000-0000-0000143B0000}"/>
    <cellStyle name="Акцент5 75" xfId="15310" xr:uid="{00000000-0005-0000-0000-0000153B0000}"/>
    <cellStyle name="Акцент5 76" xfId="15311" xr:uid="{00000000-0005-0000-0000-0000163B0000}"/>
    <cellStyle name="Акцент5 77" xfId="15312" xr:uid="{00000000-0005-0000-0000-0000173B0000}"/>
    <cellStyle name="Акцент5 78" xfId="15313" xr:uid="{00000000-0005-0000-0000-0000183B0000}"/>
    <cellStyle name="Акцент5 79" xfId="15314" xr:uid="{00000000-0005-0000-0000-0000193B0000}"/>
    <cellStyle name="Акцент5 8" xfId="15315" xr:uid="{00000000-0005-0000-0000-00001A3B0000}"/>
    <cellStyle name="Акцент5 80" xfId="15316" xr:uid="{00000000-0005-0000-0000-00001B3B0000}"/>
    <cellStyle name="Акцент5 81" xfId="15317" xr:uid="{00000000-0005-0000-0000-00001C3B0000}"/>
    <cellStyle name="Акцент5 82" xfId="15318" xr:uid="{00000000-0005-0000-0000-00001D3B0000}"/>
    <cellStyle name="Акцент5 83" xfId="15319" xr:uid="{00000000-0005-0000-0000-00001E3B0000}"/>
    <cellStyle name="Акцент5 84" xfId="15320" xr:uid="{00000000-0005-0000-0000-00001F3B0000}"/>
    <cellStyle name="Акцент5 85" xfId="15321" xr:uid="{00000000-0005-0000-0000-0000203B0000}"/>
    <cellStyle name="Акцент5 86" xfId="15322" xr:uid="{00000000-0005-0000-0000-0000213B0000}"/>
    <cellStyle name="Акцент5 87" xfId="15323" xr:uid="{00000000-0005-0000-0000-0000223B0000}"/>
    <cellStyle name="Акцент5 88" xfId="15324" xr:uid="{00000000-0005-0000-0000-0000233B0000}"/>
    <cellStyle name="Акцент5 89" xfId="15325" xr:uid="{00000000-0005-0000-0000-0000243B0000}"/>
    <cellStyle name="Акцент5 9" xfId="15326" xr:uid="{00000000-0005-0000-0000-0000253B0000}"/>
    <cellStyle name="Акцент5 90" xfId="15327" xr:uid="{00000000-0005-0000-0000-0000263B0000}"/>
    <cellStyle name="Акцент5 91" xfId="15328" xr:uid="{00000000-0005-0000-0000-0000273B0000}"/>
    <cellStyle name="Акцент5 92" xfId="15329" xr:uid="{00000000-0005-0000-0000-0000283B0000}"/>
    <cellStyle name="Акцент5 93" xfId="15330" xr:uid="{00000000-0005-0000-0000-0000293B0000}"/>
    <cellStyle name="Акцент5 94" xfId="15331" xr:uid="{00000000-0005-0000-0000-00002A3B0000}"/>
    <cellStyle name="Акцент5 95" xfId="15332" xr:uid="{00000000-0005-0000-0000-00002B3B0000}"/>
    <cellStyle name="Акцент5 96" xfId="15333" xr:uid="{00000000-0005-0000-0000-00002C3B0000}"/>
    <cellStyle name="Акцент5 97" xfId="15334" xr:uid="{00000000-0005-0000-0000-00002D3B0000}"/>
    <cellStyle name="Акцент5 98" xfId="15335" xr:uid="{00000000-0005-0000-0000-00002E3B0000}"/>
    <cellStyle name="Акцент5 99" xfId="15336" xr:uid="{00000000-0005-0000-0000-00002F3B0000}"/>
    <cellStyle name="Акцент6 10" xfId="15337" xr:uid="{00000000-0005-0000-0000-0000303B0000}"/>
    <cellStyle name="Акцент6 100" xfId="15338" xr:uid="{00000000-0005-0000-0000-0000313B0000}"/>
    <cellStyle name="Акцент6 101" xfId="15339" xr:uid="{00000000-0005-0000-0000-0000323B0000}"/>
    <cellStyle name="Акцент6 102" xfId="15340" xr:uid="{00000000-0005-0000-0000-0000333B0000}"/>
    <cellStyle name="Акцент6 103" xfId="15341" xr:uid="{00000000-0005-0000-0000-0000343B0000}"/>
    <cellStyle name="Акцент6 104" xfId="15342" xr:uid="{00000000-0005-0000-0000-0000353B0000}"/>
    <cellStyle name="Акцент6 105" xfId="15343" xr:uid="{00000000-0005-0000-0000-0000363B0000}"/>
    <cellStyle name="Акцент6 106" xfId="15344" xr:uid="{00000000-0005-0000-0000-0000373B0000}"/>
    <cellStyle name="Акцент6 107" xfId="15345" xr:uid="{00000000-0005-0000-0000-0000383B0000}"/>
    <cellStyle name="Акцент6 108" xfId="15346" xr:uid="{00000000-0005-0000-0000-0000393B0000}"/>
    <cellStyle name="Акцент6 109" xfId="15347" xr:uid="{00000000-0005-0000-0000-00003A3B0000}"/>
    <cellStyle name="Акцент6 11" xfId="15348" xr:uid="{00000000-0005-0000-0000-00003B3B0000}"/>
    <cellStyle name="Акцент6 110" xfId="15349" xr:uid="{00000000-0005-0000-0000-00003C3B0000}"/>
    <cellStyle name="Акцент6 111" xfId="15350" xr:uid="{00000000-0005-0000-0000-00003D3B0000}"/>
    <cellStyle name="Акцент6 112" xfId="15351" xr:uid="{00000000-0005-0000-0000-00003E3B0000}"/>
    <cellStyle name="Акцент6 113" xfId="15352" xr:uid="{00000000-0005-0000-0000-00003F3B0000}"/>
    <cellStyle name="Акцент6 114" xfId="15353" xr:uid="{00000000-0005-0000-0000-0000403B0000}"/>
    <cellStyle name="Акцент6 115" xfId="15354" xr:uid="{00000000-0005-0000-0000-0000413B0000}"/>
    <cellStyle name="Акцент6 116" xfId="15355" xr:uid="{00000000-0005-0000-0000-0000423B0000}"/>
    <cellStyle name="Акцент6 117" xfId="15356" xr:uid="{00000000-0005-0000-0000-0000433B0000}"/>
    <cellStyle name="Акцент6 118" xfId="15357" xr:uid="{00000000-0005-0000-0000-0000443B0000}"/>
    <cellStyle name="Акцент6 119" xfId="15358" xr:uid="{00000000-0005-0000-0000-0000453B0000}"/>
    <cellStyle name="Акцент6 12" xfId="15359" xr:uid="{00000000-0005-0000-0000-0000463B0000}"/>
    <cellStyle name="Акцент6 120" xfId="15360" xr:uid="{00000000-0005-0000-0000-0000473B0000}"/>
    <cellStyle name="Акцент6 121" xfId="15361" xr:uid="{00000000-0005-0000-0000-0000483B0000}"/>
    <cellStyle name="Акцент6 122" xfId="15362" xr:uid="{00000000-0005-0000-0000-0000493B0000}"/>
    <cellStyle name="Акцент6 123" xfId="15363" xr:uid="{00000000-0005-0000-0000-00004A3B0000}"/>
    <cellStyle name="Акцент6 124" xfId="15364" xr:uid="{00000000-0005-0000-0000-00004B3B0000}"/>
    <cellStyle name="Акцент6 125" xfId="15365" xr:uid="{00000000-0005-0000-0000-00004C3B0000}"/>
    <cellStyle name="Акцент6 126" xfId="15366" xr:uid="{00000000-0005-0000-0000-00004D3B0000}"/>
    <cellStyle name="Акцент6 127" xfId="15367" xr:uid="{00000000-0005-0000-0000-00004E3B0000}"/>
    <cellStyle name="Акцент6 128" xfId="15368" xr:uid="{00000000-0005-0000-0000-00004F3B0000}"/>
    <cellStyle name="Акцент6 129" xfId="15369" xr:uid="{00000000-0005-0000-0000-0000503B0000}"/>
    <cellStyle name="Акцент6 13" xfId="15370" xr:uid="{00000000-0005-0000-0000-0000513B0000}"/>
    <cellStyle name="Акцент6 130" xfId="15371" xr:uid="{00000000-0005-0000-0000-0000523B0000}"/>
    <cellStyle name="Акцент6 131" xfId="15372" xr:uid="{00000000-0005-0000-0000-0000533B0000}"/>
    <cellStyle name="Акцент6 132" xfId="15373" xr:uid="{00000000-0005-0000-0000-0000543B0000}"/>
    <cellStyle name="Акцент6 133" xfId="15374" xr:uid="{00000000-0005-0000-0000-0000553B0000}"/>
    <cellStyle name="Акцент6 134" xfId="15375" xr:uid="{00000000-0005-0000-0000-0000563B0000}"/>
    <cellStyle name="Акцент6 135" xfId="15376" xr:uid="{00000000-0005-0000-0000-0000573B0000}"/>
    <cellStyle name="Акцент6 136" xfId="15377" xr:uid="{00000000-0005-0000-0000-0000583B0000}"/>
    <cellStyle name="Акцент6 137" xfId="15378" xr:uid="{00000000-0005-0000-0000-0000593B0000}"/>
    <cellStyle name="Акцент6 138" xfId="15379" xr:uid="{00000000-0005-0000-0000-00005A3B0000}"/>
    <cellStyle name="Акцент6 139" xfId="15380" xr:uid="{00000000-0005-0000-0000-00005B3B0000}"/>
    <cellStyle name="Акцент6 14" xfId="15381" xr:uid="{00000000-0005-0000-0000-00005C3B0000}"/>
    <cellStyle name="Акцент6 140" xfId="15382" xr:uid="{00000000-0005-0000-0000-00005D3B0000}"/>
    <cellStyle name="Акцент6 141" xfId="15383" xr:uid="{00000000-0005-0000-0000-00005E3B0000}"/>
    <cellStyle name="Акцент6 142" xfId="15384" xr:uid="{00000000-0005-0000-0000-00005F3B0000}"/>
    <cellStyle name="Акцент6 143" xfId="15385" xr:uid="{00000000-0005-0000-0000-0000603B0000}"/>
    <cellStyle name="Акцент6 144" xfId="15386" xr:uid="{00000000-0005-0000-0000-0000613B0000}"/>
    <cellStyle name="Акцент6 145" xfId="15387" xr:uid="{00000000-0005-0000-0000-0000623B0000}"/>
    <cellStyle name="Акцент6 146" xfId="15388" xr:uid="{00000000-0005-0000-0000-0000633B0000}"/>
    <cellStyle name="Акцент6 147" xfId="15389" xr:uid="{00000000-0005-0000-0000-0000643B0000}"/>
    <cellStyle name="Акцент6 148" xfId="15390" xr:uid="{00000000-0005-0000-0000-0000653B0000}"/>
    <cellStyle name="Акцент6 149" xfId="15391" xr:uid="{00000000-0005-0000-0000-0000663B0000}"/>
    <cellStyle name="Акцент6 15" xfId="15392" xr:uid="{00000000-0005-0000-0000-0000673B0000}"/>
    <cellStyle name="Акцент6 150" xfId="15393" xr:uid="{00000000-0005-0000-0000-0000683B0000}"/>
    <cellStyle name="Акцент6 151" xfId="15394" xr:uid="{00000000-0005-0000-0000-0000693B0000}"/>
    <cellStyle name="Акцент6 152" xfId="15395" xr:uid="{00000000-0005-0000-0000-00006A3B0000}"/>
    <cellStyle name="Акцент6 16" xfId="15396" xr:uid="{00000000-0005-0000-0000-00006B3B0000}"/>
    <cellStyle name="Акцент6 17" xfId="15397" xr:uid="{00000000-0005-0000-0000-00006C3B0000}"/>
    <cellStyle name="Акцент6 18" xfId="15398" xr:uid="{00000000-0005-0000-0000-00006D3B0000}"/>
    <cellStyle name="Акцент6 19" xfId="15399" xr:uid="{00000000-0005-0000-0000-00006E3B0000}"/>
    <cellStyle name="Акцент6 2" xfId="307" xr:uid="{00000000-0005-0000-0000-00006F3B0000}"/>
    <cellStyle name="Акцент6 2 2" xfId="15400" xr:uid="{00000000-0005-0000-0000-0000703B0000}"/>
    <cellStyle name="Акцент6 2 3" xfId="15401" xr:uid="{00000000-0005-0000-0000-0000713B0000}"/>
    <cellStyle name="Акцент6 2 4" xfId="15402" xr:uid="{00000000-0005-0000-0000-0000723B0000}"/>
    <cellStyle name="Акцент6 2 5" xfId="15403" xr:uid="{00000000-0005-0000-0000-0000733B0000}"/>
    <cellStyle name="Акцент6 2 6" xfId="15404" xr:uid="{00000000-0005-0000-0000-0000743B0000}"/>
    <cellStyle name="Акцент6 2 7" xfId="15405" xr:uid="{00000000-0005-0000-0000-0000753B0000}"/>
    <cellStyle name="Акцент6 20" xfId="15406" xr:uid="{00000000-0005-0000-0000-0000763B0000}"/>
    <cellStyle name="Акцент6 20 2" xfId="15407" xr:uid="{00000000-0005-0000-0000-0000773B0000}"/>
    <cellStyle name="Акцент6 21" xfId="15408" xr:uid="{00000000-0005-0000-0000-0000783B0000}"/>
    <cellStyle name="Акцент6 22" xfId="15409" xr:uid="{00000000-0005-0000-0000-0000793B0000}"/>
    <cellStyle name="Акцент6 23" xfId="15410" xr:uid="{00000000-0005-0000-0000-00007A3B0000}"/>
    <cellStyle name="Акцент6 24" xfId="15411" xr:uid="{00000000-0005-0000-0000-00007B3B0000}"/>
    <cellStyle name="Акцент6 25" xfId="15412" xr:uid="{00000000-0005-0000-0000-00007C3B0000}"/>
    <cellStyle name="Акцент6 26" xfId="15413" xr:uid="{00000000-0005-0000-0000-00007D3B0000}"/>
    <cellStyle name="Акцент6 27" xfId="15414" xr:uid="{00000000-0005-0000-0000-00007E3B0000}"/>
    <cellStyle name="Акцент6 28" xfId="15415" xr:uid="{00000000-0005-0000-0000-00007F3B0000}"/>
    <cellStyle name="Акцент6 29" xfId="15416" xr:uid="{00000000-0005-0000-0000-0000803B0000}"/>
    <cellStyle name="Акцент6 3" xfId="15417" xr:uid="{00000000-0005-0000-0000-0000813B0000}"/>
    <cellStyle name="Акцент6 30" xfId="15418" xr:uid="{00000000-0005-0000-0000-0000823B0000}"/>
    <cellStyle name="Акцент6 31" xfId="15419" xr:uid="{00000000-0005-0000-0000-0000833B0000}"/>
    <cellStyle name="Акцент6 32" xfId="15420" xr:uid="{00000000-0005-0000-0000-0000843B0000}"/>
    <cellStyle name="Акцент6 33" xfId="15421" xr:uid="{00000000-0005-0000-0000-0000853B0000}"/>
    <cellStyle name="Акцент6 34" xfId="15422" xr:uid="{00000000-0005-0000-0000-0000863B0000}"/>
    <cellStyle name="Акцент6 35" xfId="15423" xr:uid="{00000000-0005-0000-0000-0000873B0000}"/>
    <cellStyle name="Акцент6 36" xfId="15424" xr:uid="{00000000-0005-0000-0000-0000883B0000}"/>
    <cellStyle name="Акцент6 37" xfId="15425" xr:uid="{00000000-0005-0000-0000-0000893B0000}"/>
    <cellStyle name="Акцент6 38" xfId="15426" xr:uid="{00000000-0005-0000-0000-00008A3B0000}"/>
    <cellStyle name="Акцент6 39" xfId="15427" xr:uid="{00000000-0005-0000-0000-00008B3B0000}"/>
    <cellStyle name="Акцент6 4" xfId="15428" xr:uid="{00000000-0005-0000-0000-00008C3B0000}"/>
    <cellStyle name="Акцент6 40" xfId="15429" xr:uid="{00000000-0005-0000-0000-00008D3B0000}"/>
    <cellStyle name="Акцент6 41" xfId="15430" xr:uid="{00000000-0005-0000-0000-00008E3B0000}"/>
    <cellStyle name="Акцент6 42" xfId="15431" xr:uid="{00000000-0005-0000-0000-00008F3B0000}"/>
    <cellStyle name="Акцент6 43" xfId="15432" xr:uid="{00000000-0005-0000-0000-0000903B0000}"/>
    <cellStyle name="Акцент6 44" xfId="15433" xr:uid="{00000000-0005-0000-0000-0000913B0000}"/>
    <cellStyle name="Акцент6 45" xfId="15434" xr:uid="{00000000-0005-0000-0000-0000923B0000}"/>
    <cellStyle name="Акцент6 46" xfId="15435" xr:uid="{00000000-0005-0000-0000-0000933B0000}"/>
    <cellStyle name="Акцент6 47" xfId="15436" xr:uid="{00000000-0005-0000-0000-0000943B0000}"/>
    <cellStyle name="Акцент6 48" xfId="15437" xr:uid="{00000000-0005-0000-0000-0000953B0000}"/>
    <cellStyle name="Акцент6 49" xfId="15438" xr:uid="{00000000-0005-0000-0000-0000963B0000}"/>
    <cellStyle name="Акцент6 5" xfId="15439" xr:uid="{00000000-0005-0000-0000-0000973B0000}"/>
    <cellStyle name="Акцент6 50" xfId="15440" xr:uid="{00000000-0005-0000-0000-0000983B0000}"/>
    <cellStyle name="Акцент6 51" xfId="15441" xr:uid="{00000000-0005-0000-0000-0000993B0000}"/>
    <cellStyle name="Акцент6 52" xfId="15442" xr:uid="{00000000-0005-0000-0000-00009A3B0000}"/>
    <cellStyle name="Акцент6 53" xfId="15443" xr:uid="{00000000-0005-0000-0000-00009B3B0000}"/>
    <cellStyle name="Акцент6 54" xfId="15444" xr:uid="{00000000-0005-0000-0000-00009C3B0000}"/>
    <cellStyle name="Акцент6 55" xfId="15445" xr:uid="{00000000-0005-0000-0000-00009D3B0000}"/>
    <cellStyle name="Акцент6 56" xfId="15446" xr:uid="{00000000-0005-0000-0000-00009E3B0000}"/>
    <cellStyle name="Акцент6 57" xfId="15447" xr:uid="{00000000-0005-0000-0000-00009F3B0000}"/>
    <cellStyle name="Акцент6 58" xfId="15448" xr:uid="{00000000-0005-0000-0000-0000A03B0000}"/>
    <cellStyle name="Акцент6 59" xfId="15449" xr:uid="{00000000-0005-0000-0000-0000A13B0000}"/>
    <cellStyle name="Акцент6 6" xfId="15450" xr:uid="{00000000-0005-0000-0000-0000A23B0000}"/>
    <cellStyle name="Акцент6 60" xfId="15451" xr:uid="{00000000-0005-0000-0000-0000A33B0000}"/>
    <cellStyle name="Акцент6 61" xfId="15452" xr:uid="{00000000-0005-0000-0000-0000A43B0000}"/>
    <cellStyle name="Акцент6 62" xfId="15453" xr:uid="{00000000-0005-0000-0000-0000A53B0000}"/>
    <cellStyle name="Акцент6 63" xfId="15454" xr:uid="{00000000-0005-0000-0000-0000A63B0000}"/>
    <cellStyle name="Акцент6 64" xfId="15455" xr:uid="{00000000-0005-0000-0000-0000A73B0000}"/>
    <cellStyle name="Акцент6 65" xfId="15456" xr:uid="{00000000-0005-0000-0000-0000A83B0000}"/>
    <cellStyle name="Акцент6 66" xfId="15457" xr:uid="{00000000-0005-0000-0000-0000A93B0000}"/>
    <cellStyle name="Акцент6 67" xfId="15458" xr:uid="{00000000-0005-0000-0000-0000AA3B0000}"/>
    <cellStyle name="Акцент6 68" xfId="15459" xr:uid="{00000000-0005-0000-0000-0000AB3B0000}"/>
    <cellStyle name="Акцент6 69" xfId="15460" xr:uid="{00000000-0005-0000-0000-0000AC3B0000}"/>
    <cellStyle name="Акцент6 7" xfId="15461" xr:uid="{00000000-0005-0000-0000-0000AD3B0000}"/>
    <cellStyle name="Акцент6 70" xfId="15462" xr:uid="{00000000-0005-0000-0000-0000AE3B0000}"/>
    <cellStyle name="Акцент6 71" xfId="15463" xr:uid="{00000000-0005-0000-0000-0000AF3B0000}"/>
    <cellStyle name="Акцент6 72" xfId="15464" xr:uid="{00000000-0005-0000-0000-0000B03B0000}"/>
    <cellStyle name="Акцент6 73" xfId="15465" xr:uid="{00000000-0005-0000-0000-0000B13B0000}"/>
    <cellStyle name="Акцент6 74" xfId="15466" xr:uid="{00000000-0005-0000-0000-0000B23B0000}"/>
    <cellStyle name="Акцент6 75" xfId="15467" xr:uid="{00000000-0005-0000-0000-0000B33B0000}"/>
    <cellStyle name="Акцент6 76" xfId="15468" xr:uid="{00000000-0005-0000-0000-0000B43B0000}"/>
    <cellStyle name="Акцент6 77" xfId="15469" xr:uid="{00000000-0005-0000-0000-0000B53B0000}"/>
    <cellStyle name="Акцент6 78" xfId="15470" xr:uid="{00000000-0005-0000-0000-0000B63B0000}"/>
    <cellStyle name="Акцент6 79" xfId="15471" xr:uid="{00000000-0005-0000-0000-0000B73B0000}"/>
    <cellStyle name="Акцент6 8" xfId="15472" xr:uid="{00000000-0005-0000-0000-0000B83B0000}"/>
    <cellStyle name="Акцент6 80" xfId="15473" xr:uid="{00000000-0005-0000-0000-0000B93B0000}"/>
    <cellStyle name="Акцент6 81" xfId="15474" xr:uid="{00000000-0005-0000-0000-0000BA3B0000}"/>
    <cellStyle name="Акцент6 82" xfId="15475" xr:uid="{00000000-0005-0000-0000-0000BB3B0000}"/>
    <cellStyle name="Акцент6 83" xfId="15476" xr:uid="{00000000-0005-0000-0000-0000BC3B0000}"/>
    <cellStyle name="Акцент6 84" xfId="15477" xr:uid="{00000000-0005-0000-0000-0000BD3B0000}"/>
    <cellStyle name="Акцент6 85" xfId="15478" xr:uid="{00000000-0005-0000-0000-0000BE3B0000}"/>
    <cellStyle name="Акцент6 86" xfId="15479" xr:uid="{00000000-0005-0000-0000-0000BF3B0000}"/>
    <cellStyle name="Акцент6 87" xfId="15480" xr:uid="{00000000-0005-0000-0000-0000C03B0000}"/>
    <cellStyle name="Акцент6 88" xfId="15481" xr:uid="{00000000-0005-0000-0000-0000C13B0000}"/>
    <cellStyle name="Акцент6 89" xfId="15482" xr:uid="{00000000-0005-0000-0000-0000C23B0000}"/>
    <cellStyle name="Акцент6 9" xfId="15483" xr:uid="{00000000-0005-0000-0000-0000C33B0000}"/>
    <cellStyle name="Акцент6 90" xfId="15484" xr:uid="{00000000-0005-0000-0000-0000C43B0000}"/>
    <cellStyle name="Акцент6 91" xfId="15485" xr:uid="{00000000-0005-0000-0000-0000C53B0000}"/>
    <cellStyle name="Акцент6 92" xfId="15486" xr:uid="{00000000-0005-0000-0000-0000C63B0000}"/>
    <cellStyle name="Акцент6 93" xfId="15487" xr:uid="{00000000-0005-0000-0000-0000C73B0000}"/>
    <cellStyle name="Акцент6 94" xfId="15488" xr:uid="{00000000-0005-0000-0000-0000C83B0000}"/>
    <cellStyle name="Акцент6 95" xfId="15489" xr:uid="{00000000-0005-0000-0000-0000C93B0000}"/>
    <cellStyle name="Акцент6 96" xfId="15490" xr:uid="{00000000-0005-0000-0000-0000CA3B0000}"/>
    <cellStyle name="Акцент6 97" xfId="15491" xr:uid="{00000000-0005-0000-0000-0000CB3B0000}"/>
    <cellStyle name="Акцент6 98" xfId="15492" xr:uid="{00000000-0005-0000-0000-0000CC3B0000}"/>
    <cellStyle name="Акцент6 99" xfId="15493" xr:uid="{00000000-0005-0000-0000-0000CD3B0000}"/>
    <cellStyle name="Ввод" xfId="15494" xr:uid="{00000000-0005-0000-0000-0000CE3B0000}"/>
    <cellStyle name="Ввод  10" xfId="15495" xr:uid="{00000000-0005-0000-0000-0000CF3B0000}"/>
    <cellStyle name="Ввод  100" xfId="15496" xr:uid="{00000000-0005-0000-0000-0000D03B0000}"/>
    <cellStyle name="Ввод  101" xfId="15497" xr:uid="{00000000-0005-0000-0000-0000D13B0000}"/>
    <cellStyle name="Ввод  102" xfId="15498" xr:uid="{00000000-0005-0000-0000-0000D23B0000}"/>
    <cellStyle name="Ввод  103" xfId="15499" xr:uid="{00000000-0005-0000-0000-0000D33B0000}"/>
    <cellStyle name="Ввод  104" xfId="15500" xr:uid="{00000000-0005-0000-0000-0000D43B0000}"/>
    <cellStyle name="Ввод  105" xfId="15501" xr:uid="{00000000-0005-0000-0000-0000D53B0000}"/>
    <cellStyle name="Ввод  106" xfId="15502" xr:uid="{00000000-0005-0000-0000-0000D63B0000}"/>
    <cellStyle name="Ввод  107" xfId="15503" xr:uid="{00000000-0005-0000-0000-0000D73B0000}"/>
    <cellStyle name="Ввод  108" xfId="15504" xr:uid="{00000000-0005-0000-0000-0000D83B0000}"/>
    <cellStyle name="Ввод  109" xfId="15505" xr:uid="{00000000-0005-0000-0000-0000D93B0000}"/>
    <cellStyle name="Ввод  11" xfId="15506" xr:uid="{00000000-0005-0000-0000-0000DA3B0000}"/>
    <cellStyle name="Ввод  110" xfId="15507" xr:uid="{00000000-0005-0000-0000-0000DB3B0000}"/>
    <cellStyle name="Ввод  111" xfId="15508" xr:uid="{00000000-0005-0000-0000-0000DC3B0000}"/>
    <cellStyle name="Ввод  112" xfId="15509" xr:uid="{00000000-0005-0000-0000-0000DD3B0000}"/>
    <cellStyle name="Ввод  113" xfId="15510" xr:uid="{00000000-0005-0000-0000-0000DE3B0000}"/>
    <cellStyle name="Ввод  114" xfId="15511" xr:uid="{00000000-0005-0000-0000-0000DF3B0000}"/>
    <cellStyle name="Ввод  115" xfId="15512" xr:uid="{00000000-0005-0000-0000-0000E03B0000}"/>
    <cellStyle name="Ввод  116" xfId="15513" xr:uid="{00000000-0005-0000-0000-0000E13B0000}"/>
    <cellStyle name="Ввод  117" xfId="15514" xr:uid="{00000000-0005-0000-0000-0000E23B0000}"/>
    <cellStyle name="Ввод  118" xfId="15515" xr:uid="{00000000-0005-0000-0000-0000E33B0000}"/>
    <cellStyle name="Ввод  119" xfId="15516" xr:uid="{00000000-0005-0000-0000-0000E43B0000}"/>
    <cellStyle name="Ввод  12" xfId="15517" xr:uid="{00000000-0005-0000-0000-0000E53B0000}"/>
    <cellStyle name="Ввод  120" xfId="15518" xr:uid="{00000000-0005-0000-0000-0000E63B0000}"/>
    <cellStyle name="Ввод  121" xfId="15519" xr:uid="{00000000-0005-0000-0000-0000E73B0000}"/>
    <cellStyle name="Ввод  122" xfId="15520" xr:uid="{00000000-0005-0000-0000-0000E83B0000}"/>
    <cellStyle name="Ввод  123" xfId="15521" xr:uid="{00000000-0005-0000-0000-0000E93B0000}"/>
    <cellStyle name="Ввод  124" xfId="15522" xr:uid="{00000000-0005-0000-0000-0000EA3B0000}"/>
    <cellStyle name="Ввод  125" xfId="15523" xr:uid="{00000000-0005-0000-0000-0000EB3B0000}"/>
    <cellStyle name="Ввод  126" xfId="15524" xr:uid="{00000000-0005-0000-0000-0000EC3B0000}"/>
    <cellStyle name="Ввод  127" xfId="15525" xr:uid="{00000000-0005-0000-0000-0000ED3B0000}"/>
    <cellStyle name="Ввод  128" xfId="15526" xr:uid="{00000000-0005-0000-0000-0000EE3B0000}"/>
    <cellStyle name="Ввод  129" xfId="15527" xr:uid="{00000000-0005-0000-0000-0000EF3B0000}"/>
    <cellStyle name="Ввод  13" xfId="15528" xr:uid="{00000000-0005-0000-0000-0000F03B0000}"/>
    <cellStyle name="Ввод  130" xfId="15529" xr:uid="{00000000-0005-0000-0000-0000F13B0000}"/>
    <cellStyle name="Ввод  131" xfId="15530" xr:uid="{00000000-0005-0000-0000-0000F23B0000}"/>
    <cellStyle name="Ввод  132" xfId="15531" xr:uid="{00000000-0005-0000-0000-0000F33B0000}"/>
    <cellStyle name="Ввод  133" xfId="15532" xr:uid="{00000000-0005-0000-0000-0000F43B0000}"/>
    <cellStyle name="Ввод  134" xfId="15533" xr:uid="{00000000-0005-0000-0000-0000F53B0000}"/>
    <cellStyle name="Ввод  135" xfId="15534" xr:uid="{00000000-0005-0000-0000-0000F63B0000}"/>
    <cellStyle name="Ввод  136" xfId="15535" xr:uid="{00000000-0005-0000-0000-0000F73B0000}"/>
    <cellStyle name="Ввод  137" xfId="15536" xr:uid="{00000000-0005-0000-0000-0000F83B0000}"/>
    <cellStyle name="Ввод  138" xfId="15537" xr:uid="{00000000-0005-0000-0000-0000F93B0000}"/>
    <cellStyle name="Ввод  139" xfId="15538" xr:uid="{00000000-0005-0000-0000-0000FA3B0000}"/>
    <cellStyle name="Ввод  14" xfId="15539" xr:uid="{00000000-0005-0000-0000-0000FB3B0000}"/>
    <cellStyle name="Ввод  140" xfId="15540" xr:uid="{00000000-0005-0000-0000-0000FC3B0000}"/>
    <cellStyle name="Ввод  141" xfId="15541" xr:uid="{00000000-0005-0000-0000-0000FD3B0000}"/>
    <cellStyle name="Ввод  142" xfId="15542" xr:uid="{00000000-0005-0000-0000-0000FE3B0000}"/>
    <cellStyle name="Ввод  143" xfId="15543" xr:uid="{00000000-0005-0000-0000-0000FF3B0000}"/>
    <cellStyle name="Ввод  144" xfId="15544" xr:uid="{00000000-0005-0000-0000-0000003C0000}"/>
    <cellStyle name="Ввод  145" xfId="15545" xr:uid="{00000000-0005-0000-0000-0000013C0000}"/>
    <cellStyle name="Ввод  146" xfId="15546" xr:uid="{00000000-0005-0000-0000-0000023C0000}"/>
    <cellStyle name="Ввод  147" xfId="15547" xr:uid="{00000000-0005-0000-0000-0000033C0000}"/>
    <cellStyle name="Ввод  148" xfId="15548" xr:uid="{00000000-0005-0000-0000-0000043C0000}"/>
    <cellStyle name="Ввод  149" xfId="15549" xr:uid="{00000000-0005-0000-0000-0000053C0000}"/>
    <cellStyle name="Ввод  15" xfId="15550" xr:uid="{00000000-0005-0000-0000-0000063C0000}"/>
    <cellStyle name="Ввод  150" xfId="15551" xr:uid="{00000000-0005-0000-0000-0000073C0000}"/>
    <cellStyle name="Ввод  151" xfId="15552" xr:uid="{00000000-0005-0000-0000-0000083C0000}"/>
    <cellStyle name="Ввод  152" xfId="15553" xr:uid="{00000000-0005-0000-0000-0000093C0000}"/>
    <cellStyle name="Ввод  16" xfId="15554" xr:uid="{00000000-0005-0000-0000-00000A3C0000}"/>
    <cellStyle name="Ввод  17" xfId="15555" xr:uid="{00000000-0005-0000-0000-00000B3C0000}"/>
    <cellStyle name="Ввод  18" xfId="15556" xr:uid="{00000000-0005-0000-0000-00000C3C0000}"/>
    <cellStyle name="Ввод  19" xfId="15557" xr:uid="{00000000-0005-0000-0000-00000D3C0000}"/>
    <cellStyle name="Ввод  2" xfId="308" xr:uid="{00000000-0005-0000-0000-00000E3C0000}"/>
    <cellStyle name="Ввод  2 2" xfId="15558" xr:uid="{00000000-0005-0000-0000-00000F3C0000}"/>
    <cellStyle name="Ввод  2 2 2" xfId="15559" xr:uid="{00000000-0005-0000-0000-0000103C0000}"/>
    <cellStyle name="Ввод  2 2 2 2" xfId="15560" xr:uid="{00000000-0005-0000-0000-0000113C0000}"/>
    <cellStyle name="Ввод  2 2 3" xfId="15561" xr:uid="{00000000-0005-0000-0000-0000123C0000}"/>
    <cellStyle name="Ввод  2 2 3 2" xfId="15562" xr:uid="{00000000-0005-0000-0000-0000133C0000}"/>
    <cellStyle name="Ввод  2 2 4" xfId="15563" xr:uid="{00000000-0005-0000-0000-0000143C0000}"/>
    <cellStyle name="Ввод  2 3" xfId="15564" xr:uid="{00000000-0005-0000-0000-0000153C0000}"/>
    <cellStyle name="Ввод  2 3 2" xfId="15565" xr:uid="{00000000-0005-0000-0000-0000163C0000}"/>
    <cellStyle name="Ввод  2 3 2 2" xfId="15566" xr:uid="{00000000-0005-0000-0000-0000173C0000}"/>
    <cellStyle name="Ввод  2 3 3" xfId="15567" xr:uid="{00000000-0005-0000-0000-0000183C0000}"/>
    <cellStyle name="Ввод  2 3 3 2" xfId="15568" xr:uid="{00000000-0005-0000-0000-0000193C0000}"/>
    <cellStyle name="Ввод  2 3 4" xfId="15569" xr:uid="{00000000-0005-0000-0000-00001A3C0000}"/>
    <cellStyle name="Ввод  2 4" xfId="15570" xr:uid="{00000000-0005-0000-0000-00001B3C0000}"/>
    <cellStyle name="Ввод  2 4 2" xfId="15571" xr:uid="{00000000-0005-0000-0000-00001C3C0000}"/>
    <cellStyle name="Ввод  2 5" xfId="15572" xr:uid="{00000000-0005-0000-0000-00001D3C0000}"/>
    <cellStyle name="Ввод  2 5 2" xfId="15573" xr:uid="{00000000-0005-0000-0000-00001E3C0000}"/>
    <cellStyle name="Ввод  2 6" xfId="15574" xr:uid="{00000000-0005-0000-0000-00001F3C0000}"/>
    <cellStyle name="Ввод  2 7" xfId="15575" xr:uid="{00000000-0005-0000-0000-0000203C0000}"/>
    <cellStyle name="Ввод  20" xfId="15576" xr:uid="{00000000-0005-0000-0000-0000213C0000}"/>
    <cellStyle name="Ввод  20 2" xfId="15577" xr:uid="{00000000-0005-0000-0000-0000223C0000}"/>
    <cellStyle name="Ввод  21" xfId="15578" xr:uid="{00000000-0005-0000-0000-0000233C0000}"/>
    <cellStyle name="Ввод  22" xfId="15579" xr:uid="{00000000-0005-0000-0000-0000243C0000}"/>
    <cellStyle name="Ввод  23" xfId="15580" xr:uid="{00000000-0005-0000-0000-0000253C0000}"/>
    <cellStyle name="Ввод  24" xfId="15581" xr:uid="{00000000-0005-0000-0000-0000263C0000}"/>
    <cellStyle name="Ввод  25" xfId="15582" xr:uid="{00000000-0005-0000-0000-0000273C0000}"/>
    <cellStyle name="Ввод  26" xfId="15583" xr:uid="{00000000-0005-0000-0000-0000283C0000}"/>
    <cellStyle name="Ввод  27" xfId="15584" xr:uid="{00000000-0005-0000-0000-0000293C0000}"/>
    <cellStyle name="Ввод  28" xfId="15585" xr:uid="{00000000-0005-0000-0000-00002A3C0000}"/>
    <cellStyle name="Ввод  29" xfId="15586" xr:uid="{00000000-0005-0000-0000-00002B3C0000}"/>
    <cellStyle name="Ввод  3" xfId="309" xr:uid="{00000000-0005-0000-0000-00002C3C0000}"/>
    <cellStyle name="Ввод  30" xfId="15587" xr:uid="{00000000-0005-0000-0000-00002D3C0000}"/>
    <cellStyle name="Ввод  31" xfId="15588" xr:uid="{00000000-0005-0000-0000-00002E3C0000}"/>
    <cellStyle name="Ввод  32" xfId="15589" xr:uid="{00000000-0005-0000-0000-00002F3C0000}"/>
    <cellStyle name="Ввод  33" xfId="15590" xr:uid="{00000000-0005-0000-0000-0000303C0000}"/>
    <cellStyle name="Ввод  34" xfId="15591" xr:uid="{00000000-0005-0000-0000-0000313C0000}"/>
    <cellStyle name="Ввод  35" xfId="15592" xr:uid="{00000000-0005-0000-0000-0000323C0000}"/>
    <cellStyle name="Ввод  36" xfId="15593" xr:uid="{00000000-0005-0000-0000-0000333C0000}"/>
    <cellStyle name="Ввод  37" xfId="15594" xr:uid="{00000000-0005-0000-0000-0000343C0000}"/>
    <cellStyle name="Ввод  38" xfId="15595" xr:uid="{00000000-0005-0000-0000-0000353C0000}"/>
    <cellStyle name="Ввод  39" xfId="15596" xr:uid="{00000000-0005-0000-0000-0000363C0000}"/>
    <cellStyle name="Ввод  4" xfId="310" xr:uid="{00000000-0005-0000-0000-0000373C0000}"/>
    <cellStyle name="Ввод  40" xfId="15597" xr:uid="{00000000-0005-0000-0000-0000383C0000}"/>
    <cellStyle name="Ввод  41" xfId="15598" xr:uid="{00000000-0005-0000-0000-0000393C0000}"/>
    <cellStyle name="Ввод  42" xfId="15599" xr:uid="{00000000-0005-0000-0000-00003A3C0000}"/>
    <cellStyle name="Ввод  43" xfId="15600" xr:uid="{00000000-0005-0000-0000-00003B3C0000}"/>
    <cellStyle name="Ввод  44" xfId="15601" xr:uid="{00000000-0005-0000-0000-00003C3C0000}"/>
    <cellStyle name="Ввод  45" xfId="15602" xr:uid="{00000000-0005-0000-0000-00003D3C0000}"/>
    <cellStyle name="Ввод  46" xfId="15603" xr:uid="{00000000-0005-0000-0000-00003E3C0000}"/>
    <cellStyle name="Ввод  47" xfId="15604" xr:uid="{00000000-0005-0000-0000-00003F3C0000}"/>
    <cellStyle name="Ввод  48" xfId="15605" xr:uid="{00000000-0005-0000-0000-0000403C0000}"/>
    <cellStyle name="Ввод  49" xfId="15606" xr:uid="{00000000-0005-0000-0000-0000413C0000}"/>
    <cellStyle name="Ввод  5" xfId="311" xr:uid="{00000000-0005-0000-0000-0000423C0000}"/>
    <cellStyle name="Ввод  50" xfId="15607" xr:uid="{00000000-0005-0000-0000-0000433C0000}"/>
    <cellStyle name="Ввод  51" xfId="15608" xr:uid="{00000000-0005-0000-0000-0000443C0000}"/>
    <cellStyle name="Ввод  52" xfId="15609" xr:uid="{00000000-0005-0000-0000-0000453C0000}"/>
    <cellStyle name="Ввод  53" xfId="15610" xr:uid="{00000000-0005-0000-0000-0000463C0000}"/>
    <cellStyle name="Ввод  54" xfId="15611" xr:uid="{00000000-0005-0000-0000-0000473C0000}"/>
    <cellStyle name="Ввод  55" xfId="15612" xr:uid="{00000000-0005-0000-0000-0000483C0000}"/>
    <cellStyle name="Ввод  56" xfId="15613" xr:uid="{00000000-0005-0000-0000-0000493C0000}"/>
    <cellStyle name="Ввод  57" xfId="15614" xr:uid="{00000000-0005-0000-0000-00004A3C0000}"/>
    <cellStyle name="Ввод  58" xfId="15615" xr:uid="{00000000-0005-0000-0000-00004B3C0000}"/>
    <cellStyle name="Ввод  59" xfId="15616" xr:uid="{00000000-0005-0000-0000-00004C3C0000}"/>
    <cellStyle name="Ввод  6" xfId="15617" xr:uid="{00000000-0005-0000-0000-00004D3C0000}"/>
    <cellStyle name="Ввод  60" xfId="15618" xr:uid="{00000000-0005-0000-0000-00004E3C0000}"/>
    <cellStyle name="Ввод  61" xfId="15619" xr:uid="{00000000-0005-0000-0000-00004F3C0000}"/>
    <cellStyle name="Ввод  62" xfId="15620" xr:uid="{00000000-0005-0000-0000-0000503C0000}"/>
    <cellStyle name="Ввод  63" xfId="15621" xr:uid="{00000000-0005-0000-0000-0000513C0000}"/>
    <cellStyle name="Ввод  64" xfId="15622" xr:uid="{00000000-0005-0000-0000-0000523C0000}"/>
    <cellStyle name="Ввод  65" xfId="15623" xr:uid="{00000000-0005-0000-0000-0000533C0000}"/>
    <cellStyle name="Ввод  66" xfId="15624" xr:uid="{00000000-0005-0000-0000-0000543C0000}"/>
    <cellStyle name="Ввод  67" xfId="15625" xr:uid="{00000000-0005-0000-0000-0000553C0000}"/>
    <cellStyle name="Ввод  68" xfId="15626" xr:uid="{00000000-0005-0000-0000-0000563C0000}"/>
    <cellStyle name="Ввод  69" xfId="15627" xr:uid="{00000000-0005-0000-0000-0000573C0000}"/>
    <cellStyle name="Ввод  7" xfId="15628" xr:uid="{00000000-0005-0000-0000-0000583C0000}"/>
    <cellStyle name="Ввод  70" xfId="15629" xr:uid="{00000000-0005-0000-0000-0000593C0000}"/>
    <cellStyle name="Ввод  71" xfId="15630" xr:uid="{00000000-0005-0000-0000-00005A3C0000}"/>
    <cellStyle name="Ввод  72" xfId="15631" xr:uid="{00000000-0005-0000-0000-00005B3C0000}"/>
    <cellStyle name="Ввод  73" xfId="15632" xr:uid="{00000000-0005-0000-0000-00005C3C0000}"/>
    <cellStyle name="Ввод  74" xfId="15633" xr:uid="{00000000-0005-0000-0000-00005D3C0000}"/>
    <cellStyle name="Ввод  75" xfId="15634" xr:uid="{00000000-0005-0000-0000-00005E3C0000}"/>
    <cellStyle name="Ввод  76" xfId="15635" xr:uid="{00000000-0005-0000-0000-00005F3C0000}"/>
    <cellStyle name="Ввод  77" xfId="15636" xr:uid="{00000000-0005-0000-0000-0000603C0000}"/>
    <cellStyle name="Ввод  78" xfId="15637" xr:uid="{00000000-0005-0000-0000-0000613C0000}"/>
    <cellStyle name="Ввод  79" xfId="15638" xr:uid="{00000000-0005-0000-0000-0000623C0000}"/>
    <cellStyle name="Ввод  8" xfId="15639" xr:uid="{00000000-0005-0000-0000-0000633C0000}"/>
    <cellStyle name="Ввод  80" xfId="15640" xr:uid="{00000000-0005-0000-0000-0000643C0000}"/>
    <cellStyle name="Ввод  81" xfId="15641" xr:uid="{00000000-0005-0000-0000-0000653C0000}"/>
    <cellStyle name="Ввод  82" xfId="15642" xr:uid="{00000000-0005-0000-0000-0000663C0000}"/>
    <cellStyle name="Ввод  83" xfId="15643" xr:uid="{00000000-0005-0000-0000-0000673C0000}"/>
    <cellStyle name="Ввод  84" xfId="15644" xr:uid="{00000000-0005-0000-0000-0000683C0000}"/>
    <cellStyle name="Ввод  85" xfId="15645" xr:uid="{00000000-0005-0000-0000-0000693C0000}"/>
    <cellStyle name="Ввод  86" xfId="15646" xr:uid="{00000000-0005-0000-0000-00006A3C0000}"/>
    <cellStyle name="Ввод  87" xfId="15647" xr:uid="{00000000-0005-0000-0000-00006B3C0000}"/>
    <cellStyle name="Ввод  88" xfId="15648" xr:uid="{00000000-0005-0000-0000-00006C3C0000}"/>
    <cellStyle name="Ввод  89" xfId="15649" xr:uid="{00000000-0005-0000-0000-00006D3C0000}"/>
    <cellStyle name="Ввод  9" xfId="15650" xr:uid="{00000000-0005-0000-0000-00006E3C0000}"/>
    <cellStyle name="Ввод  90" xfId="15651" xr:uid="{00000000-0005-0000-0000-00006F3C0000}"/>
    <cellStyle name="Ввод  91" xfId="15652" xr:uid="{00000000-0005-0000-0000-0000703C0000}"/>
    <cellStyle name="Ввод  92" xfId="15653" xr:uid="{00000000-0005-0000-0000-0000713C0000}"/>
    <cellStyle name="Ввод  93" xfId="15654" xr:uid="{00000000-0005-0000-0000-0000723C0000}"/>
    <cellStyle name="Ввод  94" xfId="15655" xr:uid="{00000000-0005-0000-0000-0000733C0000}"/>
    <cellStyle name="Ввод  95" xfId="15656" xr:uid="{00000000-0005-0000-0000-0000743C0000}"/>
    <cellStyle name="Ввод  96" xfId="15657" xr:uid="{00000000-0005-0000-0000-0000753C0000}"/>
    <cellStyle name="Ввод  97" xfId="15658" xr:uid="{00000000-0005-0000-0000-0000763C0000}"/>
    <cellStyle name="Ввод  98" xfId="15659" xr:uid="{00000000-0005-0000-0000-0000773C0000}"/>
    <cellStyle name="Ввод  99" xfId="15660" xr:uid="{00000000-0005-0000-0000-0000783C0000}"/>
    <cellStyle name="Верт. заголовок" xfId="15661" xr:uid="{00000000-0005-0000-0000-0000793C0000}"/>
    <cellStyle name="Выбор варианта" xfId="15662" xr:uid="{00000000-0005-0000-0000-00007A3C0000}"/>
    <cellStyle name="Вывод 10" xfId="15663" xr:uid="{00000000-0005-0000-0000-00007B3C0000}"/>
    <cellStyle name="Вывод 100" xfId="15664" xr:uid="{00000000-0005-0000-0000-00007C3C0000}"/>
    <cellStyle name="Вывод 101" xfId="15665" xr:uid="{00000000-0005-0000-0000-00007D3C0000}"/>
    <cellStyle name="Вывод 102" xfId="15666" xr:uid="{00000000-0005-0000-0000-00007E3C0000}"/>
    <cellStyle name="Вывод 103" xfId="15667" xr:uid="{00000000-0005-0000-0000-00007F3C0000}"/>
    <cellStyle name="Вывод 104" xfId="15668" xr:uid="{00000000-0005-0000-0000-0000803C0000}"/>
    <cellStyle name="Вывод 105" xfId="15669" xr:uid="{00000000-0005-0000-0000-0000813C0000}"/>
    <cellStyle name="Вывод 106" xfId="15670" xr:uid="{00000000-0005-0000-0000-0000823C0000}"/>
    <cellStyle name="Вывод 107" xfId="15671" xr:uid="{00000000-0005-0000-0000-0000833C0000}"/>
    <cellStyle name="Вывод 108" xfId="15672" xr:uid="{00000000-0005-0000-0000-0000843C0000}"/>
    <cellStyle name="Вывод 109" xfId="15673" xr:uid="{00000000-0005-0000-0000-0000853C0000}"/>
    <cellStyle name="Вывод 11" xfId="15674" xr:uid="{00000000-0005-0000-0000-0000863C0000}"/>
    <cellStyle name="Вывод 110" xfId="15675" xr:uid="{00000000-0005-0000-0000-0000873C0000}"/>
    <cellStyle name="Вывод 111" xfId="15676" xr:uid="{00000000-0005-0000-0000-0000883C0000}"/>
    <cellStyle name="Вывод 112" xfId="15677" xr:uid="{00000000-0005-0000-0000-0000893C0000}"/>
    <cellStyle name="Вывод 113" xfId="15678" xr:uid="{00000000-0005-0000-0000-00008A3C0000}"/>
    <cellStyle name="Вывод 114" xfId="15679" xr:uid="{00000000-0005-0000-0000-00008B3C0000}"/>
    <cellStyle name="Вывод 115" xfId="15680" xr:uid="{00000000-0005-0000-0000-00008C3C0000}"/>
    <cellStyle name="Вывод 116" xfId="15681" xr:uid="{00000000-0005-0000-0000-00008D3C0000}"/>
    <cellStyle name="Вывод 117" xfId="15682" xr:uid="{00000000-0005-0000-0000-00008E3C0000}"/>
    <cellStyle name="Вывод 118" xfId="15683" xr:uid="{00000000-0005-0000-0000-00008F3C0000}"/>
    <cellStyle name="Вывод 119" xfId="15684" xr:uid="{00000000-0005-0000-0000-0000903C0000}"/>
    <cellStyle name="Вывод 12" xfId="15685" xr:uid="{00000000-0005-0000-0000-0000913C0000}"/>
    <cellStyle name="Вывод 120" xfId="15686" xr:uid="{00000000-0005-0000-0000-0000923C0000}"/>
    <cellStyle name="Вывод 121" xfId="15687" xr:uid="{00000000-0005-0000-0000-0000933C0000}"/>
    <cellStyle name="Вывод 122" xfId="15688" xr:uid="{00000000-0005-0000-0000-0000943C0000}"/>
    <cellStyle name="Вывод 123" xfId="15689" xr:uid="{00000000-0005-0000-0000-0000953C0000}"/>
    <cellStyle name="Вывод 124" xfId="15690" xr:uid="{00000000-0005-0000-0000-0000963C0000}"/>
    <cellStyle name="Вывод 125" xfId="15691" xr:uid="{00000000-0005-0000-0000-0000973C0000}"/>
    <cellStyle name="Вывод 126" xfId="15692" xr:uid="{00000000-0005-0000-0000-0000983C0000}"/>
    <cellStyle name="Вывод 127" xfId="15693" xr:uid="{00000000-0005-0000-0000-0000993C0000}"/>
    <cellStyle name="Вывод 128" xfId="15694" xr:uid="{00000000-0005-0000-0000-00009A3C0000}"/>
    <cellStyle name="Вывод 129" xfId="15695" xr:uid="{00000000-0005-0000-0000-00009B3C0000}"/>
    <cellStyle name="Вывод 13" xfId="15696" xr:uid="{00000000-0005-0000-0000-00009C3C0000}"/>
    <cellStyle name="Вывод 130" xfId="15697" xr:uid="{00000000-0005-0000-0000-00009D3C0000}"/>
    <cellStyle name="Вывод 131" xfId="15698" xr:uid="{00000000-0005-0000-0000-00009E3C0000}"/>
    <cellStyle name="Вывод 132" xfId="15699" xr:uid="{00000000-0005-0000-0000-00009F3C0000}"/>
    <cellStyle name="Вывод 133" xfId="15700" xr:uid="{00000000-0005-0000-0000-0000A03C0000}"/>
    <cellStyle name="Вывод 134" xfId="15701" xr:uid="{00000000-0005-0000-0000-0000A13C0000}"/>
    <cellStyle name="Вывод 135" xfId="15702" xr:uid="{00000000-0005-0000-0000-0000A23C0000}"/>
    <cellStyle name="Вывод 136" xfId="15703" xr:uid="{00000000-0005-0000-0000-0000A33C0000}"/>
    <cellStyle name="Вывод 137" xfId="15704" xr:uid="{00000000-0005-0000-0000-0000A43C0000}"/>
    <cellStyle name="Вывод 138" xfId="15705" xr:uid="{00000000-0005-0000-0000-0000A53C0000}"/>
    <cellStyle name="Вывод 139" xfId="15706" xr:uid="{00000000-0005-0000-0000-0000A63C0000}"/>
    <cellStyle name="Вывод 14" xfId="15707" xr:uid="{00000000-0005-0000-0000-0000A73C0000}"/>
    <cellStyle name="Вывод 140" xfId="15708" xr:uid="{00000000-0005-0000-0000-0000A83C0000}"/>
    <cellStyle name="Вывод 141" xfId="15709" xr:uid="{00000000-0005-0000-0000-0000A93C0000}"/>
    <cellStyle name="Вывод 142" xfId="15710" xr:uid="{00000000-0005-0000-0000-0000AA3C0000}"/>
    <cellStyle name="Вывод 143" xfId="15711" xr:uid="{00000000-0005-0000-0000-0000AB3C0000}"/>
    <cellStyle name="Вывод 144" xfId="15712" xr:uid="{00000000-0005-0000-0000-0000AC3C0000}"/>
    <cellStyle name="Вывод 145" xfId="15713" xr:uid="{00000000-0005-0000-0000-0000AD3C0000}"/>
    <cellStyle name="Вывод 146" xfId="15714" xr:uid="{00000000-0005-0000-0000-0000AE3C0000}"/>
    <cellStyle name="Вывод 147" xfId="15715" xr:uid="{00000000-0005-0000-0000-0000AF3C0000}"/>
    <cellStyle name="Вывод 148" xfId="15716" xr:uid="{00000000-0005-0000-0000-0000B03C0000}"/>
    <cellStyle name="Вывод 149" xfId="15717" xr:uid="{00000000-0005-0000-0000-0000B13C0000}"/>
    <cellStyle name="Вывод 15" xfId="15718" xr:uid="{00000000-0005-0000-0000-0000B23C0000}"/>
    <cellStyle name="Вывод 150" xfId="15719" xr:uid="{00000000-0005-0000-0000-0000B33C0000}"/>
    <cellStyle name="Вывод 151" xfId="15720" xr:uid="{00000000-0005-0000-0000-0000B43C0000}"/>
    <cellStyle name="Вывод 152" xfId="15721" xr:uid="{00000000-0005-0000-0000-0000B53C0000}"/>
    <cellStyle name="Вывод 16" xfId="15722" xr:uid="{00000000-0005-0000-0000-0000B63C0000}"/>
    <cellStyle name="Вывод 17" xfId="15723" xr:uid="{00000000-0005-0000-0000-0000B73C0000}"/>
    <cellStyle name="Вывод 18" xfId="15724" xr:uid="{00000000-0005-0000-0000-0000B83C0000}"/>
    <cellStyle name="Вывод 19" xfId="15725" xr:uid="{00000000-0005-0000-0000-0000B93C0000}"/>
    <cellStyle name="Вывод 2" xfId="312" xr:uid="{00000000-0005-0000-0000-0000BA3C0000}"/>
    <cellStyle name="Вывод 2 2" xfId="15726" xr:uid="{00000000-0005-0000-0000-0000BB3C0000}"/>
    <cellStyle name="Вывод 2 2 2" xfId="15727" xr:uid="{00000000-0005-0000-0000-0000BC3C0000}"/>
    <cellStyle name="Вывод 2 2 2 2" xfId="15728" xr:uid="{00000000-0005-0000-0000-0000BD3C0000}"/>
    <cellStyle name="Вывод 2 2 3" xfId="15729" xr:uid="{00000000-0005-0000-0000-0000BE3C0000}"/>
    <cellStyle name="Вывод 2 2 3 2" xfId="15730" xr:uid="{00000000-0005-0000-0000-0000BF3C0000}"/>
    <cellStyle name="Вывод 2 2 4" xfId="15731" xr:uid="{00000000-0005-0000-0000-0000C03C0000}"/>
    <cellStyle name="Вывод 2 3" xfId="15732" xr:uid="{00000000-0005-0000-0000-0000C13C0000}"/>
    <cellStyle name="Вывод 2 3 2" xfId="15733" xr:uid="{00000000-0005-0000-0000-0000C23C0000}"/>
    <cellStyle name="Вывод 2 3 2 2" xfId="15734" xr:uid="{00000000-0005-0000-0000-0000C33C0000}"/>
    <cellStyle name="Вывод 2 3 3" xfId="15735" xr:uid="{00000000-0005-0000-0000-0000C43C0000}"/>
    <cellStyle name="Вывод 2 3 3 2" xfId="15736" xr:uid="{00000000-0005-0000-0000-0000C53C0000}"/>
    <cellStyle name="Вывод 2 3 4" xfId="15737" xr:uid="{00000000-0005-0000-0000-0000C63C0000}"/>
    <cellStyle name="Вывод 2 4" xfId="15738" xr:uid="{00000000-0005-0000-0000-0000C73C0000}"/>
    <cellStyle name="Вывод 2 4 2" xfId="15739" xr:uid="{00000000-0005-0000-0000-0000C83C0000}"/>
    <cellStyle name="Вывод 2 5" xfId="15740" xr:uid="{00000000-0005-0000-0000-0000C93C0000}"/>
    <cellStyle name="Вывод 2 5 2" xfId="15741" xr:uid="{00000000-0005-0000-0000-0000CA3C0000}"/>
    <cellStyle name="Вывод 2 6" xfId="15742" xr:uid="{00000000-0005-0000-0000-0000CB3C0000}"/>
    <cellStyle name="Вывод 2 7" xfId="15743" xr:uid="{00000000-0005-0000-0000-0000CC3C0000}"/>
    <cellStyle name="Вывод 20" xfId="15744" xr:uid="{00000000-0005-0000-0000-0000CD3C0000}"/>
    <cellStyle name="Вывод 20 2" xfId="15745" xr:uid="{00000000-0005-0000-0000-0000CE3C0000}"/>
    <cellStyle name="Вывод 21" xfId="15746" xr:uid="{00000000-0005-0000-0000-0000CF3C0000}"/>
    <cellStyle name="Вывод 22" xfId="15747" xr:uid="{00000000-0005-0000-0000-0000D03C0000}"/>
    <cellStyle name="Вывод 23" xfId="15748" xr:uid="{00000000-0005-0000-0000-0000D13C0000}"/>
    <cellStyle name="Вывод 24" xfId="15749" xr:uid="{00000000-0005-0000-0000-0000D23C0000}"/>
    <cellStyle name="Вывод 25" xfId="15750" xr:uid="{00000000-0005-0000-0000-0000D33C0000}"/>
    <cellStyle name="Вывод 26" xfId="15751" xr:uid="{00000000-0005-0000-0000-0000D43C0000}"/>
    <cellStyle name="Вывод 27" xfId="15752" xr:uid="{00000000-0005-0000-0000-0000D53C0000}"/>
    <cellStyle name="Вывод 28" xfId="15753" xr:uid="{00000000-0005-0000-0000-0000D63C0000}"/>
    <cellStyle name="Вывод 29" xfId="15754" xr:uid="{00000000-0005-0000-0000-0000D73C0000}"/>
    <cellStyle name="Вывод 3" xfId="313" xr:uid="{00000000-0005-0000-0000-0000D83C0000}"/>
    <cellStyle name="Вывод 30" xfId="15755" xr:uid="{00000000-0005-0000-0000-0000D93C0000}"/>
    <cellStyle name="Вывод 31" xfId="15756" xr:uid="{00000000-0005-0000-0000-0000DA3C0000}"/>
    <cellStyle name="Вывод 32" xfId="15757" xr:uid="{00000000-0005-0000-0000-0000DB3C0000}"/>
    <cellStyle name="Вывод 33" xfId="15758" xr:uid="{00000000-0005-0000-0000-0000DC3C0000}"/>
    <cellStyle name="Вывод 34" xfId="15759" xr:uid="{00000000-0005-0000-0000-0000DD3C0000}"/>
    <cellStyle name="Вывод 35" xfId="15760" xr:uid="{00000000-0005-0000-0000-0000DE3C0000}"/>
    <cellStyle name="Вывод 36" xfId="15761" xr:uid="{00000000-0005-0000-0000-0000DF3C0000}"/>
    <cellStyle name="Вывод 37" xfId="15762" xr:uid="{00000000-0005-0000-0000-0000E03C0000}"/>
    <cellStyle name="Вывод 38" xfId="15763" xr:uid="{00000000-0005-0000-0000-0000E13C0000}"/>
    <cellStyle name="Вывод 39" xfId="15764" xr:uid="{00000000-0005-0000-0000-0000E23C0000}"/>
    <cellStyle name="Вывод 4" xfId="314" xr:uid="{00000000-0005-0000-0000-0000E33C0000}"/>
    <cellStyle name="Вывод 40" xfId="15765" xr:uid="{00000000-0005-0000-0000-0000E43C0000}"/>
    <cellStyle name="Вывод 41" xfId="15766" xr:uid="{00000000-0005-0000-0000-0000E53C0000}"/>
    <cellStyle name="Вывод 42" xfId="15767" xr:uid="{00000000-0005-0000-0000-0000E63C0000}"/>
    <cellStyle name="Вывод 43" xfId="15768" xr:uid="{00000000-0005-0000-0000-0000E73C0000}"/>
    <cellStyle name="Вывод 44" xfId="15769" xr:uid="{00000000-0005-0000-0000-0000E83C0000}"/>
    <cellStyle name="Вывод 45" xfId="15770" xr:uid="{00000000-0005-0000-0000-0000E93C0000}"/>
    <cellStyle name="Вывод 46" xfId="15771" xr:uid="{00000000-0005-0000-0000-0000EA3C0000}"/>
    <cellStyle name="Вывод 47" xfId="15772" xr:uid="{00000000-0005-0000-0000-0000EB3C0000}"/>
    <cellStyle name="Вывод 48" xfId="15773" xr:uid="{00000000-0005-0000-0000-0000EC3C0000}"/>
    <cellStyle name="Вывод 49" xfId="15774" xr:uid="{00000000-0005-0000-0000-0000ED3C0000}"/>
    <cellStyle name="Вывод 5" xfId="315" xr:uid="{00000000-0005-0000-0000-0000EE3C0000}"/>
    <cellStyle name="Вывод 50" xfId="15775" xr:uid="{00000000-0005-0000-0000-0000EF3C0000}"/>
    <cellStyle name="Вывод 51" xfId="15776" xr:uid="{00000000-0005-0000-0000-0000F03C0000}"/>
    <cellStyle name="Вывод 52" xfId="15777" xr:uid="{00000000-0005-0000-0000-0000F13C0000}"/>
    <cellStyle name="Вывод 53" xfId="15778" xr:uid="{00000000-0005-0000-0000-0000F23C0000}"/>
    <cellStyle name="Вывод 54" xfId="15779" xr:uid="{00000000-0005-0000-0000-0000F33C0000}"/>
    <cellStyle name="Вывод 55" xfId="15780" xr:uid="{00000000-0005-0000-0000-0000F43C0000}"/>
    <cellStyle name="Вывод 56" xfId="15781" xr:uid="{00000000-0005-0000-0000-0000F53C0000}"/>
    <cellStyle name="Вывод 57" xfId="15782" xr:uid="{00000000-0005-0000-0000-0000F63C0000}"/>
    <cellStyle name="Вывод 58" xfId="15783" xr:uid="{00000000-0005-0000-0000-0000F73C0000}"/>
    <cellStyle name="Вывод 59" xfId="15784" xr:uid="{00000000-0005-0000-0000-0000F83C0000}"/>
    <cellStyle name="Вывод 6" xfId="15785" xr:uid="{00000000-0005-0000-0000-0000F93C0000}"/>
    <cellStyle name="Вывод 60" xfId="15786" xr:uid="{00000000-0005-0000-0000-0000FA3C0000}"/>
    <cellStyle name="Вывод 61" xfId="15787" xr:uid="{00000000-0005-0000-0000-0000FB3C0000}"/>
    <cellStyle name="Вывод 62" xfId="15788" xr:uid="{00000000-0005-0000-0000-0000FC3C0000}"/>
    <cellStyle name="Вывод 63" xfId="15789" xr:uid="{00000000-0005-0000-0000-0000FD3C0000}"/>
    <cellStyle name="Вывод 64" xfId="15790" xr:uid="{00000000-0005-0000-0000-0000FE3C0000}"/>
    <cellStyle name="Вывод 65" xfId="15791" xr:uid="{00000000-0005-0000-0000-0000FF3C0000}"/>
    <cellStyle name="Вывод 66" xfId="15792" xr:uid="{00000000-0005-0000-0000-0000003D0000}"/>
    <cellStyle name="Вывод 67" xfId="15793" xr:uid="{00000000-0005-0000-0000-0000013D0000}"/>
    <cellStyle name="Вывод 68" xfId="15794" xr:uid="{00000000-0005-0000-0000-0000023D0000}"/>
    <cellStyle name="Вывод 69" xfId="15795" xr:uid="{00000000-0005-0000-0000-0000033D0000}"/>
    <cellStyle name="Вывод 7" xfId="15796" xr:uid="{00000000-0005-0000-0000-0000043D0000}"/>
    <cellStyle name="Вывод 70" xfId="15797" xr:uid="{00000000-0005-0000-0000-0000053D0000}"/>
    <cellStyle name="Вывод 71" xfId="15798" xr:uid="{00000000-0005-0000-0000-0000063D0000}"/>
    <cellStyle name="Вывод 72" xfId="15799" xr:uid="{00000000-0005-0000-0000-0000073D0000}"/>
    <cellStyle name="Вывод 73" xfId="15800" xr:uid="{00000000-0005-0000-0000-0000083D0000}"/>
    <cellStyle name="Вывод 74" xfId="15801" xr:uid="{00000000-0005-0000-0000-0000093D0000}"/>
    <cellStyle name="Вывод 75" xfId="15802" xr:uid="{00000000-0005-0000-0000-00000A3D0000}"/>
    <cellStyle name="Вывод 76" xfId="15803" xr:uid="{00000000-0005-0000-0000-00000B3D0000}"/>
    <cellStyle name="Вывод 77" xfId="15804" xr:uid="{00000000-0005-0000-0000-00000C3D0000}"/>
    <cellStyle name="Вывод 78" xfId="15805" xr:uid="{00000000-0005-0000-0000-00000D3D0000}"/>
    <cellStyle name="Вывод 79" xfId="15806" xr:uid="{00000000-0005-0000-0000-00000E3D0000}"/>
    <cellStyle name="Вывод 8" xfId="15807" xr:uid="{00000000-0005-0000-0000-00000F3D0000}"/>
    <cellStyle name="Вывод 80" xfId="15808" xr:uid="{00000000-0005-0000-0000-0000103D0000}"/>
    <cellStyle name="Вывод 81" xfId="15809" xr:uid="{00000000-0005-0000-0000-0000113D0000}"/>
    <cellStyle name="Вывод 82" xfId="15810" xr:uid="{00000000-0005-0000-0000-0000123D0000}"/>
    <cellStyle name="Вывод 83" xfId="15811" xr:uid="{00000000-0005-0000-0000-0000133D0000}"/>
    <cellStyle name="Вывод 84" xfId="15812" xr:uid="{00000000-0005-0000-0000-0000143D0000}"/>
    <cellStyle name="Вывод 85" xfId="15813" xr:uid="{00000000-0005-0000-0000-0000153D0000}"/>
    <cellStyle name="Вывод 86" xfId="15814" xr:uid="{00000000-0005-0000-0000-0000163D0000}"/>
    <cellStyle name="Вывод 87" xfId="15815" xr:uid="{00000000-0005-0000-0000-0000173D0000}"/>
    <cellStyle name="Вывод 88" xfId="15816" xr:uid="{00000000-0005-0000-0000-0000183D0000}"/>
    <cellStyle name="Вывод 89" xfId="15817" xr:uid="{00000000-0005-0000-0000-0000193D0000}"/>
    <cellStyle name="Вывод 9" xfId="15818" xr:uid="{00000000-0005-0000-0000-00001A3D0000}"/>
    <cellStyle name="Вывод 90" xfId="15819" xr:uid="{00000000-0005-0000-0000-00001B3D0000}"/>
    <cellStyle name="Вывод 91" xfId="15820" xr:uid="{00000000-0005-0000-0000-00001C3D0000}"/>
    <cellStyle name="Вывод 92" xfId="15821" xr:uid="{00000000-0005-0000-0000-00001D3D0000}"/>
    <cellStyle name="Вывод 93" xfId="15822" xr:uid="{00000000-0005-0000-0000-00001E3D0000}"/>
    <cellStyle name="Вывод 94" xfId="15823" xr:uid="{00000000-0005-0000-0000-00001F3D0000}"/>
    <cellStyle name="Вывод 95" xfId="15824" xr:uid="{00000000-0005-0000-0000-0000203D0000}"/>
    <cellStyle name="Вывод 96" xfId="15825" xr:uid="{00000000-0005-0000-0000-0000213D0000}"/>
    <cellStyle name="Вывод 97" xfId="15826" xr:uid="{00000000-0005-0000-0000-0000223D0000}"/>
    <cellStyle name="Вывод 98" xfId="15827" xr:uid="{00000000-0005-0000-0000-0000233D0000}"/>
    <cellStyle name="Вывод 99" xfId="15828" xr:uid="{00000000-0005-0000-0000-0000243D0000}"/>
    <cellStyle name="Вычисление 10" xfId="15829" xr:uid="{00000000-0005-0000-0000-0000253D0000}"/>
    <cellStyle name="Вычисление 100" xfId="15830" xr:uid="{00000000-0005-0000-0000-0000263D0000}"/>
    <cellStyle name="Вычисление 101" xfId="15831" xr:uid="{00000000-0005-0000-0000-0000273D0000}"/>
    <cellStyle name="Вычисление 102" xfId="15832" xr:uid="{00000000-0005-0000-0000-0000283D0000}"/>
    <cellStyle name="Вычисление 103" xfId="15833" xr:uid="{00000000-0005-0000-0000-0000293D0000}"/>
    <cellStyle name="Вычисление 104" xfId="15834" xr:uid="{00000000-0005-0000-0000-00002A3D0000}"/>
    <cellStyle name="Вычисление 105" xfId="15835" xr:uid="{00000000-0005-0000-0000-00002B3D0000}"/>
    <cellStyle name="Вычисление 106" xfId="15836" xr:uid="{00000000-0005-0000-0000-00002C3D0000}"/>
    <cellStyle name="Вычисление 107" xfId="15837" xr:uid="{00000000-0005-0000-0000-00002D3D0000}"/>
    <cellStyle name="Вычисление 108" xfId="15838" xr:uid="{00000000-0005-0000-0000-00002E3D0000}"/>
    <cellStyle name="Вычисление 109" xfId="15839" xr:uid="{00000000-0005-0000-0000-00002F3D0000}"/>
    <cellStyle name="Вычисление 11" xfId="15840" xr:uid="{00000000-0005-0000-0000-0000303D0000}"/>
    <cellStyle name="Вычисление 110" xfId="15841" xr:uid="{00000000-0005-0000-0000-0000313D0000}"/>
    <cellStyle name="Вычисление 111" xfId="15842" xr:uid="{00000000-0005-0000-0000-0000323D0000}"/>
    <cellStyle name="Вычисление 112" xfId="15843" xr:uid="{00000000-0005-0000-0000-0000333D0000}"/>
    <cellStyle name="Вычисление 113" xfId="15844" xr:uid="{00000000-0005-0000-0000-0000343D0000}"/>
    <cellStyle name="Вычисление 114" xfId="15845" xr:uid="{00000000-0005-0000-0000-0000353D0000}"/>
    <cellStyle name="Вычисление 115" xfId="15846" xr:uid="{00000000-0005-0000-0000-0000363D0000}"/>
    <cellStyle name="Вычисление 116" xfId="15847" xr:uid="{00000000-0005-0000-0000-0000373D0000}"/>
    <cellStyle name="Вычисление 117" xfId="15848" xr:uid="{00000000-0005-0000-0000-0000383D0000}"/>
    <cellStyle name="Вычисление 118" xfId="15849" xr:uid="{00000000-0005-0000-0000-0000393D0000}"/>
    <cellStyle name="Вычисление 119" xfId="15850" xr:uid="{00000000-0005-0000-0000-00003A3D0000}"/>
    <cellStyle name="Вычисление 12" xfId="15851" xr:uid="{00000000-0005-0000-0000-00003B3D0000}"/>
    <cellStyle name="Вычисление 120" xfId="15852" xr:uid="{00000000-0005-0000-0000-00003C3D0000}"/>
    <cellStyle name="Вычисление 121" xfId="15853" xr:uid="{00000000-0005-0000-0000-00003D3D0000}"/>
    <cellStyle name="Вычисление 122" xfId="15854" xr:uid="{00000000-0005-0000-0000-00003E3D0000}"/>
    <cellStyle name="Вычисление 123" xfId="15855" xr:uid="{00000000-0005-0000-0000-00003F3D0000}"/>
    <cellStyle name="Вычисление 124" xfId="15856" xr:uid="{00000000-0005-0000-0000-0000403D0000}"/>
    <cellStyle name="Вычисление 125" xfId="15857" xr:uid="{00000000-0005-0000-0000-0000413D0000}"/>
    <cellStyle name="Вычисление 126" xfId="15858" xr:uid="{00000000-0005-0000-0000-0000423D0000}"/>
    <cellStyle name="Вычисление 127" xfId="15859" xr:uid="{00000000-0005-0000-0000-0000433D0000}"/>
    <cellStyle name="Вычисление 128" xfId="15860" xr:uid="{00000000-0005-0000-0000-0000443D0000}"/>
    <cellStyle name="Вычисление 129" xfId="15861" xr:uid="{00000000-0005-0000-0000-0000453D0000}"/>
    <cellStyle name="Вычисление 13" xfId="15862" xr:uid="{00000000-0005-0000-0000-0000463D0000}"/>
    <cellStyle name="Вычисление 130" xfId="15863" xr:uid="{00000000-0005-0000-0000-0000473D0000}"/>
    <cellStyle name="Вычисление 131" xfId="15864" xr:uid="{00000000-0005-0000-0000-0000483D0000}"/>
    <cellStyle name="Вычисление 132" xfId="15865" xr:uid="{00000000-0005-0000-0000-0000493D0000}"/>
    <cellStyle name="Вычисление 133" xfId="15866" xr:uid="{00000000-0005-0000-0000-00004A3D0000}"/>
    <cellStyle name="Вычисление 134" xfId="15867" xr:uid="{00000000-0005-0000-0000-00004B3D0000}"/>
    <cellStyle name="Вычисление 135" xfId="15868" xr:uid="{00000000-0005-0000-0000-00004C3D0000}"/>
    <cellStyle name="Вычисление 136" xfId="15869" xr:uid="{00000000-0005-0000-0000-00004D3D0000}"/>
    <cellStyle name="Вычисление 137" xfId="15870" xr:uid="{00000000-0005-0000-0000-00004E3D0000}"/>
    <cellStyle name="Вычисление 138" xfId="15871" xr:uid="{00000000-0005-0000-0000-00004F3D0000}"/>
    <cellStyle name="Вычисление 139" xfId="15872" xr:uid="{00000000-0005-0000-0000-0000503D0000}"/>
    <cellStyle name="Вычисление 14" xfId="15873" xr:uid="{00000000-0005-0000-0000-0000513D0000}"/>
    <cellStyle name="Вычисление 140" xfId="15874" xr:uid="{00000000-0005-0000-0000-0000523D0000}"/>
    <cellStyle name="Вычисление 141" xfId="15875" xr:uid="{00000000-0005-0000-0000-0000533D0000}"/>
    <cellStyle name="Вычисление 142" xfId="15876" xr:uid="{00000000-0005-0000-0000-0000543D0000}"/>
    <cellStyle name="Вычисление 143" xfId="15877" xr:uid="{00000000-0005-0000-0000-0000553D0000}"/>
    <cellStyle name="Вычисление 144" xfId="15878" xr:uid="{00000000-0005-0000-0000-0000563D0000}"/>
    <cellStyle name="Вычисление 145" xfId="15879" xr:uid="{00000000-0005-0000-0000-0000573D0000}"/>
    <cellStyle name="Вычисление 146" xfId="15880" xr:uid="{00000000-0005-0000-0000-0000583D0000}"/>
    <cellStyle name="Вычисление 147" xfId="15881" xr:uid="{00000000-0005-0000-0000-0000593D0000}"/>
    <cellStyle name="Вычисление 148" xfId="15882" xr:uid="{00000000-0005-0000-0000-00005A3D0000}"/>
    <cellStyle name="Вычисление 149" xfId="15883" xr:uid="{00000000-0005-0000-0000-00005B3D0000}"/>
    <cellStyle name="Вычисление 15" xfId="15884" xr:uid="{00000000-0005-0000-0000-00005C3D0000}"/>
    <cellStyle name="Вычисление 150" xfId="15885" xr:uid="{00000000-0005-0000-0000-00005D3D0000}"/>
    <cellStyle name="Вычисление 151" xfId="15886" xr:uid="{00000000-0005-0000-0000-00005E3D0000}"/>
    <cellStyle name="Вычисление 152" xfId="15887" xr:uid="{00000000-0005-0000-0000-00005F3D0000}"/>
    <cellStyle name="Вычисление 16" xfId="15888" xr:uid="{00000000-0005-0000-0000-0000603D0000}"/>
    <cellStyle name="Вычисление 17" xfId="15889" xr:uid="{00000000-0005-0000-0000-0000613D0000}"/>
    <cellStyle name="Вычисление 18" xfId="15890" xr:uid="{00000000-0005-0000-0000-0000623D0000}"/>
    <cellStyle name="Вычисление 19" xfId="15891" xr:uid="{00000000-0005-0000-0000-0000633D0000}"/>
    <cellStyle name="Вычисление 2" xfId="316" xr:uid="{00000000-0005-0000-0000-0000643D0000}"/>
    <cellStyle name="Вычисление 2 2" xfId="15892" xr:uid="{00000000-0005-0000-0000-0000653D0000}"/>
    <cellStyle name="Вычисление 2 2 2" xfId="15893" xr:uid="{00000000-0005-0000-0000-0000663D0000}"/>
    <cellStyle name="Вычисление 2 2 2 2" xfId="15894" xr:uid="{00000000-0005-0000-0000-0000673D0000}"/>
    <cellStyle name="Вычисление 2 2 3" xfId="15895" xr:uid="{00000000-0005-0000-0000-0000683D0000}"/>
    <cellStyle name="Вычисление 2 2 3 2" xfId="15896" xr:uid="{00000000-0005-0000-0000-0000693D0000}"/>
    <cellStyle name="Вычисление 2 2 4" xfId="15897" xr:uid="{00000000-0005-0000-0000-00006A3D0000}"/>
    <cellStyle name="Вычисление 2 3" xfId="15898" xr:uid="{00000000-0005-0000-0000-00006B3D0000}"/>
    <cellStyle name="Вычисление 2 3 2" xfId="15899" xr:uid="{00000000-0005-0000-0000-00006C3D0000}"/>
    <cellStyle name="Вычисление 2 3 2 2" xfId="15900" xr:uid="{00000000-0005-0000-0000-00006D3D0000}"/>
    <cellStyle name="Вычисление 2 3 3" xfId="15901" xr:uid="{00000000-0005-0000-0000-00006E3D0000}"/>
    <cellStyle name="Вычисление 2 3 3 2" xfId="15902" xr:uid="{00000000-0005-0000-0000-00006F3D0000}"/>
    <cellStyle name="Вычисление 2 3 4" xfId="15903" xr:uid="{00000000-0005-0000-0000-0000703D0000}"/>
    <cellStyle name="Вычисление 2 4" xfId="15904" xr:uid="{00000000-0005-0000-0000-0000713D0000}"/>
    <cellStyle name="Вычисление 2 4 2" xfId="15905" xr:uid="{00000000-0005-0000-0000-0000723D0000}"/>
    <cellStyle name="Вычисление 2 5" xfId="15906" xr:uid="{00000000-0005-0000-0000-0000733D0000}"/>
    <cellStyle name="Вычисление 2 5 2" xfId="15907" xr:uid="{00000000-0005-0000-0000-0000743D0000}"/>
    <cellStyle name="Вычисление 2 6" xfId="15908" xr:uid="{00000000-0005-0000-0000-0000753D0000}"/>
    <cellStyle name="Вычисление 2 7" xfId="15909" xr:uid="{00000000-0005-0000-0000-0000763D0000}"/>
    <cellStyle name="Вычисление 20" xfId="15910" xr:uid="{00000000-0005-0000-0000-0000773D0000}"/>
    <cellStyle name="Вычисление 20 2" xfId="15911" xr:uid="{00000000-0005-0000-0000-0000783D0000}"/>
    <cellStyle name="Вычисление 21" xfId="15912" xr:uid="{00000000-0005-0000-0000-0000793D0000}"/>
    <cellStyle name="Вычисление 22" xfId="15913" xr:uid="{00000000-0005-0000-0000-00007A3D0000}"/>
    <cellStyle name="Вычисление 23" xfId="15914" xr:uid="{00000000-0005-0000-0000-00007B3D0000}"/>
    <cellStyle name="Вычисление 24" xfId="15915" xr:uid="{00000000-0005-0000-0000-00007C3D0000}"/>
    <cellStyle name="Вычисление 25" xfId="15916" xr:uid="{00000000-0005-0000-0000-00007D3D0000}"/>
    <cellStyle name="Вычисление 26" xfId="15917" xr:uid="{00000000-0005-0000-0000-00007E3D0000}"/>
    <cellStyle name="Вычисление 27" xfId="15918" xr:uid="{00000000-0005-0000-0000-00007F3D0000}"/>
    <cellStyle name="Вычисление 28" xfId="15919" xr:uid="{00000000-0005-0000-0000-0000803D0000}"/>
    <cellStyle name="Вычисление 29" xfId="15920" xr:uid="{00000000-0005-0000-0000-0000813D0000}"/>
    <cellStyle name="Вычисление 3" xfId="317" xr:uid="{00000000-0005-0000-0000-0000823D0000}"/>
    <cellStyle name="Вычисление 30" xfId="15921" xr:uid="{00000000-0005-0000-0000-0000833D0000}"/>
    <cellStyle name="Вычисление 31" xfId="15922" xr:uid="{00000000-0005-0000-0000-0000843D0000}"/>
    <cellStyle name="Вычисление 32" xfId="15923" xr:uid="{00000000-0005-0000-0000-0000853D0000}"/>
    <cellStyle name="Вычисление 33" xfId="15924" xr:uid="{00000000-0005-0000-0000-0000863D0000}"/>
    <cellStyle name="Вычисление 34" xfId="15925" xr:uid="{00000000-0005-0000-0000-0000873D0000}"/>
    <cellStyle name="Вычисление 35" xfId="15926" xr:uid="{00000000-0005-0000-0000-0000883D0000}"/>
    <cellStyle name="Вычисление 36" xfId="15927" xr:uid="{00000000-0005-0000-0000-0000893D0000}"/>
    <cellStyle name="Вычисление 37" xfId="15928" xr:uid="{00000000-0005-0000-0000-00008A3D0000}"/>
    <cellStyle name="Вычисление 38" xfId="15929" xr:uid="{00000000-0005-0000-0000-00008B3D0000}"/>
    <cellStyle name="Вычисление 39" xfId="15930" xr:uid="{00000000-0005-0000-0000-00008C3D0000}"/>
    <cellStyle name="Вычисление 4" xfId="318" xr:uid="{00000000-0005-0000-0000-00008D3D0000}"/>
    <cellStyle name="Вычисление 40" xfId="15931" xr:uid="{00000000-0005-0000-0000-00008E3D0000}"/>
    <cellStyle name="Вычисление 41" xfId="15932" xr:uid="{00000000-0005-0000-0000-00008F3D0000}"/>
    <cellStyle name="Вычисление 42" xfId="15933" xr:uid="{00000000-0005-0000-0000-0000903D0000}"/>
    <cellStyle name="Вычисление 43" xfId="15934" xr:uid="{00000000-0005-0000-0000-0000913D0000}"/>
    <cellStyle name="Вычисление 44" xfId="15935" xr:uid="{00000000-0005-0000-0000-0000923D0000}"/>
    <cellStyle name="Вычисление 45" xfId="15936" xr:uid="{00000000-0005-0000-0000-0000933D0000}"/>
    <cellStyle name="Вычисление 46" xfId="15937" xr:uid="{00000000-0005-0000-0000-0000943D0000}"/>
    <cellStyle name="Вычисление 47" xfId="15938" xr:uid="{00000000-0005-0000-0000-0000953D0000}"/>
    <cellStyle name="Вычисление 48" xfId="15939" xr:uid="{00000000-0005-0000-0000-0000963D0000}"/>
    <cellStyle name="Вычисление 49" xfId="15940" xr:uid="{00000000-0005-0000-0000-0000973D0000}"/>
    <cellStyle name="Вычисление 5" xfId="319" xr:uid="{00000000-0005-0000-0000-0000983D0000}"/>
    <cellStyle name="Вычисление 50" xfId="15941" xr:uid="{00000000-0005-0000-0000-0000993D0000}"/>
    <cellStyle name="Вычисление 51" xfId="15942" xr:uid="{00000000-0005-0000-0000-00009A3D0000}"/>
    <cellStyle name="Вычисление 52" xfId="15943" xr:uid="{00000000-0005-0000-0000-00009B3D0000}"/>
    <cellStyle name="Вычисление 53" xfId="15944" xr:uid="{00000000-0005-0000-0000-00009C3D0000}"/>
    <cellStyle name="Вычисление 54" xfId="15945" xr:uid="{00000000-0005-0000-0000-00009D3D0000}"/>
    <cellStyle name="Вычисление 55" xfId="15946" xr:uid="{00000000-0005-0000-0000-00009E3D0000}"/>
    <cellStyle name="Вычисление 56" xfId="15947" xr:uid="{00000000-0005-0000-0000-00009F3D0000}"/>
    <cellStyle name="Вычисление 57" xfId="15948" xr:uid="{00000000-0005-0000-0000-0000A03D0000}"/>
    <cellStyle name="Вычисление 58" xfId="15949" xr:uid="{00000000-0005-0000-0000-0000A13D0000}"/>
    <cellStyle name="Вычисление 59" xfId="15950" xr:uid="{00000000-0005-0000-0000-0000A23D0000}"/>
    <cellStyle name="Вычисление 6" xfId="15951" xr:uid="{00000000-0005-0000-0000-0000A33D0000}"/>
    <cellStyle name="Вычисление 60" xfId="15952" xr:uid="{00000000-0005-0000-0000-0000A43D0000}"/>
    <cellStyle name="Вычисление 61" xfId="15953" xr:uid="{00000000-0005-0000-0000-0000A53D0000}"/>
    <cellStyle name="Вычисление 62" xfId="15954" xr:uid="{00000000-0005-0000-0000-0000A63D0000}"/>
    <cellStyle name="Вычисление 63" xfId="15955" xr:uid="{00000000-0005-0000-0000-0000A73D0000}"/>
    <cellStyle name="Вычисление 64" xfId="15956" xr:uid="{00000000-0005-0000-0000-0000A83D0000}"/>
    <cellStyle name="Вычисление 65" xfId="15957" xr:uid="{00000000-0005-0000-0000-0000A93D0000}"/>
    <cellStyle name="Вычисление 66" xfId="15958" xr:uid="{00000000-0005-0000-0000-0000AA3D0000}"/>
    <cellStyle name="Вычисление 67" xfId="15959" xr:uid="{00000000-0005-0000-0000-0000AB3D0000}"/>
    <cellStyle name="Вычисление 68" xfId="15960" xr:uid="{00000000-0005-0000-0000-0000AC3D0000}"/>
    <cellStyle name="Вычисление 69" xfId="15961" xr:uid="{00000000-0005-0000-0000-0000AD3D0000}"/>
    <cellStyle name="Вычисление 7" xfId="15962" xr:uid="{00000000-0005-0000-0000-0000AE3D0000}"/>
    <cellStyle name="Вычисление 70" xfId="15963" xr:uid="{00000000-0005-0000-0000-0000AF3D0000}"/>
    <cellStyle name="Вычисление 71" xfId="15964" xr:uid="{00000000-0005-0000-0000-0000B03D0000}"/>
    <cellStyle name="Вычисление 72" xfId="15965" xr:uid="{00000000-0005-0000-0000-0000B13D0000}"/>
    <cellStyle name="Вычисление 73" xfId="15966" xr:uid="{00000000-0005-0000-0000-0000B23D0000}"/>
    <cellStyle name="Вычисление 74" xfId="15967" xr:uid="{00000000-0005-0000-0000-0000B33D0000}"/>
    <cellStyle name="Вычисление 75" xfId="15968" xr:uid="{00000000-0005-0000-0000-0000B43D0000}"/>
    <cellStyle name="Вычисление 76" xfId="15969" xr:uid="{00000000-0005-0000-0000-0000B53D0000}"/>
    <cellStyle name="Вычисление 77" xfId="15970" xr:uid="{00000000-0005-0000-0000-0000B63D0000}"/>
    <cellStyle name="Вычисление 78" xfId="15971" xr:uid="{00000000-0005-0000-0000-0000B73D0000}"/>
    <cellStyle name="Вычисление 79" xfId="15972" xr:uid="{00000000-0005-0000-0000-0000B83D0000}"/>
    <cellStyle name="Вычисление 8" xfId="15973" xr:uid="{00000000-0005-0000-0000-0000B93D0000}"/>
    <cellStyle name="Вычисление 80" xfId="15974" xr:uid="{00000000-0005-0000-0000-0000BA3D0000}"/>
    <cellStyle name="Вычисление 81" xfId="15975" xr:uid="{00000000-0005-0000-0000-0000BB3D0000}"/>
    <cellStyle name="Вычисление 82" xfId="15976" xr:uid="{00000000-0005-0000-0000-0000BC3D0000}"/>
    <cellStyle name="Вычисление 83" xfId="15977" xr:uid="{00000000-0005-0000-0000-0000BD3D0000}"/>
    <cellStyle name="Вычисление 84" xfId="15978" xr:uid="{00000000-0005-0000-0000-0000BE3D0000}"/>
    <cellStyle name="Вычисление 85" xfId="15979" xr:uid="{00000000-0005-0000-0000-0000BF3D0000}"/>
    <cellStyle name="Вычисление 86" xfId="15980" xr:uid="{00000000-0005-0000-0000-0000C03D0000}"/>
    <cellStyle name="Вычисление 87" xfId="15981" xr:uid="{00000000-0005-0000-0000-0000C13D0000}"/>
    <cellStyle name="Вычисление 88" xfId="15982" xr:uid="{00000000-0005-0000-0000-0000C23D0000}"/>
    <cellStyle name="Вычисление 89" xfId="15983" xr:uid="{00000000-0005-0000-0000-0000C33D0000}"/>
    <cellStyle name="Вычисление 9" xfId="15984" xr:uid="{00000000-0005-0000-0000-0000C43D0000}"/>
    <cellStyle name="Вычисление 90" xfId="15985" xr:uid="{00000000-0005-0000-0000-0000C53D0000}"/>
    <cellStyle name="Вычисление 91" xfId="15986" xr:uid="{00000000-0005-0000-0000-0000C63D0000}"/>
    <cellStyle name="Вычисление 92" xfId="15987" xr:uid="{00000000-0005-0000-0000-0000C73D0000}"/>
    <cellStyle name="Вычисление 93" xfId="15988" xr:uid="{00000000-0005-0000-0000-0000C83D0000}"/>
    <cellStyle name="Вычисление 94" xfId="15989" xr:uid="{00000000-0005-0000-0000-0000C93D0000}"/>
    <cellStyle name="Вычисление 95" xfId="15990" xr:uid="{00000000-0005-0000-0000-0000CA3D0000}"/>
    <cellStyle name="Вычисление 96" xfId="15991" xr:uid="{00000000-0005-0000-0000-0000CB3D0000}"/>
    <cellStyle name="Вычисление 97" xfId="15992" xr:uid="{00000000-0005-0000-0000-0000CC3D0000}"/>
    <cellStyle name="Вычисление 98" xfId="15993" xr:uid="{00000000-0005-0000-0000-0000CD3D0000}"/>
    <cellStyle name="Вычисление 99" xfId="15994" xr:uid="{00000000-0005-0000-0000-0000CE3D0000}"/>
    <cellStyle name="Гиперссылка" xfId="487" builtinId="8"/>
    <cellStyle name="Гиперссылка 2" xfId="320" xr:uid="{00000000-0005-0000-0000-0000D03D0000}"/>
    <cellStyle name="Гиперссылка 2 2" xfId="479" xr:uid="{00000000-0005-0000-0000-0000D13D0000}"/>
    <cellStyle name="Гиперссылка 2 3" xfId="15995" xr:uid="{00000000-0005-0000-0000-0000D23D0000}"/>
    <cellStyle name="Гиперссылка 2 4" xfId="15996" xr:uid="{00000000-0005-0000-0000-0000D33D0000}"/>
    <cellStyle name="Гиперссылка 3" xfId="15997" xr:uid="{00000000-0005-0000-0000-0000D43D0000}"/>
    <cellStyle name="Данные" xfId="15998" xr:uid="{00000000-0005-0000-0000-0000D53D0000}"/>
    <cellStyle name="Данные 2" xfId="15999" xr:uid="{00000000-0005-0000-0000-0000D63D0000}"/>
    <cellStyle name="Данные 3" xfId="16000" xr:uid="{00000000-0005-0000-0000-0000D73D0000}"/>
    <cellStyle name="Данные 4" xfId="16001" xr:uid="{00000000-0005-0000-0000-0000D83D0000}"/>
    <cellStyle name="Дата" xfId="16002" xr:uid="{00000000-0005-0000-0000-0000D93D0000}"/>
    <cellStyle name="Денежный 2" xfId="16003" xr:uid="{00000000-0005-0000-0000-0000DA3D0000}"/>
    <cellStyle name="Денежный 2 2" xfId="16004" xr:uid="{00000000-0005-0000-0000-0000DB3D0000}"/>
    <cellStyle name="Денежный 2 2 10" xfId="16005" xr:uid="{00000000-0005-0000-0000-0000DC3D0000}"/>
    <cellStyle name="Денежный 2 2 2" xfId="16006" xr:uid="{00000000-0005-0000-0000-0000DD3D0000}"/>
    <cellStyle name="Денежный 2 2 3" xfId="16007" xr:uid="{00000000-0005-0000-0000-0000DE3D0000}"/>
    <cellStyle name="Денежный 2 2 4" xfId="16008" xr:uid="{00000000-0005-0000-0000-0000DF3D0000}"/>
    <cellStyle name="Денежный 2 2 5" xfId="16009" xr:uid="{00000000-0005-0000-0000-0000E03D0000}"/>
    <cellStyle name="Денежный 2 2 6" xfId="16010" xr:uid="{00000000-0005-0000-0000-0000E13D0000}"/>
    <cellStyle name="Денежный 2 2 7" xfId="16011" xr:uid="{00000000-0005-0000-0000-0000E23D0000}"/>
    <cellStyle name="Денежный 2 2 8" xfId="16012" xr:uid="{00000000-0005-0000-0000-0000E33D0000}"/>
    <cellStyle name="Денежный 2 2 9" xfId="16013" xr:uid="{00000000-0005-0000-0000-0000E43D0000}"/>
    <cellStyle name="Денежный 2 3" xfId="16014" xr:uid="{00000000-0005-0000-0000-0000E53D0000}"/>
    <cellStyle name="Денежный 2 3 10" xfId="16015" xr:uid="{00000000-0005-0000-0000-0000E63D0000}"/>
    <cellStyle name="Денежный 2 3 2" xfId="16016" xr:uid="{00000000-0005-0000-0000-0000E73D0000}"/>
    <cellStyle name="Денежный 2 3 3" xfId="16017" xr:uid="{00000000-0005-0000-0000-0000E83D0000}"/>
    <cellStyle name="Денежный 2 3 4" xfId="16018" xr:uid="{00000000-0005-0000-0000-0000E93D0000}"/>
    <cellStyle name="Денежный 2 3 5" xfId="16019" xr:uid="{00000000-0005-0000-0000-0000EA3D0000}"/>
    <cellStyle name="Денежный 2 3 6" xfId="16020" xr:uid="{00000000-0005-0000-0000-0000EB3D0000}"/>
    <cellStyle name="Денежный 2 3 7" xfId="16021" xr:uid="{00000000-0005-0000-0000-0000EC3D0000}"/>
    <cellStyle name="Денежный 2 3 8" xfId="16022" xr:uid="{00000000-0005-0000-0000-0000ED3D0000}"/>
    <cellStyle name="Денежный 2 3 9" xfId="16023" xr:uid="{00000000-0005-0000-0000-0000EE3D0000}"/>
    <cellStyle name="Денежный 2 4" xfId="16024" xr:uid="{00000000-0005-0000-0000-0000EF3D0000}"/>
    <cellStyle name="Денежный 2 4 10" xfId="16025" xr:uid="{00000000-0005-0000-0000-0000F03D0000}"/>
    <cellStyle name="Денежный 2 4 2" xfId="16026" xr:uid="{00000000-0005-0000-0000-0000F13D0000}"/>
    <cellStyle name="Денежный 2 4 3" xfId="16027" xr:uid="{00000000-0005-0000-0000-0000F23D0000}"/>
    <cellStyle name="Денежный 2 4 4" xfId="16028" xr:uid="{00000000-0005-0000-0000-0000F33D0000}"/>
    <cellStyle name="Денежный 2 4 5" xfId="16029" xr:uid="{00000000-0005-0000-0000-0000F43D0000}"/>
    <cellStyle name="Денежный 2 4 6" xfId="16030" xr:uid="{00000000-0005-0000-0000-0000F53D0000}"/>
    <cellStyle name="Денежный 2 4 7" xfId="16031" xr:uid="{00000000-0005-0000-0000-0000F63D0000}"/>
    <cellStyle name="Денежный 2 4 8" xfId="16032" xr:uid="{00000000-0005-0000-0000-0000F73D0000}"/>
    <cellStyle name="Денежный 2 4 9" xfId="16033" xr:uid="{00000000-0005-0000-0000-0000F83D0000}"/>
    <cellStyle name="Денежный 2 5" xfId="16034" xr:uid="{00000000-0005-0000-0000-0000F93D0000}"/>
    <cellStyle name="Денежный 2 5 10" xfId="16035" xr:uid="{00000000-0005-0000-0000-0000FA3D0000}"/>
    <cellStyle name="Денежный 2 5 2" xfId="16036" xr:uid="{00000000-0005-0000-0000-0000FB3D0000}"/>
    <cellStyle name="Денежный 2 5 3" xfId="16037" xr:uid="{00000000-0005-0000-0000-0000FC3D0000}"/>
    <cellStyle name="Денежный 2 5 4" xfId="16038" xr:uid="{00000000-0005-0000-0000-0000FD3D0000}"/>
    <cellStyle name="Денежный 2 5 5" xfId="16039" xr:uid="{00000000-0005-0000-0000-0000FE3D0000}"/>
    <cellStyle name="Денежный 2 5 6" xfId="16040" xr:uid="{00000000-0005-0000-0000-0000FF3D0000}"/>
    <cellStyle name="Денежный 2 5 7" xfId="16041" xr:uid="{00000000-0005-0000-0000-0000003E0000}"/>
    <cellStyle name="Денежный 2 5 8" xfId="16042" xr:uid="{00000000-0005-0000-0000-0000013E0000}"/>
    <cellStyle name="Денежный 2 5 9" xfId="16043" xr:uid="{00000000-0005-0000-0000-0000023E0000}"/>
    <cellStyle name="Денежный 2 6" xfId="16044" xr:uid="{00000000-0005-0000-0000-0000033E0000}"/>
    <cellStyle name="Денежный 2 6 10" xfId="16045" xr:uid="{00000000-0005-0000-0000-0000043E0000}"/>
    <cellStyle name="Денежный 2 6 2" xfId="16046" xr:uid="{00000000-0005-0000-0000-0000053E0000}"/>
    <cellStyle name="Денежный 2 6 3" xfId="16047" xr:uid="{00000000-0005-0000-0000-0000063E0000}"/>
    <cellStyle name="Денежный 2 6 4" xfId="16048" xr:uid="{00000000-0005-0000-0000-0000073E0000}"/>
    <cellStyle name="Денежный 2 6 5" xfId="16049" xr:uid="{00000000-0005-0000-0000-0000083E0000}"/>
    <cellStyle name="Денежный 2 6 6" xfId="16050" xr:uid="{00000000-0005-0000-0000-0000093E0000}"/>
    <cellStyle name="Денежный 2 6 7" xfId="16051" xr:uid="{00000000-0005-0000-0000-00000A3E0000}"/>
    <cellStyle name="Денежный 2 6 8" xfId="16052" xr:uid="{00000000-0005-0000-0000-00000B3E0000}"/>
    <cellStyle name="Денежный 2 6 9" xfId="16053" xr:uid="{00000000-0005-0000-0000-00000C3E0000}"/>
    <cellStyle name="Денежный 2 7" xfId="16054" xr:uid="{00000000-0005-0000-0000-00000D3E0000}"/>
    <cellStyle name="Денежный 2 7 10" xfId="16055" xr:uid="{00000000-0005-0000-0000-00000E3E0000}"/>
    <cellStyle name="Денежный 2 7 2" xfId="16056" xr:uid="{00000000-0005-0000-0000-00000F3E0000}"/>
    <cellStyle name="Денежный 2 7 3" xfId="16057" xr:uid="{00000000-0005-0000-0000-0000103E0000}"/>
    <cellStyle name="Денежный 2 7 4" xfId="16058" xr:uid="{00000000-0005-0000-0000-0000113E0000}"/>
    <cellStyle name="Денежный 2 7 5" xfId="16059" xr:uid="{00000000-0005-0000-0000-0000123E0000}"/>
    <cellStyle name="Денежный 2 7 6" xfId="16060" xr:uid="{00000000-0005-0000-0000-0000133E0000}"/>
    <cellStyle name="Денежный 2 7 7" xfId="16061" xr:uid="{00000000-0005-0000-0000-0000143E0000}"/>
    <cellStyle name="Денежный 2 7 8" xfId="16062" xr:uid="{00000000-0005-0000-0000-0000153E0000}"/>
    <cellStyle name="Денежный 2 7 9" xfId="16063" xr:uid="{00000000-0005-0000-0000-0000163E0000}"/>
    <cellStyle name="Денежный 2 8" xfId="16064" xr:uid="{00000000-0005-0000-0000-0000173E0000}"/>
    <cellStyle name="Денежный 2 8 10" xfId="16065" xr:uid="{00000000-0005-0000-0000-0000183E0000}"/>
    <cellStyle name="Денежный 2 8 2" xfId="16066" xr:uid="{00000000-0005-0000-0000-0000193E0000}"/>
    <cellStyle name="Денежный 2 8 3" xfId="16067" xr:uid="{00000000-0005-0000-0000-00001A3E0000}"/>
    <cellStyle name="Денежный 2 8 4" xfId="16068" xr:uid="{00000000-0005-0000-0000-00001B3E0000}"/>
    <cellStyle name="Денежный 2 8 5" xfId="16069" xr:uid="{00000000-0005-0000-0000-00001C3E0000}"/>
    <cellStyle name="Денежный 2 8 6" xfId="16070" xr:uid="{00000000-0005-0000-0000-00001D3E0000}"/>
    <cellStyle name="Денежный 2 8 7" xfId="16071" xr:uid="{00000000-0005-0000-0000-00001E3E0000}"/>
    <cellStyle name="Денежный 2 8 8" xfId="16072" xr:uid="{00000000-0005-0000-0000-00001F3E0000}"/>
    <cellStyle name="Денежный 2 8 9" xfId="16073" xr:uid="{00000000-0005-0000-0000-0000203E0000}"/>
    <cellStyle name="Денежный 2 9" xfId="16074" xr:uid="{00000000-0005-0000-0000-0000213E0000}"/>
    <cellStyle name="Денежный 2 9 10" xfId="16075" xr:uid="{00000000-0005-0000-0000-0000223E0000}"/>
    <cellStyle name="Денежный 2 9 2" xfId="16076" xr:uid="{00000000-0005-0000-0000-0000233E0000}"/>
    <cellStyle name="Денежный 2 9 3" xfId="16077" xr:uid="{00000000-0005-0000-0000-0000243E0000}"/>
    <cellStyle name="Денежный 2 9 4" xfId="16078" xr:uid="{00000000-0005-0000-0000-0000253E0000}"/>
    <cellStyle name="Денежный 2 9 5" xfId="16079" xr:uid="{00000000-0005-0000-0000-0000263E0000}"/>
    <cellStyle name="Денежный 2 9 6" xfId="16080" xr:uid="{00000000-0005-0000-0000-0000273E0000}"/>
    <cellStyle name="Денежный 2 9 7" xfId="16081" xr:uid="{00000000-0005-0000-0000-0000283E0000}"/>
    <cellStyle name="Денежный 2 9 8" xfId="16082" xr:uid="{00000000-0005-0000-0000-0000293E0000}"/>
    <cellStyle name="Денежный 2 9 9" xfId="16083" xr:uid="{00000000-0005-0000-0000-00002A3E0000}"/>
    <cellStyle name="Денежпый_Доход1" xfId="16084" xr:uid="{00000000-0005-0000-0000-00002B3E0000}"/>
    <cellStyle name="Дэшборд" xfId="16085" xr:uid="{00000000-0005-0000-0000-00002C3E0000}"/>
    <cellStyle name="Заголовки столбцов" xfId="16086" xr:uid="{00000000-0005-0000-0000-00002D3E0000}"/>
    <cellStyle name="Заголовок 1 10" xfId="16087" xr:uid="{00000000-0005-0000-0000-00002E3E0000}"/>
    <cellStyle name="Заголовок 1 100" xfId="16088" xr:uid="{00000000-0005-0000-0000-00002F3E0000}"/>
    <cellStyle name="Заголовок 1 101" xfId="16089" xr:uid="{00000000-0005-0000-0000-0000303E0000}"/>
    <cellStyle name="Заголовок 1 102" xfId="16090" xr:uid="{00000000-0005-0000-0000-0000313E0000}"/>
    <cellStyle name="Заголовок 1 103" xfId="16091" xr:uid="{00000000-0005-0000-0000-0000323E0000}"/>
    <cellStyle name="Заголовок 1 104" xfId="16092" xr:uid="{00000000-0005-0000-0000-0000333E0000}"/>
    <cellStyle name="Заголовок 1 105" xfId="16093" xr:uid="{00000000-0005-0000-0000-0000343E0000}"/>
    <cellStyle name="Заголовок 1 106" xfId="16094" xr:uid="{00000000-0005-0000-0000-0000353E0000}"/>
    <cellStyle name="Заголовок 1 107" xfId="16095" xr:uid="{00000000-0005-0000-0000-0000363E0000}"/>
    <cellStyle name="Заголовок 1 108" xfId="16096" xr:uid="{00000000-0005-0000-0000-0000373E0000}"/>
    <cellStyle name="Заголовок 1 109" xfId="16097" xr:uid="{00000000-0005-0000-0000-0000383E0000}"/>
    <cellStyle name="Заголовок 1 11" xfId="16098" xr:uid="{00000000-0005-0000-0000-0000393E0000}"/>
    <cellStyle name="Заголовок 1 110" xfId="16099" xr:uid="{00000000-0005-0000-0000-00003A3E0000}"/>
    <cellStyle name="Заголовок 1 111" xfId="16100" xr:uid="{00000000-0005-0000-0000-00003B3E0000}"/>
    <cellStyle name="Заголовок 1 112" xfId="16101" xr:uid="{00000000-0005-0000-0000-00003C3E0000}"/>
    <cellStyle name="Заголовок 1 113" xfId="16102" xr:uid="{00000000-0005-0000-0000-00003D3E0000}"/>
    <cellStyle name="Заголовок 1 114" xfId="16103" xr:uid="{00000000-0005-0000-0000-00003E3E0000}"/>
    <cellStyle name="Заголовок 1 115" xfId="16104" xr:uid="{00000000-0005-0000-0000-00003F3E0000}"/>
    <cellStyle name="Заголовок 1 116" xfId="16105" xr:uid="{00000000-0005-0000-0000-0000403E0000}"/>
    <cellStyle name="Заголовок 1 117" xfId="16106" xr:uid="{00000000-0005-0000-0000-0000413E0000}"/>
    <cellStyle name="Заголовок 1 118" xfId="16107" xr:uid="{00000000-0005-0000-0000-0000423E0000}"/>
    <cellStyle name="Заголовок 1 119" xfId="16108" xr:uid="{00000000-0005-0000-0000-0000433E0000}"/>
    <cellStyle name="Заголовок 1 12" xfId="16109" xr:uid="{00000000-0005-0000-0000-0000443E0000}"/>
    <cellStyle name="Заголовок 1 120" xfId="16110" xr:uid="{00000000-0005-0000-0000-0000453E0000}"/>
    <cellStyle name="Заголовок 1 121" xfId="16111" xr:uid="{00000000-0005-0000-0000-0000463E0000}"/>
    <cellStyle name="Заголовок 1 122" xfId="16112" xr:uid="{00000000-0005-0000-0000-0000473E0000}"/>
    <cellStyle name="Заголовок 1 123" xfId="16113" xr:uid="{00000000-0005-0000-0000-0000483E0000}"/>
    <cellStyle name="Заголовок 1 124" xfId="16114" xr:uid="{00000000-0005-0000-0000-0000493E0000}"/>
    <cellStyle name="Заголовок 1 125" xfId="16115" xr:uid="{00000000-0005-0000-0000-00004A3E0000}"/>
    <cellStyle name="Заголовок 1 126" xfId="16116" xr:uid="{00000000-0005-0000-0000-00004B3E0000}"/>
    <cellStyle name="Заголовок 1 127" xfId="16117" xr:uid="{00000000-0005-0000-0000-00004C3E0000}"/>
    <cellStyle name="Заголовок 1 128" xfId="16118" xr:uid="{00000000-0005-0000-0000-00004D3E0000}"/>
    <cellStyle name="Заголовок 1 129" xfId="16119" xr:uid="{00000000-0005-0000-0000-00004E3E0000}"/>
    <cellStyle name="Заголовок 1 13" xfId="16120" xr:uid="{00000000-0005-0000-0000-00004F3E0000}"/>
    <cellStyle name="Заголовок 1 130" xfId="16121" xr:uid="{00000000-0005-0000-0000-0000503E0000}"/>
    <cellStyle name="Заголовок 1 131" xfId="16122" xr:uid="{00000000-0005-0000-0000-0000513E0000}"/>
    <cellStyle name="Заголовок 1 132" xfId="16123" xr:uid="{00000000-0005-0000-0000-0000523E0000}"/>
    <cellStyle name="Заголовок 1 133" xfId="16124" xr:uid="{00000000-0005-0000-0000-0000533E0000}"/>
    <cellStyle name="Заголовок 1 134" xfId="16125" xr:uid="{00000000-0005-0000-0000-0000543E0000}"/>
    <cellStyle name="Заголовок 1 135" xfId="16126" xr:uid="{00000000-0005-0000-0000-0000553E0000}"/>
    <cellStyle name="Заголовок 1 136" xfId="16127" xr:uid="{00000000-0005-0000-0000-0000563E0000}"/>
    <cellStyle name="Заголовок 1 137" xfId="16128" xr:uid="{00000000-0005-0000-0000-0000573E0000}"/>
    <cellStyle name="Заголовок 1 138" xfId="16129" xr:uid="{00000000-0005-0000-0000-0000583E0000}"/>
    <cellStyle name="Заголовок 1 139" xfId="16130" xr:uid="{00000000-0005-0000-0000-0000593E0000}"/>
    <cellStyle name="Заголовок 1 14" xfId="16131" xr:uid="{00000000-0005-0000-0000-00005A3E0000}"/>
    <cellStyle name="Заголовок 1 140" xfId="16132" xr:uid="{00000000-0005-0000-0000-00005B3E0000}"/>
    <cellStyle name="Заголовок 1 141" xfId="16133" xr:uid="{00000000-0005-0000-0000-00005C3E0000}"/>
    <cellStyle name="Заголовок 1 142" xfId="16134" xr:uid="{00000000-0005-0000-0000-00005D3E0000}"/>
    <cellStyle name="Заголовок 1 143" xfId="16135" xr:uid="{00000000-0005-0000-0000-00005E3E0000}"/>
    <cellStyle name="Заголовок 1 144" xfId="16136" xr:uid="{00000000-0005-0000-0000-00005F3E0000}"/>
    <cellStyle name="Заголовок 1 145" xfId="16137" xr:uid="{00000000-0005-0000-0000-0000603E0000}"/>
    <cellStyle name="Заголовок 1 146" xfId="16138" xr:uid="{00000000-0005-0000-0000-0000613E0000}"/>
    <cellStyle name="Заголовок 1 147" xfId="16139" xr:uid="{00000000-0005-0000-0000-0000623E0000}"/>
    <cellStyle name="Заголовок 1 148" xfId="16140" xr:uid="{00000000-0005-0000-0000-0000633E0000}"/>
    <cellStyle name="Заголовок 1 149" xfId="16141" xr:uid="{00000000-0005-0000-0000-0000643E0000}"/>
    <cellStyle name="Заголовок 1 15" xfId="16142" xr:uid="{00000000-0005-0000-0000-0000653E0000}"/>
    <cellStyle name="Заголовок 1 150" xfId="16143" xr:uid="{00000000-0005-0000-0000-0000663E0000}"/>
    <cellStyle name="Заголовок 1 151" xfId="16144" xr:uid="{00000000-0005-0000-0000-0000673E0000}"/>
    <cellStyle name="Заголовок 1 152" xfId="16145" xr:uid="{00000000-0005-0000-0000-0000683E0000}"/>
    <cellStyle name="Заголовок 1 16" xfId="16146" xr:uid="{00000000-0005-0000-0000-0000693E0000}"/>
    <cellStyle name="Заголовок 1 17" xfId="16147" xr:uid="{00000000-0005-0000-0000-00006A3E0000}"/>
    <cellStyle name="Заголовок 1 18" xfId="16148" xr:uid="{00000000-0005-0000-0000-00006B3E0000}"/>
    <cellStyle name="Заголовок 1 19" xfId="16149" xr:uid="{00000000-0005-0000-0000-00006C3E0000}"/>
    <cellStyle name="Заголовок 1 2" xfId="321" xr:uid="{00000000-0005-0000-0000-00006D3E0000}"/>
    <cellStyle name="Заголовок 1 2 2" xfId="16150" xr:uid="{00000000-0005-0000-0000-00006E3E0000}"/>
    <cellStyle name="Заголовок 1 2 3" xfId="16151" xr:uid="{00000000-0005-0000-0000-00006F3E0000}"/>
    <cellStyle name="Заголовок 1 2 4" xfId="16152" xr:uid="{00000000-0005-0000-0000-0000703E0000}"/>
    <cellStyle name="Заголовок 1 2 5" xfId="16153" xr:uid="{00000000-0005-0000-0000-0000713E0000}"/>
    <cellStyle name="Заголовок 1 2 6" xfId="16154" xr:uid="{00000000-0005-0000-0000-0000723E0000}"/>
    <cellStyle name="Заголовок 1 2 7" xfId="16155" xr:uid="{00000000-0005-0000-0000-0000733E0000}"/>
    <cellStyle name="Заголовок 1 20" xfId="16156" xr:uid="{00000000-0005-0000-0000-0000743E0000}"/>
    <cellStyle name="Заголовок 1 20 2" xfId="16157" xr:uid="{00000000-0005-0000-0000-0000753E0000}"/>
    <cellStyle name="Заголовок 1 21" xfId="16158" xr:uid="{00000000-0005-0000-0000-0000763E0000}"/>
    <cellStyle name="Заголовок 1 22" xfId="16159" xr:uid="{00000000-0005-0000-0000-0000773E0000}"/>
    <cellStyle name="Заголовок 1 23" xfId="16160" xr:uid="{00000000-0005-0000-0000-0000783E0000}"/>
    <cellStyle name="Заголовок 1 24" xfId="16161" xr:uid="{00000000-0005-0000-0000-0000793E0000}"/>
    <cellStyle name="Заголовок 1 25" xfId="16162" xr:uid="{00000000-0005-0000-0000-00007A3E0000}"/>
    <cellStyle name="Заголовок 1 26" xfId="16163" xr:uid="{00000000-0005-0000-0000-00007B3E0000}"/>
    <cellStyle name="Заголовок 1 27" xfId="16164" xr:uid="{00000000-0005-0000-0000-00007C3E0000}"/>
    <cellStyle name="Заголовок 1 28" xfId="16165" xr:uid="{00000000-0005-0000-0000-00007D3E0000}"/>
    <cellStyle name="Заголовок 1 29" xfId="16166" xr:uid="{00000000-0005-0000-0000-00007E3E0000}"/>
    <cellStyle name="Заголовок 1 3" xfId="16167" xr:uid="{00000000-0005-0000-0000-00007F3E0000}"/>
    <cellStyle name="Заголовок 1 30" xfId="16168" xr:uid="{00000000-0005-0000-0000-0000803E0000}"/>
    <cellStyle name="Заголовок 1 31" xfId="16169" xr:uid="{00000000-0005-0000-0000-0000813E0000}"/>
    <cellStyle name="Заголовок 1 32" xfId="16170" xr:uid="{00000000-0005-0000-0000-0000823E0000}"/>
    <cellStyle name="Заголовок 1 33" xfId="16171" xr:uid="{00000000-0005-0000-0000-0000833E0000}"/>
    <cellStyle name="Заголовок 1 34" xfId="16172" xr:uid="{00000000-0005-0000-0000-0000843E0000}"/>
    <cellStyle name="Заголовок 1 35" xfId="16173" xr:uid="{00000000-0005-0000-0000-0000853E0000}"/>
    <cellStyle name="Заголовок 1 36" xfId="16174" xr:uid="{00000000-0005-0000-0000-0000863E0000}"/>
    <cellStyle name="Заголовок 1 37" xfId="16175" xr:uid="{00000000-0005-0000-0000-0000873E0000}"/>
    <cellStyle name="Заголовок 1 38" xfId="16176" xr:uid="{00000000-0005-0000-0000-0000883E0000}"/>
    <cellStyle name="Заголовок 1 39" xfId="16177" xr:uid="{00000000-0005-0000-0000-0000893E0000}"/>
    <cellStyle name="Заголовок 1 4" xfId="16178" xr:uid="{00000000-0005-0000-0000-00008A3E0000}"/>
    <cellStyle name="Заголовок 1 40" xfId="16179" xr:uid="{00000000-0005-0000-0000-00008B3E0000}"/>
    <cellStyle name="Заголовок 1 41" xfId="16180" xr:uid="{00000000-0005-0000-0000-00008C3E0000}"/>
    <cellStyle name="Заголовок 1 42" xfId="16181" xr:uid="{00000000-0005-0000-0000-00008D3E0000}"/>
    <cellStyle name="Заголовок 1 43" xfId="16182" xr:uid="{00000000-0005-0000-0000-00008E3E0000}"/>
    <cellStyle name="Заголовок 1 44" xfId="16183" xr:uid="{00000000-0005-0000-0000-00008F3E0000}"/>
    <cellStyle name="Заголовок 1 45" xfId="16184" xr:uid="{00000000-0005-0000-0000-0000903E0000}"/>
    <cellStyle name="Заголовок 1 46" xfId="16185" xr:uid="{00000000-0005-0000-0000-0000913E0000}"/>
    <cellStyle name="Заголовок 1 47" xfId="16186" xr:uid="{00000000-0005-0000-0000-0000923E0000}"/>
    <cellStyle name="Заголовок 1 48" xfId="16187" xr:uid="{00000000-0005-0000-0000-0000933E0000}"/>
    <cellStyle name="Заголовок 1 49" xfId="16188" xr:uid="{00000000-0005-0000-0000-0000943E0000}"/>
    <cellStyle name="Заголовок 1 5" xfId="16189" xr:uid="{00000000-0005-0000-0000-0000953E0000}"/>
    <cellStyle name="Заголовок 1 50" xfId="16190" xr:uid="{00000000-0005-0000-0000-0000963E0000}"/>
    <cellStyle name="Заголовок 1 51" xfId="16191" xr:uid="{00000000-0005-0000-0000-0000973E0000}"/>
    <cellStyle name="Заголовок 1 52" xfId="16192" xr:uid="{00000000-0005-0000-0000-0000983E0000}"/>
    <cellStyle name="Заголовок 1 53" xfId="16193" xr:uid="{00000000-0005-0000-0000-0000993E0000}"/>
    <cellStyle name="Заголовок 1 54" xfId="16194" xr:uid="{00000000-0005-0000-0000-00009A3E0000}"/>
    <cellStyle name="Заголовок 1 55" xfId="16195" xr:uid="{00000000-0005-0000-0000-00009B3E0000}"/>
    <cellStyle name="Заголовок 1 56" xfId="16196" xr:uid="{00000000-0005-0000-0000-00009C3E0000}"/>
    <cellStyle name="Заголовок 1 57" xfId="16197" xr:uid="{00000000-0005-0000-0000-00009D3E0000}"/>
    <cellStyle name="Заголовок 1 58" xfId="16198" xr:uid="{00000000-0005-0000-0000-00009E3E0000}"/>
    <cellStyle name="Заголовок 1 59" xfId="16199" xr:uid="{00000000-0005-0000-0000-00009F3E0000}"/>
    <cellStyle name="Заголовок 1 6" xfId="16200" xr:uid="{00000000-0005-0000-0000-0000A03E0000}"/>
    <cellStyle name="Заголовок 1 60" xfId="16201" xr:uid="{00000000-0005-0000-0000-0000A13E0000}"/>
    <cellStyle name="Заголовок 1 61" xfId="16202" xr:uid="{00000000-0005-0000-0000-0000A23E0000}"/>
    <cellStyle name="Заголовок 1 62" xfId="16203" xr:uid="{00000000-0005-0000-0000-0000A33E0000}"/>
    <cellStyle name="Заголовок 1 63" xfId="16204" xr:uid="{00000000-0005-0000-0000-0000A43E0000}"/>
    <cellStyle name="Заголовок 1 64" xfId="16205" xr:uid="{00000000-0005-0000-0000-0000A53E0000}"/>
    <cellStyle name="Заголовок 1 65" xfId="16206" xr:uid="{00000000-0005-0000-0000-0000A63E0000}"/>
    <cellStyle name="Заголовок 1 66" xfId="16207" xr:uid="{00000000-0005-0000-0000-0000A73E0000}"/>
    <cellStyle name="Заголовок 1 67" xfId="16208" xr:uid="{00000000-0005-0000-0000-0000A83E0000}"/>
    <cellStyle name="Заголовок 1 68" xfId="16209" xr:uid="{00000000-0005-0000-0000-0000A93E0000}"/>
    <cellStyle name="Заголовок 1 69" xfId="16210" xr:uid="{00000000-0005-0000-0000-0000AA3E0000}"/>
    <cellStyle name="Заголовок 1 7" xfId="16211" xr:uid="{00000000-0005-0000-0000-0000AB3E0000}"/>
    <cellStyle name="Заголовок 1 70" xfId="16212" xr:uid="{00000000-0005-0000-0000-0000AC3E0000}"/>
    <cellStyle name="Заголовок 1 71" xfId="16213" xr:uid="{00000000-0005-0000-0000-0000AD3E0000}"/>
    <cellStyle name="Заголовок 1 72" xfId="16214" xr:uid="{00000000-0005-0000-0000-0000AE3E0000}"/>
    <cellStyle name="Заголовок 1 73" xfId="16215" xr:uid="{00000000-0005-0000-0000-0000AF3E0000}"/>
    <cellStyle name="Заголовок 1 74" xfId="16216" xr:uid="{00000000-0005-0000-0000-0000B03E0000}"/>
    <cellStyle name="Заголовок 1 75" xfId="16217" xr:uid="{00000000-0005-0000-0000-0000B13E0000}"/>
    <cellStyle name="Заголовок 1 76" xfId="16218" xr:uid="{00000000-0005-0000-0000-0000B23E0000}"/>
    <cellStyle name="Заголовок 1 77" xfId="16219" xr:uid="{00000000-0005-0000-0000-0000B33E0000}"/>
    <cellStyle name="Заголовок 1 78" xfId="16220" xr:uid="{00000000-0005-0000-0000-0000B43E0000}"/>
    <cellStyle name="Заголовок 1 79" xfId="16221" xr:uid="{00000000-0005-0000-0000-0000B53E0000}"/>
    <cellStyle name="Заголовок 1 8" xfId="16222" xr:uid="{00000000-0005-0000-0000-0000B63E0000}"/>
    <cellStyle name="Заголовок 1 80" xfId="16223" xr:uid="{00000000-0005-0000-0000-0000B73E0000}"/>
    <cellStyle name="Заголовок 1 81" xfId="16224" xr:uid="{00000000-0005-0000-0000-0000B83E0000}"/>
    <cellStyle name="Заголовок 1 82" xfId="16225" xr:uid="{00000000-0005-0000-0000-0000B93E0000}"/>
    <cellStyle name="Заголовок 1 83" xfId="16226" xr:uid="{00000000-0005-0000-0000-0000BA3E0000}"/>
    <cellStyle name="Заголовок 1 84" xfId="16227" xr:uid="{00000000-0005-0000-0000-0000BB3E0000}"/>
    <cellStyle name="Заголовок 1 85" xfId="16228" xr:uid="{00000000-0005-0000-0000-0000BC3E0000}"/>
    <cellStyle name="Заголовок 1 86" xfId="16229" xr:uid="{00000000-0005-0000-0000-0000BD3E0000}"/>
    <cellStyle name="Заголовок 1 87" xfId="16230" xr:uid="{00000000-0005-0000-0000-0000BE3E0000}"/>
    <cellStyle name="Заголовок 1 88" xfId="16231" xr:uid="{00000000-0005-0000-0000-0000BF3E0000}"/>
    <cellStyle name="Заголовок 1 89" xfId="16232" xr:uid="{00000000-0005-0000-0000-0000C03E0000}"/>
    <cellStyle name="Заголовок 1 9" xfId="16233" xr:uid="{00000000-0005-0000-0000-0000C13E0000}"/>
    <cellStyle name="Заголовок 1 90" xfId="16234" xr:uid="{00000000-0005-0000-0000-0000C23E0000}"/>
    <cellStyle name="Заголовок 1 91" xfId="16235" xr:uid="{00000000-0005-0000-0000-0000C33E0000}"/>
    <cellStyle name="Заголовок 1 92" xfId="16236" xr:uid="{00000000-0005-0000-0000-0000C43E0000}"/>
    <cellStyle name="Заголовок 1 93" xfId="16237" xr:uid="{00000000-0005-0000-0000-0000C53E0000}"/>
    <cellStyle name="Заголовок 1 94" xfId="16238" xr:uid="{00000000-0005-0000-0000-0000C63E0000}"/>
    <cellStyle name="Заголовок 1 95" xfId="16239" xr:uid="{00000000-0005-0000-0000-0000C73E0000}"/>
    <cellStyle name="Заголовок 1 96" xfId="16240" xr:uid="{00000000-0005-0000-0000-0000C83E0000}"/>
    <cellStyle name="Заголовок 1 97" xfId="16241" xr:uid="{00000000-0005-0000-0000-0000C93E0000}"/>
    <cellStyle name="Заголовок 1 98" xfId="16242" xr:uid="{00000000-0005-0000-0000-0000CA3E0000}"/>
    <cellStyle name="Заголовок 1 99" xfId="16243" xr:uid="{00000000-0005-0000-0000-0000CB3E0000}"/>
    <cellStyle name="Заголовок 2 10" xfId="16244" xr:uid="{00000000-0005-0000-0000-0000CC3E0000}"/>
    <cellStyle name="Заголовок 2 100" xfId="16245" xr:uid="{00000000-0005-0000-0000-0000CD3E0000}"/>
    <cellStyle name="Заголовок 2 101" xfId="16246" xr:uid="{00000000-0005-0000-0000-0000CE3E0000}"/>
    <cellStyle name="Заголовок 2 102" xfId="16247" xr:uid="{00000000-0005-0000-0000-0000CF3E0000}"/>
    <cellStyle name="Заголовок 2 103" xfId="16248" xr:uid="{00000000-0005-0000-0000-0000D03E0000}"/>
    <cellStyle name="Заголовок 2 104" xfId="16249" xr:uid="{00000000-0005-0000-0000-0000D13E0000}"/>
    <cellStyle name="Заголовок 2 105" xfId="16250" xr:uid="{00000000-0005-0000-0000-0000D23E0000}"/>
    <cellStyle name="Заголовок 2 106" xfId="16251" xr:uid="{00000000-0005-0000-0000-0000D33E0000}"/>
    <cellStyle name="Заголовок 2 107" xfId="16252" xr:uid="{00000000-0005-0000-0000-0000D43E0000}"/>
    <cellStyle name="Заголовок 2 108" xfId="16253" xr:uid="{00000000-0005-0000-0000-0000D53E0000}"/>
    <cellStyle name="Заголовок 2 109" xfId="16254" xr:uid="{00000000-0005-0000-0000-0000D63E0000}"/>
    <cellStyle name="Заголовок 2 11" xfId="16255" xr:uid="{00000000-0005-0000-0000-0000D73E0000}"/>
    <cellStyle name="Заголовок 2 110" xfId="16256" xr:uid="{00000000-0005-0000-0000-0000D83E0000}"/>
    <cellStyle name="Заголовок 2 111" xfId="16257" xr:uid="{00000000-0005-0000-0000-0000D93E0000}"/>
    <cellStyle name="Заголовок 2 112" xfId="16258" xr:uid="{00000000-0005-0000-0000-0000DA3E0000}"/>
    <cellStyle name="Заголовок 2 113" xfId="16259" xr:uid="{00000000-0005-0000-0000-0000DB3E0000}"/>
    <cellStyle name="Заголовок 2 114" xfId="16260" xr:uid="{00000000-0005-0000-0000-0000DC3E0000}"/>
    <cellStyle name="Заголовок 2 115" xfId="16261" xr:uid="{00000000-0005-0000-0000-0000DD3E0000}"/>
    <cellStyle name="Заголовок 2 116" xfId="16262" xr:uid="{00000000-0005-0000-0000-0000DE3E0000}"/>
    <cellStyle name="Заголовок 2 117" xfId="16263" xr:uid="{00000000-0005-0000-0000-0000DF3E0000}"/>
    <cellStyle name="Заголовок 2 118" xfId="16264" xr:uid="{00000000-0005-0000-0000-0000E03E0000}"/>
    <cellStyle name="Заголовок 2 119" xfId="16265" xr:uid="{00000000-0005-0000-0000-0000E13E0000}"/>
    <cellStyle name="Заголовок 2 12" xfId="16266" xr:uid="{00000000-0005-0000-0000-0000E23E0000}"/>
    <cellStyle name="Заголовок 2 120" xfId="16267" xr:uid="{00000000-0005-0000-0000-0000E33E0000}"/>
    <cellStyle name="Заголовок 2 121" xfId="16268" xr:uid="{00000000-0005-0000-0000-0000E43E0000}"/>
    <cellStyle name="Заголовок 2 122" xfId="16269" xr:uid="{00000000-0005-0000-0000-0000E53E0000}"/>
    <cellStyle name="Заголовок 2 123" xfId="16270" xr:uid="{00000000-0005-0000-0000-0000E63E0000}"/>
    <cellStyle name="Заголовок 2 124" xfId="16271" xr:uid="{00000000-0005-0000-0000-0000E73E0000}"/>
    <cellStyle name="Заголовок 2 125" xfId="16272" xr:uid="{00000000-0005-0000-0000-0000E83E0000}"/>
    <cellStyle name="Заголовок 2 126" xfId="16273" xr:uid="{00000000-0005-0000-0000-0000E93E0000}"/>
    <cellStyle name="Заголовок 2 127" xfId="16274" xr:uid="{00000000-0005-0000-0000-0000EA3E0000}"/>
    <cellStyle name="Заголовок 2 128" xfId="16275" xr:uid="{00000000-0005-0000-0000-0000EB3E0000}"/>
    <cellStyle name="Заголовок 2 129" xfId="16276" xr:uid="{00000000-0005-0000-0000-0000EC3E0000}"/>
    <cellStyle name="Заголовок 2 13" xfId="16277" xr:uid="{00000000-0005-0000-0000-0000ED3E0000}"/>
    <cellStyle name="Заголовок 2 130" xfId="16278" xr:uid="{00000000-0005-0000-0000-0000EE3E0000}"/>
    <cellStyle name="Заголовок 2 131" xfId="16279" xr:uid="{00000000-0005-0000-0000-0000EF3E0000}"/>
    <cellStyle name="Заголовок 2 132" xfId="16280" xr:uid="{00000000-0005-0000-0000-0000F03E0000}"/>
    <cellStyle name="Заголовок 2 133" xfId="16281" xr:uid="{00000000-0005-0000-0000-0000F13E0000}"/>
    <cellStyle name="Заголовок 2 134" xfId="16282" xr:uid="{00000000-0005-0000-0000-0000F23E0000}"/>
    <cellStyle name="Заголовок 2 135" xfId="16283" xr:uid="{00000000-0005-0000-0000-0000F33E0000}"/>
    <cellStyle name="Заголовок 2 136" xfId="16284" xr:uid="{00000000-0005-0000-0000-0000F43E0000}"/>
    <cellStyle name="Заголовок 2 137" xfId="16285" xr:uid="{00000000-0005-0000-0000-0000F53E0000}"/>
    <cellStyle name="Заголовок 2 138" xfId="16286" xr:uid="{00000000-0005-0000-0000-0000F63E0000}"/>
    <cellStyle name="Заголовок 2 139" xfId="16287" xr:uid="{00000000-0005-0000-0000-0000F73E0000}"/>
    <cellStyle name="Заголовок 2 14" xfId="16288" xr:uid="{00000000-0005-0000-0000-0000F83E0000}"/>
    <cellStyle name="Заголовок 2 140" xfId="16289" xr:uid="{00000000-0005-0000-0000-0000F93E0000}"/>
    <cellStyle name="Заголовок 2 141" xfId="16290" xr:uid="{00000000-0005-0000-0000-0000FA3E0000}"/>
    <cellStyle name="Заголовок 2 142" xfId="16291" xr:uid="{00000000-0005-0000-0000-0000FB3E0000}"/>
    <cellStyle name="Заголовок 2 143" xfId="16292" xr:uid="{00000000-0005-0000-0000-0000FC3E0000}"/>
    <cellStyle name="Заголовок 2 144" xfId="16293" xr:uid="{00000000-0005-0000-0000-0000FD3E0000}"/>
    <cellStyle name="Заголовок 2 145" xfId="16294" xr:uid="{00000000-0005-0000-0000-0000FE3E0000}"/>
    <cellStyle name="Заголовок 2 146" xfId="16295" xr:uid="{00000000-0005-0000-0000-0000FF3E0000}"/>
    <cellStyle name="Заголовок 2 147" xfId="16296" xr:uid="{00000000-0005-0000-0000-0000003F0000}"/>
    <cellStyle name="Заголовок 2 148" xfId="16297" xr:uid="{00000000-0005-0000-0000-0000013F0000}"/>
    <cellStyle name="Заголовок 2 149" xfId="16298" xr:uid="{00000000-0005-0000-0000-0000023F0000}"/>
    <cellStyle name="Заголовок 2 15" xfId="16299" xr:uid="{00000000-0005-0000-0000-0000033F0000}"/>
    <cellStyle name="Заголовок 2 150" xfId="16300" xr:uid="{00000000-0005-0000-0000-0000043F0000}"/>
    <cellStyle name="Заголовок 2 151" xfId="16301" xr:uid="{00000000-0005-0000-0000-0000053F0000}"/>
    <cellStyle name="Заголовок 2 152" xfId="16302" xr:uid="{00000000-0005-0000-0000-0000063F0000}"/>
    <cellStyle name="Заголовок 2 16" xfId="16303" xr:uid="{00000000-0005-0000-0000-0000073F0000}"/>
    <cellStyle name="Заголовок 2 17" xfId="16304" xr:uid="{00000000-0005-0000-0000-0000083F0000}"/>
    <cellStyle name="Заголовок 2 18" xfId="16305" xr:uid="{00000000-0005-0000-0000-0000093F0000}"/>
    <cellStyle name="Заголовок 2 19" xfId="16306" xr:uid="{00000000-0005-0000-0000-00000A3F0000}"/>
    <cellStyle name="Заголовок 2 2" xfId="322" xr:uid="{00000000-0005-0000-0000-00000B3F0000}"/>
    <cellStyle name="Заголовок 2 2 2" xfId="16307" xr:uid="{00000000-0005-0000-0000-00000C3F0000}"/>
    <cellStyle name="Заголовок 2 2 3" xfId="16308" xr:uid="{00000000-0005-0000-0000-00000D3F0000}"/>
    <cellStyle name="Заголовок 2 2 4" xfId="16309" xr:uid="{00000000-0005-0000-0000-00000E3F0000}"/>
    <cellStyle name="Заголовок 2 2 5" xfId="16310" xr:uid="{00000000-0005-0000-0000-00000F3F0000}"/>
    <cellStyle name="Заголовок 2 2 6" xfId="16311" xr:uid="{00000000-0005-0000-0000-0000103F0000}"/>
    <cellStyle name="Заголовок 2 2 7" xfId="16312" xr:uid="{00000000-0005-0000-0000-0000113F0000}"/>
    <cellStyle name="Заголовок 2 20" xfId="16313" xr:uid="{00000000-0005-0000-0000-0000123F0000}"/>
    <cellStyle name="Заголовок 2 20 2" xfId="16314" xr:uid="{00000000-0005-0000-0000-0000133F0000}"/>
    <cellStyle name="Заголовок 2 21" xfId="16315" xr:uid="{00000000-0005-0000-0000-0000143F0000}"/>
    <cellStyle name="Заголовок 2 22" xfId="16316" xr:uid="{00000000-0005-0000-0000-0000153F0000}"/>
    <cellStyle name="Заголовок 2 23" xfId="16317" xr:uid="{00000000-0005-0000-0000-0000163F0000}"/>
    <cellStyle name="Заголовок 2 24" xfId="16318" xr:uid="{00000000-0005-0000-0000-0000173F0000}"/>
    <cellStyle name="Заголовок 2 25" xfId="16319" xr:uid="{00000000-0005-0000-0000-0000183F0000}"/>
    <cellStyle name="Заголовок 2 26" xfId="16320" xr:uid="{00000000-0005-0000-0000-0000193F0000}"/>
    <cellStyle name="Заголовок 2 27" xfId="16321" xr:uid="{00000000-0005-0000-0000-00001A3F0000}"/>
    <cellStyle name="Заголовок 2 28" xfId="16322" xr:uid="{00000000-0005-0000-0000-00001B3F0000}"/>
    <cellStyle name="Заголовок 2 29" xfId="16323" xr:uid="{00000000-0005-0000-0000-00001C3F0000}"/>
    <cellStyle name="Заголовок 2 3" xfId="16324" xr:uid="{00000000-0005-0000-0000-00001D3F0000}"/>
    <cellStyle name="Заголовок 2 30" xfId="16325" xr:uid="{00000000-0005-0000-0000-00001E3F0000}"/>
    <cellStyle name="Заголовок 2 31" xfId="16326" xr:uid="{00000000-0005-0000-0000-00001F3F0000}"/>
    <cellStyle name="Заголовок 2 32" xfId="16327" xr:uid="{00000000-0005-0000-0000-0000203F0000}"/>
    <cellStyle name="Заголовок 2 33" xfId="16328" xr:uid="{00000000-0005-0000-0000-0000213F0000}"/>
    <cellStyle name="Заголовок 2 34" xfId="16329" xr:uid="{00000000-0005-0000-0000-0000223F0000}"/>
    <cellStyle name="Заголовок 2 35" xfId="16330" xr:uid="{00000000-0005-0000-0000-0000233F0000}"/>
    <cellStyle name="Заголовок 2 36" xfId="16331" xr:uid="{00000000-0005-0000-0000-0000243F0000}"/>
    <cellStyle name="Заголовок 2 37" xfId="16332" xr:uid="{00000000-0005-0000-0000-0000253F0000}"/>
    <cellStyle name="Заголовок 2 38" xfId="16333" xr:uid="{00000000-0005-0000-0000-0000263F0000}"/>
    <cellStyle name="Заголовок 2 39" xfId="16334" xr:uid="{00000000-0005-0000-0000-0000273F0000}"/>
    <cellStyle name="Заголовок 2 4" xfId="16335" xr:uid="{00000000-0005-0000-0000-0000283F0000}"/>
    <cellStyle name="Заголовок 2 40" xfId="16336" xr:uid="{00000000-0005-0000-0000-0000293F0000}"/>
    <cellStyle name="Заголовок 2 41" xfId="16337" xr:uid="{00000000-0005-0000-0000-00002A3F0000}"/>
    <cellStyle name="Заголовок 2 42" xfId="16338" xr:uid="{00000000-0005-0000-0000-00002B3F0000}"/>
    <cellStyle name="Заголовок 2 43" xfId="16339" xr:uid="{00000000-0005-0000-0000-00002C3F0000}"/>
    <cellStyle name="Заголовок 2 44" xfId="16340" xr:uid="{00000000-0005-0000-0000-00002D3F0000}"/>
    <cellStyle name="Заголовок 2 45" xfId="16341" xr:uid="{00000000-0005-0000-0000-00002E3F0000}"/>
    <cellStyle name="Заголовок 2 46" xfId="16342" xr:uid="{00000000-0005-0000-0000-00002F3F0000}"/>
    <cellStyle name="Заголовок 2 47" xfId="16343" xr:uid="{00000000-0005-0000-0000-0000303F0000}"/>
    <cellStyle name="Заголовок 2 48" xfId="16344" xr:uid="{00000000-0005-0000-0000-0000313F0000}"/>
    <cellStyle name="Заголовок 2 49" xfId="16345" xr:uid="{00000000-0005-0000-0000-0000323F0000}"/>
    <cellStyle name="Заголовок 2 5" xfId="16346" xr:uid="{00000000-0005-0000-0000-0000333F0000}"/>
    <cellStyle name="Заголовок 2 50" xfId="16347" xr:uid="{00000000-0005-0000-0000-0000343F0000}"/>
    <cellStyle name="Заголовок 2 51" xfId="16348" xr:uid="{00000000-0005-0000-0000-0000353F0000}"/>
    <cellStyle name="Заголовок 2 52" xfId="16349" xr:uid="{00000000-0005-0000-0000-0000363F0000}"/>
    <cellStyle name="Заголовок 2 53" xfId="16350" xr:uid="{00000000-0005-0000-0000-0000373F0000}"/>
    <cellStyle name="Заголовок 2 54" xfId="16351" xr:uid="{00000000-0005-0000-0000-0000383F0000}"/>
    <cellStyle name="Заголовок 2 55" xfId="16352" xr:uid="{00000000-0005-0000-0000-0000393F0000}"/>
    <cellStyle name="Заголовок 2 56" xfId="16353" xr:uid="{00000000-0005-0000-0000-00003A3F0000}"/>
    <cellStyle name="Заголовок 2 57" xfId="16354" xr:uid="{00000000-0005-0000-0000-00003B3F0000}"/>
    <cellStyle name="Заголовок 2 58" xfId="16355" xr:uid="{00000000-0005-0000-0000-00003C3F0000}"/>
    <cellStyle name="Заголовок 2 59" xfId="16356" xr:uid="{00000000-0005-0000-0000-00003D3F0000}"/>
    <cellStyle name="Заголовок 2 6" xfId="16357" xr:uid="{00000000-0005-0000-0000-00003E3F0000}"/>
    <cellStyle name="Заголовок 2 60" xfId="16358" xr:uid="{00000000-0005-0000-0000-00003F3F0000}"/>
    <cellStyle name="Заголовок 2 61" xfId="16359" xr:uid="{00000000-0005-0000-0000-0000403F0000}"/>
    <cellStyle name="Заголовок 2 62" xfId="16360" xr:uid="{00000000-0005-0000-0000-0000413F0000}"/>
    <cellStyle name="Заголовок 2 63" xfId="16361" xr:uid="{00000000-0005-0000-0000-0000423F0000}"/>
    <cellStyle name="Заголовок 2 64" xfId="16362" xr:uid="{00000000-0005-0000-0000-0000433F0000}"/>
    <cellStyle name="Заголовок 2 65" xfId="16363" xr:uid="{00000000-0005-0000-0000-0000443F0000}"/>
    <cellStyle name="Заголовок 2 66" xfId="16364" xr:uid="{00000000-0005-0000-0000-0000453F0000}"/>
    <cellStyle name="Заголовок 2 67" xfId="16365" xr:uid="{00000000-0005-0000-0000-0000463F0000}"/>
    <cellStyle name="Заголовок 2 68" xfId="16366" xr:uid="{00000000-0005-0000-0000-0000473F0000}"/>
    <cellStyle name="Заголовок 2 69" xfId="16367" xr:uid="{00000000-0005-0000-0000-0000483F0000}"/>
    <cellStyle name="Заголовок 2 7" xfId="16368" xr:uid="{00000000-0005-0000-0000-0000493F0000}"/>
    <cellStyle name="Заголовок 2 70" xfId="16369" xr:uid="{00000000-0005-0000-0000-00004A3F0000}"/>
    <cellStyle name="Заголовок 2 71" xfId="16370" xr:uid="{00000000-0005-0000-0000-00004B3F0000}"/>
    <cellStyle name="Заголовок 2 72" xfId="16371" xr:uid="{00000000-0005-0000-0000-00004C3F0000}"/>
    <cellStyle name="Заголовок 2 73" xfId="16372" xr:uid="{00000000-0005-0000-0000-00004D3F0000}"/>
    <cellStyle name="Заголовок 2 74" xfId="16373" xr:uid="{00000000-0005-0000-0000-00004E3F0000}"/>
    <cellStyle name="Заголовок 2 75" xfId="16374" xr:uid="{00000000-0005-0000-0000-00004F3F0000}"/>
    <cellStyle name="Заголовок 2 76" xfId="16375" xr:uid="{00000000-0005-0000-0000-0000503F0000}"/>
    <cellStyle name="Заголовок 2 77" xfId="16376" xr:uid="{00000000-0005-0000-0000-0000513F0000}"/>
    <cellStyle name="Заголовок 2 78" xfId="16377" xr:uid="{00000000-0005-0000-0000-0000523F0000}"/>
    <cellStyle name="Заголовок 2 79" xfId="16378" xr:uid="{00000000-0005-0000-0000-0000533F0000}"/>
    <cellStyle name="Заголовок 2 8" xfId="16379" xr:uid="{00000000-0005-0000-0000-0000543F0000}"/>
    <cellStyle name="Заголовок 2 80" xfId="16380" xr:uid="{00000000-0005-0000-0000-0000553F0000}"/>
    <cellStyle name="Заголовок 2 81" xfId="16381" xr:uid="{00000000-0005-0000-0000-0000563F0000}"/>
    <cellStyle name="Заголовок 2 82" xfId="16382" xr:uid="{00000000-0005-0000-0000-0000573F0000}"/>
    <cellStyle name="Заголовок 2 83" xfId="16383" xr:uid="{00000000-0005-0000-0000-0000583F0000}"/>
    <cellStyle name="Заголовок 2 84" xfId="16384" xr:uid="{00000000-0005-0000-0000-0000593F0000}"/>
    <cellStyle name="Заголовок 2 85" xfId="16385" xr:uid="{00000000-0005-0000-0000-00005A3F0000}"/>
    <cellStyle name="Заголовок 2 86" xfId="16386" xr:uid="{00000000-0005-0000-0000-00005B3F0000}"/>
    <cellStyle name="Заголовок 2 87" xfId="16387" xr:uid="{00000000-0005-0000-0000-00005C3F0000}"/>
    <cellStyle name="Заголовок 2 88" xfId="16388" xr:uid="{00000000-0005-0000-0000-00005D3F0000}"/>
    <cellStyle name="Заголовок 2 89" xfId="16389" xr:uid="{00000000-0005-0000-0000-00005E3F0000}"/>
    <cellStyle name="Заголовок 2 9" xfId="16390" xr:uid="{00000000-0005-0000-0000-00005F3F0000}"/>
    <cellStyle name="Заголовок 2 90" xfId="16391" xr:uid="{00000000-0005-0000-0000-0000603F0000}"/>
    <cellStyle name="Заголовок 2 91" xfId="16392" xr:uid="{00000000-0005-0000-0000-0000613F0000}"/>
    <cellStyle name="Заголовок 2 92" xfId="16393" xr:uid="{00000000-0005-0000-0000-0000623F0000}"/>
    <cellStyle name="Заголовок 2 93" xfId="16394" xr:uid="{00000000-0005-0000-0000-0000633F0000}"/>
    <cellStyle name="Заголовок 2 94" xfId="16395" xr:uid="{00000000-0005-0000-0000-0000643F0000}"/>
    <cellStyle name="Заголовок 2 95" xfId="16396" xr:uid="{00000000-0005-0000-0000-0000653F0000}"/>
    <cellStyle name="Заголовок 2 96" xfId="16397" xr:uid="{00000000-0005-0000-0000-0000663F0000}"/>
    <cellStyle name="Заголовок 2 97" xfId="16398" xr:uid="{00000000-0005-0000-0000-0000673F0000}"/>
    <cellStyle name="Заголовок 2 98" xfId="16399" xr:uid="{00000000-0005-0000-0000-0000683F0000}"/>
    <cellStyle name="Заголовок 2 99" xfId="16400" xr:uid="{00000000-0005-0000-0000-0000693F0000}"/>
    <cellStyle name="Заголовок 3 10" xfId="16401" xr:uid="{00000000-0005-0000-0000-00006A3F0000}"/>
    <cellStyle name="Заголовок 3 100" xfId="16402" xr:uid="{00000000-0005-0000-0000-00006B3F0000}"/>
    <cellStyle name="Заголовок 3 101" xfId="16403" xr:uid="{00000000-0005-0000-0000-00006C3F0000}"/>
    <cellStyle name="Заголовок 3 102" xfId="16404" xr:uid="{00000000-0005-0000-0000-00006D3F0000}"/>
    <cellStyle name="Заголовок 3 103" xfId="16405" xr:uid="{00000000-0005-0000-0000-00006E3F0000}"/>
    <cellStyle name="Заголовок 3 104" xfId="16406" xr:uid="{00000000-0005-0000-0000-00006F3F0000}"/>
    <cellStyle name="Заголовок 3 105" xfId="16407" xr:uid="{00000000-0005-0000-0000-0000703F0000}"/>
    <cellStyle name="Заголовок 3 106" xfId="16408" xr:uid="{00000000-0005-0000-0000-0000713F0000}"/>
    <cellStyle name="Заголовок 3 107" xfId="16409" xr:uid="{00000000-0005-0000-0000-0000723F0000}"/>
    <cellStyle name="Заголовок 3 108" xfId="16410" xr:uid="{00000000-0005-0000-0000-0000733F0000}"/>
    <cellStyle name="Заголовок 3 109" xfId="16411" xr:uid="{00000000-0005-0000-0000-0000743F0000}"/>
    <cellStyle name="Заголовок 3 11" xfId="16412" xr:uid="{00000000-0005-0000-0000-0000753F0000}"/>
    <cellStyle name="Заголовок 3 110" xfId="16413" xr:uid="{00000000-0005-0000-0000-0000763F0000}"/>
    <cellStyle name="Заголовок 3 111" xfId="16414" xr:uid="{00000000-0005-0000-0000-0000773F0000}"/>
    <cellStyle name="Заголовок 3 112" xfId="16415" xr:uid="{00000000-0005-0000-0000-0000783F0000}"/>
    <cellStyle name="Заголовок 3 113" xfId="16416" xr:uid="{00000000-0005-0000-0000-0000793F0000}"/>
    <cellStyle name="Заголовок 3 114" xfId="16417" xr:uid="{00000000-0005-0000-0000-00007A3F0000}"/>
    <cellStyle name="Заголовок 3 115" xfId="16418" xr:uid="{00000000-0005-0000-0000-00007B3F0000}"/>
    <cellStyle name="Заголовок 3 116" xfId="16419" xr:uid="{00000000-0005-0000-0000-00007C3F0000}"/>
    <cellStyle name="Заголовок 3 117" xfId="16420" xr:uid="{00000000-0005-0000-0000-00007D3F0000}"/>
    <cellStyle name="Заголовок 3 118" xfId="16421" xr:uid="{00000000-0005-0000-0000-00007E3F0000}"/>
    <cellStyle name="Заголовок 3 119" xfId="16422" xr:uid="{00000000-0005-0000-0000-00007F3F0000}"/>
    <cellStyle name="Заголовок 3 12" xfId="16423" xr:uid="{00000000-0005-0000-0000-0000803F0000}"/>
    <cellStyle name="Заголовок 3 120" xfId="16424" xr:uid="{00000000-0005-0000-0000-0000813F0000}"/>
    <cellStyle name="Заголовок 3 121" xfId="16425" xr:uid="{00000000-0005-0000-0000-0000823F0000}"/>
    <cellStyle name="Заголовок 3 122" xfId="16426" xr:uid="{00000000-0005-0000-0000-0000833F0000}"/>
    <cellStyle name="Заголовок 3 123" xfId="16427" xr:uid="{00000000-0005-0000-0000-0000843F0000}"/>
    <cellStyle name="Заголовок 3 124" xfId="16428" xr:uid="{00000000-0005-0000-0000-0000853F0000}"/>
    <cellStyle name="Заголовок 3 125" xfId="16429" xr:uid="{00000000-0005-0000-0000-0000863F0000}"/>
    <cellStyle name="Заголовок 3 126" xfId="16430" xr:uid="{00000000-0005-0000-0000-0000873F0000}"/>
    <cellStyle name="Заголовок 3 127" xfId="16431" xr:uid="{00000000-0005-0000-0000-0000883F0000}"/>
    <cellStyle name="Заголовок 3 128" xfId="16432" xr:uid="{00000000-0005-0000-0000-0000893F0000}"/>
    <cellStyle name="Заголовок 3 129" xfId="16433" xr:uid="{00000000-0005-0000-0000-00008A3F0000}"/>
    <cellStyle name="Заголовок 3 13" xfId="16434" xr:uid="{00000000-0005-0000-0000-00008B3F0000}"/>
    <cellStyle name="Заголовок 3 130" xfId="16435" xr:uid="{00000000-0005-0000-0000-00008C3F0000}"/>
    <cellStyle name="Заголовок 3 131" xfId="16436" xr:uid="{00000000-0005-0000-0000-00008D3F0000}"/>
    <cellStyle name="Заголовок 3 132" xfId="16437" xr:uid="{00000000-0005-0000-0000-00008E3F0000}"/>
    <cellStyle name="Заголовок 3 133" xfId="16438" xr:uid="{00000000-0005-0000-0000-00008F3F0000}"/>
    <cellStyle name="Заголовок 3 134" xfId="16439" xr:uid="{00000000-0005-0000-0000-0000903F0000}"/>
    <cellStyle name="Заголовок 3 135" xfId="16440" xr:uid="{00000000-0005-0000-0000-0000913F0000}"/>
    <cellStyle name="Заголовок 3 136" xfId="16441" xr:uid="{00000000-0005-0000-0000-0000923F0000}"/>
    <cellStyle name="Заголовок 3 137" xfId="16442" xr:uid="{00000000-0005-0000-0000-0000933F0000}"/>
    <cellStyle name="Заголовок 3 138" xfId="16443" xr:uid="{00000000-0005-0000-0000-0000943F0000}"/>
    <cellStyle name="Заголовок 3 139" xfId="16444" xr:uid="{00000000-0005-0000-0000-0000953F0000}"/>
    <cellStyle name="Заголовок 3 14" xfId="16445" xr:uid="{00000000-0005-0000-0000-0000963F0000}"/>
    <cellStyle name="Заголовок 3 140" xfId="16446" xr:uid="{00000000-0005-0000-0000-0000973F0000}"/>
    <cellStyle name="Заголовок 3 141" xfId="16447" xr:uid="{00000000-0005-0000-0000-0000983F0000}"/>
    <cellStyle name="Заголовок 3 142" xfId="16448" xr:uid="{00000000-0005-0000-0000-0000993F0000}"/>
    <cellStyle name="Заголовок 3 143" xfId="16449" xr:uid="{00000000-0005-0000-0000-00009A3F0000}"/>
    <cellStyle name="Заголовок 3 144" xfId="16450" xr:uid="{00000000-0005-0000-0000-00009B3F0000}"/>
    <cellStyle name="Заголовок 3 145" xfId="16451" xr:uid="{00000000-0005-0000-0000-00009C3F0000}"/>
    <cellStyle name="Заголовок 3 146" xfId="16452" xr:uid="{00000000-0005-0000-0000-00009D3F0000}"/>
    <cellStyle name="Заголовок 3 147" xfId="16453" xr:uid="{00000000-0005-0000-0000-00009E3F0000}"/>
    <cellStyle name="Заголовок 3 148" xfId="16454" xr:uid="{00000000-0005-0000-0000-00009F3F0000}"/>
    <cellStyle name="Заголовок 3 149" xfId="16455" xr:uid="{00000000-0005-0000-0000-0000A03F0000}"/>
    <cellStyle name="Заголовок 3 15" xfId="16456" xr:uid="{00000000-0005-0000-0000-0000A13F0000}"/>
    <cellStyle name="Заголовок 3 150" xfId="16457" xr:uid="{00000000-0005-0000-0000-0000A23F0000}"/>
    <cellStyle name="Заголовок 3 151" xfId="16458" xr:uid="{00000000-0005-0000-0000-0000A33F0000}"/>
    <cellStyle name="Заголовок 3 152" xfId="16459" xr:uid="{00000000-0005-0000-0000-0000A43F0000}"/>
    <cellStyle name="Заголовок 3 16" xfId="16460" xr:uid="{00000000-0005-0000-0000-0000A53F0000}"/>
    <cellStyle name="Заголовок 3 17" xfId="16461" xr:uid="{00000000-0005-0000-0000-0000A63F0000}"/>
    <cellStyle name="Заголовок 3 18" xfId="16462" xr:uid="{00000000-0005-0000-0000-0000A73F0000}"/>
    <cellStyle name="Заголовок 3 19" xfId="16463" xr:uid="{00000000-0005-0000-0000-0000A83F0000}"/>
    <cellStyle name="Заголовок 3 2" xfId="323" xr:uid="{00000000-0005-0000-0000-0000A93F0000}"/>
    <cellStyle name="Заголовок 3 2 2" xfId="16464" xr:uid="{00000000-0005-0000-0000-0000AA3F0000}"/>
    <cellStyle name="Заголовок 3 2 3" xfId="16465" xr:uid="{00000000-0005-0000-0000-0000AB3F0000}"/>
    <cellStyle name="Заголовок 3 2 4" xfId="16466" xr:uid="{00000000-0005-0000-0000-0000AC3F0000}"/>
    <cellStyle name="Заголовок 3 2 5" xfId="16467" xr:uid="{00000000-0005-0000-0000-0000AD3F0000}"/>
    <cellStyle name="Заголовок 3 2 6" xfId="16468" xr:uid="{00000000-0005-0000-0000-0000AE3F0000}"/>
    <cellStyle name="Заголовок 3 2 7" xfId="16469" xr:uid="{00000000-0005-0000-0000-0000AF3F0000}"/>
    <cellStyle name="Заголовок 3 20" xfId="16470" xr:uid="{00000000-0005-0000-0000-0000B03F0000}"/>
    <cellStyle name="Заголовок 3 20 2" xfId="16471" xr:uid="{00000000-0005-0000-0000-0000B13F0000}"/>
    <cellStyle name="Заголовок 3 21" xfId="16472" xr:uid="{00000000-0005-0000-0000-0000B23F0000}"/>
    <cellStyle name="Заголовок 3 22" xfId="16473" xr:uid="{00000000-0005-0000-0000-0000B33F0000}"/>
    <cellStyle name="Заголовок 3 23" xfId="16474" xr:uid="{00000000-0005-0000-0000-0000B43F0000}"/>
    <cellStyle name="Заголовок 3 24" xfId="16475" xr:uid="{00000000-0005-0000-0000-0000B53F0000}"/>
    <cellStyle name="Заголовок 3 25" xfId="16476" xr:uid="{00000000-0005-0000-0000-0000B63F0000}"/>
    <cellStyle name="Заголовок 3 26" xfId="16477" xr:uid="{00000000-0005-0000-0000-0000B73F0000}"/>
    <cellStyle name="Заголовок 3 27" xfId="16478" xr:uid="{00000000-0005-0000-0000-0000B83F0000}"/>
    <cellStyle name="Заголовок 3 28" xfId="16479" xr:uid="{00000000-0005-0000-0000-0000B93F0000}"/>
    <cellStyle name="Заголовок 3 29" xfId="16480" xr:uid="{00000000-0005-0000-0000-0000BA3F0000}"/>
    <cellStyle name="Заголовок 3 3" xfId="16481" xr:uid="{00000000-0005-0000-0000-0000BB3F0000}"/>
    <cellStyle name="Заголовок 3 30" xfId="16482" xr:uid="{00000000-0005-0000-0000-0000BC3F0000}"/>
    <cellStyle name="Заголовок 3 31" xfId="16483" xr:uid="{00000000-0005-0000-0000-0000BD3F0000}"/>
    <cellStyle name="Заголовок 3 32" xfId="16484" xr:uid="{00000000-0005-0000-0000-0000BE3F0000}"/>
    <cellStyle name="Заголовок 3 33" xfId="16485" xr:uid="{00000000-0005-0000-0000-0000BF3F0000}"/>
    <cellStyle name="Заголовок 3 34" xfId="16486" xr:uid="{00000000-0005-0000-0000-0000C03F0000}"/>
    <cellStyle name="Заголовок 3 35" xfId="16487" xr:uid="{00000000-0005-0000-0000-0000C13F0000}"/>
    <cellStyle name="Заголовок 3 36" xfId="16488" xr:uid="{00000000-0005-0000-0000-0000C23F0000}"/>
    <cellStyle name="Заголовок 3 37" xfId="16489" xr:uid="{00000000-0005-0000-0000-0000C33F0000}"/>
    <cellStyle name="Заголовок 3 38" xfId="16490" xr:uid="{00000000-0005-0000-0000-0000C43F0000}"/>
    <cellStyle name="Заголовок 3 39" xfId="16491" xr:uid="{00000000-0005-0000-0000-0000C53F0000}"/>
    <cellStyle name="Заголовок 3 4" xfId="16492" xr:uid="{00000000-0005-0000-0000-0000C63F0000}"/>
    <cellStyle name="Заголовок 3 40" xfId="16493" xr:uid="{00000000-0005-0000-0000-0000C73F0000}"/>
    <cellStyle name="Заголовок 3 41" xfId="16494" xr:uid="{00000000-0005-0000-0000-0000C83F0000}"/>
    <cellStyle name="Заголовок 3 42" xfId="16495" xr:uid="{00000000-0005-0000-0000-0000C93F0000}"/>
    <cellStyle name="Заголовок 3 43" xfId="16496" xr:uid="{00000000-0005-0000-0000-0000CA3F0000}"/>
    <cellStyle name="Заголовок 3 44" xfId="16497" xr:uid="{00000000-0005-0000-0000-0000CB3F0000}"/>
    <cellStyle name="Заголовок 3 45" xfId="16498" xr:uid="{00000000-0005-0000-0000-0000CC3F0000}"/>
    <cellStyle name="Заголовок 3 46" xfId="16499" xr:uid="{00000000-0005-0000-0000-0000CD3F0000}"/>
    <cellStyle name="Заголовок 3 47" xfId="16500" xr:uid="{00000000-0005-0000-0000-0000CE3F0000}"/>
    <cellStyle name="Заголовок 3 48" xfId="16501" xr:uid="{00000000-0005-0000-0000-0000CF3F0000}"/>
    <cellStyle name="Заголовок 3 49" xfId="16502" xr:uid="{00000000-0005-0000-0000-0000D03F0000}"/>
    <cellStyle name="Заголовок 3 5" xfId="16503" xr:uid="{00000000-0005-0000-0000-0000D13F0000}"/>
    <cellStyle name="Заголовок 3 50" xfId="16504" xr:uid="{00000000-0005-0000-0000-0000D23F0000}"/>
    <cellStyle name="Заголовок 3 51" xfId="16505" xr:uid="{00000000-0005-0000-0000-0000D33F0000}"/>
    <cellStyle name="Заголовок 3 52" xfId="16506" xr:uid="{00000000-0005-0000-0000-0000D43F0000}"/>
    <cellStyle name="Заголовок 3 53" xfId="16507" xr:uid="{00000000-0005-0000-0000-0000D53F0000}"/>
    <cellStyle name="Заголовок 3 54" xfId="16508" xr:uid="{00000000-0005-0000-0000-0000D63F0000}"/>
    <cellStyle name="Заголовок 3 55" xfId="16509" xr:uid="{00000000-0005-0000-0000-0000D73F0000}"/>
    <cellStyle name="Заголовок 3 56" xfId="16510" xr:uid="{00000000-0005-0000-0000-0000D83F0000}"/>
    <cellStyle name="Заголовок 3 57" xfId="16511" xr:uid="{00000000-0005-0000-0000-0000D93F0000}"/>
    <cellStyle name="Заголовок 3 58" xfId="16512" xr:uid="{00000000-0005-0000-0000-0000DA3F0000}"/>
    <cellStyle name="Заголовок 3 59" xfId="16513" xr:uid="{00000000-0005-0000-0000-0000DB3F0000}"/>
    <cellStyle name="Заголовок 3 6" xfId="16514" xr:uid="{00000000-0005-0000-0000-0000DC3F0000}"/>
    <cellStyle name="Заголовок 3 60" xfId="16515" xr:uid="{00000000-0005-0000-0000-0000DD3F0000}"/>
    <cellStyle name="Заголовок 3 61" xfId="16516" xr:uid="{00000000-0005-0000-0000-0000DE3F0000}"/>
    <cellStyle name="Заголовок 3 62" xfId="16517" xr:uid="{00000000-0005-0000-0000-0000DF3F0000}"/>
    <cellStyle name="Заголовок 3 63" xfId="16518" xr:uid="{00000000-0005-0000-0000-0000E03F0000}"/>
    <cellStyle name="Заголовок 3 64" xfId="16519" xr:uid="{00000000-0005-0000-0000-0000E13F0000}"/>
    <cellStyle name="Заголовок 3 65" xfId="16520" xr:uid="{00000000-0005-0000-0000-0000E23F0000}"/>
    <cellStyle name="Заголовок 3 66" xfId="16521" xr:uid="{00000000-0005-0000-0000-0000E33F0000}"/>
    <cellStyle name="Заголовок 3 67" xfId="16522" xr:uid="{00000000-0005-0000-0000-0000E43F0000}"/>
    <cellStyle name="Заголовок 3 68" xfId="16523" xr:uid="{00000000-0005-0000-0000-0000E53F0000}"/>
    <cellStyle name="Заголовок 3 69" xfId="16524" xr:uid="{00000000-0005-0000-0000-0000E63F0000}"/>
    <cellStyle name="Заголовок 3 7" xfId="16525" xr:uid="{00000000-0005-0000-0000-0000E73F0000}"/>
    <cellStyle name="Заголовок 3 70" xfId="16526" xr:uid="{00000000-0005-0000-0000-0000E83F0000}"/>
    <cellStyle name="Заголовок 3 71" xfId="16527" xr:uid="{00000000-0005-0000-0000-0000E93F0000}"/>
    <cellStyle name="Заголовок 3 72" xfId="16528" xr:uid="{00000000-0005-0000-0000-0000EA3F0000}"/>
    <cellStyle name="Заголовок 3 73" xfId="16529" xr:uid="{00000000-0005-0000-0000-0000EB3F0000}"/>
    <cellStyle name="Заголовок 3 74" xfId="16530" xr:uid="{00000000-0005-0000-0000-0000EC3F0000}"/>
    <cellStyle name="Заголовок 3 75" xfId="16531" xr:uid="{00000000-0005-0000-0000-0000ED3F0000}"/>
    <cellStyle name="Заголовок 3 76" xfId="16532" xr:uid="{00000000-0005-0000-0000-0000EE3F0000}"/>
    <cellStyle name="Заголовок 3 77" xfId="16533" xr:uid="{00000000-0005-0000-0000-0000EF3F0000}"/>
    <cellStyle name="Заголовок 3 78" xfId="16534" xr:uid="{00000000-0005-0000-0000-0000F03F0000}"/>
    <cellStyle name="Заголовок 3 79" xfId="16535" xr:uid="{00000000-0005-0000-0000-0000F13F0000}"/>
    <cellStyle name="Заголовок 3 8" xfId="16536" xr:uid="{00000000-0005-0000-0000-0000F23F0000}"/>
    <cellStyle name="Заголовок 3 80" xfId="16537" xr:uid="{00000000-0005-0000-0000-0000F33F0000}"/>
    <cellStyle name="Заголовок 3 81" xfId="16538" xr:uid="{00000000-0005-0000-0000-0000F43F0000}"/>
    <cellStyle name="Заголовок 3 82" xfId="16539" xr:uid="{00000000-0005-0000-0000-0000F53F0000}"/>
    <cellStyle name="Заголовок 3 83" xfId="16540" xr:uid="{00000000-0005-0000-0000-0000F63F0000}"/>
    <cellStyle name="Заголовок 3 84" xfId="16541" xr:uid="{00000000-0005-0000-0000-0000F73F0000}"/>
    <cellStyle name="Заголовок 3 85" xfId="16542" xr:uid="{00000000-0005-0000-0000-0000F83F0000}"/>
    <cellStyle name="Заголовок 3 86" xfId="16543" xr:uid="{00000000-0005-0000-0000-0000F93F0000}"/>
    <cellStyle name="Заголовок 3 87" xfId="16544" xr:uid="{00000000-0005-0000-0000-0000FA3F0000}"/>
    <cellStyle name="Заголовок 3 88" xfId="16545" xr:uid="{00000000-0005-0000-0000-0000FB3F0000}"/>
    <cellStyle name="Заголовок 3 89" xfId="16546" xr:uid="{00000000-0005-0000-0000-0000FC3F0000}"/>
    <cellStyle name="Заголовок 3 9" xfId="16547" xr:uid="{00000000-0005-0000-0000-0000FD3F0000}"/>
    <cellStyle name="Заголовок 3 90" xfId="16548" xr:uid="{00000000-0005-0000-0000-0000FE3F0000}"/>
    <cellStyle name="Заголовок 3 91" xfId="16549" xr:uid="{00000000-0005-0000-0000-0000FF3F0000}"/>
    <cellStyle name="Заголовок 3 92" xfId="16550" xr:uid="{00000000-0005-0000-0000-000000400000}"/>
    <cellStyle name="Заголовок 3 93" xfId="16551" xr:uid="{00000000-0005-0000-0000-000001400000}"/>
    <cellStyle name="Заголовок 3 94" xfId="16552" xr:uid="{00000000-0005-0000-0000-000002400000}"/>
    <cellStyle name="Заголовок 3 95" xfId="16553" xr:uid="{00000000-0005-0000-0000-000003400000}"/>
    <cellStyle name="Заголовок 3 96" xfId="16554" xr:uid="{00000000-0005-0000-0000-000004400000}"/>
    <cellStyle name="Заголовок 3 97" xfId="16555" xr:uid="{00000000-0005-0000-0000-000005400000}"/>
    <cellStyle name="Заголовок 3 98" xfId="16556" xr:uid="{00000000-0005-0000-0000-000006400000}"/>
    <cellStyle name="Заголовок 3 99" xfId="16557" xr:uid="{00000000-0005-0000-0000-000007400000}"/>
    <cellStyle name="Заголовок 4 10" xfId="16558" xr:uid="{00000000-0005-0000-0000-000008400000}"/>
    <cellStyle name="Заголовок 4 100" xfId="16559" xr:uid="{00000000-0005-0000-0000-000009400000}"/>
    <cellStyle name="Заголовок 4 101" xfId="16560" xr:uid="{00000000-0005-0000-0000-00000A400000}"/>
    <cellStyle name="Заголовок 4 102" xfId="16561" xr:uid="{00000000-0005-0000-0000-00000B400000}"/>
    <cellStyle name="Заголовок 4 103" xfId="16562" xr:uid="{00000000-0005-0000-0000-00000C400000}"/>
    <cellStyle name="Заголовок 4 104" xfId="16563" xr:uid="{00000000-0005-0000-0000-00000D400000}"/>
    <cellStyle name="Заголовок 4 105" xfId="16564" xr:uid="{00000000-0005-0000-0000-00000E400000}"/>
    <cellStyle name="Заголовок 4 106" xfId="16565" xr:uid="{00000000-0005-0000-0000-00000F400000}"/>
    <cellStyle name="Заголовок 4 107" xfId="16566" xr:uid="{00000000-0005-0000-0000-000010400000}"/>
    <cellStyle name="Заголовок 4 108" xfId="16567" xr:uid="{00000000-0005-0000-0000-000011400000}"/>
    <cellStyle name="Заголовок 4 109" xfId="16568" xr:uid="{00000000-0005-0000-0000-000012400000}"/>
    <cellStyle name="Заголовок 4 11" xfId="16569" xr:uid="{00000000-0005-0000-0000-000013400000}"/>
    <cellStyle name="Заголовок 4 110" xfId="16570" xr:uid="{00000000-0005-0000-0000-000014400000}"/>
    <cellStyle name="Заголовок 4 111" xfId="16571" xr:uid="{00000000-0005-0000-0000-000015400000}"/>
    <cellStyle name="Заголовок 4 112" xfId="16572" xr:uid="{00000000-0005-0000-0000-000016400000}"/>
    <cellStyle name="Заголовок 4 113" xfId="16573" xr:uid="{00000000-0005-0000-0000-000017400000}"/>
    <cellStyle name="Заголовок 4 114" xfId="16574" xr:uid="{00000000-0005-0000-0000-000018400000}"/>
    <cellStyle name="Заголовок 4 115" xfId="16575" xr:uid="{00000000-0005-0000-0000-000019400000}"/>
    <cellStyle name="Заголовок 4 116" xfId="16576" xr:uid="{00000000-0005-0000-0000-00001A400000}"/>
    <cellStyle name="Заголовок 4 117" xfId="16577" xr:uid="{00000000-0005-0000-0000-00001B400000}"/>
    <cellStyle name="Заголовок 4 118" xfId="16578" xr:uid="{00000000-0005-0000-0000-00001C400000}"/>
    <cellStyle name="Заголовок 4 119" xfId="16579" xr:uid="{00000000-0005-0000-0000-00001D400000}"/>
    <cellStyle name="Заголовок 4 12" xfId="16580" xr:uid="{00000000-0005-0000-0000-00001E400000}"/>
    <cellStyle name="Заголовок 4 120" xfId="16581" xr:uid="{00000000-0005-0000-0000-00001F400000}"/>
    <cellStyle name="Заголовок 4 121" xfId="16582" xr:uid="{00000000-0005-0000-0000-000020400000}"/>
    <cellStyle name="Заголовок 4 122" xfId="16583" xr:uid="{00000000-0005-0000-0000-000021400000}"/>
    <cellStyle name="Заголовок 4 123" xfId="16584" xr:uid="{00000000-0005-0000-0000-000022400000}"/>
    <cellStyle name="Заголовок 4 124" xfId="16585" xr:uid="{00000000-0005-0000-0000-000023400000}"/>
    <cellStyle name="Заголовок 4 125" xfId="16586" xr:uid="{00000000-0005-0000-0000-000024400000}"/>
    <cellStyle name="Заголовок 4 126" xfId="16587" xr:uid="{00000000-0005-0000-0000-000025400000}"/>
    <cellStyle name="Заголовок 4 127" xfId="16588" xr:uid="{00000000-0005-0000-0000-000026400000}"/>
    <cellStyle name="Заголовок 4 128" xfId="16589" xr:uid="{00000000-0005-0000-0000-000027400000}"/>
    <cellStyle name="Заголовок 4 129" xfId="16590" xr:uid="{00000000-0005-0000-0000-000028400000}"/>
    <cellStyle name="Заголовок 4 13" xfId="16591" xr:uid="{00000000-0005-0000-0000-000029400000}"/>
    <cellStyle name="Заголовок 4 130" xfId="16592" xr:uid="{00000000-0005-0000-0000-00002A400000}"/>
    <cellStyle name="Заголовок 4 131" xfId="16593" xr:uid="{00000000-0005-0000-0000-00002B400000}"/>
    <cellStyle name="Заголовок 4 132" xfId="16594" xr:uid="{00000000-0005-0000-0000-00002C400000}"/>
    <cellStyle name="Заголовок 4 133" xfId="16595" xr:uid="{00000000-0005-0000-0000-00002D400000}"/>
    <cellStyle name="Заголовок 4 134" xfId="16596" xr:uid="{00000000-0005-0000-0000-00002E400000}"/>
    <cellStyle name="Заголовок 4 135" xfId="16597" xr:uid="{00000000-0005-0000-0000-00002F400000}"/>
    <cellStyle name="Заголовок 4 136" xfId="16598" xr:uid="{00000000-0005-0000-0000-000030400000}"/>
    <cellStyle name="Заголовок 4 137" xfId="16599" xr:uid="{00000000-0005-0000-0000-000031400000}"/>
    <cellStyle name="Заголовок 4 138" xfId="16600" xr:uid="{00000000-0005-0000-0000-000032400000}"/>
    <cellStyle name="Заголовок 4 139" xfId="16601" xr:uid="{00000000-0005-0000-0000-000033400000}"/>
    <cellStyle name="Заголовок 4 14" xfId="16602" xr:uid="{00000000-0005-0000-0000-000034400000}"/>
    <cellStyle name="Заголовок 4 140" xfId="16603" xr:uid="{00000000-0005-0000-0000-000035400000}"/>
    <cellStyle name="Заголовок 4 141" xfId="16604" xr:uid="{00000000-0005-0000-0000-000036400000}"/>
    <cellStyle name="Заголовок 4 142" xfId="16605" xr:uid="{00000000-0005-0000-0000-000037400000}"/>
    <cellStyle name="Заголовок 4 143" xfId="16606" xr:uid="{00000000-0005-0000-0000-000038400000}"/>
    <cellStyle name="Заголовок 4 144" xfId="16607" xr:uid="{00000000-0005-0000-0000-000039400000}"/>
    <cellStyle name="Заголовок 4 145" xfId="16608" xr:uid="{00000000-0005-0000-0000-00003A400000}"/>
    <cellStyle name="Заголовок 4 146" xfId="16609" xr:uid="{00000000-0005-0000-0000-00003B400000}"/>
    <cellStyle name="Заголовок 4 147" xfId="16610" xr:uid="{00000000-0005-0000-0000-00003C400000}"/>
    <cellStyle name="Заголовок 4 148" xfId="16611" xr:uid="{00000000-0005-0000-0000-00003D400000}"/>
    <cellStyle name="Заголовок 4 149" xfId="16612" xr:uid="{00000000-0005-0000-0000-00003E400000}"/>
    <cellStyle name="Заголовок 4 15" xfId="16613" xr:uid="{00000000-0005-0000-0000-00003F400000}"/>
    <cellStyle name="Заголовок 4 150" xfId="16614" xr:uid="{00000000-0005-0000-0000-000040400000}"/>
    <cellStyle name="Заголовок 4 151" xfId="16615" xr:uid="{00000000-0005-0000-0000-000041400000}"/>
    <cellStyle name="Заголовок 4 152" xfId="16616" xr:uid="{00000000-0005-0000-0000-000042400000}"/>
    <cellStyle name="Заголовок 4 16" xfId="16617" xr:uid="{00000000-0005-0000-0000-000043400000}"/>
    <cellStyle name="Заголовок 4 17" xfId="16618" xr:uid="{00000000-0005-0000-0000-000044400000}"/>
    <cellStyle name="Заголовок 4 18" xfId="16619" xr:uid="{00000000-0005-0000-0000-000045400000}"/>
    <cellStyle name="Заголовок 4 19" xfId="16620" xr:uid="{00000000-0005-0000-0000-000046400000}"/>
    <cellStyle name="Заголовок 4 2" xfId="324" xr:uid="{00000000-0005-0000-0000-000047400000}"/>
    <cellStyle name="Заголовок 4 2 2" xfId="16621" xr:uid="{00000000-0005-0000-0000-000048400000}"/>
    <cellStyle name="Заголовок 4 2 3" xfId="16622" xr:uid="{00000000-0005-0000-0000-000049400000}"/>
    <cellStyle name="Заголовок 4 2 4" xfId="16623" xr:uid="{00000000-0005-0000-0000-00004A400000}"/>
    <cellStyle name="Заголовок 4 2 5" xfId="16624" xr:uid="{00000000-0005-0000-0000-00004B400000}"/>
    <cellStyle name="Заголовок 4 2 6" xfId="16625" xr:uid="{00000000-0005-0000-0000-00004C400000}"/>
    <cellStyle name="Заголовок 4 2 7" xfId="16626" xr:uid="{00000000-0005-0000-0000-00004D400000}"/>
    <cellStyle name="Заголовок 4 20" xfId="16627" xr:uid="{00000000-0005-0000-0000-00004E400000}"/>
    <cellStyle name="Заголовок 4 20 2" xfId="16628" xr:uid="{00000000-0005-0000-0000-00004F400000}"/>
    <cellStyle name="Заголовок 4 21" xfId="16629" xr:uid="{00000000-0005-0000-0000-000050400000}"/>
    <cellStyle name="Заголовок 4 22" xfId="16630" xr:uid="{00000000-0005-0000-0000-000051400000}"/>
    <cellStyle name="Заголовок 4 23" xfId="16631" xr:uid="{00000000-0005-0000-0000-000052400000}"/>
    <cellStyle name="Заголовок 4 24" xfId="16632" xr:uid="{00000000-0005-0000-0000-000053400000}"/>
    <cellStyle name="Заголовок 4 25" xfId="16633" xr:uid="{00000000-0005-0000-0000-000054400000}"/>
    <cellStyle name="Заголовок 4 26" xfId="16634" xr:uid="{00000000-0005-0000-0000-000055400000}"/>
    <cellStyle name="Заголовок 4 27" xfId="16635" xr:uid="{00000000-0005-0000-0000-000056400000}"/>
    <cellStyle name="Заголовок 4 28" xfId="16636" xr:uid="{00000000-0005-0000-0000-000057400000}"/>
    <cellStyle name="Заголовок 4 29" xfId="16637" xr:uid="{00000000-0005-0000-0000-000058400000}"/>
    <cellStyle name="Заголовок 4 3" xfId="16638" xr:uid="{00000000-0005-0000-0000-000059400000}"/>
    <cellStyle name="Заголовок 4 30" xfId="16639" xr:uid="{00000000-0005-0000-0000-00005A400000}"/>
    <cellStyle name="Заголовок 4 31" xfId="16640" xr:uid="{00000000-0005-0000-0000-00005B400000}"/>
    <cellStyle name="Заголовок 4 32" xfId="16641" xr:uid="{00000000-0005-0000-0000-00005C400000}"/>
    <cellStyle name="Заголовок 4 33" xfId="16642" xr:uid="{00000000-0005-0000-0000-00005D400000}"/>
    <cellStyle name="Заголовок 4 34" xfId="16643" xr:uid="{00000000-0005-0000-0000-00005E400000}"/>
    <cellStyle name="Заголовок 4 35" xfId="16644" xr:uid="{00000000-0005-0000-0000-00005F400000}"/>
    <cellStyle name="Заголовок 4 36" xfId="16645" xr:uid="{00000000-0005-0000-0000-000060400000}"/>
    <cellStyle name="Заголовок 4 37" xfId="16646" xr:uid="{00000000-0005-0000-0000-000061400000}"/>
    <cellStyle name="Заголовок 4 38" xfId="16647" xr:uid="{00000000-0005-0000-0000-000062400000}"/>
    <cellStyle name="Заголовок 4 39" xfId="16648" xr:uid="{00000000-0005-0000-0000-000063400000}"/>
    <cellStyle name="Заголовок 4 4" xfId="16649" xr:uid="{00000000-0005-0000-0000-000064400000}"/>
    <cellStyle name="Заголовок 4 40" xfId="16650" xr:uid="{00000000-0005-0000-0000-000065400000}"/>
    <cellStyle name="Заголовок 4 41" xfId="16651" xr:uid="{00000000-0005-0000-0000-000066400000}"/>
    <cellStyle name="Заголовок 4 42" xfId="16652" xr:uid="{00000000-0005-0000-0000-000067400000}"/>
    <cellStyle name="Заголовок 4 43" xfId="16653" xr:uid="{00000000-0005-0000-0000-000068400000}"/>
    <cellStyle name="Заголовок 4 44" xfId="16654" xr:uid="{00000000-0005-0000-0000-000069400000}"/>
    <cellStyle name="Заголовок 4 45" xfId="16655" xr:uid="{00000000-0005-0000-0000-00006A400000}"/>
    <cellStyle name="Заголовок 4 46" xfId="16656" xr:uid="{00000000-0005-0000-0000-00006B400000}"/>
    <cellStyle name="Заголовок 4 47" xfId="16657" xr:uid="{00000000-0005-0000-0000-00006C400000}"/>
    <cellStyle name="Заголовок 4 48" xfId="16658" xr:uid="{00000000-0005-0000-0000-00006D400000}"/>
    <cellStyle name="Заголовок 4 49" xfId="16659" xr:uid="{00000000-0005-0000-0000-00006E400000}"/>
    <cellStyle name="Заголовок 4 5" xfId="16660" xr:uid="{00000000-0005-0000-0000-00006F400000}"/>
    <cellStyle name="Заголовок 4 50" xfId="16661" xr:uid="{00000000-0005-0000-0000-000070400000}"/>
    <cellStyle name="Заголовок 4 51" xfId="16662" xr:uid="{00000000-0005-0000-0000-000071400000}"/>
    <cellStyle name="Заголовок 4 52" xfId="16663" xr:uid="{00000000-0005-0000-0000-000072400000}"/>
    <cellStyle name="Заголовок 4 53" xfId="16664" xr:uid="{00000000-0005-0000-0000-000073400000}"/>
    <cellStyle name="Заголовок 4 54" xfId="16665" xr:uid="{00000000-0005-0000-0000-000074400000}"/>
    <cellStyle name="Заголовок 4 55" xfId="16666" xr:uid="{00000000-0005-0000-0000-000075400000}"/>
    <cellStyle name="Заголовок 4 56" xfId="16667" xr:uid="{00000000-0005-0000-0000-000076400000}"/>
    <cellStyle name="Заголовок 4 57" xfId="16668" xr:uid="{00000000-0005-0000-0000-000077400000}"/>
    <cellStyle name="Заголовок 4 58" xfId="16669" xr:uid="{00000000-0005-0000-0000-000078400000}"/>
    <cellStyle name="Заголовок 4 59" xfId="16670" xr:uid="{00000000-0005-0000-0000-000079400000}"/>
    <cellStyle name="Заголовок 4 6" xfId="16671" xr:uid="{00000000-0005-0000-0000-00007A400000}"/>
    <cellStyle name="Заголовок 4 60" xfId="16672" xr:uid="{00000000-0005-0000-0000-00007B400000}"/>
    <cellStyle name="Заголовок 4 61" xfId="16673" xr:uid="{00000000-0005-0000-0000-00007C400000}"/>
    <cellStyle name="Заголовок 4 62" xfId="16674" xr:uid="{00000000-0005-0000-0000-00007D400000}"/>
    <cellStyle name="Заголовок 4 63" xfId="16675" xr:uid="{00000000-0005-0000-0000-00007E400000}"/>
    <cellStyle name="Заголовок 4 64" xfId="16676" xr:uid="{00000000-0005-0000-0000-00007F400000}"/>
    <cellStyle name="Заголовок 4 65" xfId="16677" xr:uid="{00000000-0005-0000-0000-000080400000}"/>
    <cellStyle name="Заголовок 4 66" xfId="16678" xr:uid="{00000000-0005-0000-0000-000081400000}"/>
    <cellStyle name="Заголовок 4 67" xfId="16679" xr:uid="{00000000-0005-0000-0000-000082400000}"/>
    <cellStyle name="Заголовок 4 68" xfId="16680" xr:uid="{00000000-0005-0000-0000-000083400000}"/>
    <cellStyle name="Заголовок 4 69" xfId="16681" xr:uid="{00000000-0005-0000-0000-000084400000}"/>
    <cellStyle name="Заголовок 4 7" xfId="16682" xr:uid="{00000000-0005-0000-0000-000085400000}"/>
    <cellStyle name="Заголовок 4 70" xfId="16683" xr:uid="{00000000-0005-0000-0000-000086400000}"/>
    <cellStyle name="Заголовок 4 71" xfId="16684" xr:uid="{00000000-0005-0000-0000-000087400000}"/>
    <cellStyle name="Заголовок 4 72" xfId="16685" xr:uid="{00000000-0005-0000-0000-000088400000}"/>
    <cellStyle name="Заголовок 4 73" xfId="16686" xr:uid="{00000000-0005-0000-0000-000089400000}"/>
    <cellStyle name="Заголовок 4 74" xfId="16687" xr:uid="{00000000-0005-0000-0000-00008A400000}"/>
    <cellStyle name="Заголовок 4 75" xfId="16688" xr:uid="{00000000-0005-0000-0000-00008B400000}"/>
    <cellStyle name="Заголовок 4 76" xfId="16689" xr:uid="{00000000-0005-0000-0000-00008C400000}"/>
    <cellStyle name="Заголовок 4 77" xfId="16690" xr:uid="{00000000-0005-0000-0000-00008D400000}"/>
    <cellStyle name="Заголовок 4 78" xfId="16691" xr:uid="{00000000-0005-0000-0000-00008E400000}"/>
    <cellStyle name="Заголовок 4 79" xfId="16692" xr:uid="{00000000-0005-0000-0000-00008F400000}"/>
    <cellStyle name="Заголовок 4 8" xfId="16693" xr:uid="{00000000-0005-0000-0000-000090400000}"/>
    <cellStyle name="Заголовок 4 80" xfId="16694" xr:uid="{00000000-0005-0000-0000-000091400000}"/>
    <cellStyle name="Заголовок 4 81" xfId="16695" xr:uid="{00000000-0005-0000-0000-000092400000}"/>
    <cellStyle name="Заголовок 4 82" xfId="16696" xr:uid="{00000000-0005-0000-0000-000093400000}"/>
    <cellStyle name="Заголовок 4 83" xfId="16697" xr:uid="{00000000-0005-0000-0000-000094400000}"/>
    <cellStyle name="Заголовок 4 84" xfId="16698" xr:uid="{00000000-0005-0000-0000-000095400000}"/>
    <cellStyle name="Заголовок 4 85" xfId="16699" xr:uid="{00000000-0005-0000-0000-000096400000}"/>
    <cellStyle name="Заголовок 4 86" xfId="16700" xr:uid="{00000000-0005-0000-0000-000097400000}"/>
    <cellStyle name="Заголовок 4 87" xfId="16701" xr:uid="{00000000-0005-0000-0000-000098400000}"/>
    <cellStyle name="Заголовок 4 88" xfId="16702" xr:uid="{00000000-0005-0000-0000-000099400000}"/>
    <cellStyle name="Заголовок 4 89" xfId="16703" xr:uid="{00000000-0005-0000-0000-00009A400000}"/>
    <cellStyle name="Заголовок 4 9" xfId="16704" xr:uid="{00000000-0005-0000-0000-00009B400000}"/>
    <cellStyle name="Заголовок 4 90" xfId="16705" xr:uid="{00000000-0005-0000-0000-00009C400000}"/>
    <cellStyle name="Заголовок 4 91" xfId="16706" xr:uid="{00000000-0005-0000-0000-00009D400000}"/>
    <cellStyle name="Заголовок 4 92" xfId="16707" xr:uid="{00000000-0005-0000-0000-00009E400000}"/>
    <cellStyle name="Заголовок 4 93" xfId="16708" xr:uid="{00000000-0005-0000-0000-00009F400000}"/>
    <cellStyle name="Заголовок 4 94" xfId="16709" xr:uid="{00000000-0005-0000-0000-0000A0400000}"/>
    <cellStyle name="Заголовок 4 95" xfId="16710" xr:uid="{00000000-0005-0000-0000-0000A1400000}"/>
    <cellStyle name="Заголовок 4 96" xfId="16711" xr:uid="{00000000-0005-0000-0000-0000A2400000}"/>
    <cellStyle name="Заголовок 4 97" xfId="16712" xr:uid="{00000000-0005-0000-0000-0000A3400000}"/>
    <cellStyle name="Заголовок 4 98" xfId="16713" xr:uid="{00000000-0005-0000-0000-0000A4400000}"/>
    <cellStyle name="Заголовок 4 99" xfId="16714" xr:uid="{00000000-0005-0000-0000-0000A5400000}"/>
    <cellStyle name="Итог 10" xfId="16715" xr:uid="{00000000-0005-0000-0000-0000A6400000}"/>
    <cellStyle name="Итог 100" xfId="16716" xr:uid="{00000000-0005-0000-0000-0000A7400000}"/>
    <cellStyle name="Итог 101" xfId="16717" xr:uid="{00000000-0005-0000-0000-0000A8400000}"/>
    <cellStyle name="Итог 102" xfId="16718" xr:uid="{00000000-0005-0000-0000-0000A9400000}"/>
    <cellStyle name="Итог 103" xfId="16719" xr:uid="{00000000-0005-0000-0000-0000AA400000}"/>
    <cellStyle name="Итог 104" xfId="16720" xr:uid="{00000000-0005-0000-0000-0000AB400000}"/>
    <cellStyle name="Итог 105" xfId="16721" xr:uid="{00000000-0005-0000-0000-0000AC400000}"/>
    <cellStyle name="Итог 106" xfId="16722" xr:uid="{00000000-0005-0000-0000-0000AD400000}"/>
    <cellStyle name="Итог 107" xfId="16723" xr:uid="{00000000-0005-0000-0000-0000AE400000}"/>
    <cellStyle name="Итог 108" xfId="16724" xr:uid="{00000000-0005-0000-0000-0000AF400000}"/>
    <cellStyle name="Итог 109" xfId="16725" xr:uid="{00000000-0005-0000-0000-0000B0400000}"/>
    <cellStyle name="Итог 11" xfId="16726" xr:uid="{00000000-0005-0000-0000-0000B1400000}"/>
    <cellStyle name="Итог 110" xfId="16727" xr:uid="{00000000-0005-0000-0000-0000B2400000}"/>
    <cellStyle name="Итог 111" xfId="16728" xr:uid="{00000000-0005-0000-0000-0000B3400000}"/>
    <cellStyle name="Итог 112" xfId="16729" xr:uid="{00000000-0005-0000-0000-0000B4400000}"/>
    <cellStyle name="Итог 113" xfId="16730" xr:uid="{00000000-0005-0000-0000-0000B5400000}"/>
    <cellStyle name="Итог 114" xfId="16731" xr:uid="{00000000-0005-0000-0000-0000B6400000}"/>
    <cellStyle name="Итог 115" xfId="16732" xr:uid="{00000000-0005-0000-0000-0000B7400000}"/>
    <cellStyle name="Итог 116" xfId="16733" xr:uid="{00000000-0005-0000-0000-0000B8400000}"/>
    <cellStyle name="Итог 117" xfId="16734" xr:uid="{00000000-0005-0000-0000-0000B9400000}"/>
    <cellStyle name="Итог 118" xfId="16735" xr:uid="{00000000-0005-0000-0000-0000BA400000}"/>
    <cellStyle name="Итог 119" xfId="16736" xr:uid="{00000000-0005-0000-0000-0000BB400000}"/>
    <cellStyle name="Итог 12" xfId="16737" xr:uid="{00000000-0005-0000-0000-0000BC400000}"/>
    <cellStyle name="Итог 120" xfId="16738" xr:uid="{00000000-0005-0000-0000-0000BD400000}"/>
    <cellStyle name="Итог 121" xfId="16739" xr:uid="{00000000-0005-0000-0000-0000BE400000}"/>
    <cellStyle name="Итог 122" xfId="16740" xr:uid="{00000000-0005-0000-0000-0000BF400000}"/>
    <cellStyle name="Итог 123" xfId="16741" xr:uid="{00000000-0005-0000-0000-0000C0400000}"/>
    <cellStyle name="Итог 124" xfId="16742" xr:uid="{00000000-0005-0000-0000-0000C1400000}"/>
    <cellStyle name="Итог 125" xfId="16743" xr:uid="{00000000-0005-0000-0000-0000C2400000}"/>
    <cellStyle name="Итог 126" xfId="16744" xr:uid="{00000000-0005-0000-0000-0000C3400000}"/>
    <cellStyle name="Итог 127" xfId="16745" xr:uid="{00000000-0005-0000-0000-0000C4400000}"/>
    <cellStyle name="Итог 128" xfId="16746" xr:uid="{00000000-0005-0000-0000-0000C5400000}"/>
    <cellStyle name="Итог 129" xfId="16747" xr:uid="{00000000-0005-0000-0000-0000C6400000}"/>
    <cellStyle name="Итог 13" xfId="16748" xr:uid="{00000000-0005-0000-0000-0000C7400000}"/>
    <cellStyle name="Итог 130" xfId="16749" xr:uid="{00000000-0005-0000-0000-0000C8400000}"/>
    <cellStyle name="Итог 131" xfId="16750" xr:uid="{00000000-0005-0000-0000-0000C9400000}"/>
    <cellStyle name="Итог 132" xfId="16751" xr:uid="{00000000-0005-0000-0000-0000CA400000}"/>
    <cellStyle name="Итог 133" xfId="16752" xr:uid="{00000000-0005-0000-0000-0000CB400000}"/>
    <cellStyle name="Итог 134" xfId="16753" xr:uid="{00000000-0005-0000-0000-0000CC400000}"/>
    <cellStyle name="Итог 135" xfId="16754" xr:uid="{00000000-0005-0000-0000-0000CD400000}"/>
    <cellStyle name="Итог 136" xfId="16755" xr:uid="{00000000-0005-0000-0000-0000CE400000}"/>
    <cellStyle name="Итог 137" xfId="16756" xr:uid="{00000000-0005-0000-0000-0000CF400000}"/>
    <cellStyle name="Итог 138" xfId="16757" xr:uid="{00000000-0005-0000-0000-0000D0400000}"/>
    <cellStyle name="Итог 139" xfId="16758" xr:uid="{00000000-0005-0000-0000-0000D1400000}"/>
    <cellStyle name="Итог 14" xfId="16759" xr:uid="{00000000-0005-0000-0000-0000D2400000}"/>
    <cellStyle name="Итог 140" xfId="16760" xr:uid="{00000000-0005-0000-0000-0000D3400000}"/>
    <cellStyle name="Итог 141" xfId="16761" xr:uid="{00000000-0005-0000-0000-0000D4400000}"/>
    <cellStyle name="Итог 142" xfId="16762" xr:uid="{00000000-0005-0000-0000-0000D5400000}"/>
    <cellStyle name="Итог 143" xfId="16763" xr:uid="{00000000-0005-0000-0000-0000D6400000}"/>
    <cellStyle name="Итог 144" xfId="16764" xr:uid="{00000000-0005-0000-0000-0000D7400000}"/>
    <cellStyle name="Итог 145" xfId="16765" xr:uid="{00000000-0005-0000-0000-0000D8400000}"/>
    <cellStyle name="Итог 146" xfId="16766" xr:uid="{00000000-0005-0000-0000-0000D9400000}"/>
    <cellStyle name="Итог 147" xfId="16767" xr:uid="{00000000-0005-0000-0000-0000DA400000}"/>
    <cellStyle name="Итог 148" xfId="16768" xr:uid="{00000000-0005-0000-0000-0000DB400000}"/>
    <cellStyle name="Итог 149" xfId="16769" xr:uid="{00000000-0005-0000-0000-0000DC400000}"/>
    <cellStyle name="Итог 15" xfId="16770" xr:uid="{00000000-0005-0000-0000-0000DD400000}"/>
    <cellStyle name="Итог 150" xfId="16771" xr:uid="{00000000-0005-0000-0000-0000DE400000}"/>
    <cellStyle name="Итог 151" xfId="16772" xr:uid="{00000000-0005-0000-0000-0000DF400000}"/>
    <cellStyle name="Итог 152" xfId="16773" xr:uid="{00000000-0005-0000-0000-0000E0400000}"/>
    <cellStyle name="Итог 16" xfId="16774" xr:uid="{00000000-0005-0000-0000-0000E1400000}"/>
    <cellStyle name="Итог 17" xfId="16775" xr:uid="{00000000-0005-0000-0000-0000E2400000}"/>
    <cellStyle name="Итог 18" xfId="16776" xr:uid="{00000000-0005-0000-0000-0000E3400000}"/>
    <cellStyle name="Итог 19" xfId="16777" xr:uid="{00000000-0005-0000-0000-0000E4400000}"/>
    <cellStyle name="Итог 2" xfId="325" xr:uid="{00000000-0005-0000-0000-0000E5400000}"/>
    <cellStyle name="Итог 2 2" xfId="16778" xr:uid="{00000000-0005-0000-0000-0000E6400000}"/>
    <cellStyle name="Итог 2 2 2" xfId="16779" xr:uid="{00000000-0005-0000-0000-0000E7400000}"/>
    <cellStyle name="Итог 2 2 2 2" xfId="16780" xr:uid="{00000000-0005-0000-0000-0000E8400000}"/>
    <cellStyle name="Итог 2 2 3" xfId="16781" xr:uid="{00000000-0005-0000-0000-0000E9400000}"/>
    <cellStyle name="Итог 2 2 3 2" xfId="16782" xr:uid="{00000000-0005-0000-0000-0000EA400000}"/>
    <cellStyle name="Итог 2 2 4" xfId="16783" xr:uid="{00000000-0005-0000-0000-0000EB400000}"/>
    <cellStyle name="Итог 2 3" xfId="16784" xr:uid="{00000000-0005-0000-0000-0000EC400000}"/>
    <cellStyle name="Итог 2 3 2" xfId="16785" xr:uid="{00000000-0005-0000-0000-0000ED400000}"/>
    <cellStyle name="Итог 2 3 2 2" xfId="16786" xr:uid="{00000000-0005-0000-0000-0000EE400000}"/>
    <cellStyle name="Итог 2 3 3" xfId="16787" xr:uid="{00000000-0005-0000-0000-0000EF400000}"/>
    <cellStyle name="Итог 2 3 3 2" xfId="16788" xr:uid="{00000000-0005-0000-0000-0000F0400000}"/>
    <cellStyle name="Итог 2 3 4" xfId="16789" xr:uid="{00000000-0005-0000-0000-0000F1400000}"/>
    <cellStyle name="Итог 2 4" xfId="16790" xr:uid="{00000000-0005-0000-0000-0000F2400000}"/>
    <cellStyle name="Итог 2 4 2" xfId="16791" xr:uid="{00000000-0005-0000-0000-0000F3400000}"/>
    <cellStyle name="Итог 2 5" xfId="16792" xr:uid="{00000000-0005-0000-0000-0000F4400000}"/>
    <cellStyle name="Итог 2 5 2" xfId="16793" xr:uid="{00000000-0005-0000-0000-0000F5400000}"/>
    <cellStyle name="Итог 2 6" xfId="16794" xr:uid="{00000000-0005-0000-0000-0000F6400000}"/>
    <cellStyle name="Итог 2 7" xfId="16795" xr:uid="{00000000-0005-0000-0000-0000F7400000}"/>
    <cellStyle name="Итог 20" xfId="16796" xr:uid="{00000000-0005-0000-0000-0000F8400000}"/>
    <cellStyle name="Итог 20 2" xfId="16797" xr:uid="{00000000-0005-0000-0000-0000F9400000}"/>
    <cellStyle name="Итог 21" xfId="16798" xr:uid="{00000000-0005-0000-0000-0000FA400000}"/>
    <cellStyle name="Итог 22" xfId="16799" xr:uid="{00000000-0005-0000-0000-0000FB400000}"/>
    <cellStyle name="Итог 23" xfId="16800" xr:uid="{00000000-0005-0000-0000-0000FC400000}"/>
    <cellStyle name="Итог 24" xfId="16801" xr:uid="{00000000-0005-0000-0000-0000FD400000}"/>
    <cellStyle name="Итог 25" xfId="16802" xr:uid="{00000000-0005-0000-0000-0000FE400000}"/>
    <cellStyle name="Итог 26" xfId="16803" xr:uid="{00000000-0005-0000-0000-0000FF400000}"/>
    <cellStyle name="Итог 27" xfId="16804" xr:uid="{00000000-0005-0000-0000-000000410000}"/>
    <cellStyle name="Итог 28" xfId="16805" xr:uid="{00000000-0005-0000-0000-000001410000}"/>
    <cellStyle name="Итог 29" xfId="16806" xr:uid="{00000000-0005-0000-0000-000002410000}"/>
    <cellStyle name="Итог 3" xfId="326" xr:uid="{00000000-0005-0000-0000-000003410000}"/>
    <cellStyle name="Итог 30" xfId="16807" xr:uid="{00000000-0005-0000-0000-000004410000}"/>
    <cellStyle name="Итог 31" xfId="16808" xr:uid="{00000000-0005-0000-0000-000005410000}"/>
    <cellStyle name="Итог 32" xfId="16809" xr:uid="{00000000-0005-0000-0000-000006410000}"/>
    <cellStyle name="Итог 33" xfId="16810" xr:uid="{00000000-0005-0000-0000-000007410000}"/>
    <cellStyle name="Итог 34" xfId="16811" xr:uid="{00000000-0005-0000-0000-000008410000}"/>
    <cellStyle name="Итог 35" xfId="16812" xr:uid="{00000000-0005-0000-0000-000009410000}"/>
    <cellStyle name="Итог 36" xfId="16813" xr:uid="{00000000-0005-0000-0000-00000A410000}"/>
    <cellStyle name="Итог 37" xfId="16814" xr:uid="{00000000-0005-0000-0000-00000B410000}"/>
    <cellStyle name="Итог 38" xfId="16815" xr:uid="{00000000-0005-0000-0000-00000C410000}"/>
    <cellStyle name="Итог 39" xfId="16816" xr:uid="{00000000-0005-0000-0000-00000D410000}"/>
    <cellStyle name="Итог 4" xfId="327" xr:uid="{00000000-0005-0000-0000-00000E410000}"/>
    <cellStyle name="Итог 40" xfId="16817" xr:uid="{00000000-0005-0000-0000-00000F410000}"/>
    <cellStyle name="Итог 41" xfId="16818" xr:uid="{00000000-0005-0000-0000-000010410000}"/>
    <cellStyle name="Итог 42" xfId="16819" xr:uid="{00000000-0005-0000-0000-000011410000}"/>
    <cellStyle name="Итог 43" xfId="16820" xr:uid="{00000000-0005-0000-0000-000012410000}"/>
    <cellStyle name="Итог 44" xfId="16821" xr:uid="{00000000-0005-0000-0000-000013410000}"/>
    <cellStyle name="Итог 45" xfId="16822" xr:uid="{00000000-0005-0000-0000-000014410000}"/>
    <cellStyle name="Итог 46" xfId="16823" xr:uid="{00000000-0005-0000-0000-000015410000}"/>
    <cellStyle name="Итог 47" xfId="16824" xr:uid="{00000000-0005-0000-0000-000016410000}"/>
    <cellStyle name="Итог 48" xfId="16825" xr:uid="{00000000-0005-0000-0000-000017410000}"/>
    <cellStyle name="Итог 49" xfId="16826" xr:uid="{00000000-0005-0000-0000-000018410000}"/>
    <cellStyle name="Итог 5" xfId="328" xr:uid="{00000000-0005-0000-0000-000019410000}"/>
    <cellStyle name="Итог 50" xfId="16827" xr:uid="{00000000-0005-0000-0000-00001A410000}"/>
    <cellStyle name="Итог 51" xfId="16828" xr:uid="{00000000-0005-0000-0000-00001B410000}"/>
    <cellStyle name="Итог 52" xfId="16829" xr:uid="{00000000-0005-0000-0000-00001C410000}"/>
    <cellStyle name="Итог 53" xfId="16830" xr:uid="{00000000-0005-0000-0000-00001D410000}"/>
    <cellStyle name="Итог 54" xfId="16831" xr:uid="{00000000-0005-0000-0000-00001E410000}"/>
    <cellStyle name="Итог 55" xfId="16832" xr:uid="{00000000-0005-0000-0000-00001F410000}"/>
    <cellStyle name="Итог 56" xfId="16833" xr:uid="{00000000-0005-0000-0000-000020410000}"/>
    <cellStyle name="Итог 57" xfId="16834" xr:uid="{00000000-0005-0000-0000-000021410000}"/>
    <cellStyle name="Итог 58" xfId="16835" xr:uid="{00000000-0005-0000-0000-000022410000}"/>
    <cellStyle name="Итог 59" xfId="16836" xr:uid="{00000000-0005-0000-0000-000023410000}"/>
    <cellStyle name="Итог 6" xfId="16837" xr:uid="{00000000-0005-0000-0000-000024410000}"/>
    <cellStyle name="Итог 60" xfId="16838" xr:uid="{00000000-0005-0000-0000-000025410000}"/>
    <cellStyle name="Итог 61" xfId="16839" xr:uid="{00000000-0005-0000-0000-000026410000}"/>
    <cellStyle name="Итог 62" xfId="16840" xr:uid="{00000000-0005-0000-0000-000027410000}"/>
    <cellStyle name="Итог 63" xfId="16841" xr:uid="{00000000-0005-0000-0000-000028410000}"/>
    <cellStyle name="Итог 64" xfId="16842" xr:uid="{00000000-0005-0000-0000-000029410000}"/>
    <cellStyle name="Итог 65" xfId="16843" xr:uid="{00000000-0005-0000-0000-00002A410000}"/>
    <cellStyle name="Итог 66" xfId="16844" xr:uid="{00000000-0005-0000-0000-00002B410000}"/>
    <cellStyle name="Итог 67" xfId="16845" xr:uid="{00000000-0005-0000-0000-00002C410000}"/>
    <cellStyle name="Итог 68" xfId="16846" xr:uid="{00000000-0005-0000-0000-00002D410000}"/>
    <cellStyle name="Итог 69" xfId="16847" xr:uid="{00000000-0005-0000-0000-00002E410000}"/>
    <cellStyle name="Итог 7" xfId="16848" xr:uid="{00000000-0005-0000-0000-00002F410000}"/>
    <cellStyle name="Итог 70" xfId="16849" xr:uid="{00000000-0005-0000-0000-000030410000}"/>
    <cellStyle name="Итог 71" xfId="16850" xr:uid="{00000000-0005-0000-0000-000031410000}"/>
    <cellStyle name="Итог 72" xfId="16851" xr:uid="{00000000-0005-0000-0000-000032410000}"/>
    <cellStyle name="Итог 73" xfId="16852" xr:uid="{00000000-0005-0000-0000-000033410000}"/>
    <cellStyle name="Итог 74" xfId="16853" xr:uid="{00000000-0005-0000-0000-000034410000}"/>
    <cellStyle name="Итог 75" xfId="16854" xr:uid="{00000000-0005-0000-0000-000035410000}"/>
    <cellStyle name="Итог 76" xfId="16855" xr:uid="{00000000-0005-0000-0000-000036410000}"/>
    <cellStyle name="Итог 77" xfId="16856" xr:uid="{00000000-0005-0000-0000-000037410000}"/>
    <cellStyle name="Итог 78" xfId="16857" xr:uid="{00000000-0005-0000-0000-000038410000}"/>
    <cellStyle name="Итог 79" xfId="16858" xr:uid="{00000000-0005-0000-0000-000039410000}"/>
    <cellStyle name="Итог 8" xfId="16859" xr:uid="{00000000-0005-0000-0000-00003A410000}"/>
    <cellStyle name="Итог 80" xfId="16860" xr:uid="{00000000-0005-0000-0000-00003B410000}"/>
    <cellStyle name="Итог 81" xfId="16861" xr:uid="{00000000-0005-0000-0000-00003C410000}"/>
    <cellStyle name="Итог 82" xfId="16862" xr:uid="{00000000-0005-0000-0000-00003D410000}"/>
    <cellStyle name="Итог 83" xfId="16863" xr:uid="{00000000-0005-0000-0000-00003E410000}"/>
    <cellStyle name="Итог 84" xfId="16864" xr:uid="{00000000-0005-0000-0000-00003F410000}"/>
    <cellStyle name="Итог 85" xfId="16865" xr:uid="{00000000-0005-0000-0000-000040410000}"/>
    <cellStyle name="Итог 86" xfId="16866" xr:uid="{00000000-0005-0000-0000-000041410000}"/>
    <cellStyle name="Итог 87" xfId="16867" xr:uid="{00000000-0005-0000-0000-000042410000}"/>
    <cellStyle name="Итог 88" xfId="16868" xr:uid="{00000000-0005-0000-0000-000043410000}"/>
    <cellStyle name="Итог 89" xfId="16869" xr:uid="{00000000-0005-0000-0000-000044410000}"/>
    <cellStyle name="Итог 9" xfId="16870" xr:uid="{00000000-0005-0000-0000-000045410000}"/>
    <cellStyle name="Итог 90" xfId="16871" xr:uid="{00000000-0005-0000-0000-000046410000}"/>
    <cellStyle name="Итог 91" xfId="16872" xr:uid="{00000000-0005-0000-0000-000047410000}"/>
    <cellStyle name="Итог 92" xfId="16873" xr:uid="{00000000-0005-0000-0000-000048410000}"/>
    <cellStyle name="Итог 93" xfId="16874" xr:uid="{00000000-0005-0000-0000-000049410000}"/>
    <cellStyle name="Итог 94" xfId="16875" xr:uid="{00000000-0005-0000-0000-00004A410000}"/>
    <cellStyle name="Итог 95" xfId="16876" xr:uid="{00000000-0005-0000-0000-00004B410000}"/>
    <cellStyle name="Итог 96" xfId="16877" xr:uid="{00000000-0005-0000-0000-00004C410000}"/>
    <cellStyle name="Итог 97" xfId="16878" xr:uid="{00000000-0005-0000-0000-00004D410000}"/>
    <cellStyle name="Итог 98" xfId="16879" xr:uid="{00000000-0005-0000-0000-00004E410000}"/>
    <cellStyle name="Итог 99" xfId="16880" xr:uid="{00000000-0005-0000-0000-00004F410000}"/>
    <cellStyle name="Контрольная ячейка 10" xfId="16881" xr:uid="{00000000-0005-0000-0000-000050410000}"/>
    <cellStyle name="Контрольная ячейка 100" xfId="16882" xr:uid="{00000000-0005-0000-0000-000051410000}"/>
    <cellStyle name="Контрольная ячейка 101" xfId="16883" xr:uid="{00000000-0005-0000-0000-000052410000}"/>
    <cellStyle name="Контрольная ячейка 102" xfId="16884" xr:uid="{00000000-0005-0000-0000-000053410000}"/>
    <cellStyle name="Контрольная ячейка 103" xfId="16885" xr:uid="{00000000-0005-0000-0000-000054410000}"/>
    <cellStyle name="Контрольная ячейка 104" xfId="16886" xr:uid="{00000000-0005-0000-0000-000055410000}"/>
    <cellStyle name="Контрольная ячейка 105" xfId="16887" xr:uid="{00000000-0005-0000-0000-000056410000}"/>
    <cellStyle name="Контрольная ячейка 106" xfId="16888" xr:uid="{00000000-0005-0000-0000-000057410000}"/>
    <cellStyle name="Контрольная ячейка 107" xfId="16889" xr:uid="{00000000-0005-0000-0000-000058410000}"/>
    <cellStyle name="Контрольная ячейка 108" xfId="16890" xr:uid="{00000000-0005-0000-0000-000059410000}"/>
    <cellStyle name="Контрольная ячейка 109" xfId="16891" xr:uid="{00000000-0005-0000-0000-00005A410000}"/>
    <cellStyle name="Контрольная ячейка 11" xfId="16892" xr:uid="{00000000-0005-0000-0000-00005B410000}"/>
    <cellStyle name="Контрольная ячейка 110" xfId="16893" xr:uid="{00000000-0005-0000-0000-00005C410000}"/>
    <cellStyle name="Контрольная ячейка 111" xfId="16894" xr:uid="{00000000-0005-0000-0000-00005D410000}"/>
    <cellStyle name="Контрольная ячейка 112" xfId="16895" xr:uid="{00000000-0005-0000-0000-00005E410000}"/>
    <cellStyle name="Контрольная ячейка 113" xfId="16896" xr:uid="{00000000-0005-0000-0000-00005F410000}"/>
    <cellStyle name="Контрольная ячейка 114" xfId="16897" xr:uid="{00000000-0005-0000-0000-000060410000}"/>
    <cellStyle name="Контрольная ячейка 115" xfId="16898" xr:uid="{00000000-0005-0000-0000-000061410000}"/>
    <cellStyle name="Контрольная ячейка 116" xfId="16899" xr:uid="{00000000-0005-0000-0000-000062410000}"/>
    <cellStyle name="Контрольная ячейка 117" xfId="16900" xr:uid="{00000000-0005-0000-0000-000063410000}"/>
    <cellStyle name="Контрольная ячейка 118" xfId="16901" xr:uid="{00000000-0005-0000-0000-000064410000}"/>
    <cellStyle name="Контрольная ячейка 119" xfId="16902" xr:uid="{00000000-0005-0000-0000-000065410000}"/>
    <cellStyle name="Контрольная ячейка 12" xfId="16903" xr:uid="{00000000-0005-0000-0000-000066410000}"/>
    <cellStyle name="Контрольная ячейка 120" xfId="16904" xr:uid="{00000000-0005-0000-0000-000067410000}"/>
    <cellStyle name="Контрольная ячейка 121" xfId="16905" xr:uid="{00000000-0005-0000-0000-000068410000}"/>
    <cellStyle name="Контрольная ячейка 122" xfId="16906" xr:uid="{00000000-0005-0000-0000-000069410000}"/>
    <cellStyle name="Контрольная ячейка 123" xfId="16907" xr:uid="{00000000-0005-0000-0000-00006A410000}"/>
    <cellStyle name="Контрольная ячейка 124" xfId="16908" xr:uid="{00000000-0005-0000-0000-00006B410000}"/>
    <cellStyle name="Контрольная ячейка 125" xfId="16909" xr:uid="{00000000-0005-0000-0000-00006C410000}"/>
    <cellStyle name="Контрольная ячейка 126" xfId="16910" xr:uid="{00000000-0005-0000-0000-00006D410000}"/>
    <cellStyle name="Контрольная ячейка 127" xfId="16911" xr:uid="{00000000-0005-0000-0000-00006E410000}"/>
    <cellStyle name="Контрольная ячейка 128" xfId="16912" xr:uid="{00000000-0005-0000-0000-00006F410000}"/>
    <cellStyle name="Контрольная ячейка 129" xfId="16913" xr:uid="{00000000-0005-0000-0000-000070410000}"/>
    <cellStyle name="Контрольная ячейка 13" xfId="16914" xr:uid="{00000000-0005-0000-0000-000071410000}"/>
    <cellStyle name="Контрольная ячейка 130" xfId="16915" xr:uid="{00000000-0005-0000-0000-000072410000}"/>
    <cellStyle name="Контрольная ячейка 131" xfId="16916" xr:uid="{00000000-0005-0000-0000-000073410000}"/>
    <cellStyle name="Контрольная ячейка 132" xfId="16917" xr:uid="{00000000-0005-0000-0000-000074410000}"/>
    <cellStyle name="Контрольная ячейка 133" xfId="16918" xr:uid="{00000000-0005-0000-0000-000075410000}"/>
    <cellStyle name="Контрольная ячейка 134" xfId="16919" xr:uid="{00000000-0005-0000-0000-000076410000}"/>
    <cellStyle name="Контрольная ячейка 135" xfId="16920" xr:uid="{00000000-0005-0000-0000-000077410000}"/>
    <cellStyle name="Контрольная ячейка 136" xfId="16921" xr:uid="{00000000-0005-0000-0000-000078410000}"/>
    <cellStyle name="Контрольная ячейка 137" xfId="16922" xr:uid="{00000000-0005-0000-0000-000079410000}"/>
    <cellStyle name="Контрольная ячейка 138" xfId="16923" xr:uid="{00000000-0005-0000-0000-00007A410000}"/>
    <cellStyle name="Контрольная ячейка 139" xfId="16924" xr:uid="{00000000-0005-0000-0000-00007B410000}"/>
    <cellStyle name="Контрольная ячейка 14" xfId="16925" xr:uid="{00000000-0005-0000-0000-00007C410000}"/>
    <cellStyle name="Контрольная ячейка 140" xfId="16926" xr:uid="{00000000-0005-0000-0000-00007D410000}"/>
    <cellStyle name="Контрольная ячейка 141" xfId="16927" xr:uid="{00000000-0005-0000-0000-00007E410000}"/>
    <cellStyle name="Контрольная ячейка 142" xfId="16928" xr:uid="{00000000-0005-0000-0000-00007F410000}"/>
    <cellStyle name="Контрольная ячейка 143" xfId="16929" xr:uid="{00000000-0005-0000-0000-000080410000}"/>
    <cellStyle name="Контрольная ячейка 144" xfId="16930" xr:uid="{00000000-0005-0000-0000-000081410000}"/>
    <cellStyle name="Контрольная ячейка 145" xfId="16931" xr:uid="{00000000-0005-0000-0000-000082410000}"/>
    <cellStyle name="Контрольная ячейка 146" xfId="16932" xr:uid="{00000000-0005-0000-0000-000083410000}"/>
    <cellStyle name="Контрольная ячейка 147" xfId="16933" xr:uid="{00000000-0005-0000-0000-000084410000}"/>
    <cellStyle name="Контрольная ячейка 148" xfId="16934" xr:uid="{00000000-0005-0000-0000-000085410000}"/>
    <cellStyle name="Контрольная ячейка 149" xfId="16935" xr:uid="{00000000-0005-0000-0000-000086410000}"/>
    <cellStyle name="Контрольная ячейка 15" xfId="16936" xr:uid="{00000000-0005-0000-0000-000087410000}"/>
    <cellStyle name="Контрольная ячейка 150" xfId="16937" xr:uid="{00000000-0005-0000-0000-000088410000}"/>
    <cellStyle name="Контрольная ячейка 151" xfId="16938" xr:uid="{00000000-0005-0000-0000-000089410000}"/>
    <cellStyle name="Контрольная ячейка 152" xfId="16939" xr:uid="{00000000-0005-0000-0000-00008A410000}"/>
    <cellStyle name="Контрольная ячейка 16" xfId="16940" xr:uid="{00000000-0005-0000-0000-00008B410000}"/>
    <cellStyle name="Контрольная ячейка 17" xfId="16941" xr:uid="{00000000-0005-0000-0000-00008C410000}"/>
    <cellStyle name="Контрольная ячейка 18" xfId="16942" xr:uid="{00000000-0005-0000-0000-00008D410000}"/>
    <cellStyle name="Контрольная ячейка 19" xfId="16943" xr:uid="{00000000-0005-0000-0000-00008E410000}"/>
    <cellStyle name="Контрольная ячейка 2" xfId="329" xr:uid="{00000000-0005-0000-0000-00008F410000}"/>
    <cellStyle name="Контрольная ячейка 2 2" xfId="16944" xr:uid="{00000000-0005-0000-0000-000090410000}"/>
    <cellStyle name="Контрольная ячейка 2 3" xfId="16945" xr:uid="{00000000-0005-0000-0000-000091410000}"/>
    <cellStyle name="Контрольная ячейка 2 4" xfId="16946" xr:uid="{00000000-0005-0000-0000-000092410000}"/>
    <cellStyle name="Контрольная ячейка 2 5" xfId="16947" xr:uid="{00000000-0005-0000-0000-000093410000}"/>
    <cellStyle name="Контрольная ячейка 2 6" xfId="16948" xr:uid="{00000000-0005-0000-0000-000094410000}"/>
    <cellStyle name="Контрольная ячейка 2 7" xfId="16949" xr:uid="{00000000-0005-0000-0000-000095410000}"/>
    <cellStyle name="Контрольная ячейка 20" xfId="16950" xr:uid="{00000000-0005-0000-0000-000096410000}"/>
    <cellStyle name="Контрольная ячейка 20 2" xfId="16951" xr:uid="{00000000-0005-0000-0000-000097410000}"/>
    <cellStyle name="Контрольная ячейка 21" xfId="16952" xr:uid="{00000000-0005-0000-0000-000098410000}"/>
    <cellStyle name="Контрольная ячейка 22" xfId="16953" xr:uid="{00000000-0005-0000-0000-000099410000}"/>
    <cellStyle name="Контрольная ячейка 23" xfId="16954" xr:uid="{00000000-0005-0000-0000-00009A410000}"/>
    <cellStyle name="Контрольная ячейка 24" xfId="16955" xr:uid="{00000000-0005-0000-0000-00009B410000}"/>
    <cellStyle name="Контрольная ячейка 25" xfId="16956" xr:uid="{00000000-0005-0000-0000-00009C410000}"/>
    <cellStyle name="Контрольная ячейка 26" xfId="16957" xr:uid="{00000000-0005-0000-0000-00009D410000}"/>
    <cellStyle name="Контрольная ячейка 27" xfId="16958" xr:uid="{00000000-0005-0000-0000-00009E410000}"/>
    <cellStyle name="Контрольная ячейка 28" xfId="16959" xr:uid="{00000000-0005-0000-0000-00009F410000}"/>
    <cellStyle name="Контрольная ячейка 29" xfId="16960" xr:uid="{00000000-0005-0000-0000-0000A0410000}"/>
    <cellStyle name="Контрольная ячейка 3" xfId="16961" xr:uid="{00000000-0005-0000-0000-0000A1410000}"/>
    <cellStyle name="Контрольная ячейка 30" xfId="16962" xr:uid="{00000000-0005-0000-0000-0000A2410000}"/>
    <cellStyle name="Контрольная ячейка 31" xfId="16963" xr:uid="{00000000-0005-0000-0000-0000A3410000}"/>
    <cellStyle name="Контрольная ячейка 32" xfId="16964" xr:uid="{00000000-0005-0000-0000-0000A4410000}"/>
    <cellStyle name="Контрольная ячейка 33" xfId="16965" xr:uid="{00000000-0005-0000-0000-0000A5410000}"/>
    <cellStyle name="Контрольная ячейка 34" xfId="16966" xr:uid="{00000000-0005-0000-0000-0000A6410000}"/>
    <cellStyle name="Контрольная ячейка 35" xfId="16967" xr:uid="{00000000-0005-0000-0000-0000A7410000}"/>
    <cellStyle name="Контрольная ячейка 36" xfId="16968" xr:uid="{00000000-0005-0000-0000-0000A8410000}"/>
    <cellStyle name="Контрольная ячейка 37" xfId="16969" xr:uid="{00000000-0005-0000-0000-0000A9410000}"/>
    <cellStyle name="Контрольная ячейка 38" xfId="16970" xr:uid="{00000000-0005-0000-0000-0000AA410000}"/>
    <cellStyle name="Контрольная ячейка 39" xfId="16971" xr:uid="{00000000-0005-0000-0000-0000AB410000}"/>
    <cellStyle name="Контрольная ячейка 4" xfId="16972" xr:uid="{00000000-0005-0000-0000-0000AC410000}"/>
    <cellStyle name="Контрольная ячейка 40" xfId="16973" xr:uid="{00000000-0005-0000-0000-0000AD410000}"/>
    <cellStyle name="Контрольная ячейка 41" xfId="16974" xr:uid="{00000000-0005-0000-0000-0000AE410000}"/>
    <cellStyle name="Контрольная ячейка 42" xfId="16975" xr:uid="{00000000-0005-0000-0000-0000AF410000}"/>
    <cellStyle name="Контрольная ячейка 43" xfId="16976" xr:uid="{00000000-0005-0000-0000-0000B0410000}"/>
    <cellStyle name="Контрольная ячейка 44" xfId="16977" xr:uid="{00000000-0005-0000-0000-0000B1410000}"/>
    <cellStyle name="Контрольная ячейка 45" xfId="16978" xr:uid="{00000000-0005-0000-0000-0000B2410000}"/>
    <cellStyle name="Контрольная ячейка 46" xfId="16979" xr:uid="{00000000-0005-0000-0000-0000B3410000}"/>
    <cellStyle name="Контрольная ячейка 47" xfId="16980" xr:uid="{00000000-0005-0000-0000-0000B4410000}"/>
    <cellStyle name="Контрольная ячейка 48" xfId="16981" xr:uid="{00000000-0005-0000-0000-0000B5410000}"/>
    <cellStyle name="Контрольная ячейка 49" xfId="16982" xr:uid="{00000000-0005-0000-0000-0000B6410000}"/>
    <cellStyle name="Контрольная ячейка 5" xfId="16983" xr:uid="{00000000-0005-0000-0000-0000B7410000}"/>
    <cellStyle name="Контрольная ячейка 50" xfId="16984" xr:uid="{00000000-0005-0000-0000-0000B8410000}"/>
    <cellStyle name="Контрольная ячейка 51" xfId="16985" xr:uid="{00000000-0005-0000-0000-0000B9410000}"/>
    <cellStyle name="Контрольная ячейка 52" xfId="16986" xr:uid="{00000000-0005-0000-0000-0000BA410000}"/>
    <cellStyle name="Контрольная ячейка 53" xfId="16987" xr:uid="{00000000-0005-0000-0000-0000BB410000}"/>
    <cellStyle name="Контрольная ячейка 54" xfId="16988" xr:uid="{00000000-0005-0000-0000-0000BC410000}"/>
    <cellStyle name="Контрольная ячейка 55" xfId="16989" xr:uid="{00000000-0005-0000-0000-0000BD410000}"/>
    <cellStyle name="Контрольная ячейка 56" xfId="16990" xr:uid="{00000000-0005-0000-0000-0000BE410000}"/>
    <cellStyle name="Контрольная ячейка 57" xfId="16991" xr:uid="{00000000-0005-0000-0000-0000BF410000}"/>
    <cellStyle name="Контрольная ячейка 58" xfId="16992" xr:uid="{00000000-0005-0000-0000-0000C0410000}"/>
    <cellStyle name="Контрольная ячейка 59" xfId="16993" xr:uid="{00000000-0005-0000-0000-0000C1410000}"/>
    <cellStyle name="Контрольная ячейка 6" xfId="16994" xr:uid="{00000000-0005-0000-0000-0000C2410000}"/>
    <cellStyle name="Контрольная ячейка 60" xfId="16995" xr:uid="{00000000-0005-0000-0000-0000C3410000}"/>
    <cellStyle name="Контрольная ячейка 61" xfId="16996" xr:uid="{00000000-0005-0000-0000-0000C4410000}"/>
    <cellStyle name="Контрольная ячейка 62" xfId="16997" xr:uid="{00000000-0005-0000-0000-0000C5410000}"/>
    <cellStyle name="Контрольная ячейка 63" xfId="16998" xr:uid="{00000000-0005-0000-0000-0000C6410000}"/>
    <cellStyle name="Контрольная ячейка 64" xfId="16999" xr:uid="{00000000-0005-0000-0000-0000C7410000}"/>
    <cellStyle name="Контрольная ячейка 65" xfId="17000" xr:uid="{00000000-0005-0000-0000-0000C8410000}"/>
    <cellStyle name="Контрольная ячейка 66" xfId="17001" xr:uid="{00000000-0005-0000-0000-0000C9410000}"/>
    <cellStyle name="Контрольная ячейка 67" xfId="17002" xr:uid="{00000000-0005-0000-0000-0000CA410000}"/>
    <cellStyle name="Контрольная ячейка 68" xfId="17003" xr:uid="{00000000-0005-0000-0000-0000CB410000}"/>
    <cellStyle name="Контрольная ячейка 69" xfId="17004" xr:uid="{00000000-0005-0000-0000-0000CC410000}"/>
    <cellStyle name="Контрольная ячейка 7" xfId="17005" xr:uid="{00000000-0005-0000-0000-0000CD410000}"/>
    <cellStyle name="Контрольная ячейка 70" xfId="17006" xr:uid="{00000000-0005-0000-0000-0000CE410000}"/>
    <cellStyle name="Контрольная ячейка 71" xfId="17007" xr:uid="{00000000-0005-0000-0000-0000CF410000}"/>
    <cellStyle name="Контрольная ячейка 72" xfId="17008" xr:uid="{00000000-0005-0000-0000-0000D0410000}"/>
    <cellStyle name="Контрольная ячейка 73" xfId="17009" xr:uid="{00000000-0005-0000-0000-0000D1410000}"/>
    <cellStyle name="Контрольная ячейка 74" xfId="17010" xr:uid="{00000000-0005-0000-0000-0000D2410000}"/>
    <cellStyle name="Контрольная ячейка 75" xfId="17011" xr:uid="{00000000-0005-0000-0000-0000D3410000}"/>
    <cellStyle name="Контрольная ячейка 76" xfId="17012" xr:uid="{00000000-0005-0000-0000-0000D4410000}"/>
    <cellStyle name="Контрольная ячейка 77" xfId="17013" xr:uid="{00000000-0005-0000-0000-0000D5410000}"/>
    <cellStyle name="Контрольная ячейка 78" xfId="17014" xr:uid="{00000000-0005-0000-0000-0000D6410000}"/>
    <cellStyle name="Контрольная ячейка 79" xfId="17015" xr:uid="{00000000-0005-0000-0000-0000D7410000}"/>
    <cellStyle name="Контрольная ячейка 8" xfId="17016" xr:uid="{00000000-0005-0000-0000-0000D8410000}"/>
    <cellStyle name="Контрольная ячейка 80" xfId="17017" xr:uid="{00000000-0005-0000-0000-0000D9410000}"/>
    <cellStyle name="Контрольная ячейка 81" xfId="17018" xr:uid="{00000000-0005-0000-0000-0000DA410000}"/>
    <cellStyle name="Контрольная ячейка 82" xfId="17019" xr:uid="{00000000-0005-0000-0000-0000DB410000}"/>
    <cellStyle name="Контрольная ячейка 83" xfId="17020" xr:uid="{00000000-0005-0000-0000-0000DC410000}"/>
    <cellStyle name="Контрольная ячейка 84" xfId="17021" xr:uid="{00000000-0005-0000-0000-0000DD410000}"/>
    <cellStyle name="Контрольная ячейка 85" xfId="17022" xr:uid="{00000000-0005-0000-0000-0000DE410000}"/>
    <cellStyle name="Контрольная ячейка 86" xfId="17023" xr:uid="{00000000-0005-0000-0000-0000DF410000}"/>
    <cellStyle name="Контрольная ячейка 87" xfId="17024" xr:uid="{00000000-0005-0000-0000-0000E0410000}"/>
    <cellStyle name="Контрольная ячейка 88" xfId="17025" xr:uid="{00000000-0005-0000-0000-0000E1410000}"/>
    <cellStyle name="Контрольная ячейка 89" xfId="17026" xr:uid="{00000000-0005-0000-0000-0000E2410000}"/>
    <cellStyle name="Контрольная ячейка 9" xfId="17027" xr:uid="{00000000-0005-0000-0000-0000E3410000}"/>
    <cellStyle name="Контрольная ячейка 90" xfId="17028" xr:uid="{00000000-0005-0000-0000-0000E4410000}"/>
    <cellStyle name="Контрольная ячейка 91" xfId="17029" xr:uid="{00000000-0005-0000-0000-0000E5410000}"/>
    <cellStyle name="Контрольная ячейка 92" xfId="17030" xr:uid="{00000000-0005-0000-0000-0000E6410000}"/>
    <cellStyle name="Контрольная ячейка 93" xfId="17031" xr:uid="{00000000-0005-0000-0000-0000E7410000}"/>
    <cellStyle name="Контрольная ячейка 94" xfId="17032" xr:uid="{00000000-0005-0000-0000-0000E8410000}"/>
    <cellStyle name="Контрольная ячейка 95" xfId="17033" xr:uid="{00000000-0005-0000-0000-0000E9410000}"/>
    <cellStyle name="Контрольная ячейка 96" xfId="17034" xr:uid="{00000000-0005-0000-0000-0000EA410000}"/>
    <cellStyle name="Контрольная ячейка 97" xfId="17035" xr:uid="{00000000-0005-0000-0000-0000EB410000}"/>
    <cellStyle name="Контрольная ячейка 98" xfId="17036" xr:uid="{00000000-0005-0000-0000-0000EC410000}"/>
    <cellStyle name="Контрольная ячейка 99" xfId="17037" xr:uid="{00000000-0005-0000-0000-0000ED410000}"/>
    <cellStyle name="Коэффициент" xfId="17038" xr:uid="{00000000-0005-0000-0000-0000EE410000}"/>
    <cellStyle name="Название 10" xfId="17039" xr:uid="{00000000-0005-0000-0000-0000EF410000}"/>
    <cellStyle name="Название 100" xfId="17040" xr:uid="{00000000-0005-0000-0000-0000F0410000}"/>
    <cellStyle name="Название 101" xfId="17041" xr:uid="{00000000-0005-0000-0000-0000F1410000}"/>
    <cellStyle name="Название 102" xfId="17042" xr:uid="{00000000-0005-0000-0000-0000F2410000}"/>
    <cellStyle name="Название 103" xfId="17043" xr:uid="{00000000-0005-0000-0000-0000F3410000}"/>
    <cellStyle name="Название 104" xfId="17044" xr:uid="{00000000-0005-0000-0000-0000F4410000}"/>
    <cellStyle name="Название 105" xfId="17045" xr:uid="{00000000-0005-0000-0000-0000F5410000}"/>
    <cellStyle name="Название 106" xfId="17046" xr:uid="{00000000-0005-0000-0000-0000F6410000}"/>
    <cellStyle name="Название 107" xfId="17047" xr:uid="{00000000-0005-0000-0000-0000F7410000}"/>
    <cellStyle name="Название 108" xfId="17048" xr:uid="{00000000-0005-0000-0000-0000F8410000}"/>
    <cellStyle name="Название 109" xfId="17049" xr:uid="{00000000-0005-0000-0000-0000F9410000}"/>
    <cellStyle name="Название 11" xfId="17050" xr:uid="{00000000-0005-0000-0000-0000FA410000}"/>
    <cellStyle name="Название 110" xfId="17051" xr:uid="{00000000-0005-0000-0000-0000FB410000}"/>
    <cellStyle name="Название 111" xfId="17052" xr:uid="{00000000-0005-0000-0000-0000FC410000}"/>
    <cellStyle name="Название 112" xfId="17053" xr:uid="{00000000-0005-0000-0000-0000FD410000}"/>
    <cellStyle name="Название 113" xfId="17054" xr:uid="{00000000-0005-0000-0000-0000FE410000}"/>
    <cellStyle name="Название 114" xfId="17055" xr:uid="{00000000-0005-0000-0000-0000FF410000}"/>
    <cellStyle name="Название 115" xfId="17056" xr:uid="{00000000-0005-0000-0000-000000420000}"/>
    <cellStyle name="Название 116" xfId="17057" xr:uid="{00000000-0005-0000-0000-000001420000}"/>
    <cellStyle name="Название 117" xfId="17058" xr:uid="{00000000-0005-0000-0000-000002420000}"/>
    <cellStyle name="Название 118" xfId="17059" xr:uid="{00000000-0005-0000-0000-000003420000}"/>
    <cellStyle name="Название 119" xfId="17060" xr:uid="{00000000-0005-0000-0000-000004420000}"/>
    <cellStyle name="Название 12" xfId="17061" xr:uid="{00000000-0005-0000-0000-000005420000}"/>
    <cellStyle name="Название 120" xfId="17062" xr:uid="{00000000-0005-0000-0000-000006420000}"/>
    <cellStyle name="Название 121" xfId="17063" xr:uid="{00000000-0005-0000-0000-000007420000}"/>
    <cellStyle name="Название 122" xfId="17064" xr:uid="{00000000-0005-0000-0000-000008420000}"/>
    <cellStyle name="Название 123" xfId="17065" xr:uid="{00000000-0005-0000-0000-000009420000}"/>
    <cellStyle name="Название 124" xfId="17066" xr:uid="{00000000-0005-0000-0000-00000A420000}"/>
    <cellStyle name="Название 125" xfId="17067" xr:uid="{00000000-0005-0000-0000-00000B420000}"/>
    <cellStyle name="Название 126" xfId="17068" xr:uid="{00000000-0005-0000-0000-00000C420000}"/>
    <cellStyle name="Название 127" xfId="17069" xr:uid="{00000000-0005-0000-0000-00000D420000}"/>
    <cellStyle name="Название 128" xfId="17070" xr:uid="{00000000-0005-0000-0000-00000E420000}"/>
    <cellStyle name="Название 129" xfId="17071" xr:uid="{00000000-0005-0000-0000-00000F420000}"/>
    <cellStyle name="Название 13" xfId="17072" xr:uid="{00000000-0005-0000-0000-000010420000}"/>
    <cellStyle name="Название 130" xfId="17073" xr:uid="{00000000-0005-0000-0000-000011420000}"/>
    <cellStyle name="Название 131" xfId="17074" xr:uid="{00000000-0005-0000-0000-000012420000}"/>
    <cellStyle name="Название 132" xfId="17075" xr:uid="{00000000-0005-0000-0000-000013420000}"/>
    <cellStyle name="Название 133" xfId="17076" xr:uid="{00000000-0005-0000-0000-000014420000}"/>
    <cellStyle name="Название 134" xfId="17077" xr:uid="{00000000-0005-0000-0000-000015420000}"/>
    <cellStyle name="Название 135" xfId="17078" xr:uid="{00000000-0005-0000-0000-000016420000}"/>
    <cellStyle name="Название 136" xfId="17079" xr:uid="{00000000-0005-0000-0000-000017420000}"/>
    <cellStyle name="Название 137" xfId="17080" xr:uid="{00000000-0005-0000-0000-000018420000}"/>
    <cellStyle name="Название 138" xfId="17081" xr:uid="{00000000-0005-0000-0000-000019420000}"/>
    <cellStyle name="Название 139" xfId="17082" xr:uid="{00000000-0005-0000-0000-00001A420000}"/>
    <cellStyle name="Название 14" xfId="17083" xr:uid="{00000000-0005-0000-0000-00001B420000}"/>
    <cellStyle name="Название 140" xfId="17084" xr:uid="{00000000-0005-0000-0000-00001C420000}"/>
    <cellStyle name="Название 141" xfId="17085" xr:uid="{00000000-0005-0000-0000-00001D420000}"/>
    <cellStyle name="Название 142" xfId="17086" xr:uid="{00000000-0005-0000-0000-00001E420000}"/>
    <cellStyle name="Название 143" xfId="17087" xr:uid="{00000000-0005-0000-0000-00001F420000}"/>
    <cellStyle name="Название 144" xfId="17088" xr:uid="{00000000-0005-0000-0000-000020420000}"/>
    <cellStyle name="Название 145" xfId="17089" xr:uid="{00000000-0005-0000-0000-000021420000}"/>
    <cellStyle name="Название 146" xfId="17090" xr:uid="{00000000-0005-0000-0000-000022420000}"/>
    <cellStyle name="Название 147" xfId="17091" xr:uid="{00000000-0005-0000-0000-000023420000}"/>
    <cellStyle name="Название 148" xfId="17092" xr:uid="{00000000-0005-0000-0000-000024420000}"/>
    <cellStyle name="Название 149" xfId="17093" xr:uid="{00000000-0005-0000-0000-000025420000}"/>
    <cellStyle name="Название 15" xfId="17094" xr:uid="{00000000-0005-0000-0000-000026420000}"/>
    <cellStyle name="Название 150" xfId="17095" xr:uid="{00000000-0005-0000-0000-000027420000}"/>
    <cellStyle name="Название 151" xfId="17096" xr:uid="{00000000-0005-0000-0000-000028420000}"/>
    <cellStyle name="Название 152" xfId="17097" xr:uid="{00000000-0005-0000-0000-000029420000}"/>
    <cellStyle name="Название 16" xfId="17098" xr:uid="{00000000-0005-0000-0000-00002A420000}"/>
    <cellStyle name="Название 17" xfId="17099" xr:uid="{00000000-0005-0000-0000-00002B420000}"/>
    <cellStyle name="Название 18" xfId="17100" xr:uid="{00000000-0005-0000-0000-00002C420000}"/>
    <cellStyle name="Название 19" xfId="17101" xr:uid="{00000000-0005-0000-0000-00002D420000}"/>
    <cellStyle name="Название 2" xfId="17102" xr:uid="{00000000-0005-0000-0000-00002E420000}"/>
    <cellStyle name="Название 2 2" xfId="17103" xr:uid="{00000000-0005-0000-0000-00002F420000}"/>
    <cellStyle name="Название 2 3" xfId="17104" xr:uid="{00000000-0005-0000-0000-000030420000}"/>
    <cellStyle name="Название 2 4" xfId="17105" xr:uid="{00000000-0005-0000-0000-000031420000}"/>
    <cellStyle name="Название 2 5" xfId="17106" xr:uid="{00000000-0005-0000-0000-000032420000}"/>
    <cellStyle name="Название 2 6" xfId="17107" xr:uid="{00000000-0005-0000-0000-000033420000}"/>
    <cellStyle name="Название 2 7" xfId="17108" xr:uid="{00000000-0005-0000-0000-000034420000}"/>
    <cellStyle name="Название 20" xfId="17109" xr:uid="{00000000-0005-0000-0000-000035420000}"/>
    <cellStyle name="Название 20 2" xfId="17110" xr:uid="{00000000-0005-0000-0000-000036420000}"/>
    <cellStyle name="Название 21" xfId="17111" xr:uid="{00000000-0005-0000-0000-000037420000}"/>
    <cellStyle name="Название 22" xfId="17112" xr:uid="{00000000-0005-0000-0000-000038420000}"/>
    <cellStyle name="Название 23" xfId="17113" xr:uid="{00000000-0005-0000-0000-000039420000}"/>
    <cellStyle name="Название 24" xfId="17114" xr:uid="{00000000-0005-0000-0000-00003A420000}"/>
    <cellStyle name="Название 25" xfId="17115" xr:uid="{00000000-0005-0000-0000-00003B420000}"/>
    <cellStyle name="Название 26" xfId="17116" xr:uid="{00000000-0005-0000-0000-00003C420000}"/>
    <cellStyle name="Название 27" xfId="17117" xr:uid="{00000000-0005-0000-0000-00003D420000}"/>
    <cellStyle name="Название 28" xfId="17118" xr:uid="{00000000-0005-0000-0000-00003E420000}"/>
    <cellStyle name="Название 29" xfId="17119" xr:uid="{00000000-0005-0000-0000-00003F420000}"/>
    <cellStyle name="Название 3" xfId="17120" xr:uid="{00000000-0005-0000-0000-000040420000}"/>
    <cellStyle name="Название 30" xfId="17121" xr:uid="{00000000-0005-0000-0000-000041420000}"/>
    <cellStyle name="Название 31" xfId="17122" xr:uid="{00000000-0005-0000-0000-000042420000}"/>
    <cellStyle name="Название 32" xfId="17123" xr:uid="{00000000-0005-0000-0000-000043420000}"/>
    <cellStyle name="Название 33" xfId="17124" xr:uid="{00000000-0005-0000-0000-000044420000}"/>
    <cellStyle name="Название 34" xfId="17125" xr:uid="{00000000-0005-0000-0000-000045420000}"/>
    <cellStyle name="Название 35" xfId="17126" xr:uid="{00000000-0005-0000-0000-000046420000}"/>
    <cellStyle name="Название 36" xfId="17127" xr:uid="{00000000-0005-0000-0000-000047420000}"/>
    <cellStyle name="Название 37" xfId="17128" xr:uid="{00000000-0005-0000-0000-000048420000}"/>
    <cellStyle name="Название 38" xfId="17129" xr:uid="{00000000-0005-0000-0000-000049420000}"/>
    <cellStyle name="Название 39" xfId="17130" xr:uid="{00000000-0005-0000-0000-00004A420000}"/>
    <cellStyle name="Название 4" xfId="17131" xr:uid="{00000000-0005-0000-0000-00004B420000}"/>
    <cellStyle name="Название 40" xfId="17132" xr:uid="{00000000-0005-0000-0000-00004C420000}"/>
    <cellStyle name="Название 41" xfId="17133" xr:uid="{00000000-0005-0000-0000-00004D420000}"/>
    <cellStyle name="Название 42" xfId="17134" xr:uid="{00000000-0005-0000-0000-00004E420000}"/>
    <cellStyle name="Название 43" xfId="17135" xr:uid="{00000000-0005-0000-0000-00004F420000}"/>
    <cellStyle name="Название 44" xfId="17136" xr:uid="{00000000-0005-0000-0000-000050420000}"/>
    <cellStyle name="Название 45" xfId="17137" xr:uid="{00000000-0005-0000-0000-000051420000}"/>
    <cellStyle name="Название 46" xfId="17138" xr:uid="{00000000-0005-0000-0000-000052420000}"/>
    <cellStyle name="Название 47" xfId="17139" xr:uid="{00000000-0005-0000-0000-000053420000}"/>
    <cellStyle name="Название 48" xfId="17140" xr:uid="{00000000-0005-0000-0000-000054420000}"/>
    <cellStyle name="Название 49" xfId="17141" xr:uid="{00000000-0005-0000-0000-000055420000}"/>
    <cellStyle name="Название 5" xfId="17142" xr:uid="{00000000-0005-0000-0000-000056420000}"/>
    <cellStyle name="Название 50" xfId="17143" xr:uid="{00000000-0005-0000-0000-000057420000}"/>
    <cellStyle name="Название 51" xfId="17144" xr:uid="{00000000-0005-0000-0000-000058420000}"/>
    <cellStyle name="Название 52" xfId="17145" xr:uid="{00000000-0005-0000-0000-000059420000}"/>
    <cellStyle name="Название 53" xfId="17146" xr:uid="{00000000-0005-0000-0000-00005A420000}"/>
    <cellStyle name="Название 54" xfId="17147" xr:uid="{00000000-0005-0000-0000-00005B420000}"/>
    <cellStyle name="Название 55" xfId="17148" xr:uid="{00000000-0005-0000-0000-00005C420000}"/>
    <cellStyle name="Название 56" xfId="17149" xr:uid="{00000000-0005-0000-0000-00005D420000}"/>
    <cellStyle name="Название 57" xfId="17150" xr:uid="{00000000-0005-0000-0000-00005E420000}"/>
    <cellStyle name="Название 58" xfId="17151" xr:uid="{00000000-0005-0000-0000-00005F420000}"/>
    <cellStyle name="Название 59" xfId="17152" xr:uid="{00000000-0005-0000-0000-000060420000}"/>
    <cellStyle name="Название 6" xfId="17153" xr:uid="{00000000-0005-0000-0000-000061420000}"/>
    <cellStyle name="Название 60" xfId="17154" xr:uid="{00000000-0005-0000-0000-000062420000}"/>
    <cellStyle name="Название 61" xfId="17155" xr:uid="{00000000-0005-0000-0000-000063420000}"/>
    <cellStyle name="Название 62" xfId="17156" xr:uid="{00000000-0005-0000-0000-000064420000}"/>
    <cellStyle name="Название 63" xfId="17157" xr:uid="{00000000-0005-0000-0000-000065420000}"/>
    <cellStyle name="Название 64" xfId="17158" xr:uid="{00000000-0005-0000-0000-000066420000}"/>
    <cellStyle name="Название 65" xfId="17159" xr:uid="{00000000-0005-0000-0000-000067420000}"/>
    <cellStyle name="Название 66" xfId="17160" xr:uid="{00000000-0005-0000-0000-000068420000}"/>
    <cellStyle name="Название 67" xfId="17161" xr:uid="{00000000-0005-0000-0000-000069420000}"/>
    <cellStyle name="Название 68" xfId="17162" xr:uid="{00000000-0005-0000-0000-00006A420000}"/>
    <cellStyle name="Название 69" xfId="17163" xr:uid="{00000000-0005-0000-0000-00006B420000}"/>
    <cellStyle name="Название 7" xfId="17164" xr:uid="{00000000-0005-0000-0000-00006C420000}"/>
    <cellStyle name="Название 70" xfId="17165" xr:uid="{00000000-0005-0000-0000-00006D420000}"/>
    <cellStyle name="Название 71" xfId="17166" xr:uid="{00000000-0005-0000-0000-00006E420000}"/>
    <cellStyle name="Название 72" xfId="17167" xr:uid="{00000000-0005-0000-0000-00006F420000}"/>
    <cellStyle name="Название 73" xfId="17168" xr:uid="{00000000-0005-0000-0000-000070420000}"/>
    <cellStyle name="Название 74" xfId="17169" xr:uid="{00000000-0005-0000-0000-000071420000}"/>
    <cellStyle name="Название 75" xfId="17170" xr:uid="{00000000-0005-0000-0000-000072420000}"/>
    <cellStyle name="Название 76" xfId="17171" xr:uid="{00000000-0005-0000-0000-000073420000}"/>
    <cellStyle name="Название 77" xfId="17172" xr:uid="{00000000-0005-0000-0000-000074420000}"/>
    <cellStyle name="Название 78" xfId="17173" xr:uid="{00000000-0005-0000-0000-000075420000}"/>
    <cellStyle name="Название 79" xfId="17174" xr:uid="{00000000-0005-0000-0000-000076420000}"/>
    <cellStyle name="Название 8" xfId="17175" xr:uid="{00000000-0005-0000-0000-000077420000}"/>
    <cellStyle name="Название 80" xfId="17176" xr:uid="{00000000-0005-0000-0000-000078420000}"/>
    <cellStyle name="Название 81" xfId="17177" xr:uid="{00000000-0005-0000-0000-000079420000}"/>
    <cellStyle name="Название 82" xfId="17178" xr:uid="{00000000-0005-0000-0000-00007A420000}"/>
    <cellStyle name="Название 83" xfId="17179" xr:uid="{00000000-0005-0000-0000-00007B420000}"/>
    <cellStyle name="Название 84" xfId="17180" xr:uid="{00000000-0005-0000-0000-00007C420000}"/>
    <cellStyle name="Название 85" xfId="17181" xr:uid="{00000000-0005-0000-0000-00007D420000}"/>
    <cellStyle name="Название 86" xfId="17182" xr:uid="{00000000-0005-0000-0000-00007E420000}"/>
    <cellStyle name="Название 87" xfId="17183" xr:uid="{00000000-0005-0000-0000-00007F420000}"/>
    <cellStyle name="Название 88" xfId="17184" xr:uid="{00000000-0005-0000-0000-000080420000}"/>
    <cellStyle name="Название 89" xfId="17185" xr:uid="{00000000-0005-0000-0000-000081420000}"/>
    <cellStyle name="Название 9" xfId="17186" xr:uid="{00000000-0005-0000-0000-000082420000}"/>
    <cellStyle name="Название 90" xfId="17187" xr:uid="{00000000-0005-0000-0000-000083420000}"/>
    <cellStyle name="Название 91" xfId="17188" xr:uid="{00000000-0005-0000-0000-000084420000}"/>
    <cellStyle name="Название 92" xfId="17189" xr:uid="{00000000-0005-0000-0000-000085420000}"/>
    <cellStyle name="Название 93" xfId="17190" xr:uid="{00000000-0005-0000-0000-000086420000}"/>
    <cellStyle name="Название 94" xfId="17191" xr:uid="{00000000-0005-0000-0000-000087420000}"/>
    <cellStyle name="Название 95" xfId="17192" xr:uid="{00000000-0005-0000-0000-000088420000}"/>
    <cellStyle name="Название 96" xfId="17193" xr:uid="{00000000-0005-0000-0000-000089420000}"/>
    <cellStyle name="Название 97" xfId="17194" xr:uid="{00000000-0005-0000-0000-00008A420000}"/>
    <cellStyle name="Название 98" xfId="17195" xr:uid="{00000000-0005-0000-0000-00008B420000}"/>
    <cellStyle name="Название 99" xfId="17196" xr:uid="{00000000-0005-0000-0000-00008C420000}"/>
    <cellStyle name="Не заполняется" xfId="17197" xr:uid="{00000000-0005-0000-0000-00008D420000}"/>
    <cellStyle name="Невидимый" xfId="17198" xr:uid="{00000000-0005-0000-0000-00008E420000}"/>
    <cellStyle name="недельный" xfId="17199" xr:uid="{00000000-0005-0000-0000-00008F420000}"/>
    <cellStyle name="недельный 2" xfId="17200" xr:uid="{00000000-0005-0000-0000-000090420000}"/>
    <cellStyle name="недельный 3" xfId="17201" xr:uid="{00000000-0005-0000-0000-000091420000}"/>
    <cellStyle name="недельный 4" xfId="17202" xr:uid="{00000000-0005-0000-0000-000092420000}"/>
    <cellStyle name="Нейтральный 10" xfId="17203" xr:uid="{00000000-0005-0000-0000-000093420000}"/>
    <cellStyle name="Нейтральный 100" xfId="17204" xr:uid="{00000000-0005-0000-0000-000094420000}"/>
    <cellStyle name="Нейтральный 101" xfId="17205" xr:uid="{00000000-0005-0000-0000-000095420000}"/>
    <cellStyle name="Нейтральный 102" xfId="17206" xr:uid="{00000000-0005-0000-0000-000096420000}"/>
    <cellStyle name="Нейтральный 103" xfId="17207" xr:uid="{00000000-0005-0000-0000-000097420000}"/>
    <cellStyle name="Нейтральный 104" xfId="17208" xr:uid="{00000000-0005-0000-0000-000098420000}"/>
    <cellStyle name="Нейтральный 105" xfId="17209" xr:uid="{00000000-0005-0000-0000-000099420000}"/>
    <cellStyle name="Нейтральный 106" xfId="17210" xr:uid="{00000000-0005-0000-0000-00009A420000}"/>
    <cellStyle name="Нейтральный 107" xfId="17211" xr:uid="{00000000-0005-0000-0000-00009B420000}"/>
    <cellStyle name="Нейтральный 108" xfId="17212" xr:uid="{00000000-0005-0000-0000-00009C420000}"/>
    <cellStyle name="Нейтральный 109" xfId="17213" xr:uid="{00000000-0005-0000-0000-00009D420000}"/>
    <cellStyle name="Нейтральный 11" xfId="17214" xr:uid="{00000000-0005-0000-0000-00009E420000}"/>
    <cellStyle name="Нейтральный 110" xfId="17215" xr:uid="{00000000-0005-0000-0000-00009F420000}"/>
    <cellStyle name="Нейтральный 111" xfId="17216" xr:uid="{00000000-0005-0000-0000-0000A0420000}"/>
    <cellStyle name="Нейтральный 112" xfId="17217" xr:uid="{00000000-0005-0000-0000-0000A1420000}"/>
    <cellStyle name="Нейтральный 113" xfId="17218" xr:uid="{00000000-0005-0000-0000-0000A2420000}"/>
    <cellStyle name="Нейтральный 114" xfId="17219" xr:uid="{00000000-0005-0000-0000-0000A3420000}"/>
    <cellStyle name="Нейтральный 115" xfId="17220" xr:uid="{00000000-0005-0000-0000-0000A4420000}"/>
    <cellStyle name="Нейтральный 116" xfId="17221" xr:uid="{00000000-0005-0000-0000-0000A5420000}"/>
    <cellStyle name="Нейтральный 117" xfId="17222" xr:uid="{00000000-0005-0000-0000-0000A6420000}"/>
    <cellStyle name="Нейтральный 118" xfId="17223" xr:uid="{00000000-0005-0000-0000-0000A7420000}"/>
    <cellStyle name="Нейтральный 119" xfId="17224" xr:uid="{00000000-0005-0000-0000-0000A8420000}"/>
    <cellStyle name="Нейтральный 12" xfId="17225" xr:uid="{00000000-0005-0000-0000-0000A9420000}"/>
    <cellStyle name="Нейтральный 120" xfId="17226" xr:uid="{00000000-0005-0000-0000-0000AA420000}"/>
    <cellStyle name="Нейтральный 121" xfId="17227" xr:uid="{00000000-0005-0000-0000-0000AB420000}"/>
    <cellStyle name="Нейтральный 122" xfId="17228" xr:uid="{00000000-0005-0000-0000-0000AC420000}"/>
    <cellStyle name="Нейтральный 123" xfId="17229" xr:uid="{00000000-0005-0000-0000-0000AD420000}"/>
    <cellStyle name="Нейтральный 124" xfId="17230" xr:uid="{00000000-0005-0000-0000-0000AE420000}"/>
    <cellStyle name="Нейтральный 125" xfId="17231" xr:uid="{00000000-0005-0000-0000-0000AF420000}"/>
    <cellStyle name="Нейтральный 126" xfId="17232" xr:uid="{00000000-0005-0000-0000-0000B0420000}"/>
    <cellStyle name="Нейтральный 127" xfId="17233" xr:uid="{00000000-0005-0000-0000-0000B1420000}"/>
    <cellStyle name="Нейтральный 128" xfId="17234" xr:uid="{00000000-0005-0000-0000-0000B2420000}"/>
    <cellStyle name="Нейтральный 129" xfId="17235" xr:uid="{00000000-0005-0000-0000-0000B3420000}"/>
    <cellStyle name="Нейтральный 13" xfId="17236" xr:uid="{00000000-0005-0000-0000-0000B4420000}"/>
    <cellStyle name="Нейтральный 130" xfId="17237" xr:uid="{00000000-0005-0000-0000-0000B5420000}"/>
    <cellStyle name="Нейтральный 131" xfId="17238" xr:uid="{00000000-0005-0000-0000-0000B6420000}"/>
    <cellStyle name="Нейтральный 132" xfId="17239" xr:uid="{00000000-0005-0000-0000-0000B7420000}"/>
    <cellStyle name="Нейтральный 133" xfId="17240" xr:uid="{00000000-0005-0000-0000-0000B8420000}"/>
    <cellStyle name="Нейтральный 134" xfId="17241" xr:uid="{00000000-0005-0000-0000-0000B9420000}"/>
    <cellStyle name="Нейтральный 135" xfId="17242" xr:uid="{00000000-0005-0000-0000-0000BA420000}"/>
    <cellStyle name="Нейтральный 136" xfId="17243" xr:uid="{00000000-0005-0000-0000-0000BB420000}"/>
    <cellStyle name="Нейтральный 137" xfId="17244" xr:uid="{00000000-0005-0000-0000-0000BC420000}"/>
    <cellStyle name="Нейтральный 138" xfId="17245" xr:uid="{00000000-0005-0000-0000-0000BD420000}"/>
    <cellStyle name="Нейтральный 139" xfId="17246" xr:uid="{00000000-0005-0000-0000-0000BE420000}"/>
    <cellStyle name="Нейтральный 14" xfId="17247" xr:uid="{00000000-0005-0000-0000-0000BF420000}"/>
    <cellStyle name="Нейтральный 140" xfId="17248" xr:uid="{00000000-0005-0000-0000-0000C0420000}"/>
    <cellStyle name="Нейтральный 141" xfId="17249" xr:uid="{00000000-0005-0000-0000-0000C1420000}"/>
    <cellStyle name="Нейтральный 142" xfId="17250" xr:uid="{00000000-0005-0000-0000-0000C2420000}"/>
    <cellStyle name="Нейтральный 143" xfId="17251" xr:uid="{00000000-0005-0000-0000-0000C3420000}"/>
    <cellStyle name="Нейтральный 144" xfId="17252" xr:uid="{00000000-0005-0000-0000-0000C4420000}"/>
    <cellStyle name="Нейтральный 145" xfId="17253" xr:uid="{00000000-0005-0000-0000-0000C5420000}"/>
    <cellStyle name="Нейтральный 146" xfId="17254" xr:uid="{00000000-0005-0000-0000-0000C6420000}"/>
    <cellStyle name="Нейтральный 147" xfId="17255" xr:uid="{00000000-0005-0000-0000-0000C7420000}"/>
    <cellStyle name="Нейтральный 148" xfId="17256" xr:uid="{00000000-0005-0000-0000-0000C8420000}"/>
    <cellStyle name="Нейтральный 149" xfId="17257" xr:uid="{00000000-0005-0000-0000-0000C9420000}"/>
    <cellStyle name="Нейтральный 15" xfId="17258" xr:uid="{00000000-0005-0000-0000-0000CA420000}"/>
    <cellStyle name="Нейтральный 150" xfId="17259" xr:uid="{00000000-0005-0000-0000-0000CB420000}"/>
    <cellStyle name="Нейтральный 151" xfId="17260" xr:uid="{00000000-0005-0000-0000-0000CC420000}"/>
    <cellStyle name="Нейтральный 152" xfId="17261" xr:uid="{00000000-0005-0000-0000-0000CD420000}"/>
    <cellStyle name="Нейтральный 16" xfId="17262" xr:uid="{00000000-0005-0000-0000-0000CE420000}"/>
    <cellStyle name="Нейтральный 17" xfId="17263" xr:uid="{00000000-0005-0000-0000-0000CF420000}"/>
    <cellStyle name="Нейтральный 18" xfId="17264" xr:uid="{00000000-0005-0000-0000-0000D0420000}"/>
    <cellStyle name="Нейтральный 19" xfId="17265" xr:uid="{00000000-0005-0000-0000-0000D1420000}"/>
    <cellStyle name="Нейтральный 2" xfId="330" xr:uid="{00000000-0005-0000-0000-0000D2420000}"/>
    <cellStyle name="Нейтральный 2 2" xfId="17266" xr:uid="{00000000-0005-0000-0000-0000D3420000}"/>
    <cellStyle name="Нейтральный 2 3" xfId="17267" xr:uid="{00000000-0005-0000-0000-0000D4420000}"/>
    <cellStyle name="Нейтральный 2 4" xfId="17268" xr:uid="{00000000-0005-0000-0000-0000D5420000}"/>
    <cellStyle name="Нейтральный 2 5" xfId="17269" xr:uid="{00000000-0005-0000-0000-0000D6420000}"/>
    <cellStyle name="Нейтральный 2 6" xfId="17270" xr:uid="{00000000-0005-0000-0000-0000D7420000}"/>
    <cellStyle name="Нейтральный 2 7" xfId="17271" xr:uid="{00000000-0005-0000-0000-0000D8420000}"/>
    <cellStyle name="Нейтральный 20" xfId="17272" xr:uid="{00000000-0005-0000-0000-0000D9420000}"/>
    <cellStyle name="Нейтральный 20 2" xfId="17273" xr:uid="{00000000-0005-0000-0000-0000DA420000}"/>
    <cellStyle name="Нейтральный 21" xfId="17274" xr:uid="{00000000-0005-0000-0000-0000DB420000}"/>
    <cellStyle name="Нейтральный 22" xfId="17275" xr:uid="{00000000-0005-0000-0000-0000DC420000}"/>
    <cellStyle name="Нейтральный 23" xfId="17276" xr:uid="{00000000-0005-0000-0000-0000DD420000}"/>
    <cellStyle name="Нейтральный 24" xfId="17277" xr:uid="{00000000-0005-0000-0000-0000DE420000}"/>
    <cellStyle name="Нейтральный 25" xfId="17278" xr:uid="{00000000-0005-0000-0000-0000DF420000}"/>
    <cellStyle name="Нейтральный 26" xfId="17279" xr:uid="{00000000-0005-0000-0000-0000E0420000}"/>
    <cellStyle name="Нейтральный 27" xfId="17280" xr:uid="{00000000-0005-0000-0000-0000E1420000}"/>
    <cellStyle name="Нейтральный 28" xfId="17281" xr:uid="{00000000-0005-0000-0000-0000E2420000}"/>
    <cellStyle name="Нейтральный 29" xfId="17282" xr:uid="{00000000-0005-0000-0000-0000E3420000}"/>
    <cellStyle name="Нейтральный 3" xfId="331" xr:uid="{00000000-0005-0000-0000-0000E4420000}"/>
    <cellStyle name="Нейтральный 30" xfId="17283" xr:uid="{00000000-0005-0000-0000-0000E5420000}"/>
    <cellStyle name="Нейтральный 31" xfId="17284" xr:uid="{00000000-0005-0000-0000-0000E6420000}"/>
    <cellStyle name="Нейтральный 32" xfId="17285" xr:uid="{00000000-0005-0000-0000-0000E7420000}"/>
    <cellStyle name="Нейтральный 33" xfId="17286" xr:uid="{00000000-0005-0000-0000-0000E8420000}"/>
    <cellStyle name="Нейтральный 34" xfId="17287" xr:uid="{00000000-0005-0000-0000-0000E9420000}"/>
    <cellStyle name="Нейтральный 35" xfId="17288" xr:uid="{00000000-0005-0000-0000-0000EA420000}"/>
    <cellStyle name="Нейтральный 36" xfId="17289" xr:uid="{00000000-0005-0000-0000-0000EB420000}"/>
    <cellStyle name="Нейтральный 37" xfId="17290" xr:uid="{00000000-0005-0000-0000-0000EC420000}"/>
    <cellStyle name="Нейтральный 38" xfId="17291" xr:uid="{00000000-0005-0000-0000-0000ED420000}"/>
    <cellStyle name="Нейтральный 39" xfId="17292" xr:uid="{00000000-0005-0000-0000-0000EE420000}"/>
    <cellStyle name="Нейтральный 4" xfId="17293" xr:uid="{00000000-0005-0000-0000-0000EF420000}"/>
    <cellStyle name="Нейтральный 40" xfId="17294" xr:uid="{00000000-0005-0000-0000-0000F0420000}"/>
    <cellStyle name="Нейтральный 41" xfId="17295" xr:uid="{00000000-0005-0000-0000-0000F1420000}"/>
    <cellStyle name="Нейтральный 42" xfId="17296" xr:uid="{00000000-0005-0000-0000-0000F2420000}"/>
    <cellStyle name="Нейтральный 43" xfId="17297" xr:uid="{00000000-0005-0000-0000-0000F3420000}"/>
    <cellStyle name="Нейтральный 44" xfId="17298" xr:uid="{00000000-0005-0000-0000-0000F4420000}"/>
    <cellStyle name="Нейтральный 45" xfId="17299" xr:uid="{00000000-0005-0000-0000-0000F5420000}"/>
    <cellStyle name="Нейтральный 46" xfId="17300" xr:uid="{00000000-0005-0000-0000-0000F6420000}"/>
    <cellStyle name="Нейтральный 47" xfId="17301" xr:uid="{00000000-0005-0000-0000-0000F7420000}"/>
    <cellStyle name="Нейтральный 48" xfId="17302" xr:uid="{00000000-0005-0000-0000-0000F8420000}"/>
    <cellStyle name="Нейтральный 49" xfId="17303" xr:uid="{00000000-0005-0000-0000-0000F9420000}"/>
    <cellStyle name="Нейтральный 5" xfId="17304" xr:uid="{00000000-0005-0000-0000-0000FA420000}"/>
    <cellStyle name="Нейтральный 50" xfId="17305" xr:uid="{00000000-0005-0000-0000-0000FB420000}"/>
    <cellStyle name="Нейтральный 51" xfId="17306" xr:uid="{00000000-0005-0000-0000-0000FC420000}"/>
    <cellStyle name="Нейтральный 52" xfId="17307" xr:uid="{00000000-0005-0000-0000-0000FD420000}"/>
    <cellStyle name="Нейтральный 53" xfId="17308" xr:uid="{00000000-0005-0000-0000-0000FE420000}"/>
    <cellStyle name="Нейтральный 54" xfId="17309" xr:uid="{00000000-0005-0000-0000-0000FF420000}"/>
    <cellStyle name="Нейтральный 55" xfId="17310" xr:uid="{00000000-0005-0000-0000-000000430000}"/>
    <cellStyle name="Нейтральный 56" xfId="17311" xr:uid="{00000000-0005-0000-0000-000001430000}"/>
    <cellStyle name="Нейтральный 57" xfId="17312" xr:uid="{00000000-0005-0000-0000-000002430000}"/>
    <cellStyle name="Нейтральный 58" xfId="17313" xr:uid="{00000000-0005-0000-0000-000003430000}"/>
    <cellStyle name="Нейтральный 59" xfId="17314" xr:uid="{00000000-0005-0000-0000-000004430000}"/>
    <cellStyle name="Нейтральный 6" xfId="17315" xr:uid="{00000000-0005-0000-0000-000005430000}"/>
    <cellStyle name="Нейтральный 60" xfId="17316" xr:uid="{00000000-0005-0000-0000-000006430000}"/>
    <cellStyle name="Нейтральный 61" xfId="17317" xr:uid="{00000000-0005-0000-0000-000007430000}"/>
    <cellStyle name="Нейтральный 62" xfId="17318" xr:uid="{00000000-0005-0000-0000-000008430000}"/>
    <cellStyle name="Нейтральный 63" xfId="17319" xr:uid="{00000000-0005-0000-0000-000009430000}"/>
    <cellStyle name="Нейтральный 64" xfId="17320" xr:uid="{00000000-0005-0000-0000-00000A430000}"/>
    <cellStyle name="Нейтральный 65" xfId="17321" xr:uid="{00000000-0005-0000-0000-00000B430000}"/>
    <cellStyle name="Нейтральный 66" xfId="17322" xr:uid="{00000000-0005-0000-0000-00000C430000}"/>
    <cellStyle name="Нейтральный 67" xfId="17323" xr:uid="{00000000-0005-0000-0000-00000D430000}"/>
    <cellStyle name="Нейтральный 68" xfId="17324" xr:uid="{00000000-0005-0000-0000-00000E430000}"/>
    <cellStyle name="Нейтральный 69" xfId="17325" xr:uid="{00000000-0005-0000-0000-00000F430000}"/>
    <cellStyle name="Нейтральный 7" xfId="17326" xr:uid="{00000000-0005-0000-0000-000010430000}"/>
    <cellStyle name="Нейтральный 70" xfId="17327" xr:uid="{00000000-0005-0000-0000-000011430000}"/>
    <cellStyle name="Нейтральный 71" xfId="17328" xr:uid="{00000000-0005-0000-0000-000012430000}"/>
    <cellStyle name="Нейтральный 72" xfId="17329" xr:uid="{00000000-0005-0000-0000-000013430000}"/>
    <cellStyle name="Нейтральный 73" xfId="17330" xr:uid="{00000000-0005-0000-0000-000014430000}"/>
    <cellStyle name="Нейтральный 74" xfId="17331" xr:uid="{00000000-0005-0000-0000-000015430000}"/>
    <cellStyle name="Нейтральный 75" xfId="17332" xr:uid="{00000000-0005-0000-0000-000016430000}"/>
    <cellStyle name="Нейтральный 76" xfId="17333" xr:uid="{00000000-0005-0000-0000-000017430000}"/>
    <cellStyle name="Нейтральный 77" xfId="17334" xr:uid="{00000000-0005-0000-0000-000018430000}"/>
    <cellStyle name="Нейтральный 78" xfId="17335" xr:uid="{00000000-0005-0000-0000-000019430000}"/>
    <cellStyle name="Нейтральный 79" xfId="17336" xr:uid="{00000000-0005-0000-0000-00001A430000}"/>
    <cellStyle name="Нейтральный 8" xfId="17337" xr:uid="{00000000-0005-0000-0000-00001B430000}"/>
    <cellStyle name="Нейтральный 80" xfId="17338" xr:uid="{00000000-0005-0000-0000-00001C430000}"/>
    <cellStyle name="Нейтральный 81" xfId="17339" xr:uid="{00000000-0005-0000-0000-00001D430000}"/>
    <cellStyle name="Нейтральный 82" xfId="17340" xr:uid="{00000000-0005-0000-0000-00001E430000}"/>
    <cellStyle name="Нейтральный 83" xfId="17341" xr:uid="{00000000-0005-0000-0000-00001F430000}"/>
    <cellStyle name="Нейтральный 84" xfId="17342" xr:uid="{00000000-0005-0000-0000-000020430000}"/>
    <cellStyle name="Нейтральный 85" xfId="17343" xr:uid="{00000000-0005-0000-0000-000021430000}"/>
    <cellStyle name="Нейтральный 86" xfId="17344" xr:uid="{00000000-0005-0000-0000-000022430000}"/>
    <cellStyle name="Нейтральный 87" xfId="17345" xr:uid="{00000000-0005-0000-0000-000023430000}"/>
    <cellStyle name="Нейтральный 88" xfId="17346" xr:uid="{00000000-0005-0000-0000-000024430000}"/>
    <cellStyle name="Нейтральный 89" xfId="17347" xr:uid="{00000000-0005-0000-0000-000025430000}"/>
    <cellStyle name="Нейтральный 9" xfId="17348" xr:uid="{00000000-0005-0000-0000-000026430000}"/>
    <cellStyle name="Нейтральный 90" xfId="17349" xr:uid="{00000000-0005-0000-0000-000027430000}"/>
    <cellStyle name="Нейтральный 91" xfId="17350" xr:uid="{00000000-0005-0000-0000-000028430000}"/>
    <cellStyle name="Нейтральный 92" xfId="17351" xr:uid="{00000000-0005-0000-0000-000029430000}"/>
    <cellStyle name="Нейтральный 93" xfId="17352" xr:uid="{00000000-0005-0000-0000-00002A430000}"/>
    <cellStyle name="Нейтральный 94" xfId="17353" xr:uid="{00000000-0005-0000-0000-00002B430000}"/>
    <cellStyle name="Нейтральный 95" xfId="17354" xr:uid="{00000000-0005-0000-0000-00002C430000}"/>
    <cellStyle name="Нейтральный 96" xfId="17355" xr:uid="{00000000-0005-0000-0000-00002D430000}"/>
    <cellStyle name="Нейтральный 97" xfId="17356" xr:uid="{00000000-0005-0000-0000-00002E430000}"/>
    <cellStyle name="Нейтральный 98" xfId="17357" xr:uid="{00000000-0005-0000-0000-00002F430000}"/>
    <cellStyle name="Нейтральный 99" xfId="17358" xr:uid="{00000000-0005-0000-0000-000030430000}"/>
    <cellStyle name="Нестандартный расчет" xfId="17359" xr:uid="{00000000-0005-0000-0000-000031430000}"/>
    <cellStyle name="Обычный" xfId="0" builtinId="0"/>
    <cellStyle name="Обычный 10" xfId="332" xr:uid="{00000000-0005-0000-0000-000033430000}"/>
    <cellStyle name="Обычный 10 10" xfId="17360" xr:uid="{00000000-0005-0000-0000-000034430000}"/>
    <cellStyle name="Обычный 10 11" xfId="17361" xr:uid="{00000000-0005-0000-0000-000035430000}"/>
    <cellStyle name="Обычный 10 12" xfId="17362" xr:uid="{00000000-0005-0000-0000-000036430000}"/>
    <cellStyle name="Обычный 10 13" xfId="17363" xr:uid="{00000000-0005-0000-0000-000037430000}"/>
    <cellStyle name="Обычный 10 14" xfId="17364" xr:uid="{00000000-0005-0000-0000-000038430000}"/>
    <cellStyle name="Обычный 10 15" xfId="17365" xr:uid="{00000000-0005-0000-0000-000039430000}"/>
    <cellStyle name="Обычный 10 16" xfId="17366" xr:uid="{00000000-0005-0000-0000-00003A430000}"/>
    <cellStyle name="Обычный 10 17" xfId="17367" xr:uid="{00000000-0005-0000-0000-00003B430000}"/>
    <cellStyle name="Обычный 10 18" xfId="17368" xr:uid="{00000000-0005-0000-0000-00003C430000}"/>
    <cellStyle name="Обычный 10 19" xfId="17369" xr:uid="{00000000-0005-0000-0000-00003D430000}"/>
    <cellStyle name="Обычный 10 2" xfId="333" xr:uid="{00000000-0005-0000-0000-00003E430000}"/>
    <cellStyle name="Обычный 10 2 2" xfId="17370" xr:uid="{00000000-0005-0000-0000-00003F430000}"/>
    <cellStyle name="Обычный 10 2 2 2" xfId="17371" xr:uid="{00000000-0005-0000-0000-000040430000}"/>
    <cellStyle name="Обычный 10 2 2 3" xfId="17372" xr:uid="{00000000-0005-0000-0000-000041430000}"/>
    <cellStyle name="Обычный 10 2 3" xfId="17373" xr:uid="{00000000-0005-0000-0000-000042430000}"/>
    <cellStyle name="Обычный 10 2 4" xfId="17374" xr:uid="{00000000-0005-0000-0000-000043430000}"/>
    <cellStyle name="Обычный 10 20" xfId="17375" xr:uid="{00000000-0005-0000-0000-000044430000}"/>
    <cellStyle name="Обычный 10 21" xfId="17376" xr:uid="{00000000-0005-0000-0000-000045430000}"/>
    <cellStyle name="Обычный 10 22" xfId="17377" xr:uid="{00000000-0005-0000-0000-000046430000}"/>
    <cellStyle name="Обычный 10 23" xfId="17378" xr:uid="{00000000-0005-0000-0000-000047430000}"/>
    <cellStyle name="Обычный 10 24" xfId="17379" xr:uid="{00000000-0005-0000-0000-000048430000}"/>
    <cellStyle name="Обычный 10 25" xfId="17380" xr:uid="{00000000-0005-0000-0000-000049430000}"/>
    <cellStyle name="Обычный 10 3" xfId="334" xr:uid="{00000000-0005-0000-0000-00004A430000}"/>
    <cellStyle name="Обычный 10 3 2" xfId="335" xr:uid="{00000000-0005-0000-0000-00004B430000}"/>
    <cellStyle name="Обычный 10 3 2 2" xfId="336" xr:uid="{00000000-0005-0000-0000-00004C430000}"/>
    <cellStyle name="Обычный 10 3 2 3" xfId="337" xr:uid="{00000000-0005-0000-0000-00004D430000}"/>
    <cellStyle name="Обычный 10 3 3" xfId="17381" xr:uid="{00000000-0005-0000-0000-00004E430000}"/>
    <cellStyle name="Обычный 10 4" xfId="17382" xr:uid="{00000000-0005-0000-0000-00004F430000}"/>
    <cellStyle name="Обычный 10 5" xfId="17383" xr:uid="{00000000-0005-0000-0000-000050430000}"/>
    <cellStyle name="Обычный 10 6" xfId="17384" xr:uid="{00000000-0005-0000-0000-000051430000}"/>
    <cellStyle name="Обычный 10 7" xfId="17385" xr:uid="{00000000-0005-0000-0000-000052430000}"/>
    <cellStyle name="Обычный 10 8" xfId="17386" xr:uid="{00000000-0005-0000-0000-000053430000}"/>
    <cellStyle name="Обычный 10 9" xfId="17387" xr:uid="{00000000-0005-0000-0000-000054430000}"/>
    <cellStyle name="Обычный 100" xfId="17388" xr:uid="{00000000-0005-0000-0000-000055430000}"/>
    <cellStyle name="Обычный 100 2" xfId="17389" xr:uid="{00000000-0005-0000-0000-000056430000}"/>
    <cellStyle name="Обычный 100 3" xfId="17390" xr:uid="{00000000-0005-0000-0000-000057430000}"/>
    <cellStyle name="Обычный 101" xfId="17391" xr:uid="{00000000-0005-0000-0000-000058430000}"/>
    <cellStyle name="Обычный 101 2" xfId="17392" xr:uid="{00000000-0005-0000-0000-000059430000}"/>
    <cellStyle name="Обычный 101 3" xfId="17393" xr:uid="{00000000-0005-0000-0000-00005A430000}"/>
    <cellStyle name="Обычный 102" xfId="17394" xr:uid="{00000000-0005-0000-0000-00005B430000}"/>
    <cellStyle name="Обычный 102 2" xfId="17395" xr:uid="{00000000-0005-0000-0000-00005C430000}"/>
    <cellStyle name="Обычный 102 3" xfId="17396" xr:uid="{00000000-0005-0000-0000-00005D430000}"/>
    <cellStyle name="Обычный 103" xfId="17397" xr:uid="{00000000-0005-0000-0000-00005E430000}"/>
    <cellStyle name="Обычный 103 2" xfId="17398" xr:uid="{00000000-0005-0000-0000-00005F430000}"/>
    <cellStyle name="Обычный 103 3" xfId="17399" xr:uid="{00000000-0005-0000-0000-000060430000}"/>
    <cellStyle name="Обычный 104" xfId="17400" xr:uid="{00000000-0005-0000-0000-000061430000}"/>
    <cellStyle name="Обычный 104 2" xfId="17401" xr:uid="{00000000-0005-0000-0000-000062430000}"/>
    <cellStyle name="Обычный 104 3" xfId="17402" xr:uid="{00000000-0005-0000-0000-000063430000}"/>
    <cellStyle name="Обычный 105" xfId="17403" xr:uid="{00000000-0005-0000-0000-000064430000}"/>
    <cellStyle name="Обычный 105 2" xfId="17404" xr:uid="{00000000-0005-0000-0000-000065430000}"/>
    <cellStyle name="Обычный 105 3" xfId="17405" xr:uid="{00000000-0005-0000-0000-000066430000}"/>
    <cellStyle name="Обычный 106" xfId="17406" xr:uid="{00000000-0005-0000-0000-000067430000}"/>
    <cellStyle name="Обычный 106 2" xfId="17407" xr:uid="{00000000-0005-0000-0000-000068430000}"/>
    <cellStyle name="Обычный 106 3" xfId="17408" xr:uid="{00000000-0005-0000-0000-000069430000}"/>
    <cellStyle name="Обычный 107" xfId="17409" xr:uid="{00000000-0005-0000-0000-00006A430000}"/>
    <cellStyle name="Обычный 107 2" xfId="17410" xr:uid="{00000000-0005-0000-0000-00006B430000}"/>
    <cellStyle name="Обычный 107 3" xfId="17411" xr:uid="{00000000-0005-0000-0000-00006C430000}"/>
    <cellStyle name="Обычный 108" xfId="17412" xr:uid="{00000000-0005-0000-0000-00006D430000}"/>
    <cellStyle name="Обычный 108 2" xfId="17413" xr:uid="{00000000-0005-0000-0000-00006E430000}"/>
    <cellStyle name="Обычный 108 3" xfId="17414" xr:uid="{00000000-0005-0000-0000-00006F430000}"/>
    <cellStyle name="Обычный 109" xfId="17415" xr:uid="{00000000-0005-0000-0000-000070430000}"/>
    <cellStyle name="Обычный 109 2" xfId="17416" xr:uid="{00000000-0005-0000-0000-000071430000}"/>
    <cellStyle name="Обычный 109 3" xfId="17417" xr:uid="{00000000-0005-0000-0000-000072430000}"/>
    <cellStyle name="Обычный 11" xfId="338" xr:uid="{00000000-0005-0000-0000-000073430000}"/>
    <cellStyle name="Обычный 11 2" xfId="17418" xr:uid="{00000000-0005-0000-0000-000074430000}"/>
    <cellStyle name="Обычный 11 2 2" xfId="17419" xr:uid="{00000000-0005-0000-0000-000075430000}"/>
    <cellStyle name="Обычный 11 2 2 2" xfId="17420" xr:uid="{00000000-0005-0000-0000-000076430000}"/>
    <cellStyle name="Обычный 11 2 2 2 2" xfId="17421" xr:uid="{00000000-0005-0000-0000-000077430000}"/>
    <cellStyle name="Обычный 11 2 2 2 3" xfId="17422" xr:uid="{00000000-0005-0000-0000-000078430000}"/>
    <cellStyle name="Обычный 11 2 2 3" xfId="17423" xr:uid="{00000000-0005-0000-0000-000079430000}"/>
    <cellStyle name="Обычный 11 2 2 4" xfId="17424" xr:uid="{00000000-0005-0000-0000-00007A430000}"/>
    <cellStyle name="Обычный 11 2 3" xfId="17425" xr:uid="{00000000-0005-0000-0000-00007B430000}"/>
    <cellStyle name="Обычный 11 2 3 2" xfId="17426" xr:uid="{00000000-0005-0000-0000-00007C430000}"/>
    <cellStyle name="Обычный 11 2 3 3" xfId="17427" xr:uid="{00000000-0005-0000-0000-00007D430000}"/>
    <cellStyle name="Обычный 11 2 4" xfId="17428" xr:uid="{00000000-0005-0000-0000-00007E430000}"/>
    <cellStyle name="Обычный 11 2 5" xfId="17429" xr:uid="{00000000-0005-0000-0000-00007F430000}"/>
    <cellStyle name="Обычный 11 3" xfId="17430" xr:uid="{00000000-0005-0000-0000-000080430000}"/>
    <cellStyle name="Обычный 11 3 2" xfId="17431" xr:uid="{00000000-0005-0000-0000-000081430000}"/>
    <cellStyle name="Обычный 11 3 2 2" xfId="17432" xr:uid="{00000000-0005-0000-0000-000082430000}"/>
    <cellStyle name="Обычный 11 3 2 3" xfId="17433" xr:uid="{00000000-0005-0000-0000-000083430000}"/>
    <cellStyle name="Обычный 11 3 3" xfId="17434" xr:uid="{00000000-0005-0000-0000-000084430000}"/>
    <cellStyle name="Обычный 11 3 4" xfId="17435" xr:uid="{00000000-0005-0000-0000-000085430000}"/>
    <cellStyle name="Обычный 11 4" xfId="17436" xr:uid="{00000000-0005-0000-0000-000086430000}"/>
    <cellStyle name="Обычный 11 4 2" xfId="17437" xr:uid="{00000000-0005-0000-0000-000087430000}"/>
    <cellStyle name="Обычный 11 4 3" xfId="17438" xr:uid="{00000000-0005-0000-0000-000088430000}"/>
    <cellStyle name="Обычный 11 5" xfId="17439" xr:uid="{00000000-0005-0000-0000-000089430000}"/>
    <cellStyle name="Обычный 11 6" xfId="17440" xr:uid="{00000000-0005-0000-0000-00008A430000}"/>
    <cellStyle name="Обычный 11 6 2" xfId="17441" xr:uid="{00000000-0005-0000-0000-00008B430000}"/>
    <cellStyle name="Обычный 11 7" xfId="17442" xr:uid="{00000000-0005-0000-0000-00008C430000}"/>
    <cellStyle name="Обычный 110" xfId="17443" xr:uid="{00000000-0005-0000-0000-00008D430000}"/>
    <cellStyle name="Обычный 110 2" xfId="17444" xr:uid="{00000000-0005-0000-0000-00008E430000}"/>
    <cellStyle name="Обычный 110 3" xfId="17445" xr:uid="{00000000-0005-0000-0000-00008F430000}"/>
    <cellStyle name="Обычный 111" xfId="17446" xr:uid="{00000000-0005-0000-0000-000090430000}"/>
    <cellStyle name="Обычный 111 2" xfId="17447" xr:uid="{00000000-0005-0000-0000-000091430000}"/>
    <cellStyle name="Обычный 111 3" xfId="17448" xr:uid="{00000000-0005-0000-0000-000092430000}"/>
    <cellStyle name="Обычный 112" xfId="17449" xr:uid="{00000000-0005-0000-0000-000093430000}"/>
    <cellStyle name="Обычный 112 2" xfId="17450" xr:uid="{00000000-0005-0000-0000-000094430000}"/>
    <cellStyle name="Обычный 112 3" xfId="17451" xr:uid="{00000000-0005-0000-0000-000095430000}"/>
    <cellStyle name="Обычный 113" xfId="17452" xr:uid="{00000000-0005-0000-0000-000096430000}"/>
    <cellStyle name="Обычный 113 2" xfId="17453" xr:uid="{00000000-0005-0000-0000-000097430000}"/>
    <cellStyle name="Обычный 113 3" xfId="17454" xr:uid="{00000000-0005-0000-0000-000098430000}"/>
    <cellStyle name="Обычный 114" xfId="17455" xr:uid="{00000000-0005-0000-0000-000099430000}"/>
    <cellStyle name="Обычный 114 2" xfId="17456" xr:uid="{00000000-0005-0000-0000-00009A430000}"/>
    <cellStyle name="Обычный 114 3" xfId="17457" xr:uid="{00000000-0005-0000-0000-00009B430000}"/>
    <cellStyle name="Обычный 115" xfId="17458" xr:uid="{00000000-0005-0000-0000-00009C430000}"/>
    <cellStyle name="Обычный 115 2" xfId="17459" xr:uid="{00000000-0005-0000-0000-00009D430000}"/>
    <cellStyle name="Обычный 115 3" xfId="17460" xr:uid="{00000000-0005-0000-0000-00009E430000}"/>
    <cellStyle name="Обычный 116" xfId="17461" xr:uid="{00000000-0005-0000-0000-00009F430000}"/>
    <cellStyle name="Обычный 116 2" xfId="17462" xr:uid="{00000000-0005-0000-0000-0000A0430000}"/>
    <cellStyle name="Обычный 116 3" xfId="17463" xr:uid="{00000000-0005-0000-0000-0000A1430000}"/>
    <cellStyle name="Обычный 117" xfId="17464" xr:uid="{00000000-0005-0000-0000-0000A2430000}"/>
    <cellStyle name="Обычный 117 2" xfId="17465" xr:uid="{00000000-0005-0000-0000-0000A3430000}"/>
    <cellStyle name="Обычный 117 3" xfId="17466" xr:uid="{00000000-0005-0000-0000-0000A4430000}"/>
    <cellStyle name="Обычный 118" xfId="17467" xr:uid="{00000000-0005-0000-0000-0000A5430000}"/>
    <cellStyle name="Обычный 118 2" xfId="17468" xr:uid="{00000000-0005-0000-0000-0000A6430000}"/>
    <cellStyle name="Обычный 118 3" xfId="17469" xr:uid="{00000000-0005-0000-0000-0000A7430000}"/>
    <cellStyle name="Обычный 119" xfId="17470" xr:uid="{00000000-0005-0000-0000-0000A8430000}"/>
    <cellStyle name="Обычный 119 2" xfId="17471" xr:uid="{00000000-0005-0000-0000-0000A9430000}"/>
    <cellStyle name="Обычный 119 3" xfId="17472" xr:uid="{00000000-0005-0000-0000-0000AA430000}"/>
    <cellStyle name="Обычный 12" xfId="339" xr:uid="{00000000-0005-0000-0000-0000AB430000}"/>
    <cellStyle name="Обычный 12 2" xfId="17473" xr:uid="{00000000-0005-0000-0000-0000AC430000}"/>
    <cellStyle name="Обычный 12 2 2" xfId="17474" xr:uid="{00000000-0005-0000-0000-0000AD430000}"/>
    <cellStyle name="Обычный 12 2 2 2" xfId="17475" xr:uid="{00000000-0005-0000-0000-0000AE430000}"/>
    <cellStyle name="Обычный 12 2 2 2 2" xfId="17476" xr:uid="{00000000-0005-0000-0000-0000AF430000}"/>
    <cellStyle name="Обычный 12 2 2 2 2 2" xfId="17477" xr:uid="{00000000-0005-0000-0000-0000B0430000}"/>
    <cellStyle name="Обычный 12 2 2 2 3" xfId="17478" xr:uid="{00000000-0005-0000-0000-0000B1430000}"/>
    <cellStyle name="Обычный 12 2 2 3" xfId="17479" xr:uid="{00000000-0005-0000-0000-0000B2430000}"/>
    <cellStyle name="Обычный 12 2 3" xfId="17480" xr:uid="{00000000-0005-0000-0000-0000B3430000}"/>
    <cellStyle name="Обычный 12 2 3 2" xfId="17481" xr:uid="{00000000-0005-0000-0000-0000B4430000}"/>
    <cellStyle name="Обычный 12 2 4" xfId="17482" xr:uid="{00000000-0005-0000-0000-0000B5430000}"/>
    <cellStyle name="Обычный 12 2 4 2" xfId="17483" xr:uid="{00000000-0005-0000-0000-0000B6430000}"/>
    <cellStyle name="Обычный 12 2 5" xfId="17484" xr:uid="{00000000-0005-0000-0000-0000B7430000}"/>
    <cellStyle name="Обычный 12 3" xfId="17485" xr:uid="{00000000-0005-0000-0000-0000B8430000}"/>
    <cellStyle name="Обычный 12 3 2" xfId="17486" xr:uid="{00000000-0005-0000-0000-0000B9430000}"/>
    <cellStyle name="Обычный 12 3 3" xfId="17487" xr:uid="{00000000-0005-0000-0000-0000BA430000}"/>
    <cellStyle name="Обычный 12 4" xfId="17488" xr:uid="{00000000-0005-0000-0000-0000BB430000}"/>
    <cellStyle name="Обычный 12 4 2" xfId="17489" xr:uid="{00000000-0005-0000-0000-0000BC430000}"/>
    <cellStyle name="Обычный 12 5" xfId="17490" xr:uid="{00000000-0005-0000-0000-0000BD430000}"/>
    <cellStyle name="Обычный 12 6" xfId="17491" xr:uid="{00000000-0005-0000-0000-0000BE430000}"/>
    <cellStyle name="Обычный 120" xfId="17492" xr:uid="{00000000-0005-0000-0000-0000BF430000}"/>
    <cellStyle name="Обычный 120 2" xfId="17493" xr:uid="{00000000-0005-0000-0000-0000C0430000}"/>
    <cellStyle name="Обычный 120 3" xfId="17494" xr:uid="{00000000-0005-0000-0000-0000C1430000}"/>
    <cellStyle name="Обычный 121" xfId="17495" xr:uid="{00000000-0005-0000-0000-0000C2430000}"/>
    <cellStyle name="Обычный 121 2" xfId="17496" xr:uid="{00000000-0005-0000-0000-0000C3430000}"/>
    <cellStyle name="Обычный 121 3" xfId="17497" xr:uid="{00000000-0005-0000-0000-0000C4430000}"/>
    <cellStyle name="Обычный 122" xfId="17498" xr:uid="{00000000-0005-0000-0000-0000C5430000}"/>
    <cellStyle name="Обычный 122 2" xfId="17499" xr:uid="{00000000-0005-0000-0000-0000C6430000}"/>
    <cellStyle name="Обычный 122 3" xfId="17500" xr:uid="{00000000-0005-0000-0000-0000C7430000}"/>
    <cellStyle name="Обычный 123" xfId="17501" xr:uid="{00000000-0005-0000-0000-0000C8430000}"/>
    <cellStyle name="Обычный 123 2" xfId="17502" xr:uid="{00000000-0005-0000-0000-0000C9430000}"/>
    <cellStyle name="Обычный 123 3" xfId="17503" xr:uid="{00000000-0005-0000-0000-0000CA430000}"/>
    <cellStyle name="Обычный 124" xfId="17504" xr:uid="{00000000-0005-0000-0000-0000CB430000}"/>
    <cellStyle name="Обычный 124 2" xfId="17505" xr:uid="{00000000-0005-0000-0000-0000CC430000}"/>
    <cellStyle name="Обычный 124 3" xfId="17506" xr:uid="{00000000-0005-0000-0000-0000CD430000}"/>
    <cellStyle name="Обычный 125" xfId="17507" xr:uid="{00000000-0005-0000-0000-0000CE430000}"/>
    <cellStyle name="Обычный 125 2" xfId="17508" xr:uid="{00000000-0005-0000-0000-0000CF430000}"/>
    <cellStyle name="Обычный 125 3" xfId="17509" xr:uid="{00000000-0005-0000-0000-0000D0430000}"/>
    <cellStyle name="Обычный 126" xfId="17510" xr:uid="{00000000-0005-0000-0000-0000D1430000}"/>
    <cellStyle name="Обычный 126 2" xfId="17511" xr:uid="{00000000-0005-0000-0000-0000D2430000}"/>
    <cellStyle name="Обычный 126 3" xfId="17512" xr:uid="{00000000-0005-0000-0000-0000D3430000}"/>
    <cellStyle name="Обычный 127" xfId="17513" xr:uid="{00000000-0005-0000-0000-0000D4430000}"/>
    <cellStyle name="Обычный 127 2" xfId="17514" xr:uid="{00000000-0005-0000-0000-0000D5430000}"/>
    <cellStyle name="Обычный 127 3" xfId="17515" xr:uid="{00000000-0005-0000-0000-0000D6430000}"/>
    <cellStyle name="Обычный 128" xfId="17516" xr:uid="{00000000-0005-0000-0000-0000D7430000}"/>
    <cellStyle name="Обычный 128 2" xfId="17517" xr:uid="{00000000-0005-0000-0000-0000D8430000}"/>
    <cellStyle name="Обычный 128 3" xfId="17518" xr:uid="{00000000-0005-0000-0000-0000D9430000}"/>
    <cellStyle name="Обычный 129" xfId="17519" xr:uid="{00000000-0005-0000-0000-0000DA430000}"/>
    <cellStyle name="Обычный 129 2" xfId="17520" xr:uid="{00000000-0005-0000-0000-0000DB430000}"/>
    <cellStyle name="Обычный 129 3" xfId="17521" xr:uid="{00000000-0005-0000-0000-0000DC430000}"/>
    <cellStyle name="Обычный 13" xfId="340" xr:uid="{00000000-0005-0000-0000-0000DD430000}"/>
    <cellStyle name="Обычный 13 10" xfId="17522" xr:uid="{00000000-0005-0000-0000-0000DE430000}"/>
    <cellStyle name="Обычный 13 10 2" xfId="17523" xr:uid="{00000000-0005-0000-0000-0000DF430000}"/>
    <cellStyle name="Обычный 13 11" xfId="17524" xr:uid="{00000000-0005-0000-0000-0000E0430000}"/>
    <cellStyle name="Обычный 13 12" xfId="17525" xr:uid="{00000000-0005-0000-0000-0000E1430000}"/>
    <cellStyle name="Обычный 13 13 2" xfId="17526" xr:uid="{00000000-0005-0000-0000-0000E2430000}"/>
    <cellStyle name="Обычный 13 2" xfId="17527" xr:uid="{00000000-0005-0000-0000-0000E3430000}"/>
    <cellStyle name="Обычный 13 2 2" xfId="17528" xr:uid="{00000000-0005-0000-0000-0000E4430000}"/>
    <cellStyle name="Обычный 13 2 2 2" xfId="17529" xr:uid="{00000000-0005-0000-0000-0000E5430000}"/>
    <cellStyle name="Обычный 13 2 2 2 2" xfId="17530" xr:uid="{00000000-0005-0000-0000-0000E6430000}"/>
    <cellStyle name="Обычный 13 2 2 2 2 2" xfId="17531" xr:uid="{00000000-0005-0000-0000-0000E7430000}"/>
    <cellStyle name="Обычный 13 2 2 2 2 3" xfId="17532" xr:uid="{00000000-0005-0000-0000-0000E8430000}"/>
    <cellStyle name="Обычный 13 2 2 2 2 4" xfId="17533" xr:uid="{00000000-0005-0000-0000-0000E9430000}"/>
    <cellStyle name="Обычный 13 2 2 2 2 5" xfId="17534" xr:uid="{00000000-0005-0000-0000-0000EA430000}"/>
    <cellStyle name="Обычный 13 2 2 2 3" xfId="17535" xr:uid="{00000000-0005-0000-0000-0000EB430000}"/>
    <cellStyle name="Обычный 13 2 2 2 4" xfId="17536" xr:uid="{00000000-0005-0000-0000-0000EC430000}"/>
    <cellStyle name="Обычный 13 2 2 2 5" xfId="17537" xr:uid="{00000000-0005-0000-0000-0000ED430000}"/>
    <cellStyle name="Обычный 13 2 2 2 6" xfId="17538" xr:uid="{00000000-0005-0000-0000-0000EE430000}"/>
    <cellStyle name="Обычный 13 2 2 3" xfId="17539" xr:uid="{00000000-0005-0000-0000-0000EF430000}"/>
    <cellStyle name="Обычный 13 2 2 3 2" xfId="17540" xr:uid="{00000000-0005-0000-0000-0000F0430000}"/>
    <cellStyle name="Обычный 13 2 2 3 3" xfId="17541" xr:uid="{00000000-0005-0000-0000-0000F1430000}"/>
    <cellStyle name="Обычный 13 2 2 3 4" xfId="17542" xr:uid="{00000000-0005-0000-0000-0000F2430000}"/>
    <cellStyle name="Обычный 13 2 2 3 5" xfId="17543" xr:uid="{00000000-0005-0000-0000-0000F3430000}"/>
    <cellStyle name="Обычный 13 2 2 4" xfId="17544" xr:uid="{00000000-0005-0000-0000-0000F4430000}"/>
    <cellStyle name="Обычный 13 2 2 5" xfId="17545" xr:uid="{00000000-0005-0000-0000-0000F5430000}"/>
    <cellStyle name="Обычный 13 2 2 6" xfId="17546" xr:uid="{00000000-0005-0000-0000-0000F6430000}"/>
    <cellStyle name="Обычный 13 2 2 7" xfId="17547" xr:uid="{00000000-0005-0000-0000-0000F7430000}"/>
    <cellStyle name="Обычный 13 2 3" xfId="17548" xr:uid="{00000000-0005-0000-0000-0000F8430000}"/>
    <cellStyle name="Обычный 13 2 3 2" xfId="17549" xr:uid="{00000000-0005-0000-0000-0000F9430000}"/>
    <cellStyle name="Обычный 13 2 3 2 2" xfId="17550" xr:uid="{00000000-0005-0000-0000-0000FA430000}"/>
    <cellStyle name="Обычный 13 2 3 2 3" xfId="17551" xr:uid="{00000000-0005-0000-0000-0000FB430000}"/>
    <cellStyle name="Обычный 13 2 3 2 4" xfId="17552" xr:uid="{00000000-0005-0000-0000-0000FC430000}"/>
    <cellStyle name="Обычный 13 2 3 2 5" xfId="17553" xr:uid="{00000000-0005-0000-0000-0000FD430000}"/>
    <cellStyle name="Обычный 13 2 3 3" xfId="17554" xr:uid="{00000000-0005-0000-0000-0000FE430000}"/>
    <cellStyle name="Обычный 13 2 3 4" xfId="17555" xr:uid="{00000000-0005-0000-0000-0000FF430000}"/>
    <cellStyle name="Обычный 13 2 3 5" xfId="17556" xr:uid="{00000000-0005-0000-0000-000000440000}"/>
    <cellStyle name="Обычный 13 2 3 6" xfId="17557" xr:uid="{00000000-0005-0000-0000-000001440000}"/>
    <cellStyle name="Обычный 13 2 4" xfId="17558" xr:uid="{00000000-0005-0000-0000-000002440000}"/>
    <cellStyle name="Обычный 13 2 4 2" xfId="17559" xr:uid="{00000000-0005-0000-0000-000003440000}"/>
    <cellStyle name="Обычный 13 2 4 3" xfId="17560" xr:uid="{00000000-0005-0000-0000-000004440000}"/>
    <cellStyle name="Обычный 13 2 4 4" xfId="17561" xr:uid="{00000000-0005-0000-0000-000005440000}"/>
    <cellStyle name="Обычный 13 2 4 5" xfId="17562" xr:uid="{00000000-0005-0000-0000-000006440000}"/>
    <cellStyle name="Обычный 13 2 5" xfId="17563" xr:uid="{00000000-0005-0000-0000-000007440000}"/>
    <cellStyle name="Обычный 13 2 6" xfId="17564" xr:uid="{00000000-0005-0000-0000-000008440000}"/>
    <cellStyle name="Обычный 13 2 7" xfId="17565" xr:uid="{00000000-0005-0000-0000-000009440000}"/>
    <cellStyle name="Обычный 13 2 8" xfId="17566" xr:uid="{00000000-0005-0000-0000-00000A440000}"/>
    <cellStyle name="Обычный 13 3" xfId="17567" xr:uid="{00000000-0005-0000-0000-00000B440000}"/>
    <cellStyle name="Обычный 13 3 2" xfId="17568" xr:uid="{00000000-0005-0000-0000-00000C440000}"/>
    <cellStyle name="Обычный 13 3 3" xfId="17569" xr:uid="{00000000-0005-0000-0000-00000D440000}"/>
    <cellStyle name="Обычный 13 4" xfId="17570" xr:uid="{00000000-0005-0000-0000-00000E440000}"/>
    <cellStyle name="Обычный 13 4 2" xfId="17571" xr:uid="{00000000-0005-0000-0000-00000F440000}"/>
    <cellStyle name="Обычный 13 5" xfId="17572" xr:uid="{00000000-0005-0000-0000-000010440000}"/>
    <cellStyle name="Обычный 13 5 2" xfId="17573" xr:uid="{00000000-0005-0000-0000-000011440000}"/>
    <cellStyle name="Обычный 13 6" xfId="17574" xr:uid="{00000000-0005-0000-0000-000012440000}"/>
    <cellStyle name="Обычный 13 6 2" xfId="17575" xr:uid="{00000000-0005-0000-0000-000013440000}"/>
    <cellStyle name="Обычный 13 6 2 2" xfId="17576" xr:uid="{00000000-0005-0000-0000-000014440000}"/>
    <cellStyle name="Обычный 13 6 2 2 2" xfId="17577" xr:uid="{00000000-0005-0000-0000-000015440000}"/>
    <cellStyle name="Обычный 13 6 2 3" xfId="17578" xr:uid="{00000000-0005-0000-0000-000016440000}"/>
    <cellStyle name="Обычный 13 6 3" xfId="17579" xr:uid="{00000000-0005-0000-0000-000017440000}"/>
    <cellStyle name="Обычный 13 6 3 2" xfId="17580" xr:uid="{00000000-0005-0000-0000-000018440000}"/>
    <cellStyle name="Обычный 13 6 4" xfId="17581" xr:uid="{00000000-0005-0000-0000-000019440000}"/>
    <cellStyle name="Обычный 13 6 4 2" xfId="17582" xr:uid="{00000000-0005-0000-0000-00001A440000}"/>
    <cellStyle name="Обычный 13 6 4 2 2" xfId="17583" xr:uid="{00000000-0005-0000-0000-00001B440000}"/>
    <cellStyle name="Обычный 13 6 4 3" xfId="17584" xr:uid="{00000000-0005-0000-0000-00001C440000}"/>
    <cellStyle name="Обычный 13 6 5" xfId="17585" xr:uid="{00000000-0005-0000-0000-00001D440000}"/>
    <cellStyle name="Обычный 13 6 5 2" xfId="17586" xr:uid="{00000000-0005-0000-0000-00001E440000}"/>
    <cellStyle name="Обычный 13 6 6" xfId="17587" xr:uid="{00000000-0005-0000-0000-00001F440000}"/>
    <cellStyle name="Обычный 13 6 7" xfId="17588" xr:uid="{00000000-0005-0000-0000-000020440000}"/>
    <cellStyle name="Обычный 13 6 8" xfId="17589" xr:uid="{00000000-0005-0000-0000-000021440000}"/>
    <cellStyle name="Обычный 13 6 8 2" xfId="17590" xr:uid="{00000000-0005-0000-0000-000022440000}"/>
    <cellStyle name="Обычный 13 7" xfId="17591" xr:uid="{00000000-0005-0000-0000-000023440000}"/>
    <cellStyle name="Обычный 13 7 2" xfId="17592" xr:uid="{00000000-0005-0000-0000-000024440000}"/>
    <cellStyle name="Обычный 13 7 2 2" xfId="17593" xr:uid="{00000000-0005-0000-0000-000025440000}"/>
    <cellStyle name="Обычный 13 7 3" xfId="17594" xr:uid="{00000000-0005-0000-0000-000026440000}"/>
    <cellStyle name="Обычный 13 8" xfId="17595" xr:uid="{00000000-0005-0000-0000-000027440000}"/>
    <cellStyle name="Обычный 13 8 2" xfId="17596" xr:uid="{00000000-0005-0000-0000-000028440000}"/>
    <cellStyle name="Обычный 13 8 2 2" xfId="17597" xr:uid="{00000000-0005-0000-0000-000029440000}"/>
    <cellStyle name="Обычный 13 8 3" xfId="17598" xr:uid="{00000000-0005-0000-0000-00002A440000}"/>
    <cellStyle name="Обычный 13 9" xfId="17599" xr:uid="{00000000-0005-0000-0000-00002B440000}"/>
    <cellStyle name="Обычный 13 9 2" xfId="17600" xr:uid="{00000000-0005-0000-0000-00002C440000}"/>
    <cellStyle name="Обычный 130" xfId="17601" xr:uid="{00000000-0005-0000-0000-00002D440000}"/>
    <cellStyle name="Обычный 130 2" xfId="17602" xr:uid="{00000000-0005-0000-0000-00002E440000}"/>
    <cellStyle name="Обычный 130 3" xfId="17603" xr:uid="{00000000-0005-0000-0000-00002F440000}"/>
    <cellStyle name="Обычный 131" xfId="17604" xr:uid="{00000000-0005-0000-0000-000030440000}"/>
    <cellStyle name="Обычный 131 2" xfId="17605" xr:uid="{00000000-0005-0000-0000-000031440000}"/>
    <cellStyle name="Обычный 131 3" xfId="17606" xr:uid="{00000000-0005-0000-0000-000032440000}"/>
    <cellStyle name="Обычный 132" xfId="17607" xr:uid="{00000000-0005-0000-0000-000033440000}"/>
    <cellStyle name="Обычный 132 2" xfId="17608" xr:uid="{00000000-0005-0000-0000-000034440000}"/>
    <cellStyle name="Обычный 132 3" xfId="17609" xr:uid="{00000000-0005-0000-0000-000035440000}"/>
    <cellStyle name="Обычный 133" xfId="17610" xr:uid="{00000000-0005-0000-0000-000036440000}"/>
    <cellStyle name="Обычный 133 2" xfId="17611" xr:uid="{00000000-0005-0000-0000-000037440000}"/>
    <cellStyle name="Обычный 133 3" xfId="17612" xr:uid="{00000000-0005-0000-0000-000038440000}"/>
    <cellStyle name="Обычный 134" xfId="17613" xr:uid="{00000000-0005-0000-0000-000039440000}"/>
    <cellStyle name="Обычный 134 2" xfId="17614" xr:uid="{00000000-0005-0000-0000-00003A440000}"/>
    <cellStyle name="Обычный 134 3" xfId="17615" xr:uid="{00000000-0005-0000-0000-00003B440000}"/>
    <cellStyle name="Обычный 135" xfId="17616" xr:uid="{00000000-0005-0000-0000-00003C440000}"/>
    <cellStyle name="Обычный 135 2" xfId="17617" xr:uid="{00000000-0005-0000-0000-00003D440000}"/>
    <cellStyle name="Обычный 135 3" xfId="17618" xr:uid="{00000000-0005-0000-0000-00003E440000}"/>
    <cellStyle name="Обычный 136" xfId="17619" xr:uid="{00000000-0005-0000-0000-00003F440000}"/>
    <cellStyle name="Обычный 136 2" xfId="17620" xr:uid="{00000000-0005-0000-0000-000040440000}"/>
    <cellStyle name="Обычный 136 3" xfId="17621" xr:uid="{00000000-0005-0000-0000-000041440000}"/>
    <cellStyle name="Обычный 137" xfId="17622" xr:uid="{00000000-0005-0000-0000-000042440000}"/>
    <cellStyle name="Обычный 137 2" xfId="17623" xr:uid="{00000000-0005-0000-0000-000043440000}"/>
    <cellStyle name="Обычный 137 3" xfId="17624" xr:uid="{00000000-0005-0000-0000-000044440000}"/>
    <cellStyle name="Обычный 138" xfId="17625" xr:uid="{00000000-0005-0000-0000-000045440000}"/>
    <cellStyle name="Обычный 138 2" xfId="17626" xr:uid="{00000000-0005-0000-0000-000046440000}"/>
    <cellStyle name="Обычный 138 3" xfId="17627" xr:uid="{00000000-0005-0000-0000-000047440000}"/>
    <cellStyle name="Обычный 139" xfId="17628" xr:uid="{00000000-0005-0000-0000-000048440000}"/>
    <cellStyle name="Обычный 139 2" xfId="17629" xr:uid="{00000000-0005-0000-0000-000049440000}"/>
    <cellStyle name="Обычный 139 3" xfId="17630" xr:uid="{00000000-0005-0000-0000-00004A440000}"/>
    <cellStyle name="Обычный 14" xfId="341" xr:uid="{00000000-0005-0000-0000-00004B440000}"/>
    <cellStyle name="Обычный 14 2" xfId="17631" xr:uid="{00000000-0005-0000-0000-00004C440000}"/>
    <cellStyle name="Обычный 14 2 2" xfId="17632" xr:uid="{00000000-0005-0000-0000-00004D440000}"/>
    <cellStyle name="Обычный 14 2 2 2" xfId="17633" xr:uid="{00000000-0005-0000-0000-00004E440000}"/>
    <cellStyle name="Обычный 14 2 2 3" xfId="17634" xr:uid="{00000000-0005-0000-0000-00004F440000}"/>
    <cellStyle name="Обычный 14 2 3" xfId="17635" xr:uid="{00000000-0005-0000-0000-000050440000}"/>
    <cellStyle name="Обычный 14 2 4" xfId="17636" xr:uid="{00000000-0005-0000-0000-000051440000}"/>
    <cellStyle name="Обычный 14 3" xfId="17637" xr:uid="{00000000-0005-0000-0000-000052440000}"/>
    <cellStyle name="Обычный 14 3 2" xfId="17638" xr:uid="{00000000-0005-0000-0000-000053440000}"/>
    <cellStyle name="Обычный 14 3 3" xfId="17639" xr:uid="{00000000-0005-0000-0000-000054440000}"/>
    <cellStyle name="Обычный 14 4" xfId="17640" xr:uid="{00000000-0005-0000-0000-000055440000}"/>
    <cellStyle name="Обычный 14 5" xfId="17641" xr:uid="{00000000-0005-0000-0000-000056440000}"/>
    <cellStyle name="Обычный 140" xfId="17642" xr:uid="{00000000-0005-0000-0000-000057440000}"/>
    <cellStyle name="Обычный 140 2" xfId="17643" xr:uid="{00000000-0005-0000-0000-000058440000}"/>
    <cellStyle name="Обычный 140 3" xfId="17644" xr:uid="{00000000-0005-0000-0000-000059440000}"/>
    <cellStyle name="Обычный 141" xfId="17645" xr:uid="{00000000-0005-0000-0000-00005A440000}"/>
    <cellStyle name="Обычный 141 2" xfId="17646" xr:uid="{00000000-0005-0000-0000-00005B440000}"/>
    <cellStyle name="Обычный 141 3" xfId="17647" xr:uid="{00000000-0005-0000-0000-00005C440000}"/>
    <cellStyle name="Обычный 142" xfId="17648" xr:uid="{00000000-0005-0000-0000-00005D440000}"/>
    <cellStyle name="Обычный 142 2" xfId="17649" xr:uid="{00000000-0005-0000-0000-00005E440000}"/>
    <cellStyle name="Обычный 143" xfId="17650" xr:uid="{00000000-0005-0000-0000-00005F440000}"/>
    <cellStyle name="Обычный 144" xfId="17651" xr:uid="{00000000-0005-0000-0000-000060440000}"/>
    <cellStyle name="Обычный 145" xfId="17652" xr:uid="{00000000-0005-0000-0000-000061440000}"/>
    <cellStyle name="Обычный 146" xfId="17653" xr:uid="{00000000-0005-0000-0000-000062440000}"/>
    <cellStyle name="Обычный 146 2" xfId="17654" xr:uid="{00000000-0005-0000-0000-000063440000}"/>
    <cellStyle name="Обычный 147" xfId="17655" xr:uid="{00000000-0005-0000-0000-000064440000}"/>
    <cellStyle name="Обычный 148" xfId="17656" xr:uid="{00000000-0005-0000-0000-000065440000}"/>
    <cellStyle name="Обычный 149" xfId="17657" xr:uid="{00000000-0005-0000-0000-000066440000}"/>
    <cellStyle name="Обычный 15" xfId="342" xr:uid="{00000000-0005-0000-0000-000067440000}"/>
    <cellStyle name="Обычный 15 2" xfId="17658" xr:uid="{00000000-0005-0000-0000-000068440000}"/>
    <cellStyle name="Обычный 15 2 2" xfId="17659" xr:uid="{00000000-0005-0000-0000-000069440000}"/>
    <cellStyle name="Обычный 15 2 2 2" xfId="17660" xr:uid="{00000000-0005-0000-0000-00006A440000}"/>
    <cellStyle name="Обычный 15 2 2 3" xfId="17661" xr:uid="{00000000-0005-0000-0000-00006B440000}"/>
    <cellStyle name="Обычный 15 2 3" xfId="17662" xr:uid="{00000000-0005-0000-0000-00006C440000}"/>
    <cellStyle name="Обычный 15 2 4" xfId="17663" xr:uid="{00000000-0005-0000-0000-00006D440000}"/>
    <cellStyle name="Обычный 15 3" xfId="17664" xr:uid="{00000000-0005-0000-0000-00006E440000}"/>
    <cellStyle name="Обычный 15 3 2" xfId="17665" xr:uid="{00000000-0005-0000-0000-00006F440000}"/>
    <cellStyle name="Обычный 15 3 3" xfId="17666" xr:uid="{00000000-0005-0000-0000-000070440000}"/>
    <cellStyle name="Обычный 15 4" xfId="17667" xr:uid="{00000000-0005-0000-0000-000071440000}"/>
    <cellStyle name="Обычный 15 5" xfId="17668" xr:uid="{00000000-0005-0000-0000-000072440000}"/>
    <cellStyle name="Обычный 150" xfId="17669" xr:uid="{00000000-0005-0000-0000-000073440000}"/>
    <cellStyle name="Обычный 151" xfId="17670" xr:uid="{00000000-0005-0000-0000-000074440000}"/>
    <cellStyle name="Обычный 152" xfId="17671" xr:uid="{00000000-0005-0000-0000-000075440000}"/>
    <cellStyle name="Обычный 153" xfId="17672" xr:uid="{00000000-0005-0000-0000-000076440000}"/>
    <cellStyle name="Обычный 154" xfId="17673" xr:uid="{00000000-0005-0000-0000-000077440000}"/>
    <cellStyle name="Обычный 155" xfId="17674" xr:uid="{00000000-0005-0000-0000-000078440000}"/>
    <cellStyle name="Обычный 156" xfId="17675" xr:uid="{00000000-0005-0000-0000-000079440000}"/>
    <cellStyle name="Обычный 157" xfId="17676" xr:uid="{00000000-0005-0000-0000-00007A440000}"/>
    <cellStyle name="Обычный 158" xfId="17677" xr:uid="{00000000-0005-0000-0000-00007B440000}"/>
    <cellStyle name="Обычный 159" xfId="17678" xr:uid="{00000000-0005-0000-0000-00007C440000}"/>
    <cellStyle name="Обычный 16" xfId="343" xr:uid="{00000000-0005-0000-0000-00007D440000}"/>
    <cellStyle name="Обычный 16 2" xfId="17679" xr:uid="{00000000-0005-0000-0000-00007E440000}"/>
    <cellStyle name="Обычный 16 2 2" xfId="17680" xr:uid="{00000000-0005-0000-0000-00007F440000}"/>
    <cellStyle name="Обычный 16 2 2 2" xfId="17681" xr:uid="{00000000-0005-0000-0000-000080440000}"/>
    <cellStyle name="Обычный 16 2 2 3" xfId="17682" xr:uid="{00000000-0005-0000-0000-000081440000}"/>
    <cellStyle name="Обычный 16 2 3" xfId="17683" xr:uid="{00000000-0005-0000-0000-000082440000}"/>
    <cellStyle name="Обычный 16 2 4" xfId="17684" xr:uid="{00000000-0005-0000-0000-000083440000}"/>
    <cellStyle name="Обычный 16 3" xfId="17685" xr:uid="{00000000-0005-0000-0000-000084440000}"/>
    <cellStyle name="Обычный 16 3 2" xfId="17686" xr:uid="{00000000-0005-0000-0000-000085440000}"/>
    <cellStyle name="Обычный 16 3 3" xfId="17687" xr:uid="{00000000-0005-0000-0000-000086440000}"/>
    <cellStyle name="Обычный 16 4" xfId="17688" xr:uid="{00000000-0005-0000-0000-000087440000}"/>
    <cellStyle name="Обычный 16 5" xfId="17689" xr:uid="{00000000-0005-0000-0000-000088440000}"/>
    <cellStyle name="Обычный 160" xfId="17690" xr:uid="{00000000-0005-0000-0000-000089440000}"/>
    <cellStyle name="Обычный 161" xfId="17691" xr:uid="{00000000-0005-0000-0000-00008A440000}"/>
    <cellStyle name="Обычный 162" xfId="17692" xr:uid="{00000000-0005-0000-0000-00008B440000}"/>
    <cellStyle name="Обычный 163" xfId="17693" xr:uid="{00000000-0005-0000-0000-00008C440000}"/>
    <cellStyle name="Обычный 164" xfId="17694" xr:uid="{00000000-0005-0000-0000-00008D440000}"/>
    <cellStyle name="Обычный 165" xfId="17695" xr:uid="{00000000-0005-0000-0000-00008E440000}"/>
    <cellStyle name="Обычный 166" xfId="17696" xr:uid="{00000000-0005-0000-0000-00008F440000}"/>
    <cellStyle name="Обычный 167" xfId="17697" xr:uid="{00000000-0005-0000-0000-000090440000}"/>
    <cellStyle name="Обычный 168" xfId="17698" xr:uid="{00000000-0005-0000-0000-000091440000}"/>
    <cellStyle name="Обычный 169" xfId="17699" xr:uid="{00000000-0005-0000-0000-000092440000}"/>
    <cellStyle name="Обычный 169 2" xfId="17700" xr:uid="{00000000-0005-0000-0000-000093440000}"/>
    <cellStyle name="Обычный 17" xfId="344" xr:uid="{00000000-0005-0000-0000-000094440000}"/>
    <cellStyle name="Обычный 17 2" xfId="17701" xr:uid="{00000000-0005-0000-0000-000095440000}"/>
    <cellStyle name="Обычный 17 2 2" xfId="17702" xr:uid="{00000000-0005-0000-0000-000096440000}"/>
    <cellStyle name="Обычный 17 2 2 2" xfId="17703" xr:uid="{00000000-0005-0000-0000-000097440000}"/>
    <cellStyle name="Обычный 17 2 2 3" xfId="17704" xr:uid="{00000000-0005-0000-0000-000098440000}"/>
    <cellStyle name="Обычный 17 2 3" xfId="17705" xr:uid="{00000000-0005-0000-0000-000099440000}"/>
    <cellStyle name="Обычный 17 2 4" xfId="17706" xr:uid="{00000000-0005-0000-0000-00009A440000}"/>
    <cellStyle name="Обычный 17 3" xfId="17707" xr:uid="{00000000-0005-0000-0000-00009B440000}"/>
    <cellStyle name="Обычный 17 3 2" xfId="17708" xr:uid="{00000000-0005-0000-0000-00009C440000}"/>
    <cellStyle name="Обычный 17 3 3" xfId="17709" xr:uid="{00000000-0005-0000-0000-00009D440000}"/>
    <cellStyle name="Обычный 17 4" xfId="17710" xr:uid="{00000000-0005-0000-0000-00009E440000}"/>
    <cellStyle name="Обычный 17 5" xfId="17711" xr:uid="{00000000-0005-0000-0000-00009F440000}"/>
    <cellStyle name="Обычный 170" xfId="17712" xr:uid="{00000000-0005-0000-0000-0000A0440000}"/>
    <cellStyle name="Обычный 171" xfId="17713" xr:uid="{00000000-0005-0000-0000-0000A1440000}"/>
    <cellStyle name="Обычный 172" xfId="17714" xr:uid="{00000000-0005-0000-0000-0000A2440000}"/>
    <cellStyle name="Обычный 173" xfId="17715" xr:uid="{00000000-0005-0000-0000-0000A3440000}"/>
    <cellStyle name="Обычный 174" xfId="17716" xr:uid="{00000000-0005-0000-0000-0000A4440000}"/>
    <cellStyle name="Обычный 175" xfId="17717" xr:uid="{00000000-0005-0000-0000-0000A5440000}"/>
    <cellStyle name="Обычный 176" xfId="17718" xr:uid="{00000000-0005-0000-0000-0000A6440000}"/>
    <cellStyle name="Обычный 177" xfId="17719" xr:uid="{00000000-0005-0000-0000-0000A7440000}"/>
    <cellStyle name="Обычный 178" xfId="17720" xr:uid="{00000000-0005-0000-0000-0000A8440000}"/>
    <cellStyle name="Обычный 179" xfId="17721" xr:uid="{00000000-0005-0000-0000-0000A9440000}"/>
    <cellStyle name="Обычный 18" xfId="345" xr:uid="{00000000-0005-0000-0000-0000AA440000}"/>
    <cellStyle name="Обычный 18 2" xfId="17722" xr:uid="{00000000-0005-0000-0000-0000AB440000}"/>
    <cellStyle name="Обычный 18 2 2" xfId="17723" xr:uid="{00000000-0005-0000-0000-0000AC440000}"/>
    <cellStyle name="Обычный 18 2 2 2" xfId="17724" xr:uid="{00000000-0005-0000-0000-0000AD440000}"/>
    <cellStyle name="Обычный 18 2 2 3" xfId="17725" xr:uid="{00000000-0005-0000-0000-0000AE440000}"/>
    <cellStyle name="Обычный 18 2 3" xfId="17726" xr:uid="{00000000-0005-0000-0000-0000AF440000}"/>
    <cellStyle name="Обычный 18 2 4" xfId="17727" xr:uid="{00000000-0005-0000-0000-0000B0440000}"/>
    <cellStyle name="Обычный 18 3" xfId="17728" xr:uid="{00000000-0005-0000-0000-0000B1440000}"/>
    <cellStyle name="Обычный 18 3 2" xfId="17729" xr:uid="{00000000-0005-0000-0000-0000B2440000}"/>
    <cellStyle name="Обычный 18 3 3" xfId="17730" xr:uid="{00000000-0005-0000-0000-0000B3440000}"/>
    <cellStyle name="Обычный 18 4" xfId="17731" xr:uid="{00000000-0005-0000-0000-0000B4440000}"/>
    <cellStyle name="Обычный 18 4 2" xfId="17732" xr:uid="{00000000-0005-0000-0000-0000B5440000}"/>
    <cellStyle name="Обычный 18 4 2 2" xfId="17733" xr:uid="{00000000-0005-0000-0000-0000B6440000}"/>
    <cellStyle name="Обычный 18 4 3" xfId="17734" xr:uid="{00000000-0005-0000-0000-0000B7440000}"/>
    <cellStyle name="Обычный 18 5" xfId="17735" xr:uid="{00000000-0005-0000-0000-0000B8440000}"/>
    <cellStyle name="Обычный 18 6" xfId="17736" xr:uid="{00000000-0005-0000-0000-0000B9440000}"/>
    <cellStyle name="Обычный 180" xfId="17737" xr:uid="{00000000-0005-0000-0000-0000BA440000}"/>
    <cellStyle name="Обычный 181" xfId="17738" xr:uid="{00000000-0005-0000-0000-0000BB440000}"/>
    <cellStyle name="Обычный 182" xfId="17739" xr:uid="{00000000-0005-0000-0000-0000BC440000}"/>
    <cellStyle name="Обычный 183" xfId="17740" xr:uid="{00000000-0005-0000-0000-0000BD440000}"/>
    <cellStyle name="Обычный 184" xfId="17741" xr:uid="{00000000-0005-0000-0000-0000BE440000}"/>
    <cellStyle name="Обычный 185" xfId="17742" xr:uid="{00000000-0005-0000-0000-0000BF440000}"/>
    <cellStyle name="Обычный 186" xfId="17743" xr:uid="{00000000-0005-0000-0000-0000C0440000}"/>
    <cellStyle name="Обычный 187" xfId="17744" xr:uid="{00000000-0005-0000-0000-0000C1440000}"/>
    <cellStyle name="Обычный 188" xfId="17745" xr:uid="{00000000-0005-0000-0000-0000C2440000}"/>
    <cellStyle name="Обычный 189" xfId="17746" xr:uid="{00000000-0005-0000-0000-0000C3440000}"/>
    <cellStyle name="Обычный 19" xfId="346" xr:uid="{00000000-0005-0000-0000-0000C4440000}"/>
    <cellStyle name="Обычный 19 2" xfId="17747" xr:uid="{00000000-0005-0000-0000-0000C5440000}"/>
    <cellStyle name="Обычный 19 2 2" xfId="17748" xr:uid="{00000000-0005-0000-0000-0000C6440000}"/>
    <cellStyle name="Обычный 19 2 2 2" xfId="17749" xr:uid="{00000000-0005-0000-0000-0000C7440000}"/>
    <cellStyle name="Обычный 19 2 2 3" xfId="17750" xr:uid="{00000000-0005-0000-0000-0000C8440000}"/>
    <cellStyle name="Обычный 19 2 3" xfId="17751" xr:uid="{00000000-0005-0000-0000-0000C9440000}"/>
    <cellStyle name="Обычный 19 2 4" xfId="17752" xr:uid="{00000000-0005-0000-0000-0000CA440000}"/>
    <cellStyle name="Обычный 19 3" xfId="17753" xr:uid="{00000000-0005-0000-0000-0000CB440000}"/>
    <cellStyle name="Обычный 19 3 2" xfId="17754" xr:uid="{00000000-0005-0000-0000-0000CC440000}"/>
    <cellStyle name="Обычный 19 3 3" xfId="17755" xr:uid="{00000000-0005-0000-0000-0000CD440000}"/>
    <cellStyle name="Обычный 19 4" xfId="17756" xr:uid="{00000000-0005-0000-0000-0000CE440000}"/>
    <cellStyle name="Обычный 19 4 2" xfId="17757" xr:uid="{00000000-0005-0000-0000-0000CF440000}"/>
    <cellStyle name="Обычный 19 5" xfId="17758" xr:uid="{00000000-0005-0000-0000-0000D0440000}"/>
    <cellStyle name="Обычный 19 6" xfId="17759" xr:uid="{00000000-0005-0000-0000-0000D1440000}"/>
    <cellStyle name="Обычный 190" xfId="17760" xr:uid="{00000000-0005-0000-0000-0000D2440000}"/>
    <cellStyle name="Обычный 191" xfId="17761" xr:uid="{00000000-0005-0000-0000-0000D3440000}"/>
    <cellStyle name="Обычный 192" xfId="17762" xr:uid="{00000000-0005-0000-0000-0000D4440000}"/>
    <cellStyle name="Обычный 193" xfId="17763" xr:uid="{00000000-0005-0000-0000-0000D5440000}"/>
    <cellStyle name="Обычный 194" xfId="17764" xr:uid="{00000000-0005-0000-0000-0000D6440000}"/>
    <cellStyle name="Обычный 195" xfId="17765" xr:uid="{00000000-0005-0000-0000-0000D7440000}"/>
    <cellStyle name="Обычный 196" xfId="17766" xr:uid="{00000000-0005-0000-0000-0000D8440000}"/>
    <cellStyle name="Обычный 197" xfId="17767" xr:uid="{00000000-0005-0000-0000-0000D9440000}"/>
    <cellStyle name="Обычный 198" xfId="17768" xr:uid="{00000000-0005-0000-0000-0000DA440000}"/>
    <cellStyle name="Обычный 199" xfId="17769" xr:uid="{00000000-0005-0000-0000-0000DB440000}"/>
    <cellStyle name="Обычный 2" xfId="347" xr:uid="{00000000-0005-0000-0000-0000DC440000}"/>
    <cellStyle name="Обычный 2 10" xfId="17770" xr:uid="{00000000-0005-0000-0000-0000DD440000}"/>
    <cellStyle name="Обычный 2 11" xfId="17771" xr:uid="{00000000-0005-0000-0000-0000DE440000}"/>
    <cellStyle name="Обычный 2 11 2" xfId="17772" xr:uid="{00000000-0005-0000-0000-0000DF440000}"/>
    <cellStyle name="Обычный 2 11 2 2" xfId="17773" xr:uid="{00000000-0005-0000-0000-0000E0440000}"/>
    <cellStyle name="Обычный 2 11 2 2 2" xfId="17774" xr:uid="{00000000-0005-0000-0000-0000E1440000}"/>
    <cellStyle name="Обычный 2 11 2 3" xfId="17775" xr:uid="{00000000-0005-0000-0000-0000E2440000}"/>
    <cellStyle name="Обычный 2 11 2 3 2" xfId="17776" xr:uid="{00000000-0005-0000-0000-0000E3440000}"/>
    <cellStyle name="Обычный 2 11 2 4" xfId="17777" xr:uid="{00000000-0005-0000-0000-0000E4440000}"/>
    <cellStyle name="Обычный 2 11 3" xfId="17778" xr:uid="{00000000-0005-0000-0000-0000E5440000}"/>
    <cellStyle name="Обычный 2 11 3 2" xfId="17779" xr:uid="{00000000-0005-0000-0000-0000E6440000}"/>
    <cellStyle name="Обычный 2 11 4" xfId="17780" xr:uid="{00000000-0005-0000-0000-0000E7440000}"/>
    <cellStyle name="Обычный 2 11 4 2" xfId="17781" xr:uid="{00000000-0005-0000-0000-0000E8440000}"/>
    <cellStyle name="Обычный 2 11 5" xfId="17782" xr:uid="{00000000-0005-0000-0000-0000E9440000}"/>
    <cellStyle name="Обычный 2 12" xfId="17783" xr:uid="{00000000-0005-0000-0000-0000EA440000}"/>
    <cellStyle name="Обычный 2 12 2" xfId="17784" xr:uid="{00000000-0005-0000-0000-0000EB440000}"/>
    <cellStyle name="Обычный 2 12 2 2" xfId="17785" xr:uid="{00000000-0005-0000-0000-0000EC440000}"/>
    <cellStyle name="Обычный 2 12 2 2 2" xfId="17786" xr:uid="{00000000-0005-0000-0000-0000ED440000}"/>
    <cellStyle name="Обычный 2 12 2 3" xfId="17787" xr:uid="{00000000-0005-0000-0000-0000EE440000}"/>
    <cellStyle name="Обычный 2 12 2 3 2" xfId="17788" xr:uid="{00000000-0005-0000-0000-0000EF440000}"/>
    <cellStyle name="Обычный 2 12 2 4" xfId="17789" xr:uid="{00000000-0005-0000-0000-0000F0440000}"/>
    <cellStyle name="Обычный 2 12 2 4 2" xfId="17790" xr:uid="{00000000-0005-0000-0000-0000F1440000}"/>
    <cellStyle name="Обычный 2 12 2 5" xfId="17791" xr:uid="{00000000-0005-0000-0000-0000F2440000}"/>
    <cellStyle name="Обычный 2 12 3" xfId="17792" xr:uid="{00000000-0005-0000-0000-0000F3440000}"/>
    <cellStyle name="Обычный 2 12 3 2" xfId="17793" xr:uid="{00000000-0005-0000-0000-0000F4440000}"/>
    <cellStyle name="Обычный 2 12 4" xfId="17794" xr:uid="{00000000-0005-0000-0000-0000F5440000}"/>
    <cellStyle name="Обычный 2 12 4 2" xfId="17795" xr:uid="{00000000-0005-0000-0000-0000F6440000}"/>
    <cellStyle name="Обычный 2 12 5" xfId="17796" xr:uid="{00000000-0005-0000-0000-0000F7440000}"/>
    <cellStyle name="Обычный 2 13" xfId="17797" xr:uid="{00000000-0005-0000-0000-0000F8440000}"/>
    <cellStyle name="Обычный 2 13 2" xfId="17798" xr:uid="{00000000-0005-0000-0000-0000F9440000}"/>
    <cellStyle name="Обычный 2 13 2 2" xfId="17799" xr:uid="{00000000-0005-0000-0000-0000FA440000}"/>
    <cellStyle name="Обычный 2 13 3" xfId="17800" xr:uid="{00000000-0005-0000-0000-0000FB440000}"/>
    <cellStyle name="Обычный 2 13 3 2" xfId="17801" xr:uid="{00000000-0005-0000-0000-0000FC440000}"/>
    <cellStyle name="Обычный 2 13 4" xfId="17802" xr:uid="{00000000-0005-0000-0000-0000FD440000}"/>
    <cellStyle name="Обычный 2 13 4 2" xfId="17803" xr:uid="{00000000-0005-0000-0000-0000FE440000}"/>
    <cellStyle name="Обычный 2 13 4 2 2" xfId="17804" xr:uid="{00000000-0005-0000-0000-0000FF440000}"/>
    <cellStyle name="Обычный 2 13 4 3" xfId="17805" xr:uid="{00000000-0005-0000-0000-000000450000}"/>
    <cellStyle name="Обычный 2 13 5" xfId="17806" xr:uid="{00000000-0005-0000-0000-000001450000}"/>
    <cellStyle name="Обычный 2 14" xfId="17807" xr:uid="{00000000-0005-0000-0000-000002450000}"/>
    <cellStyle name="Обычный 2 15" xfId="17808" xr:uid="{00000000-0005-0000-0000-000003450000}"/>
    <cellStyle name="Обычный 2 16" xfId="17809" xr:uid="{00000000-0005-0000-0000-000004450000}"/>
    <cellStyle name="Обычный 2 17" xfId="17810" xr:uid="{00000000-0005-0000-0000-000005450000}"/>
    <cellStyle name="Обычный 2 18" xfId="17811" xr:uid="{00000000-0005-0000-0000-000006450000}"/>
    <cellStyle name="Обычный 2 19" xfId="17812" xr:uid="{00000000-0005-0000-0000-000007450000}"/>
    <cellStyle name="Обычный 2 2" xfId="348" xr:uid="{00000000-0005-0000-0000-000008450000}"/>
    <cellStyle name="Обычный 2 2 2" xfId="349" xr:uid="{00000000-0005-0000-0000-000009450000}"/>
    <cellStyle name="Обычный 2 2 2 10" xfId="17813" xr:uid="{00000000-0005-0000-0000-00000A450000}"/>
    <cellStyle name="Обычный 2 2 2 11" xfId="17814" xr:uid="{00000000-0005-0000-0000-00000B450000}"/>
    <cellStyle name="Обычный 2 2 2 12" xfId="17815" xr:uid="{00000000-0005-0000-0000-00000C450000}"/>
    <cellStyle name="Обычный 2 2 2 13" xfId="17816" xr:uid="{00000000-0005-0000-0000-00000D450000}"/>
    <cellStyle name="Обычный 2 2 2 14" xfId="17817" xr:uid="{00000000-0005-0000-0000-00000E450000}"/>
    <cellStyle name="Обычный 2 2 2 15" xfId="17818" xr:uid="{00000000-0005-0000-0000-00000F450000}"/>
    <cellStyle name="Обычный 2 2 2 16" xfId="17819" xr:uid="{00000000-0005-0000-0000-000010450000}"/>
    <cellStyle name="Обычный 2 2 2 17" xfId="17820" xr:uid="{00000000-0005-0000-0000-000011450000}"/>
    <cellStyle name="Обычный 2 2 2 18" xfId="17821" xr:uid="{00000000-0005-0000-0000-000012450000}"/>
    <cellStyle name="Обычный 2 2 2 19" xfId="17822" xr:uid="{00000000-0005-0000-0000-000013450000}"/>
    <cellStyle name="Обычный 2 2 2 2" xfId="350" xr:uid="{00000000-0005-0000-0000-000014450000}"/>
    <cellStyle name="Обычный 2 2 2 2 2" xfId="17823" xr:uid="{00000000-0005-0000-0000-000015450000}"/>
    <cellStyle name="Обычный 2 2 2 2 3" xfId="17824" xr:uid="{00000000-0005-0000-0000-000016450000}"/>
    <cellStyle name="Обычный 2 2 2 20" xfId="17825" xr:uid="{00000000-0005-0000-0000-000017450000}"/>
    <cellStyle name="Обычный 2 2 2 21" xfId="17826" xr:uid="{00000000-0005-0000-0000-000018450000}"/>
    <cellStyle name="Обычный 2 2 2 22" xfId="17827" xr:uid="{00000000-0005-0000-0000-000019450000}"/>
    <cellStyle name="Обычный 2 2 2 23" xfId="17828" xr:uid="{00000000-0005-0000-0000-00001A450000}"/>
    <cellStyle name="Обычный 2 2 2 24" xfId="17829" xr:uid="{00000000-0005-0000-0000-00001B450000}"/>
    <cellStyle name="Обычный 2 2 2 3" xfId="17830" xr:uid="{00000000-0005-0000-0000-00001C450000}"/>
    <cellStyle name="Обычный 2 2 2 3 2" xfId="17831" xr:uid="{00000000-0005-0000-0000-00001D450000}"/>
    <cellStyle name="Обычный 2 2 2 4" xfId="17832" xr:uid="{00000000-0005-0000-0000-00001E450000}"/>
    <cellStyle name="Обычный 2 2 2 5" xfId="17833" xr:uid="{00000000-0005-0000-0000-00001F450000}"/>
    <cellStyle name="Обычный 2 2 2 6" xfId="17834" xr:uid="{00000000-0005-0000-0000-000020450000}"/>
    <cellStyle name="Обычный 2 2 2 7" xfId="17835" xr:uid="{00000000-0005-0000-0000-000021450000}"/>
    <cellStyle name="Обычный 2 2 2 8" xfId="17836" xr:uid="{00000000-0005-0000-0000-000022450000}"/>
    <cellStyle name="Обычный 2 2 2 9" xfId="17837" xr:uid="{00000000-0005-0000-0000-000023450000}"/>
    <cellStyle name="Обычный 2 2 3" xfId="351" xr:uid="{00000000-0005-0000-0000-000024450000}"/>
    <cellStyle name="Обычный 2 2 3 10" xfId="17838" xr:uid="{00000000-0005-0000-0000-000025450000}"/>
    <cellStyle name="Обычный 2 2 3 11" xfId="17839" xr:uid="{00000000-0005-0000-0000-000026450000}"/>
    <cellStyle name="Обычный 2 2 3 12" xfId="17840" xr:uid="{00000000-0005-0000-0000-000027450000}"/>
    <cellStyle name="Обычный 2 2 3 13" xfId="17841" xr:uid="{00000000-0005-0000-0000-000028450000}"/>
    <cellStyle name="Обычный 2 2 3 14" xfId="17842" xr:uid="{00000000-0005-0000-0000-000029450000}"/>
    <cellStyle name="Обычный 2 2 3 15" xfId="17843" xr:uid="{00000000-0005-0000-0000-00002A450000}"/>
    <cellStyle name="Обычный 2 2 3 16" xfId="17844" xr:uid="{00000000-0005-0000-0000-00002B450000}"/>
    <cellStyle name="Обычный 2 2 3 17" xfId="17845" xr:uid="{00000000-0005-0000-0000-00002C450000}"/>
    <cellStyle name="Обычный 2 2 3 18" xfId="17846" xr:uid="{00000000-0005-0000-0000-00002D450000}"/>
    <cellStyle name="Обычный 2 2 3 19" xfId="17847" xr:uid="{00000000-0005-0000-0000-00002E450000}"/>
    <cellStyle name="Обычный 2 2 3 2" xfId="17848" xr:uid="{00000000-0005-0000-0000-00002F450000}"/>
    <cellStyle name="Обычный 2 2 3 20" xfId="17849" xr:uid="{00000000-0005-0000-0000-000030450000}"/>
    <cellStyle name="Обычный 2 2 3 21" xfId="17850" xr:uid="{00000000-0005-0000-0000-000031450000}"/>
    <cellStyle name="Обычный 2 2 3 22" xfId="17851" xr:uid="{00000000-0005-0000-0000-000032450000}"/>
    <cellStyle name="Обычный 2 2 3 23" xfId="17852" xr:uid="{00000000-0005-0000-0000-000033450000}"/>
    <cellStyle name="Обычный 2 2 3 24" xfId="17853" xr:uid="{00000000-0005-0000-0000-000034450000}"/>
    <cellStyle name="Обычный 2 2 3 3" xfId="17854" xr:uid="{00000000-0005-0000-0000-000035450000}"/>
    <cellStyle name="Обычный 2 2 3 4" xfId="17855" xr:uid="{00000000-0005-0000-0000-000036450000}"/>
    <cellStyle name="Обычный 2 2 3 5" xfId="17856" xr:uid="{00000000-0005-0000-0000-000037450000}"/>
    <cellStyle name="Обычный 2 2 3 6" xfId="17857" xr:uid="{00000000-0005-0000-0000-000038450000}"/>
    <cellStyle name="Обычный 2 2 3 7" xfId="17858" xr:uid="{00000000-0005-0000-0000-000039450000}"/>
    <cellStyle name="Обычный 2 2 3 8" xfId="17859" xr:uid="{00000000-0005-0000-0000-00003A450000}"/>
    <cellStyle name="Обычный 2 2 3 9" xfId="17860" xr:uid="{00000000-0005-0000-0000-00003B450000}"/>
    <cellStyle name="Обычный 2 2 4" xfId="352" xr:uid="{00000000-0005-0000-0000-00003C450000}"/>
    <cellStyle name="Обычный 2 2 4 2" xfId="17861" xr:uid="{00000000-0005-0000-0000-00003D450000}"/>
    <cellStyle name="Обычный 2 2 5" xfId="17862" xr:uid="{00000000-0005-0000-0000-00003E450000}"/>
    <cellStyle name="Обычный 2 2 5 2" xfId="17863" xr:uid="{00000000-0005-0000-0000-00003F450000}"/>
    <cellStyle name="Обычный 2 2 6" xfId="17864" xr:uid="{00000000-0005-0000-0000-000040450000}"/>
    <cellStyle name="Обычный 2 2 7" xfId="17865" xr:uid="{00000000-0005-0000-0000-000041450000}"/>
    <cellStyle name="Обычный 2 2 8" xfId="17866" xr:uid="{00000000-0005-0000-0000-000042450000}"/>
    <cellStyle name="Обычный 2 2 9" xfId="17867" xr:uid="{00000000-0005-0000-0000-000043450000}"/>
    <cellStyle name="Обычный 2 20" xfId="17868" xr:uid="{00000000-0005-0000-0000-000044450000}"/>
    <cellStyle name="Обычный 2 21" xfId="17869" xr:uid="{00000000-0005-0000-0000-000045450000}"/>
    <cellStyle name="Обычный 2 22" xfId="17870" xr:uid="{00000000-0005-0000-0000-000046450000}"/>
    <cellStyle name="Обычный 2 23" xfId="17871" xr:uid="{00000000-0005-0000-0000-000047450000}"/>
    <cellStyle name="Обычный 2 24" xfId="17872" xr:uid="{00000000-0005-0000-0000-000048450000}"/>
    <cellStyle name="Обычный 2 25" xfId="17873" xr:uid="{00000000-0005-0000-0000-000049450000}"/>
    <cellStyle name="Обычный 2 26" xfId="17874" xr:uid="{00000000-0005-0000-0000-00004A450000}"/>
    <cellStyle name="Обычный 2 27" xfId="17875" xr:uid="{00000000-0005-0000-0000-00004B450000}"/>
    <cellStyle name="Обычный 2 28" xfId="17876" xr:uid="{00000000-0005-0000-0000-00004C450000}"/>
    <cellStyle name="Обычный 2 29" xfId="17877" xr:uid="{00000000-0005-0000-0000-00004D450000}"/>
    <cellStyle name="Обычный 2 3" xfId="353" xr:uid="{00000000-0005-0000-0000-00004E450000}"/>
    <cellStyle name="Обычный 2 3 2" xfId="354" xr:uid="{00000000-0005-0000-0000-00004F450000}"/>
    <cellStyle name="Обычный 2 3 2 2" xfId="355" xr:uid="{00000000-0005-0000-0000-000050450000}"/>
    <cellStyle name="Обычный 2 3 2 3" xfId="17878" xr:uid="{00000000-0005-0000-0000-000051450000}"/>
    <cellStyle name="Обычный 2 3 3" xfId="356" xr:uid="{00000000-0005-0000-0000-000052450000}"/>
    <cellStyle name="Обычный 2 3 4" xfId="17879" xr:uid="{00000000-0005-0000-0000-000053450000}"/>
    <cellStyle name="Обычный 2 30" xfId="17880" xr:uid="{00000000-0005-0000-0000-000054450000}"/>
    <cellStyle name="Обычный 2 31" xfId="17881" xr:uid="{00000000-0005-0000-0000-000055450000}"/>
    <cellStyle name="Обычный 2 32" xfId="17882" xr:uid="{00000000-0005-0000-0000-000056450000}"/>
    <cellStyle name="Обычный 2 33" xfId="17883" xr:uid="{00000000-0005-0000-0000-000057450000}"/>
    <cellStyle name="Обычный 2 34" xfId="17884" xr:uid="{00000000-0005-0000-0000-000058450000}"/>
    <cellStyle name="Обычный 2 35" xfId="17885" xr:uid="{00000000-0005-0000-0000-000059450000}"/>
    <cellStyle name="Обычный 2 36" xfId="17886" xr:uid="{00000000-0005-0000-0000-00005A450000}"/>
    <cellStyle name="Обычный 2 37" xfId="17887" xr:uid="{00000000-0005-0000-0000-00005B450000}"/>
    <cellStyle name="Обычный 2 38" xfId="17888" xr:uid="{00000000-0005-0000-0000-00005C450000}"/>
    <cellStyle name="Обычный 2 39" xfId="17889" xr:uid="{00000000-0005-0000-0000-00005D450000}"/>
    <cellStyle name="Обычный 2 4" xfId="357" xr:uid="{00000000-0005-0000-0000-00005E450000}"/>
    <cellStyle name="Обычный 2 4 2" xfId="358" xr:uid="{00000000-0005-0000-0000-00005F450000}"/>
    <cellStyle name="Обычный 2 4 2 2" xfId="17890" xr:uid="{00000000-0005-0000-0000-000060450000}"/>
    <cellStyle name="Обычный 2 4 2 2 2" xfId="17891" xr:uid="{00000000-0005-0000-0000-000061450000}"/>
    <cellStyle name="Обычный 2 4 2 2 3" xfId="17892" xr:uid="{00000000-0005-0000-0000-000062450000}"/>
    <cellStyle name="Обычный 2 4 2 3" xfId="17893" xr:uid="{00000000-0005-0000-0000-000063450000}"/>
    <cellStyle name="Обычный 2 4 2 3 2" xfId="17894" xr:uid="{00000000-0005-0000-0000-000064450000}"/>
    <cellStyle name="Обычный 2 4 2 3 3" xfId="17895" xr:uid="{00000000-0005-0000-0000-000065450000}"/>
    <cellStyle name="Обычный 2 4 2 4" xfId="17896" xr:uid="{00000000-0005-0000-0000-000066450000}"/>
    <cellStyle name="Обычный 2 4 2 5" xfId="17897" xr:uid="{00000000-0005-0000-0000-000067450000}"/>
    <cellStyle name="Обычный 2 4 3" xfId="17898" xr:uid="{00000000-0005-0000-0000-000068450000}"/>
    <cellStyle name="Обычный 2 4 4" xfId="17899" xr:uid="{00000000-0005-0000-0000-000069450000}"/>
    <cellStyle name="Обычный 2 40" xfId="17900" xr:uid="{00000000-0005-0000-0000-00006A450000}"/>
    <cellStyle name="Обычный 2 41" xfId="17901" xr:uid="{00000000-0005-0000-0000-00006B450000}"/>
    <cellStyle name="Обычный 2 42" xfId="17902" xr:uid="{00000000-0005-0000-0000-00006C450000}"/>
    <cellStyle name="Обычный 2 43" xfId="17903" xr:uid="{00000000-0005-0000-0000-00006D450000}"/>
    <cellStyle name="Обычный 2 44" xfId="17904" xr:uid="{00000000-0005-0000-0000-00006E450000}"/>
    <cellStyle name="Обычный 2 45" xfId="17905" xr:uid="{00000000-0005-0000-0000-00006F450000}"/>
    <cellStyle name="Обычный 2 46" xfId="17906" xr:uid="{00000000-0005-0000-0000-000070450000}"/>
    <cellStyle name="Обычный 2 47" xfId="17907" xr:uid="{00000000-0005-0000-0000-000071450000}"/>
    <cellStyle name="Обычный 2 48" xfId="17908" xr:uid="{00000000-0005-0000-0000-000072450000}"/>
    <cellStyle name="Обычный 2 5" xfId="359" xr:uid="{00000000-0005-0000-0000-000073450000}"/>
    <cellStyle name="Обычный 2 5 2" xfId="360" xr:uid="{00000000-0005-0000-0000-000074450000}"/>
    <cellStyle name="Обычный 2 5 3" xfId="17909" xr:uid="{00000000-0005-0000-0000-000075450000}"/>
    <cellStyle name="Обычный 2 6" xfId="475" xr:uid="{00000000-0005-0000-0000-000076450000}"/>
    <cellStyle name="Обычный 2 6 2" xfId="17910" xr:uid="{00000000-0005-0000-0000-000077450000}"/>
    <cellStyle name="Обычный 2 7" xfId="17911" xr:uid="{00000000-0005-0000-0000-000078450000}"/>
    <cellStyle name="Обычный 2 8" xfId="17912" xr:uid="{00000000-0005-0000-0000-000079450000}"/>
    <cellStyle name="Обычный 2 9" xfId="17913" xr:uid="{00000000-0005-0000-0000-00007A450000}"/>
    <cellStyle name="Обычный 2_2015г.  2014г. НОВЕЙШАЯ  Форма типовой отчетности ТЦФТО  .xlsx" xfId="17914" xr:uid="{00000000-0005-0000-0000-00007B450000}"/>
    <cellStyle name="Обычный 20" xfId="361" xr:uid="{00000000-0005-0000-0000-00007C450000}"/>
    <cellStyle name="Обычный 20 2" xfId="17915" xr:uid="{00000000-0005-0000-0000-00007D450000}"/>
    <cellStyle name="Обычный 20 2 2" xfId="17916" xr:uid="{00000000-0005-0000-0000-00007E450000}"/>
    <cellStyle name="Обычный 20 2 2 2" xfId="17917" xr:uid="{00000000-0005-0000-0000-00007F450000}"/>
    <cellStyle name="Обычный 20 2 2 3" xfId="17918" xr:uid="{00000000-0005-0000-0000-000080450000}"/>
    <cellStyle name="Обычный 20 2 3" xfId="17919" xr:uid="{00000000-0005-0000-0000-000081450000}"/>
    <cellStyle name="Обычный 20 2 4" xfId="17920" xr:uid="{00000000-0005-0000-0000-000082450000}"/>
    <cellStyle name="Обычный 20 3" xfId="17921" xr:uid="{00000000-0005-0000-0000-000083450000}"/>
    <cellStyle name="Обычный 20 3 2" xfId="17922" xr:uid="{00000000-0005-0000-0000-000084450000}"/>
    <cellStyle name="Обычный 20 3 3" xfId="17923" xr:uid="{00000000-0005-0000-0000-000085450000}"/>
    <cellStyle name="Обычный 20 4" xfId="17924" xr:uid="{00000000-0005-0000-0000-000086450000}"/>
    <cellStyle name="Обычный 20 5" xfId="17925" xr:uid="{00000000-0005-0000-0000-000087450000}"/>
    <cellStyle name="Обычный 200" xfId="17926" xr:uid="{00000000-0005-0000-0000-000088450000}"/>
    <cellStyle name="Обычный 201" xfId="17927" xr:uid="{00000000-0005-0000-0000-000089450000}"/>
    <cellStyle name="Обычный 202" xfId="17928" xr:uid="{00000000-0005-0000-0000-00008A450000}"/>
    <cellStyle name="Обычный 203" xfId="17929" xr:uid="{00000000-0005-0000-0000-00008B450000}"/>
    <cellStyle name="Обычный 204" xfId="17930" xr:uid="{00000000-0005-0000-0000-00008C450000}"/>
    <cellStyle name="Обычный 205" xfId="17931" xr:uid="{00000000-0005-0000-0000-00008D450000}"/>
    <cellStyle name="Обычный 206" xfId="17932" xr:uid="{00000000-0005-0000-0000-00008E450000}"/>
    <cellStyle name="Обычный 207" xfId="17933" xr:uid="{00000000-0005-0000-0000-00008F450000}"/>
    <cellStyle name="Обычный 208" xfId="17934" xr:uid="{00000000-0005-0000-0000-000090450000}"/>
    <cellStyle name="Обычный 209" xfId="17935" xr:uid="{00000000-0005-0000-0000-000091450000}"/>
    <cellStyle name="Обычный 21" xfId="362" xr:uid="{00000000-0005-0000-0000-000092450000}"/>
    <cellStyle name="Обычный 21 2" xfId="17936" xr:uid="{00000000-0005-0000-0000-000093450000}"/>
    <cellStyle name="Обычный 21 2 2" xfId="17937" xr:uid="{00000000-0005-0000-0000-000094450000}"/>
    <cellStyle name="Обычный 21 2 2 2" xfId="17938" xr:uid="{00000000-0005-0000-0000-000095450000}"/>
    <cellStyle name="Обычный 21 2 2 3" xfId="17939" xr:uid="{00000000-0005-0000-0000-000096450000}"/>
    <cellStyle name="Обычный 21 2 3" xfId="17940" xr:uid="{00000000-0005-0000-0000-000097450000}"/>
    <cellStyle name="Обычный 21 2 4" xfId="17941" xr:uid="{00000000-0005-0000-0000-000098450000}"/>
    <cellStyle name="Обычный 21 3" xfId="17942" xr:uid="{00000000-0005-0000-0000-000099450000}"/>
    <cellStyle name="Обычный 21 3 2" xfId="17943" xr:uid="{00000000-0005-0000-0000-00009A450000}"/>
    <cellStyle name="Обычный 21 3 3" xfId="17944" xr:uid="{00000000-0005-0000-0000-00009B450000}"/>
    <cellStyle name="Обычный 21 4" xfId="17945" xr:uid="{00000000-0005-0000-0000-00009C450000}"/>
    <cellStyle name="Обычный 21 5" xfId="17946" xr:uid="{00000000-0005-0000-0000-00009D450000}"/>
    <cellStyle name="Обычный 210" xfId="17947" xr:uid="{00000000-0005-0000-0000-00009E450000}"/>
    <cellStyle name="Обычный 211" xfId="17948" xr:uid="{00000000-0005-0000-0000-00009F450000}"/>
    <cellStyle name="Обычный 212" xfId="17949" xr:uid="{00000000-0005-0000-0000-0000A0450000}"/>
    <cellStyle name="Обычный 213" xfId="17950" xr:uid="{00000000-0005-0000-0000-0000A1450000}"/>
    <cellStyle name="Обычный 214" xfId="17951" xr:uid="{00000000-0005-0000-0000-0000A2450000}"/>
    <cellStyle name="Обычный 215" xfId="17952" xr:uid="{00000000-0005-0000-0000-0000A3450000}"/>
    <cellStyle name="Обычный 216" xfId="17953" xr:uid="{00000000-0005-0000-0000-0000A4450000}"/>
    <cellStyle name="Обычный 217" xfId="17954" xr:uid="{00000000-0005-0000-0000-0000A5450000}"/>
    <cellStyle name="Обычный 218" xfId="17955" xr:uid="{00000000-0005-0000-0000-0000A6450000}"/>
    <cellStyle name="Обычный 219" xfId="17956" xr:uid="{00000000-0005-0000-0000-0000A7450000}"/>
    <cellStyle name="Обычный 22" xfId="363" xr:uid="{00000000-0005-0000-0000-0000A8450000}"/>
    <cellStyle name="Обычный 22 2" xfId="17957" xr:uid="{00000000-0005-0000-0000-0000A9450000}"/>
    <cellStyle name="Обычный 22 2 2" xfId="17958" xr:uid="{00000000-0005-0000-0000-0000AA450000}"/>
    <cellStyle name="Обычный 22 2 2 2" xfId="17959" xr:uid="{00000000-0005-0000-0000-0000AB450000}"/>
    <cellStyle name="Обычный 22 2 2 3" xfId="17960" xr:uid="{00000000-0005-0000-0000-0000AC450000}"/>
    <cellStyle name="Обычный 22 2 3" xfId="17961" xr:uid="{00000000-0005-0000-0000-0000AD450000}"/>
    <cellStyle name="Обычный 22 2 4" xfId="17962" xr:uid="{00000000-0005-0000-0000-0000AE450000}"/>
    <cellStyle name="Обычный 22 3" xfId="17963" xr:uid="{00000000-0005-0000-0000-0000AF450000}"/>
    <cellStyle name="Обычный 22 3 2" xfId="17964" xr:uid="{00000000-0005-0000-0000-0000B0450000}"/>
    <cellStyle name="Обычный 22 3 3" xfId="17965" xr:uid="{00000000-0005-0000-0000-0000B1450000}"/>
    <cellStyle name="Обычный 22 4" xfId="17966" xr:uid="{00000000-0005-0000-0000-0000B2450000}"/>
    <cellStyle name="Обычный 22 5" xfId="17967" xr:uid="{00000000-0005-0000-0000-0000B3450000}"/>
    <cellStyle name="Обычный 220" xfId="17968" xr:uid="{00000000-0005-0000-0000-0000B4450000}"/>
    <cellStyle name="Обычный 221" xfId="17969" xr:uid="{00000000-0005-0000-0000-0000B5450000}"/>
    <cellStyle name="Обычный 222" xfId="17970" xr:uid="{00000000-0005-0000-0000-0000B6450000}"/>
    <cellStyle name="Обычный 223" xfId="17971" xr:uid="{00000000-0005-0000-0000-0000B7450000}"/>
    <cellStyle name="Обычный 224" xfId="17972" xr:uid="{00000000-0005-0000-0000-0000B8450000}"/>
    <cellStyle name="Обычный 23" xfId="364" xr:uid="{00000000-0005-0000-0000-0000B9450000}"/>
    <cellStyle name="Обычный 23 2" xfId="17973" xr:uid="{00000000-0005-0000-0000-0000BA450000}"/>
    <cellStyle name="Обычный 23 2 2" xfId="17974" xr:uid="{00000000-0005-0000-0000-0000BB450000}"/>
    <cellStyle name="Обычный 23 2 2 2" xfId="17975" xr:uid="{00000000-0005-0000-0000-0000BC450000}"/>
    <cellStyle name="Обычный 23 2 2 3" xfId="17976" xr:uid="{00000000-0005-0000-0000-0000BD450000}"/>
    <cellStyle name="Обычный 23 2 3" xfId="17977" xr:uid="{00000000-0005-0000-0000-0000BE450000}"/>
    <cellStyle name="Обычный 23 2 4" xfId="17978" xr:uid="{00000000-0005-0000-0000-0000BF450000}"/>
    <cellStyle name="Обычный 23 3" xfId="17979" xr:uid="{00000000-0005-0000-0000-0000C0450000}"/>
    <cellStyle name="Обычный 23 3 2" xfId="17980" xr:uid="{00000000-0005-0000-0000-0000C1450000}"/>
    <cellStyle name="Обычный 23 3 3" xfId="17981" xr:uid="{00000000-0005-0000-0000-0000C2450000}"/>
    <cellStyle name="Обычный 23 4" xfId="17982" xr:uid="{00000000-0005-0000-0000-0000C3450000}"/>
    <cellStyle name="Обычный 23 5" xfId="17983" xr:uid="{00000000-0005-0000-0000-0000C4450000}"/>
    <cellStyle name="Обычный 23 5 2" xfId="17984" xr:uid="{00000000-0005-0000-0000-0000C5450000}"/>
    <cellStyle name="Обычный 23 5 2 2" xfId="17985" xr:uid="{00000000-0005-0000-0000-0000C6450000}"/>
    <cellStyle name="Обычный 23 6" xfId="17986" xr:uid="{00000000-0005-0000-0000-0000C7450000}"/>
    <cellStyle name="Обычный 24" xfId="365" xr:uid="{00000000-0005-0000-0000-0000C8450000}"/>
    <cellStyle name="Обычный 24 2" xfId="17987" xr:uid="{00000000-0005-0000-0000-0000C9450000}"/>
    <cellStyle name="Обычный 24 2 2" xfId="17988" xr:uid="{00000000-0005-0000-0000-0000CA450000}"/>
    <cellStyle name="Обычный 24 2 2 2" xfId="17989" xr:uid="{00000000-0005-0000-0000-0000CB450000}"/>
    <cellStyle name="Обычный 24 2 2 2 2" xfId="17990" xr:uid="{00000000-0005-0000-0000-0000CC450000}"/>
    <cellStyle name="Обычный 24 2 2 3" xfId="17991" xr:uid="{00000000-0005-0000-0000-0000CD450000}"/>
    <cellStyle name="Обычный 24 2 2 4" xfId="17992" xr:uid="{00000000-0005-0000-0000-0000CE450000}"/>
    <cellStyle name="Обычный 24 2 2 4 2" xfId="17993" xr:uid="{00000000-0005-0000-0000-0000CF450000}"/>
    <cellStyle name="Обычный 24 2 2 4 2 2" xfId="17994" xr:uid="{00000000-0005-0000-0000-0000D0450000}"/>
    <cellStyle name="Обычный 24 2 3" xfId="17995" xr:uid="{00000000-0005-0000-0000-0000D1450000}"/>
    <cellStyle name="Обычный 24 2 3 2" xfId="17996" xr:uid="{00000000-0005-0000-0000-0000D2450000}"/>
    <cellStyle name="Обычный 24 2 3 2 2" xfId="17997" xr:uid="{00000000-0005-0000-0000-0000D3450000}"/>
    <cellStyle name="Обычный 24 2 3 3" xfId="17998" xr:uid="{00000000-0005-0000-0000-0000D4450000}"/>
    <cellStyle name="Обычный 24 2 4" xfId="17999" xr:uid="{00000000-0005-0000-0000-0000D5450000}"/>
    <cellStyle name="Обычный 24 2 4 2" xfId="18000" xr:uid="{00000000-0005-0000-0000-0000D6450000}"/>
    <cellStyle name="Обычный 24 2 5" xfId="18001" xr:uid="{00000000-0005-0000-0000-0000D7450000}"/>
    <cellStyle name="Обычный 24 2 5 2" xfId="18002" xr:uid="{00000000-0005-0000-0000-0000D8450000}"/>
    <cellStyle name="Обычный 24 2 6" xfId="18003" xr:uid="{00000000-0005-0000-0000-0000D9450000}"/>
    <cellStyle name="Обычный 24 2 7" xfId="18004" xr:uid="{00000000-0005-0000-0000-0000DA450000}"/>
    <cellStyle name="Обычный 24 2 7 2" xfId="18005" xr:uid="{00000000-0005-0000-0000-0000DB450000}"/>
    <cellStyle name="Обычный 24 2 7 2 2" xfId="18006" xr:uid="{00000000-0005-0000-0000-0000DC450000}"/>
    <cellStyle name="Обычный 24 2 7 2 3" xfId="18007" xr:uid="{00000000-0005-0000-0000-0000DD450000}"/>
    <cellStyle name="Обычный 24 2 8" xfId="18008" xr:uid="{00000000-0005-0000-0000-0000DE450000}"/>
    <cellStyle name="Обычный 24 2 8 2" xfId="18009" xr:uid="{00000000-0005-0000-0000-0000DF450000}"/>
    <cellStyle name="Обычный 24 2 9" xfId="18010" xr:uid="{00000000-0005-0000-0000-0000E0450000}"/>
    <cellStyle name="Обычный 24 3" xfId="18011" xr:uid="{00000000-0005-0000-0000-0000E1450000}"/>
    <cellStyle name="Обычный 24 3 2" xfId="18012" xr:uid="{00000000-0005-0000-0000-0000E2450000}"/>
    <cellStyle name="Обычный 24 3 2 2" xfId="18013" xr:uid="{00000000-0005-0000-0000-0000E3450000}"/>
    <cellStyle name="Обычный 24 3 3" xfId="18014" xr:uid="{00000000-0005-0000-0000-0000E4450000}"/>
    <cellStyle name="Обычный 24 4" xfId="18015" xr:uid="{00000000-0005-0000-0000-0000E5450000}"/>
    <cellStyle name="Обычный 24 5" xfId="18016" xr:uid="{00000000-0005-0000-0000-0000E6450000}"/>
    <cellStyle name="Обычный 24 6" xfId="18017" xr:uid="{00000000-0005-0000-0000-0000E7450000}"/>
    <cellStyle name="Обычный 24 8" xfId="18018" xr:uid="{00000000-0005-0000-0000-0000E8450000}"/>
    <cellStyle name="Обычный 24 9" xfId="18019" xr:uid="{00000000-0005-0000-0000-0000E9450000}"/>
    <cellStyle name="Обычный 25" xfId="366" xr:uid="{00000000-0005-0000-0000-0000EA450000}"/>
    <cellStyle name="Обычный 25 2" xfId="367" xr:uid="{00000000-0005-0000-0000-0000EB450000}"/>
    <cellStyle name="Обычный 25 2 2" xfId="18020" xr:uid="{00000000-0005-0000-0000-0000EC450000}"/>
    <cellStyle name="Обычный 25 2 3" xfId="18021" xr:uid="{00000000-0005-0000-0000-0000ED450000}"/>
    <cellStyle name="Обычный 25 3" xfId="18022" xr:uid="{00000000-0005-0000-0000-0000EE450000}"/>
    <cellStyle name="Обычный 25 4" xfId="18023" xr:uid="{00000000-0005-0000-0000-0000EF450000}"/>
    <cellStyle name="Обычный 26" xfId="368" xr:uid="{00000000-0005-0000-0000-0000F0450000}"/>
    <cellStyle name="Обычный 26 2" xfId="369" xr:uid="{00000000-0005-0000-0000-0000F1450000}"/>
    <cellStyle name="Обычный 26 2 2" xfId="18024" xr:uid="{00000000-0005-0000-0000-0000F2450000}"/>
    <cellStyle name="Обычный 26 2 3" xfId="18025" xr:uid="{00000000-0005-0000-0000-0000F3450000}"/>
    <cellStyle name="Обычный 26 3" xfId="18026" xr:uid="{00000000-0005-0000-0000-0000F4450000}"/>
    <cellStyle name="Обычный 26 4" xfId="18027" xr:uid="{00000000-0005-0000-0000-0000F5450000}"/>
    <cellStyle name="Обычный 27" xfId="370" xr:uid="{00000000-0005-0000-0000-0000F6450000}"/>
    <cellStyle name="Обычный 27 2" xfId="18028" xr:uid="{00000000-0005-0000-0000-0000F7450000}"/>
    <cellStyle name="Обычный 27 2 2" xfId="18029" xr:uid="{00000000-0005-0000-0000-0000F8450000}"/>
    <cellStyle name="Обычный 27 2 3" xfId="18030" xr:uid="{00000000-0005-0000-0000-0000F9450000}"/>
    <cellStyle name="Обычный 27 3" xfId="18031" xr:uid="{00000000-0005-0000-0000-0000FA450000}"/>
    <cellStyle name="Обычный 27 4" xfId="18032" xr:uid="{00000000-0005-0000-0000-0000FB450000}"/>
    <cellStyle name="Обычный 28" xfId="371" xr:uid="{00000000-0005-0000-0000-0000FC450000}"/>
    <cellStyle name="Обычный 28 2" xfId="18033" xr:uid="{00000000-0005-0000-0000-0000FD450000}"/>
    <cellStyle name="Обычный 28 2 2" xfId="18034" xr:uid="{00000000-0005-0000-0000-0000FE450000}"/>
    <cellStyle name="Обычный 28 2 3" xfId="18035" xr:uid="{00000000-0005-0000-0000-0000FF450000}"/>
    <cellStyle name="Обычный 28 3" xfId="18036" xr:uid="{00000000-0005-0000-0000-000000460000}"/>
    <cellStyle name="Обычный 28 4" xfId="18037" xr:uid="{00000000-0005-0000-0000-000001460000}"/>
    <cellStyle name="Обычный 29" xfId="372" xr:uid="{00000000-0005-0000-0000-000002460000}"/>
    <cellStyle name="Обычный 29 2" xfId="18038" xr:uid="{00000000-0005-0000-0000-000003460000}"/>
    <cellStyle name="Обычный 29 2 2" xfId="18039" xr:uid="{00000000-0005-0000-0000-000004460000}"/>
    <cellStyle name="Обычный 29 2 3" xfId="18040" xr:uid="{00000000-0005-0000-0000-000005460000}"/>
    <cellStyle name="Обычный 29 3" xfId="18041" xr:uid="{00000000-0005-0000-0000-000006460000}"/>
    <cellStyle name="Обычный 29 4" xfId="18042" xr:uid="{00000000-0005-0000-0000-000007460000}"/>
    <cellStyle name="Обычный 29 4 2" xfId="18043" xr:uid="{00000000-0005-0000-0000-000008460000}"/>
    <cellStyle name="Обычный 29 5" xfId="18044" xr:uid="{00000000-0005-0000-0000-000009460000}"/>
    <cellStyle name="Обычный 3" xfId="373" xr:uid="{00000000-0005-0000-0000-00000A460000}"/>
    <cellStyle name="Обычный 3 10" xfId="18045" xr:uid="{00000000-0005-0000-0000-00000B460000}"/>
    <cellStyle name="Обычный 3 11" xfId="18046" xr:uid="{00000000-0005-0000-0000-00000C460000}"/>
    <cellStyle name="Обычный 3 12" xfId="18047" xr:uid="{00000000-0005-0000-0000-00000D460000}"/>
    <cellStyle name="Обычный 3 13" xfId="18048" xr:uid="{00000000-0005-0000-0000-00000E460000}"/>
    <cellStyle name="Обычный 3 14" xfId="18049" xr:uid="{00000000-0005-0000-0000-00000F460000}"/>
    <cellStyle name="Обычный 3 15" xfId="18050" xr:uid="{00000000-0005-0000-0000-000010460000}"/>
    <cellStyle name="Обычный 3 16" xfId="18051" xr:uid="{00000000-0005-0000-0000-000011460000}"/>
    <cellStyle name="Обычный 3 17" xfId="18052" xr:uid="{00000000-0005-0000-0000-000012460000}"/>
    <cellStyle name="Обычный 3 18" xfId="18053" xr:uid="{00000000-0005-0000-0000-000013460000}"/>
    <cellStyle name="Обычный 3 19" xfId="18054" xr:uid="{00000000-0005-0000-0000-000014460000}"/>
    <cellStyle name="Обычный 3 2" xfId="374" xr:uid="{00000000-0005-0000-0000-000015460000}"/>
    <cellStyle name="Обычный 3 2 10" xfId="18055" xr:uid="{00000000-0005-0000-0000-000016460000}"/>
    <cellStyle name="Обычный 3 2 11" xfId="18056" xr:uid="{00000000-0005-0000-0000-000017460000}"/>
    <cellStyle name="Обычный 3 2 12" xfId="18057" xr:uid="{00000000-0005-0000-0000-000018460000}"/>
    <cellStyle name="Обычный 3 2 13" xfId="18058" xr:uid="{00000000-0005-0000-0000-000019460000}"/>
    <cellStyle name="Обычный 3 2 14" xfId="18059" xr:uid="{00000000-0005-0000-0000-00001A460000}"/>
    <cellStyle name="Обычный 3 2 15" xfId="18060" xr:uid="{00000000-0005-0000-0000-00001B460000}"/>
    <cellStyle name="Обычный 3 2 16" xfId="18061" xr:uid="{00000000-0005-0000-0000-00001C460000}"/>
    <cellStyle name="Обычный 3 2 17" xfId="18062" xr:uid="{00000000-0005-0000-0000-00001D460000}"/>
    <cellStyle name="Обычный 3 2 18" xfId="18063" xr:uid="{00000000-0005-0000-0000-00001E460000}"/>
    <cellStyle name="Обычный 3 2 19" xfId="18064" xr:uid="{00000000-0005-0000-0000-00001F460000}"/>
    <cellStyle name="Обычный 3 2 2" xfId="375" xr:uid="{00000000-0005-0000-0000-000020460000}"/>
    <cellStyle name="Обычный 3 2 2 2" xfId="376" xr:uid="{00000000-0005-0000-0000-000021460000}"/>
    <cellStyle name="Обычный 3 2 2 2 2" xfId="377" xr:uid="{00000000-0005-0000-0000-000022460000}"/>
    <cellStyle name="Обычный 3 2 2 2 2 2" xfId="378" xr:uid="{00000000-0005-0000-0000-000023460000}"/>
    <cellStyle name="Обычный 3 2 2 2 2 2 2" xfId="379" xr:uid="{00000000-0005-0000-0000-000024460000}"/>
    <cellStyle name="Обычный 3 2 2 3" xfId="18065" xr:uid="{00000000-0005-0000-0000-000025460000}"/>
    <cellStyle name="Обычный 3 2 20" xfId="18066" xr:uid="{00000000-0005-0000-0000-000026460000}"/>
    <cellStyle name="Обычный 3 2 21" xfId="18067" xr:uid="{00000000-0005-0000-0000-000027460000}"/>
    <cellStyle name="Обычный 3 2 22" xfId="18068" xr:uid="{00000000-0005-0000-0000-000028460000}"/>
    <cellStyle name="Обычный 3 2 23" xfId="18069" xr:uid="{00000000-0005-0000-0000-000029460000}"/>
    <cellStyle name="Обычный 3 2 24" xfId="18070" xr:uid="{00000000-0005-0000-0000-00002A460000}"/>
    <cellStyle name="Обычный 3 2 25" xfId="18071" xr:uid="{00000000-0005-0000-0000-00002B460000}"/>
    <cellStyle name="Обычный 3 2 26" xfId="18072" xr:uid="{00000000-0005-0000-0000-00002C460000}"/>
    <cellStyle name="Обычный 3 2 27" xfId="18073" xr:uid="{00000000-0005-0000-0000-00002D460000}"/>
    <cellStyle name="Обычный 3 2 28" xfId="18074" xr:uid="{00000000-0005-0000-0000-00002E460000}"/>
    <cellStyle name="Обычный 3 2 29" xfId="18075" xr:uid="{00000000-0005-0000-0000-00002F460000}"/>
    <cellStyle name="Обычный 3 2 3" xfId="380" xr:uid="{00000000-0005-0000-0000-000030460000}"/>
    <cellStyle name="Обычный 3 2 30" xfId="18076" xr:uid="{00000000-0005-0000-0000-000031460000}"/>
    <cellStyle name="Обычный 3 2 31" xfId="18077" xr:uid="{00000000-0005-0000-0000-000032460000}"/>
    <cellStyle name="Обычный 3 2 32" xfId="18078" xr:uid="{00000000-0005-0000-0000-000033460000}"/>
    <cellStyle name="Обычный 3 2 33" xfId="18079" xr:uid="{00000000-0005-0000-0000-000034460000}"/>
    <cellStyle name="Обычный 3 2 34" xfId="18080" xr:uid="{00000000-0005-0000-0000-000035460000}"/>
    <cellStyle name="Обычный 3 2 35" xfId="18081" xr:uid="{00000000-0005-0000-0000-000036460000}"/>
    <cellStyle name="Обычный 3 2 36" xfId="18082" xr:uid="{00000000-0005-0000-0000-000037460000}"/>
    <cellStyle name="Обычный 3 2 37" xfId="18083" xr:uid="{00000000-0005-0000-0000-000038460000}"/>
    <cellStyle name="Обычный 3 2 38" xfId="18084" xr:uid="{00000000-0005-0000-0000-000039460000}"/>
    <cellStyle name="Обычный 3 2 39" xfId="18085" xr:uid="{00000000-0005-0000-0000-00003A460000}"/>
    <cellStyle name="Обычный 3 2 4" xfId="18086" xr:uid="{00000000-0005-0000-0000-00003B460000}"/>
    <cellStyle name="Обычный 3 2 40" xfId="18087" xr:uid="{00000000-0005-0000-0000-00003C460000}"/>
    <cellStyle name="Обычный 3 2 41" xfId="18088" xr:uid="{00000000-0005-0000-0000-00003D460000}"/>
    <cellStyle name="Обычный 3 2 5" xfId="18089" xr:uid="{00000000-0005-0000-0000-00003E460000}"/>
    <cellStyle name="Обычный 3 2 6" xfId="18090" xr:uid="{00000000-0005-0000-0000-00003F460000}"/>
    <cellStyle name="Обычный 3 2 7" xfId="18091" xr:uid="{00000000-0005-0000-0000-000040460000}"/>
    <cellStyle name="Обычный 3 2 8" xfId="18092" xr:uid="{00000000-0005-0000-0000-000041460000}"/>
    <cellStyle name="Обычный 3 2 9" xfId="18093" xr:uid="{00000000-0005-0000-0000-000042460000}"/>
    <cellStyle name="Обычный 3 20" xfId="18094" xr:uid="{00000000-0005-0000-0000-000043460000}"/>
    <cellStyle name="Обычный 3 21" xfId="18095" xr:uid="{00000000-0005-0000-0000-000044460000}"/>
    <cellStyle name="Обычный 3 22" xfId="18096" xr:uid="{00000000-0005-0000-0000-000045460000}"/>
    <cellStyle name="Обычный 3 23" xfId="18097" xr:uid="{00000000-0005-0000-0000-000046460000}"/>
    <cellStyle name="Обычный 3 24" xfId="18098" xr:uid="{00000000-0005-0000-0000-000047460000}"/>
    <cellStyle name="Обычный 3 25" xfId="18099" xr:uid="{00000000-0005-0000-0000-000048460000}"/>
    <cellStyle name="Обычный 3 26" xfId="18100" xr:uid="{00000000-0005-0000-0000-000049460000}"/>
    <cellStyle name="Обычный 3 27" xfId="18101" xr:uid="{00000000-0005-0000-0000-00004A460000}"/>
    <cellStyle name="Обычный 3 28" xfId="18102" xr:uid="{00000000-0005-0000-0000-00004B460000}"/>
    <cellStyle name="Обычный 3 29" xfId="18103" xr:uid="{00000000-0005-0000-0000-00004C460000}"/>
    <cellStyle name="Обычный 3 3" xfId="381" xr:uid="{00000000-0005-0000-0000-00004D460000}"/>
    <cellStyle name="Обычный 3 3 10" xfId="18104" xr:uid="{00000000-0005-0000-0000-00004E460000}"/>
    <cellStyle name="Обычный 3 3 11" xfId="18105" xr:uid="{00000000-0005-0000-0000-00004F460000}"/>
    <cellStyle name="Обычный 3 3 12" xfId="18106" xr:uid="{00000000-0005-0000-0000-000050460000}"/>
    <cellStyle name="Обычный 3 3 13" xfId="18107" xr:uid="{00000000-0005-0000-0000-000051460000}"/>
    <cellStyle name="Обычный 3 3 14" xfId="18108" xr:uid="{00000000-0005-0000-0000-000052460000}"/>
    <cellStyle name="Обычный 3 3 15" xfId="18109" xr:uid="{00000000-0005-0000-0000-000053460000}"/>
    <cellStyle name="Обычный 3 3 16" xfId="18110" xr:uid="{00000000-0005-0000-0000-000054460000}"/>
    <cellStyle name="Обычный 3 3 17" xfId="18111" xr:uid="{00000000-0005-0000-0000-000055460000}"/>
    <cellStyle name="Обычный 3 3 18" xfId="18112" xr:uid="{00000000-0005-0000-0000-000056460000}"/>
    <cellStyle name="Обычный 3 3 19" xfId="18113" xr:uid="{00000000-0005-0000-0000-000057460000}"/>
    <cellStyle name="Обычный 3 3 2" xfId="382" xr:uid="{00000000-0005-0000-0000-000058460000}"/>
    <cellStyle name="Обычный 3 3 2 2" xfId="18114" xr:uid="{00000000-0005-0000-0000-000059460000}"/>
    <cellStyle name="Обычный 3 3 20" xfId="18115" xr:uid="{00000000-0005-0000-0000-00005A460000}"/>
    <cellStyle name="Обычный 3 3 21" xfId="18116" xr:uid="{00000000-0005-0000-0000-00005B460000}"/>
    <cellStyle name="Обычный 3 3 22" xfId="18117" xr:uid="{00000000-0005-0000-0000-00005C460000}"/>
    <cellStyle name="Обычный 3 3 23" xfId="18118" xr:uid="{00000000-0005-0000-0000-00005D460000}"/>
    <cellStyle name="Обычный 3 3 24" xfId="18119" xr:uid="{00000000-0005-0000-0000-00005E460000}"/>
    <cellStyle name="Обычный 3 3 25" xfId="18120" xr:uid="{00000000-0005-0000-0000-00005F460000}"/>
    <cellStyle name="Обычный 3 3 26" xfId="18121" xr:uid="{00000000-0005-0000-0000-000060460000}"/>
    <cellStyle name="Обычный 3 3 27" xfId="18122" xr:uid="{00000000-0005-0000-0000-000061460000}"/>
    <cellStyle name="Обычный 3 3 28" xfId="18123" xr:uid="{00000000-0005-0000-0000-000062460000}"/>
    <cellStyle name="Обычный 3 3 29" xfId="18124" xr:uid="{00000000-0005-0000-0000-000063460000}"/>
    <cellStyle name="Обычный 3 3 3" xfId="18125" xr:uid="{00000000-0005-0000-0000-000064460000}"/>
    <cellStyle name="Обычный 3 3 3 2" xfId="18126" xr:uid="{00000000-0005-0000-0000-000065460000}"/>
    <cellStyle name="Обычный 3 3 30" xfId="18127" xr:uid="{00000000-0005-0000-0000-000066460000}"/>
    <cellStyle name="Обычный 3 3 31" xfId="18128" xr:uid="{00000000-0005-0000-0000-000067460000}"/>
    <cellStyle name="Обычный 3 3 32" xfId="18129" xr:uid="{00000000-0005-0000-0000-000068460000}"/>
    <cellStyle name="Обычный 3 3 33" xfId="18130" xr:uid="{00000000-0005-0000-0000-000069460000}"/>
    <cellStyle name="Обычный 3 3 34" xfId="18131" xr:uid="{00000000-0005-0000-0000-00006A460000}"/>
    <cellStyle name="Обычный 3 3 35" xfId="18132" xr:uid="{00000000-0005-0000-0000-00006B460000}"/>
    <cellStyle name="Обычный 3 3 36" xfId="18133" xr:uid="{00000000-0005-0000-0000-00006C460000}"/>
    <cellStyle name="Обычный 3 3 37" xfId="18134" xr:uid="{00000000-0005-0000-0000-00006D460000}"/>
    <cellStyle name="Обычный 3 3 38" xfId="18135" xr:uid="{00000000-0005-0000-0000-00006E460000}"/>
    <cellStyle name="Обычный 3 3 39" xfId="18136" xr:uid="{00000000-0005-0000-0000-00006F460000}"/>
    <cellStyle name="Обычный 3 3 4" xfId="18137" xr:uid="{00000000-0005-0000-0000-000070460000}"/>
    <cellStyle name="Обычный 3 3 5" xfId="18138" xr:uid="{00000000-0005-0000-0000-000071460000}"/>
    <cellStyle name="Обычный 3 3 6" xfId="18139" xr:uid="{00000000-0005-0000-0000-000072460000}"/>
    <cellStyle name="Обычный 3 3 7" xfId="18140" xr:uid="{00000000-0005-0000-0000-000073460000}"/>
    <cellStyle name="Обычный 3 3 8" xfId="18141" xr:uid="{00000000-0005-0000-0000-000074460000}"/>
    <cellStyle name="Обычный 3 3 9" xfId="18142" xr:uid="{00000000-0005-0000-0000-000075460000}"/>
    <cellStyle name="Обычный 3 30" xfId="18143" xr:uid="{00000000-0005-0000-0000-000076460000}"/>
    <cellStyle name="Обычный 3 31" xfId="18144" xr:uid="{00000000-0005-0000-0000-000077460000}"/>
    <cellStyle name="Обычный 3 32" xfId="18145" xr:uid="{00000000-0005-0000-0000-000078460000}"/>
    <cellStyle name="Обычный 3 33" xfId="18146" xr:uid="{00000000-0005-0000-0000-000079460000}"/>
    <cellStyle name="Обычный 3 34" xfId="18147" xr:uid="{00000000-0005-0000-0000-00007A460000}"/>
    <cellStyle name="Обычный 3 35" xfId="18148" xr:uid="{00000000-0005-0000-0000-00007B460000}"/>
    <cellStyle name="Обычный 3 36" xfId="18149" xr:uid="{00000000-0005-0000-0000-00007C460000}"/>
    <cellStyle name="Обычный 3 37" xfId="18150" xr:uid="{00000000-0005-0000-0000-00007D460000}"/>
    <cellStyle name="Обычный 3 38" xfId="18151" xr:uid="{00000000-0005-0000-0000-00007E460000}"/>
    <cellStyle name="Обычный 3 39" xfId="18152" xr:uid="{00000000-0005-0000-0000-00007F460000}"/>
    <cellStyle name="Обычный 3 4" xfId="383" xr:uid="{00000000-0005-0000-0000-000080460000}"/>
    <cellStyle name="Обычный 3 4 2" xfId="18153" xr:uid="{00000000-0005-0000-0000-000081460000}"/>
    <cellStyle name="Обычный 3 4 2 2" xfId="18154" xr:uid="{00000000-0005-0000-0000-000082460000}"/>
    <cellStyle name="Обычный 3 4 2 3" xfId="18155" xr:uid="{00000000-0005-0000-0000-000083460000}"/>
    <cellStyle name="Обычный 3 4 3" xfId="18156" xr:uid="{00000000-0005-0000-0000-000084460000}"/>
    <cellStyle name="Обычный 3 4 3 2" xfId="18157" xr:uid="{00000000-0005-0000-0000-000085460000}"/>
    <cellStyle name="Обычный 3 4 4" xfId="18158" xr:uid="{00000000-0005-0000-0000-000086460000}"/>
    <cellStyle name="Обычный 3 40" xfId="18159" xr:uid="{00000000-0005-0000-0000-000087460000}"/>
    <cellStyle name="Обычный 3 41" xfId="18160" xr:uid="{00000000-0005-0000-0000-000088460000}"/>
    <cellStyle name="Обычный 3 42" xfId="18161" xr:uid="{00000000-0005-0000-0000-000089460000}"/>
    <cellStyle name="Обычный 3 43" xfId="18162" xr:uid="{00000000-0005-0000-0000-00008A460000}"/>
    <cellStyle name="Обычный 3 5" xfId="384" xr:uid="{00000000-0005-0000-0000-00008B460000}"/>
    <cellStyle name="Обычный 3 5 2" xfId="18163" xr:uid="{00000000-0005-0000-0000-00008C460000}"/>
    <cellStyle name="Обычный 3 5 2 2" xfId="18164" xr:uid="{00000000-0005-0000-0000-00008D460000}"/>
    <cellStyle name="Обычный 3 5 3" xfId="18165" xr:uid="{00000000-0005-0000-0000-00008E460000}"/>
    <cellStyle name="Обычный 3 5 3 2" xfId="18166" xr:uid="{00000000-0005-0000-0000-00008F460000}"/>
    <cellStyle name="Обычный 3 5 4" xfId="18167" xr:uid="{00000000-0005-0000-0000-000090460000}"/>
    <cellStyle name="Обычный 3 6" xfId="482" xr:uid="{00000000-0005-0000-0000-000091460000}"/>
    <cellStyle name="Обычный 3 6 2" xfId="18168" xr:uid="{00000000-0005-0000-0000-000092460000}"/>
    <cellStyle name="Обычный 3 6 3" xfId="18169" xr:uid="{00000000-0005-0000-0000-000093460000}"/>
    <cellStyle name="Обычный 3 7" xfId="18170" xr:uid="{00000000-0005-0000-0000-000094460000}"/>
    <cellStyle name="Обычный 3 7 2" xfId="18171" xr:uid="{00000000-0005-0000-0000-000095460000}"/>
    <cellStyle name="Обычный 3 7 3" xfId="18172" xr:uid="{00000000-0005-0000-0000-000096460000}"/>
    <cellStyle name="Обычный 3 8" xfId="18173" xr:uid="{00000000-0005-0000-0000-000097460000}"/>
    <cellStyle name="Обычный 3 8 2" xfId="18174" xr:uid="{00000000-0005-0000-0000-000098460000}"/>
    <cellStyle name="Обычный 3 9" xfId="18175" xr:uid="{00000000-0005-0000-0000-000099460000}"/>
    <cellStyle name="Обычный 3 9 2" xfId="18176" xr:uid="{00000000-0005-0000-0000-00009A460000}"/>
    <cellStyle name="Обычный 3_RZD_2009-2030_macromodel_090518" xfId="18177" xr:uid="{00000000-0005-0000-0000-00009B460000}"/>
    <cellStyle name="Обычный 30" xfId="385" xr:uid="{00000000-0005-0000-0000-00009C460000}"/>
    <cellStyle name="Обычный 30 2" xfId="18178" xr:uid="{00000000-0005-0000-0000-00009D460000}"/>
    <cellStyle name="Обычный 30 2 2" xfId="18179" xr:uid="{00000000-0005-0000-0000-00009E460000}"/>
    <cellStyle name="Обычный 30 2 3" xfId="18180" xr:uid="{00000000-0005-0000-0000-00009F460000}"/>
    <cellStyle name="Обычный 30 3" xfId="18181" xr:uid="{00000000-0005-0000-0000-0000A0460000}"/>
    <cellStyle name="Обычный 30 4" xfId="18182" xr:uid="{00000000-0005-0000-0000-0000A1460000}"/>
    <cellStyle name="Обычный 304" xfId="18183" xr:uid="{00000000-0005-0000-0000-0000A2460000}"/>
    <cellStyle name="Обычный 31" xfId="386" xr:uid="{00000000-0005-0000-0000-0000A3460000}"/>
    <cellStyle name="Обычный 31 2" xfId="18184" xr:uid="{00000000-0005-0000-0000-0000A4460000}"/>
    <cellStyle name="Обычный 31 2 2" xfId="18185" xr:uid="{00000000-0005-0000-0000-0000A5460000}"/>
    <cellStyle name="Обычный 31 2 3" xfId="18186" xr:uid="{00000000-0005-0000-0000-0000A6460000}"/>
    <cellStyle name="Обычный 31 3" xfId="18187" xr:uid="{00000000-0005-0000-0000-0000A7460000}"/>
    <cellStyle name="Обычный 31 4" xfId="18188" xr:uid="{00000000-0005-0000-0000-0000A8460000}"/>
    <cellStyle name="Обычный 32" xfId="387" xr:uid="{00000000-0005-0000-0000-0000A9460000}"/>
    <cellStyle name="Обычный 32 2" xfId="18189" xr:uid="{00000000-0005-0000-0000-0000AA460000}"/>
    <cellStyle name="Обычный 32 2 2" xfId="18190" xr:uid="{00000000-0005-0000-0000-0000AB460000}"/>
    <cellStyle name="Обычный 32 2 3" xfId="18191" xr:uid="{00000000-0005-0000-0000-0000AC460000}"/>
    <cellStyle name="Обычный 32 3" xfId="18192" xr:uid="{00000000-0005-0000-0000-0000AD460000}"/>
    <cellStyle name="Обычный 32 4" xfId="18193" xr:uid="{00000000-0005-0000-0000-0000AE460000}"/>
    <cellStyle name="Обычный 33" xfId="388" xr:uid="{00000000-0005-0000-0000-0000AF460000}"/>
    <cellStyle name="Обычный 33 2" xfId="18194" xr:uid="{00000000-0005-0000-0000-0000B0460000}"/>
    <cellStyle name="Обычный 33 2 2" xfId="18195" xr:uid="{00000000-0005-0000-0000-0000B1460000}"/>
    <cellStyle name="Обычный 33 2 3" xfId="18196" xr:uid="{00000000-0005-0000-0000-0000B2460000}"/>
    <cellStyle name="Обычный 33 3" xfId="18197" xr:uid="{00000000-0005-0000-0000-0000B3460000}"/>
    <cellStyle name="Обычный 33 4" xfId="18198" xr:uid="{00000000-0005-0000-0000-0000B4460000}"/>
    <cellStyle name="Обычный 34" xfId="389" xr:uid="{00000000-0005-0000-0000-0000B5460000}"/>
    <cellStyle name="Обычный 34 2" xfId="18199" xr:uid="{00000000-0005-0000-0000-0000B6460000}"/>
    <cellStyle name="Обычный 34 2 2" xfId="18200" xr:uid="{00000000-0005-0000-0000-0000B7460000}"/>
    <cellStyle name="Обычный 34 2 3" xfId="18201" xr:uid="{00000000-0005-0000-0000-0000B8460000}"/>
    <cellStyle name="Обычный 34 3" xfId="18202" xr:uid="{00000000-0005-0000-0000-0000B9460000}"/>
    <cellStyle name="Обычный 34 4" xfId="18203" xr:uid="{00000000-0005-0000-0000-0000BA460000}"/>
    <cellStyle name="Обычный 35" xfId="390" xr:uid="{00000000-0005-0000-0000-0000BB460000}"/>
    <cellStyle name="Обычный 35 2" xfId="18204" xr:uid="{00000000-0005-0000-0000-0000BC460000}"/>
    <cellStyle name="Обычный 35 2 2" xfId="18205" xr:uid="{00000000-0005-0000-0000-0000BD460000}"/>
    <cellStyle name="Обычный 35 2 3" xfId="18206" xr:uid="{00000000-0005-0000-0000-0000BE460000}"/>
    <cellStyle name="Обычный 35 3" xfId="18207" xr:uid="{00000000-0005-0000-0000-0000BF460000}"/>
    <cellStyle name="Обычный 35 4" xfId="18208" xr:uid="{00000000-0005-0000-0000-0000C0460000}"/>
    <cellStyle name="Обычный 36" xfId="391" xr:uid="{00000000-0005-0000-0000-0000C1460000}"/>
    <cellStyle name="Обычный 36 2" xfId="18209" xr:uid="{00000000-0005-0000-0000-0000C2460000}"/>
    <cellStyle name="Обычный 36 2 2" xfId="18210" xr:uid="{00000000-0005-0000-0000-0000C3460000}"/>
    <cellStyle name="Обычный 36 2 3" xfId="18211" xr:uid="{00000000-0005-0000-0000-0000C4460000}"/>
    <cellStyle name="Обычный 36 3" xfId="18212" xr:uid="{00000000-0005-0000-0000-0000C5460000}"/>
    <cellStyle name="Обычный 36 4" xfId="18213" xr:uid="{00000000-0005-0000-0000-0000C6460000}"/>
    <cellStyle name="Обычный 37" xfId="392" xr:uid="{00000000-0005-0000-0000-0000C7460000}"/>
    <cellStyle name="Обычный 37 2" xfId="18214" xr:uid="{00000000-0005-0000-0000-0000C8460000}"/>
    <cellStyle name="Обычный 37 2 2" xfId="18215" xr:uid="{00000000-0005-0000-0000-0000C9460000}"/>
    <cellStyle name="Обычный 37 2 3" xfId="18216" xr:uid="{00000000-0005-0000-0000-0000CA460000}"/>
    <cellStyle name="Обычный 37 3" xfId="18217" xr:uid="{00000000-0005-0000-0000-0000CB460000}"/>
    <cellStyle name="Обычный 37 4" xfId="18218" xr:uid="{00000000-0005-0000-0000-0000CC460000}"/>
    <cellStyle name="Обычный 38" xfId="393" xr:uid="{00000000-0005-0000-0000-0000CD460000}"/>
    <cellStyle name="Обычный 38 2" xfId="18219" xr:uid="{00000000-0005-0000-0000-0000CE460000}"/>
    <cellStyle name="Обычный 38 2 2" xfId="18220" xr:uid="{00000000-0005-0000-0000-0000CF460000}"/>
    <cellStyle name="Обычный 38 2 3" xfId="18221" xr:uid="{00000000-0005-0000-0000-0000D0460000}"/>
    <cellStyle name="Обычный 38 3" xfId="18222" xr:uid="{00000000-0005-0000-0000-0000D1460000}"/>
    <cellStyle name="Обычный 38 4" xfId="18223" xr:uid="{00000000-0005-0000-0000-0000D2460000}"/>
    <cellStyle name="Обычный 39" xfId="394" xr:uid="{00000000-0005-0000-0000-0000D3460000}"/>
    <cellStyle name="Обычный 39 2" xfId="18224" xr:uid="{00000000-0005-0000-0000-0000D4460000}"/>
    <cellStyle name="Обычный 39 2 2" xfId="18225" xr:uid="{00000000-0005-0000-0000-0000D5460000}"/>
    <cellStyle name="Обычный 39 2 2 2" xfId="18226" xr:uid="{00000000-0005-0000-0000-0000D6460000}"/>
    <cellStyle name="Обычный 39 2 2 3" xfId="18227" xr:uid="{00000000-0005-0000-0000-0000D7460000}"/>
    <cellStyle name="Обычный 39 2 3" xfId="18228" xr:uid="{00000000-0005-0000-0000-0000D8460000}"/>
    <cellStyle name="Обычный 39 2 4" xfId="18229" xr:uid="{00000000-0005-0000-0000-0000D9460000}"/>
    <cellStyle name="Обычный 39 2 5" xfId="18230" xr:uid="{00000000-0005-0000-0000-0000DA460000}"/>
    <cellStyle name="Обычный 39 3" xfId="18231" xr:uid="{00000000-0005-0000-0000-0000DB460000}"/>
    <cellStyle name="Обычный 39 3 2" xfId="18232" xr:uid="{00000000-0005-0000-0000-0000DC460000}"/>
    <cellStyle name="Обычный 39 3 3" xfId="18233" xr:uid="{00000000-0005-0000-0000-0000DD460000}"/>
    <cellStyle name="Обычный 39 4" xfId="18234" xr:uid="{00000000-0005-0000-0000-0000DE460000}"/>
    <cellStyle name="Обычный 39 5" xfId="18235" xr:uid="{00000000-0005-0000-0000-0000DF460000}"/>
    <cellStyle name="Обычный 4" xfId="395" xr:uid="{00000000-0005-0000-0000-0000E0460000}"/>
    <cellStyle name="Обычный 4 10" xfId="18236" xr:uid="{00000000-0005-0000-0000-0000E1460000}"/>
    <cellStyle name="Обычный 4 11" xfId="18237" xr:uid="{00000000-0005-0000-0000-0000E2460000}"/>
    <cellStyle name="Обычный 4 12" xfId="18238" xr:uid="{00000000-0005-0000-0000-0000E3460000}"/>
    <cellStyle name="Обычный 4 13" xfId="18239" xr:uid="{00000000-0005-0000-0000-0000E4460000}"/>
    <cellStyle name="Обычный 4 14" xfId="18240" xr:uid="{00000000-0005-0000-0000-0000E5460000}"/>
    <cellStyle name="Обычный 4 15" xfId="18241" xr:uid="{00000000-0005-0000-0000-0000E6460000}"/>
    <cellStyle name="Обычный 4 16" xfId="18242" xr:uid="{00000000-0005-0000-0000-0000E7460000}"/>
    <cellStyle name="Обычный 4 17" xfId="18243" xr:uid="{00000000-0005-0000-0000-0000E8460000}"/>
    <cellStyle name="Обычный 4 18" xfId="18244" xr:uid="{00000000-0005-0000-0000-0000E9460000}"/>
    <cellStyle name="Обычный 4 19" xfId="18245" xr:uid="{00000000-0005-0000-0000-0000EA460000}"/>
    <cellStyle name="Обычный 4 2" xfId="396" xr:uid="{00000000-0005-0000-0000-0000EB460000}"/>
    <cellStyle name="Обычный 4 2 2" xfId="397" xr:uid="{00000000-0005-0000-0000-0000EC460000}"/>
    <cellStyle name="Обычный 4 2 2 10" xfId="18246" xr:uid="{00000000-0005-0000-0000-0000ED460000}"/>
    <cellStyle name="Обычный 4 2 2 11" xfId="18247" xr:uid="{00000000-0005-0000-0000-0000EE460000}"/>
    <cellStyle name="Обычный 4 2 2 2" xfId="18248" xr:uid="{00000000-0005-0000-0000-0000EF460000}"/>
    <cellStyle name="Обычный 4 2 2 2 2" xfId="18249" xr:uid="{00000000-0005-0000-0000-0000F0460000}"/>
    <cellStyle name="Обычный 4 2 2 2 2 2" xfId="18250" xr:uid="{00000000-0005-0000-0000-0000F1460000}"/>
    <cellStyle name="Обычный 4 2 2 2 2 2 2" xfId="18251" xr:uid="{00000000-0005-0000-0000-0000F2460000}"/>
    <cellStyle name="Обычный 4 2 2 2 2 3" xfId="18252" xr:uid="{00000000-0005-0000-0000-0000F3460000}"/>
    <cellStyle name="Обычный 4 2 2 2 3" xfId="18253" xr:uid="{00000000-0005-0000-0000-0000F4460000}"/>
    <cellStyle name="Обычный 4 2 2 2 3 2" xfId="18254" xr:uid="{00000000-0005-0000-0000-0000F5460000}"/>
    <cellStyle name="Обычный 4 2 2 2 3 2 2" xfId="18255" xr:uid="{00000000-0005-0000-0000-0000F6460000}"/>
    <cellStyle name="Обычный 4 2 2 2 3 3" xfId="18256" xr:uid="{00000000-0005-0000-0000-0000F7460000}"/>
    <cellStyle name="Обычный 4 2 2 2 4" xfId="18257" xr:uid="{00000000-0005-0000-0000-0000F8460000}"/>
    <cellStyle name="Обычный 4 2 2 3" xfId="18258" xr:uid="{00000000-0005-0000-0000-0000F9460000}"/>
    <cellStyle name="Обычный 4 2 2 3 2" xfId="18259" xr:uid="{00000000-0005-0000-0000-0000FA460000}"/>
    <cellStyle name="Обычный 4 2 2 4" xfId="18260" xr:uid="{00000000-0005-0000-0000-0000FB460000}"/>
    <cellStyle name="Обычный 4 2 2 4 2" xfId="18261" xr:uid="{00000000-0005-0000-0000-0000FC460000}"/>
    <cellStyle name="Обычный 4 2 2 5" xfId="18262" xr:uid="{00000000-0005-0000-0000-0000FD460000}"/>
    <cellStyle name="Обычный 4 2 2 5 2" xfId="18263" xr:uid="{00000000-0005-0000-0000-0000FE460000}"/>
    <cellStyle name="Обычный 4 2 2 6" xfId="18264" xr:uid="{00000000-0005-0000-0000-0000FF460000}"/>
    <cellStyle name="Обычный 4 2 2 6 2" xfId="18265" xr:uid="{00000000-0005-0000-0000-000000470000}"/>
    <cellStyle name="Обычный 4 2 2 6 2 2" xfId="18266" xr:uid="{00000000-0005-0000-0000-000001470000}"/>
    <cellStyle name="Обычный 4 2 2 6 3" xfId="18267" xr:uid="{00000000-0005-0000-0000-000002470000}"/>
    <cellStyle name="Обычный 4 2 2 7" xfId="18268" xr:uid="{00000000-0005-0000-0000-000003470000}"/>
    <cellStyle name="Обычный 4 2 2 7 2" xfId="18269" xr:uid="{00000000-0005-0000-0000-000004470000}"/>
    <cellStyle name="Обычный 4 2 2 7 2 2" xfId="18270" xr:uid="{00000000-0005-0000-0000-000005470000}"/>
    <cellStyle name="Обычный 4 2 2 7 3" xfId="18271" xr:uid="{00000000-0005-0000-0000-000006470000}"/>
    <cellStyle name="Обычный 4 2 2 8" xfId="18272" xr:uid="{00000000-0005-0000-0000-000007470000}"/>
    <cellStyle name="Обычный 4 2 2 8 2" xfId="18273" xr:uid="{00000000-0005-0000-0000-000008470000}"/>
    <cellStyle name="Обычный 4 2 2 9" xfId="18274" xr:uid="{00000000-0005-0000-0000-000009470000}"/>
    <cellStyle name="Обычный 4 2 3" xfId="398" xr:uid="{00000000-0005-0000-0000-00000A470000}"/>
    <cellStyle name="Обычный 4 2 3 2" xfId="18275" xr:uid="{00000000-0005-0000-0000-00000B470000}"/>
    <cellStyle name="Обычный 4 2 4" xfId="18276" xr:uid="{00000000-0005-0000-0000-00000C470000}"/>
    <cellStyle name="Обычный 4 2 4 2" xfId="18277" xr:uid="{00000000-0005-0000-0000-00000D470000}"/>
    <cellStyle name="Обычный 4 2 5" xfId="18278" xr:uid="{00000000-0005-0000-0000-00000E470000}"/>
    <cellStyle name="Обычный 4 20" xfId="18279" xr:uid="{00000000-0005-0000-0000-00000F470000}"/>
    <cellStyle name="Обычный 4 21" xfId="18280" xr:uid="{00000000-0005-0000-0000-000010470000}"/>
    <cellStyle name="Обычный 4 22" xfId="18281" xr:uid="{00000000-0005-0000-0000-000011470000}"/>
    <cellStyle name="Обычный 4 23" xfId="18282" xr:uid="{00000000-0005-0000-0000-000012470000}"/>
    <cellStyle name="Обычный 4 24" xfId="18283" xr:uid="{00000000-0005-0000-0000-000013470000}"/>
    <cellStyle name="Обычный 4 25" xfId="18284" xr:uid="{00000000-0005-0000-0000-000014470000}"/>
    <cellStyle name="Обычный 4 3" xfId="399" xr:uid="{00000000-0005-0000-0000-000015470000}"/>
    <cellStyle name="Обычный 4 3 2" xfId="18285" xr:uid="{00000000-0005-0000-0000-000016470000}"/>
    <cellStyle name="Обычный 4 3 3" xfId="18286" xr:uid="{00000000-0005-0000-0000-000017470000}"/>
    <cellStyle name="Обычный 4 4" xfId="400" xr:uid="{00000000-0005-0000-0000-000018470000}"/>
    <cellStyle name="Обычный 4 4 2" xfId="18287" xr:uid="{00000000-0005-0000-0000-000019470000}"/>
    <cellStyle name="Обычный 4 4 2 2" xfId="18288" xr:uid="{00000000-0005-0000-0000-00001A470000}"/>
    <cellStyle name="Обычный 4 4 2 3" xfId="18289" xr:uid="{00000000-0005-0000-0000-00001B470000}"/>
    <cellStyle name="Обычный 4 4 3" xfId="18290" xr:uid="{00000000-0005-0000-0000-00001C470000}"/>
    <cellStyle name="Обычный 4 4 4" xfId="18291" xr:uid="{00000000-0005-0000-0000-00001D470000}"/>
    <cellStyle name="Обычный 4 5" xfId="401" xr:uid="{00000000-0005-0000-0000-00001E470000}"/>
    <cellStyle name="Обычный 4 5 2" xfId="18292" xr:uid="{00000000-0005-0000-0000-00001F470000}"/>
    <cellStyle name="Обычный 4 6" xfId="402" xr:uid="{00000000-0005-0000-0000-000020470000}"/>
    <cellStyle name="Обычный 4 7" xfId="403" xr:uid="{00000000-0005-0000-0000-000021470000}"/>
    <cellStyle name="Обычный 4 8" xfId="404" xr:uid="{00000000-0005-0000-0000-000022470000}"/>
    <cellStyle name="Обычный 4 9" xfId="18293" xr:uid="{00000000-0005-0000-0000-000023470000}"/>
    <cellStyle name="Обычный 4_Статьи затрат рабочий_ДЭИП+БУ_меппинг НА КОДЫ ЕБК_26012009" xfId="18294" xr:uid="{00000000-0005-0000-0000-000024470000}"/>
    <cellStyle name="Обычный 40" xfId="405" xr:uid="{00000000-0005-0000-0000-000025470000}"/>
    <cellStyle name="Обычный 40 2" xfId="18295" xr:uid="{00000000-0005-0000-0000-000026470000}"/>
    <cellStyle name="Обычный 40 2 2" xfId="18296" xr:uid="{00000000-0005-0000-0000-000027470000}"/>
    <cellStyle name="Обычный 40 2 3" xfId="18297" xr:uid="{00000000-0005-0000-0000-000028470000}"/>
    <cellStyle name="Обычный 40 3" xfId="18298" xr:uid="{00000000-0005-0000-0000-000029470000}"/>
    <cellStyle name="Обычный 40 4" xfId="18299" xr:uid="{00000000-0005-0000-0000-00002A470000}"/>
    <cellStyle name="Обычный 41" xfId="406" xr:uid="{00000000-0005-0000-0000-00002B470000}"/>
    <cellStyle name="Обычный 41 2" xfId="18300" xr:uid="{00000000-0005-0000-0000-00002C470000}"/>
    <cellStyle name="Обычный 41 2 2" xfId="18301" xr:uid="{00000000-0005-0000-0000-00002D470000}"/>
    <cellStyle name="Обычный 41 2 3" xfId="18302" xr:uid="{00000000-0005-0000-0000-00002E470000}"/>
    <cellStyle name="Обычный 41 3" xfId="18303" xr:uid="{00000000-0005-0000-0000-00002F470000}"/>
    <cellStyle name="Обычный 41 4" xfId="18304" xr:uid="{00000000-0005-0000-0000-000030470000}"/>
    <cellStyle name="Обычный 42" xfId="407" xr:uid="{00000000-0005-0000-0000-000031470000}"/>
    <cellStyle name="Обычный 42 2" xfId="18305" xr:uid="{00000000-0005-0000-0000-000032470000}"/>
    <cellStyle name="Обычный 42 2 2" xfId="18306" xr:uid="{00000000-0005-0000-0000-000033470000}"/>
    <cellStyle name="Обычный 42 2 3" xfId="18307" xr:uid="{00000000-0005-0000-0000-000034470000}"/>
    <cellStyle name="Обычный 42 3" xfId="18308" xr:uid="{00000000-0005-0000-0000-000035470000}"/>
    <cellStyle name="Обычный 42 4" xfId="18309" xr:uid="{00000000-0005-0000-0000-000036470000}"/>
    <cellStyle name="Обычный 43" xfId="408" xr:uid="{00000000-0005-0000-0000-000037470000}"/>
    <cellStyle name="Обычный 43 2" xfId="18310" xr:uid="{00000000-0005-0000-0000-000038470000}"/>
    <cellStyle name="Обычный 43 2 2" xfId="18311" xr:uid="{00000000-0005-0000-0000-000039470000}"/>
    <cellStyle name="Обычный 43 2 3" xfId="18312" xr:uid="{00000000-0005-0000-0000-00003A470000}"/>
    <cellStyle name="Обычный 43 3" xfId="18313" xr:uid="{00000000-0005-0000-0000-00003B470000}"/>
    <cellStyle name="Обычный 43 4" xfId="18314" xr:uid="{00000000-0005-0000-0000-00003C470000}"/>
    <cellStyle name="Обычный 44" xfId="409" xr:uid="{00000000-0005-0000-0000-00003D470000}"/>
    <cellStyle name="Обычный 44 2" xfId="18315" xr:uid="{00000000-0005-0000-0000-00003E470000}"/>
    <cellStyle name="Обычный 44 2 2" xfId="18316" xr:uid="{00000000-0005-0000-0000-00003F470000}"/>
    <cellStyle name="Обычный 44 2 3" xfId="18317" xr:uid="{00000000-0005-0000-0000-000040470000}"/>
    <cellStyle name="Обычный 44 3" xfId="18318" xr:uid="{00000000-0005-0000-0000-000041470000}"/>
    <cellStyle name="Обычный 44 4" xfId="18319" xr:uid="{00000000-0005-0000-0000-000042470000}"/>
    <cellStyle name="Обычный 45" xfId="410" xr:uid="{00000000-0005-0000-0000-000043470000}"/>
    <cellStyle name="Обычный 45 2" xfId="18320" xr:uid="{00000000-0005-0000-0000-000044470000}"/>
    <cellStyle name="Обычный 45 2 2" xfId="18321" xr:uid="{00000000-0005-0000-0000-000045470000}"/>
    <cellStyle name="Обычный 45 2 3" xfId="18322" xr:uid="{00000000-0005-0000-0000-000046470000}"/>
    <cellStyle name="Обычный 45 3" xfId="18323" xr:uid="{00000000-0005-0000-0000-000047470000}"/>
    <cellStyle name="Обычный 45 4" xfId="18324" xr:uid="{00000000-0005-0000-0000-000048470000}"/>
    <cellStyle name="Обычный 46" xfId="411" xr:uid="{00000000-0005-0000-0000-000049470000}"/>
    <cellStyle name="Обычный 46 2" xfId="18325" xr:uid="{00000000-0005-0000-0000-00004A470000}"/>
    <cellStyle name="Обычный 46 2 2" xfId="18326" xr:uid="{00000000-0005-0000-0000-00004B470000}"/>
    <cellStyle name="Обычный 46 2 3" xfId="18327" xr:uid="{00000000-0005-0000-0000-00004C470000}"/>
    <cellStyle name="Обычный 46 3" xfId="18328" xr:uid="{00000000-0005-0000-0000-00004D470000}"/>
    <cellStyle name="Обычный 46 4" xfId="18329" xr:uid="{00000000-0005-0000-0000-00004E470000}"/>
    <cellStyle name="Обычный 47" xfId="412" xr:uid="{00000000-0005-0000-0000-00004F470000}"/>
    <cellStyle name="Обычный 47 2" xfId="18330" xr:uid="{00000000-0005-0000-0000-000050470000}"/>
    <cellStyle name="Обычный 47 2 2" xfId="18331" xr:uid="{00000000-0005-0000-0000-000051470000}"/>
    <cellStyle name="Обычный 47 2 3" xfId="18332" xr:uid="{00000000-0005-0000-0000-000052470000}"/>
    <cellStyle name="Обычный 47 3" xfId="18333" xr:uid="{00000000-0005-0000-0000-000053470000}"/>
    <cellStyle name="Обычный 47 4" xfId="18334" xr:uid="{00000000-0005-0000-0000-000054470000}"/>
    <cellStyle name="Обычный 48" xfId="413" xr:uid="{00000000-0005-0000-0000-000055470000}"/>
    <cellStyle name="Обычный 48 2" xfId="18335" xr:uid="{00000000-0005-0000-0000-000056470000}"/>
    <cellStyle name="Обычный 48 2 2" xfId="18336" xr:uid="{00000000-0005-0000-0000-000057470000}"/>
    <cellStyle name="Обычный 48 2 3" xfId="18337" xr:uid="{00000000-0005-0000-0000-000058470000}"/>
    <cellStyle name="Обычный 48 3" xfId="18338" xr:uid="{00000000-0005-0000-0000-000059470000}"/>
    <cellStyle name="Обычный 48 4" xfId="18339" xr:uid="{00000000-0005-0000-0000-00005A470000}"/>
    <cellStyle name="Обычный 49" xfId="414" xr:uid="{00000000-0005-0000-0000-00005B470000}"/>
    <cellStyle name="Обычный 49 2" xfId="18340" xr:uid="{00000000-0005-0000-0000-00005C470000}"/>
    <cellStyle name="Обычный 49 2 2" xfId="18341" xr:uid="{00000000-0005-0000-0000-00005D470000}"/>
    <cellStyle name="Обычный 49 2 3" xfId="18342" xr:uid="{00000000-0005-0000-0000-00005E470000}"/>
    <cellStyle name="Обычный 49 3" xfId="18343" xr:uid="{00000000-0005-0000-0000-00005F470000}"/>
    <cellStyle name="Обычный 49 4" xfId="18344" xr:uid="{00000000-0005-0000-0000-000060470000}"/>
    <cellStyle name="Обычный 5" xfId="415" xr:uid="{00000000-0005-0000-0000-000061470000}"/>
    <cellStyle name="Обычный 5 2" xfId="416" xr:uid="{00000000-0005-0000-0000-000062470000}"/>
    <cellStyle name="Обычный 5 2 2" xfId="18345" xr:uid="{00000000-0005-0000-0000-000063470000}"/>
    <cellStyle name="Обычный 5 2 2 2" xfId="18346" xr:uid="{00000000-0005-0000-0000-000064470000}"/>
    <cellStyle name="Обычный 5 2 2 3" xfId="18347" xr:uid="{00000000-0005-0000-0000-000065470000}"/>
    <cellStyle name="Обычный 5 2 3" xfId="18348" xr:uid="{00000000-0005-0000-0000-000066470000}"/>
    <cellStyle name="Обычный 5 2 4" xfId="18349" xr:uid="{00000000-0005-0000-0000-000067470000}"/>
    <cellStyle name="Обычный 5 3" xfId="417" xr:uid="{00000000-0005-0000-0000-000068470000}"/>
    <cellStyle name="Обычный 5 3 2" xfId="18350" xr:uid="{00000000-0005-0000-0000-000069470000}"/>
    <cellStyle name="Обычный 5 3 3" xfId="18351" xr:uid="{00000000-0005-0000-0000-00006A470000}"/>
    <cellStyle name="Обычный 5 4" xfId="18352" xr:uid="{00000000-0005-0000-0000-00006B470000}"/>
    <cellStyle name="Обычный 5 5" xfId="18353" xr:uid="{00000000-0005-0000-0000-00006C470000}"/>
    <cellStyle name="Обычный 5 6" xfId="18354" xr:uid="{00000000-0005-0000-0000-00006D470000}"/>
    <cellStyle name="Обычный 5_Общие уровни" xfId="18355" xr:uid="{00000000-0005-0000-0000-00006E470000}"/>
    <cellStyle name="Обычный 50" xfId="418" xr:uid="{00000000-0005-0000-0000-00006F470000}"/>
    <cellStyle name="Обычный 50 2" xfId="18356" xr:uid="{00000000-0005-0000-0000-000070470000}"/>
    <cellStyle name="Обычный 50 2 2" xfId="18357" xr:uid="{00000000-0005-0000-0000-000071470000}"/>
    <cellStyle name="Обычный 50 2 3" xfId="18358" xr:uid="{00000000-0005-0000-0000-000072470000}"/>
    <cellStyle name="Обычный 50 3" xfId="18359" xr:uid="{00000000-0005-0000-0000-000073470000}"/>
    <cellStyle name="Обычный 50 4" xfId="18360" xr:uid="{00000000-0005-0000-0000-000074470000}"/>
    <cellStyle name="Обычный 51" xfId="419" xr:uid="{00000000-0005-0000-0000-000075470000}"/>
    <cellStyle name="Обычный 51 2" xfId="18361" xr:uid="{00000000-0005-0000-0000-000076470000}"/>
    <cellStyle name="Обычный 51 2 2" xfId="18362" xr:uid="{00000000-0005-0000-0000-000077470000}"/>
    <cellStyle name="Обычный 51 2 3" xfId="18363" xr:uid="{00000000-0005-0000-0000-000078470000}"/>
    <cellStyle name="Обычный 51 3" xfId="18364" xr:uid="{00000000-0005-0000-0000-000079470000}"/>
    <cellStyle name="Обычный 51 4" xfId="18365" xr:uid="{00000000-0005-0000-0000-00007A470000}"/>
    <cellStyle name="Обычный 52" xfId="420" xr:uid="{00000000-0005-0000-0000-00007B470000}"/>
    <cellStyle name="Обычный 52 2" xfId="18366" xr:uid="{00000000-0005-0000-0000-00007C470000}"/>
    <cellStyle name="Обычный 52 2 2" xfId="18367" xr:uid="{00000000-0005-0000-0000-00007D470000}"/>
    <cellStyle name="Обычный 52 2 3" xfId="18368" xr:uid="{00000000-0005-0000-0000-00007E470000}"/>
    <cellStyle name="Обычный 52 3" xfId="18369" xr:uid="{00000000-0005-0000-0000-00007F470000}"/>
    <cellStyle name="Обычный 52 4" xfId="18370" xr:uid="{00000000-0005-0000-0000-000080470000}"/>
    <cellStyle name="Обычный 53" xfId="421" xr:uid="{00000000-0005-0000-0000-000081470000}"/>
    <cellStyle name="Обычный 53 2" xfId="18371" xr:uid="{00000000-0005-0000-0000-000082470000}"/>
    <cellStyle name="Обычный 53 2 2" xfId="18372" xr:uid="{00000000-0005-0000-0000-000083470000}"/>
    <cellStyle name="Обычный 53 2 3" xfId="18373" xr:uid="{00000000-0005-0000-0000-000084470000}"/>
    <cellStyle name="Обычный 53 3" xfId="18374" xr:uid="{00000000-0005-0000-0000-000085470000}"/>
    <cellStyle name="Обычный 53 4" xfId="18375" xr:uid="{00000000-0005-0000-0000-000086470000}"/>
    <cellStyle name="Обычный 54" xfId="422" xr:uid="{00000000-0005-0000-0000-000087470000}"/>
    <cellStyle name="Обычный 54 2" xfId="18376" xr:uid="{00000000-0005-0000-0000-000088470000}"/>
    <cellStyle name="Обычный 54 2 2" xfId="18377" xr:uid="{00000000-0005-0000-0000-000089470000}"/>
    <cellStyle name="Обычный 54 2 3" xfId="18378" xr:uid="{00000000-0005-0000-0000-00008A470000}"/>
    <cellStyle name="Обычный 54 3" xfId="18379" xr:uid="{00000000-0005-0000-0000-00008B470000}"/>
    <cellStyle name="Обычный 54 4" xfId="18380" xr:uid="{00000000-0005-0000-0000-00008C470000}"/>
    <cellStyle name="Обычный 55" xfId="423" xr:uid="{00000000-0005-0000-0000-00008D470000}"/>
    <cellStyle name="Обычный 55 2" xfId="18381" xr:uid="{00000000-0005-0000-0000-00008E470000}"/>
    <cellStyle name="Обычный 55 2 2" xfId="18382" xr:uid="{00000000-0005-0000-0000-00008F470000}"/>
    <cellStyle name="Обычный 55 2 3" xfId="18383" xr:uid="{00000000-0005-0000-0000-000090470000}"/>
    <cellStyle name="Обычный 55 3" xfId="18384" xr:uid="{00000000-0005-0000-0000-000091470000}"/>
    <cellStyle name="Обычный 55 4" xfId="18385" xr:uid="{00000000-0005-0000-0000-000092470000}"/>
    <cellStyle name="Обычный 56" xfId="424" xr:uid="{00000000-0005-0000-0000-000093470000}"/>
    <cellStyle name="Обычный 56 2" xfId="18386" xr:uid="{00000000-0005-0000-0000-000094470000}"/>
    <cellStyle name="Обычный 56 2 2" xfId="18387" xr:uid="{00000000-0005-0000-0000-000095470000}"/>
    <cellStyle name="Обычный 56 2 3" xfId="18388" xr:uid="{00000000-0005-0000-0000-000096470000}"/>
    <cellStyle name="Обычный 56 3" xfId="18389" xr:uid="{00000000-0005-0000-0000-000097470000}"/>
    <cellStyle name="Обычный 56 4" xfId="18390" xr:uid="{00000000-0005-0000-0000-000098470000}"/>
    <cellStyle name="Обычный 57" xfId="425" xr:uid="{00000000-0005-0000-0000-000099470000}"/>
    <cellStyle name="Обычный 57 2" xfId="18391" xr:uid="{00000000-0005-0000-0000-00009A470000}"/>
    <cellStyle name="Обычный 57 2 2" xfId="18392" xr:uid="{00000000-0005-0000-0000-00009B470000}"/>
    <cellStyle name="Обычный 57 2 3" xfId="18393" xr:uid="{00000000-0005-0000-0000-00009C470000}"/>
    <cellStyle name="Обычный 57 3" xfId="18394" xr:uid="{00000000-0005-0000-0000-00009D470000}"/>
    <cellStyle name="Обычный 57 4" xfId="18395" xr:uid="{00000000-0005-0000-0000-00009E470000}"/>
    <cellStyle name="Обычный 58" xfId="476" xr:uid="{00000000-0005-0000-0000-00009F470000}"/>
    <cellStyle name="Обычный 58 2" xfId="18396" xr:uid="{00000000-0005-0000-0000-0000A0470000}"/>
    <cellStyle name="Обычный 58 2 2" xfId="18397" xr:uid="{00000000-0005-0000-0000-0000A1470000}"/>
    <cellStyle name="Обычный 58 2 3" xfId="18398" xr:uid="{00000000-0005-0000-0000-0000A2470000}"/>
    <cellStyle name="Обычный 58 3" xfId="18399" xr:uid="{00000000-0005-0000-0000-0000A3470000}"/>
    <cellStyle name="Обычный 58 4" xfId="18400" xr:uid="{00000000-0005-0000-0000-0000A4470000}"/>
    <cellStyle name="Обычный 59" xfId="18401" xr:uid="{00000000-0005-0000-0000-0000A5470000}"/>
    <cellStyle name="Обычный 59 2" xfId="18402" xr:uid="{00000000-0005-0000-0000-0000A6470000}"/>
    <cellStyle name="Обычный 59 2 2" xfId="18403" xr:uid="{00000000-0005-0000-0000-0000A7470000}"/>
    <cellStyle name="Обычный 59 2 3" xfId="18404" xr:uid="{00000000-0005-0000-0000-0000A8470000}"/>
    <cellStyle name="Обычный 59 3" xfId="18405" xr:uid="{00000000-0005-0000-0000-0000A9470000}"/>
    <cellStyle name="Обычный 59 4" xfId="18406" xr:uid="{00000000-0005-0000-0000-0000AA470000}"/>
    <cellStyle name="Обычный 6" xfId="426" xr:uid="{00000000-0005-0000-0000-0000AB470000}"/>
    <cellStyle name="Обычный 6 2" xfId="427" xr:uid="{00000000-0005-0000-0000-0000AC470000}"/>
    <cellStyle name="Обычный 6 2 2" xfId="18407" xr:uid="{00000000-0005-0000-0000-0000AD470000}"/>
    <cellStyle name="Обычный 6 2 2 2" xfId="18408" xr:uid="{00000000-0005-0000-0000-0000AE470000}"/>
    <cellStyle name="Обычный 6 2 2 2 2" xfId="18409" xr:uid="{00000000-0005-0000-0000-0000AF470000}"/>
    <cellStyle name="Обычный 6 2 2 2 3" xfId="18410" xr:uid="{00000000-0005-0000-0000-0000B0470000}"/>
    <cellStyle name="Обычный 6 2 2 3" xfId="18411" xr:uid="{00000000-0005-0000-0000-0000B1470000}"/>
    <cellStyle name="Обычный 6 2 2 4" xfId="18412" xr:uid="{00000000-0005-0000-0000-0000B2470000}"/>
    <cellStyle name="Обычный 6 2 3" xfId="18413" xr:uid="{00000000-0005-0000-0000-0000B3470000}"/>
    <cellStyle name="Обычный 6 2 3 2" xfId="18414" xr:uid="{00000000-0005-0000-0000-0000B4470000}"/>
    <cellStyle name="Обычный 6 2 3 3" xfId="18415" xr:uid="{00000000-0005-0000-0000-0000B5470000}"/>
    <cellStyle name="Обычный 6 2 4" xfId="18416" xr:uid="{00000000-0005-0000-0000-0000B6470000}"/>
    <cellStyle name="Обычный 6 2 5" xfId="18417" xr:uid="{00000000-0005-0000-0000-0000B7470000}"/>
    <cellStyle name="Обычный 6 3" xfId="428" xr:uid="{00000000-0005-0000-0000-0000B8470000}"/>
    <cellStyle name="Обычный 6 3 2" xfId="18418" xr:uid="{00000000-0005-0000-0000-0000B9470000}"/>
    <cellStyle name="Обычный 6 3 2 2" xfId="18419" xr:uid="{00000000-0005-0000-0000-0000BA470000}"/>
    <cellStyle name="Обычный 6 3 2 3" xfId="18420" xr:uid="{00000000-0005-0000-0000-0000BB470000}"/>
    <cellStyle name="Обычный 6 3 3" xfId="18421" xr:uid="{00000000-0005-0000-0000-0000BC470000}"/>
    <cellStyle name="Обычный 6 3 4" xfId="18422" xr:uid="{00000000-0005-0000-0000-0000BD470000}"/>
    <cellStyle name="Обычный 6 4" xfId="18423" xr:uid="{00000000-0005-0000-0000-0000BE470000}"/>
    <cellStyle name="Обычный 6 4 2" xfId="18424" xr:uid="{00000000-0005-0000-0000-0000BF470000}"/>
    <cellStyle name="Обычный 6 4 3" xfId="18425" xr:uid="{00000000-0005-0000-0000-0000C0470000}"/>
    <cellStyle name="Обычный 6 5" xfId="18426" xr:uid="{00000000-0005-0000-0000-0000C1470000}"/>
    <cellStyle name="Обычный 6 6" xfId="18427" xr:uid="{00000000-0005-0000-0000-0000C2470000}"/>
    <cellStyle name="Обычный 60" xfId="18428" xr:uid="{00000000-0005-0000-0000-0000C3470000}"/>
    <cellStyle name="Обычный 60 2" xfId="18429" xr:uid="{00000000-0005-0000-0000-0000C4470000}"/>
    <cellStyle name="Обычный 60 2 2" xfId="18430" xr:uid="{00000000-0005-0000-0000-0000C5470000}"/>
    <cellStyle name="Обычный 60 2 3" xfId="18431" xr:uid="{00000000-0005-0000-0000-0000C6470000}"/>
    <cellStyle name="Обычный 60 3" xfId="18432" xr:uid="{00000000-0005-0000-0000-0000C7470000}"/>
    <cellStyle name="Обычный 60 4" xfId="18433" xr:uid="{00000000-0005-0000-0000-0000C8470000}"/>
    <cellStyle name="Обычный 61" xfId="18434" xr:uid="{00000000-0005-0000-0000-0000C9470000}"/>
    <cellStyle name="Обычный 61 2" xfId="18435" xr:uid="{00000000-0005-0000-0000-0000CA470000}"/>
    <cellStyle name="Обычный 61 2 2" xfId="18436" xr:uid="{00000000-0005-0000-0000-0000CB470000}"/>
    <cellStyle name="Обычный 61 2 3" xfId="18437" xr:uid="{00000000-0005-0000-0000-0000CC470000}"/>
    <cellStyle name="Обычный 61 3" xfId="18438" xr:uid="{00000000-0005-0000-0000-0000CD470000}"/>
    <cellStyle name="Обычный 61 4" xfId="18439" xr:uid="{00000000-0005-0000-0000-0000CE470000}"/>
    <cellStyle name="Обычный 62" xfId="18440" xr:uid="{00000000-0005-0000-0000-0000CF470000}"/>
    <cellStyle name="Обычный 62 2" xfId="18441" xr:uid="{00000000-0005-0000-0000-0000D0470000}"/>
    <cellStyle name="Обычный 62 2 2" xfId="18442" xr:uid="{00000000-0005-0000-0000-0000D1470000}"/>
    <cellStyle name="Обычный 62 2 3" xfId="18443" xr:uid="{00000000-0005-0000-0000-0000D2470000}"/>
    <cellStyle name="Обычный 62 3" xfId="18444" xr:uid="{00000000-0005-0000-0000-0000D3470000}"/>
    <cellStyle name="Обычный 62 4" xfId="18445" xr:uid="{00000000-0005-0000-0000-0000D4470000}"/>
    <cellStyle name="Обычный 63" xfId="18446" xr:uid="{00000000-0005-0000-0000-0000D5470000}"/>
    <cellStyle name="Обычный 63 2" xfId="18447" xr:uid="{00000000-0005-0000-0000-0000D6470000}"/>
    <cellStyle name="Обычный 63 2 2" xfId="18448" xr:uid="{00000000-0005-0000-0000-0000D7470000}"/>
    <cellStyle name="Обычный 63 2 3" xfId="18449" xr:uid="{00000000-0005-0000-0000-0000D8470000}"/>
    <cellStyle name="Обычный 63 3" xfId="18450" xr:uid="{00000000-0005-0000-0000-0000D9470000}"/>
    <cellStyle name="Обычный 63 4" xfId="18451" xr:uid="{00000000-0005-0000-0000-0000DA470000}"/>
    <cellStyle name="Обычный 64" xfId="18452" xr:uid="{00000000-0005-0000-0000-0000DB470000}"/>
    <cellStyle name="Обычный 64 2" xfId="18453" xr:uid="{00000000-0005-0000-0000-0000DC470000}"/>
    <cellStyle name="Обычный 64 2 2" xfId="18454" xr:uid="{00000000-0005-0000-0000-0000DD470000}"/>
    <cellStyle name="Обычный 64 2 3" xfId="18455" xr:uid="{00000000-0005-0000-0000-0000DE470000}"/>
    <cellStyle name="Обычный 64 3" xfId="18456" xr:uid="{00000000-0005-0000-0000-0000DF470000}"/>
    <cellStyle name="Обычный 64 4" xfId="18457" xr:uid="{00000000-0005-0000-0000-0000E0470000}"/>
    <cellStyle name="Обычный 65" xfId="18458" xr:uid="{00000000-0005-0000-0000-0000E1470000}"/>
    <cellStyle name="Обычный 65 2" xfId="18459" xr:uid="{00000000-0005-0000-0000-0000E2470000}"/>
    <cellStyle name="Обычный 65 2 2" xfId="18460" xr:uid="{00000000-0005-0000-0000-0000E3470000}"/>
    <cellStyle name="Обычный 65 2 3" xfId="18461" xr:uid="{00000000-0005-0000-0000-0000E4470000}"/>
    <cellStyle name="Обычный 65 3" xfId="18462" xr:uid="{00000000-0005-0000-0000-0000E5470000}"/>
    <cellStyle name="Обычный 65 4" xfId="18463" xr:uid="{00000000-0005-0000-0000-0000E6470000}"/>
    <cellStyle name="Обычный 66" xfId="18464" xr:uid="{00000000-0005-0000-0000-0000E7470000}"/>
    <cellStyle name="Обычный 66 2" xfId="18465" xr:uid="{00000000-0005-0000-0000-0000E8470000}"/>
    <cellStyle name="Обычный 66 2 2" xfId="18466" xr:uid="{00000000-0005-0000-0000-0000E9470000}"/>
    <cellStyle name="Обычный 66 2 3" xfId="18467" xr:uid="{00000000-0005-0000-0000-0000EA470000}"/>
    <cellStyle name="Обычный 66 3" xfId="18468" xr:uid="{00000000-0005-0000-0000-0000EB470000}"/>
    <cellStyle name="Обычный 66 4" xfId="18469" xr:uid="{00000000-0005-0000-0000-0000EC470000}"/>
    <cellStyle name="Обычный 67" xfId="18470" xr:uid="{00000000-0005-0000-0000-0000ED470000}"/>
    <cellStyle name="Обычный 67 2" xfId="18471" xr:uid="{00000000-0005-0000-0000-0000EE470000}"/>
    <cellStyle name="Обычный 67 2 2" xfId="18472" xr:uid="{00000000-0005-0000-0000-0000EF470000}"/>
    <cellStyle name="Обычный 67 2 3" xfId="18473" xr:uid="{00000000-0005-0000-0000-0000F0470000}"/>
    <cellStyle name="Обычный 67 3" xfId="18474" xr:uid="{00000000-0005-0000-0000-0000F1470000}"/>
    <cellStyle name="Обычный 67 4" xfId="18475" xr:uid="{00000000-0005-0000-0000-0000F2470000}"/>
    <cellStyle name="Обычный 68" xfId="18476" xr:uid="{00000000-0005-0000-0000-0000F3470000}"/>
    <cellStyle name="Обычный 68 2" xfId="18477" xr:uid="{00000000-0005-0000-0000-0000F4470000}"/>
    <cellStyle name="Обычный 68 2 2" xfId="18478" xr:uid="{00000000-0005-0000-0000-0000F5470000}"/>
    <cellStyle name="Обычный 68 2 3" xfId="18479" xr:uid="{00000000-0005-0000-0000-0000F6470000}"/>
    <cellStyle name="Обычный 68 3" xfId="18480" xr:uid="{00000000-0005-0000-0000-0000F7470000}"/>
    <cellStyle name="Обычный 68 4" xfId="18481" xr:uid="{00000000-0005-0000-0000-0000F8470000}"/>
    <cellStyle name="Обычный 69" xfId="18482" xr:uid="{00000000-0005-0000-0000-0000F9470000}"/>
    <cellStyle name="Обычный 69 2" xfId="18483" xr:uid="{00000000-0005-0000-0000-0000FA470000}"/>
    <cellStyle name="Обычный 69 2 2" xfId="18484" xr:uid="{00000000-0005-0000-0000-0000FB470000}"/>
    <cellStyle name="Обычный 69 2 3" xfId="18485" xr:uid="{00000000-0005-0000-0000-0000FC470000}"/>
    <cellStyle name="Обычный 69 3" xfId="18486" xr:uid="{00000000-0005-0000-0000-0000FD470000}"/>
    <cellStyle name="Обычный 69 4" xfId="18487" xr:uid="{00000000-0005-0000-0000-0000FE470000}"/>
    <cellStyle name="Обычный 7" xfId="429" xr:uid="{00000000-0005-0000-0000-0000FF470000}"/>
    <cellStyle name="Обычный 7 2" xfId="430" xr:uid="{00000000-0005-0000-0000-000000480000}"/>
    <cellStyle name="Обычный 7 2 2" xfId="18488" xr:uid="{00000000-0005-0000-0000-000001480000}"/>
    <cellStyle name="Обычный 7 2 2 2" xfId="18489" xr:uid="{00000000-0005-0000-0000-000002480000}"/>
    <cellStyle name="Обычный 7 2 2 2 2" xfId="18490" xr:uid="{00000000-0005-0000-0000-000003480000}"/>
    <cellStyle name="Обычный 7 2 2 2 3" xfId="18491" xr:uid="{00000000-0005-0000-0000-000004480000}"/>
    <cellStyle name="Обычный 7 2 2 3" xfId="18492" xr:uid="{00000000-0005-0000-0000-000005480000}"/>
    <cellStyle name="Обычный 7 2 2 4" xfId="18493" xr:uid="{00000000-0005-0000-0000-000006480000}"/>
    <cellStyle name="Обычный 7 2 3" xfId="18494" xr:uid="{00000000-0005-0000-0000-000007480000}"/>
    <cellStyle name="Обычный 7 2 3 2" xfId="18495" xr:uid="{00000000-0005-0000-0000-000008480000}"/>
    <cellStyle name="Обычный 7 2 3 3" xfId="18496" xr:uid="{00000000-0005-0000-0000-000009480000}"/>
    <cellStyle name="Обычный 7 2 4" xfId="18497" xr:uid="{00000000-0005-0000-0000-00000A480000}"/>
    <cellStyle name="Обычный 7 2 5" xfId="18498" xr:uid="{00000000-0005-0000-0000-00000B480000}"/>
    <cellStyle name="Обычный 7 3" xfId="431" xr:uid="{00000000-0005-0000-0000-00000C480000}"/>
    <cellStyle name="Обычный 7 3 2" xfId="18499" xr:uid="{00000000-0005-0000-0000-00000D480000}"/>
    <cellStyle name="Обычный 7 3 2 2" xfId="18500" xr:uid="{00000000-0005-0000-0000-00000E480000}"/>
    <cellStyle name="Обычный 7 3 2 3" xfId="18501" xr:uid="{00000000-0005-0000-0000-00000F480000}"/>
    <cellStyle name="Обычный 7 3 3" xfId="18502" xr:uid="{00000000-0005-0000-0000-000010480000}"/>
    <cellStyle name="Обычный 7 3 4" xfId="18503" xr:uid="{00000000-0005-0000-0000-000011480000}"/>
    <cellStyle name="Обычный 7 4" xfId="18504" xr:uid="{00000000-0005-0000-0000-000012480000}"/>
    <cellStyle name="Обычный 7 4 2" xfId="18505" xr:uid="{00000000-0005-0000-0000-000013480000}"/>
    <cellStyle name="Обычный 7 4 3" xfId="18506" xr:uid="{00000000-0005-0000-0000-000014480000}"/>
    <cellStyle name="Обычный 7 5" xfId="18507" xr:uid="{00000000-0005-0000-0000-000015480000}"/>
    <cellStyle name="Обычный 7 6" xfId="18508" xr:uid="{00000000-0005-0000-0000-000016480000}"/>
    <cellStyle name="Обычный 70" xfId="18509" xr:uid="{00000000-0005-0000-0000-000017480000}"/>
    <cellStyle name="Обычный 70 2" xfId="18510" xr:uid="{00000000-0005-0000-0000-000018480000}"/>
    <cellStyle name="Обычный 70 3" xfId="18511" xr:uid="{00000000-0005-0000-0000-000019480000}"/>
    <cellStyle name="Обычный 71" xfId="18512" xr:uid="{00000000-0005-0000-0000-00001A480000}"/>
    <cellStyle name="Обычный 71 2" xfId="18513" xr:uid="{00000000-0005-0000-0000-00001B480000}"/>
    <cellStyle name="Обычный 72" xfId="18514" xr:uid="{00000000-0005-0000-0000-00001C480000}"/>
    <cellStyle name="Обычный 72 2" xfId="18515" xr:uid="{00000000-0005-0000-0000-00001D480000}"/>
    <cellStyle name="Обычный 72 3" xfId="18516" xr:uid="{00000000-0005-0000-0000-00001E480000}"/>
    <cellStyle name="Обычный 73" xfId="18517" xr:uid="{00000000-0005-0000-0000-00001F480000}"/>
    <cellStyle name="Обычный 73 2" xfId="18518" xr:uid="{00000000-0005-0000-0000-000020480000}"/>
    <cellStyle name="Обычный 73 3" xfId="18519" xr:uid="{00000000-0005-0000-0000-000021480000}"/>
    <cellStyle name="Обычный 74" xfId="18520" xr:uid="{00000000-0005-0000-0000-000022480000}"/>
    <cellStyle name="Обычный 74 2" xfId="18521" xr:uid="{00000000-0005-0000-0000-000023480000}"/>
    <cellStyle name="Обычный 74 3" xfId="18522" xr:uid="{00000000-0005-0000-0000-000024480000}"/>
    <cellStyle name="Обычный 75" xfId="18523" xr:uid="{00000000-0005-0000-0000-000025480000}"/>
    <cellStyle name="Обычный 75 2" xfId="18524" xr:uid="{00000000-0005-0000-0000-000026480000}"/>
    <cellStyle name="Обычный 75 3" xfId="18525" xr:uid="{00000000-0005-0000-0000-000027480000}"/>
    <cellStyle name="Обычный 76" xfId="18526" xr:uid="{00000000-0005-0000-0000-000028480000}"/>
    <cellStyle name="Обычный 76 2" xfId="18527" xr:uid="{00000000-0005-0000-0000-000029480000}"/>
    <cellStyle name="Обычный 76 3" xfId="18528" xr:uid="{00000000-0005-0000-0000-00002A480000}"/>
    <cellStyle name="Обычный 77" xfId="18529" xr:uid="{00000000-0005-0000-0000-00002B480000}"/>
    <cellStyle name="Обычный 77 2" xfId="18530" xr:uid="{00000000-0005-0000-0000-00002C480000}"/>
    <cellStyle name="Обычный 77 3" xfId="18531" xr:uid="{00000000-0005-0000-0000-00002D480000}"/>
    <cellStyle name="Обычный 78" xfId="18532" xr:uid="{00000000-0005-0000-0000-00002E480000}"/>
    <cellStyle name="Обычный 78 2" xfId="18533" xr:uid="{00000000-0005-0000-0000-00002F480000}"/>
    <cellStyle name="Обычный 78 3" xfId="18534" xr:uid="{00000000-0005-0000-0000-000030480000}"/>
    <cellStyle name="Обычный 79" xfId="18535" xr:uid="{00000000-0005-0000-0000-000031480000}"/>
    <cellStyle name="Обычный 79 2" xfId="18536" xr:uid="{00000000-0005-0000-0000-000032480000}"/>
    <cellStyle name="Обычный 79 3" xfId="18537" xr:uid="{00000000-0005-0000-0000-000033480000}"/>
    <cellStyle name="Обычный 8" xfId="432" xr:uid="{00000000-0005-0000-0000-000034480000}"/>
    <cellStyle name="Обычный 8 2" xfId="433" xr:uid="{00000000-0005-0000-0000-000035480000}"/>
    <cellStyle name="Обычный 8 2 2" xfId="18538" xr:uid="{00000000-0005-0000-0000-000036480000}"/>
    <cellStyle name="Обычный 8 2 2 2" xfId="18539" xr:uid="{00000000-0005-0000-0000-000037480000}"/>
    <cellStyle name="Обычный 8 2 2 3" xfId="18540" xr:uid="{00000000-0005-0000-0000-000038480000}"/>
    <cellStyle name="Обычный 8 2 3" xfId="18541" xr:uid="{00000000-0005-0000-0000-000039480000}"/>
    <cellStyle name="Обычный 8 2 4" xfId="18542" xr:uid="{00000000-0005-0000-0000-00003A480000}"/>
    <cellStyle name="Обычный 8 3" xfId="18543" xr:uid="{00000000-0005-0000-0000-00003B480000}"/>
    <cellStyle name="Обычный 8 3 2" xfId="18544" xr:uid="{00000000-0005-0000-0000-00003C480000}"/>
    <cellStyle name="Обычный 8 3 3" xfId="18545" xr:uid="{00000000-0005-0000-0000-00003D480000}"/>
    <cellStyle name="Обычный 8 4" xfId="18546" xr:uid="{00000000-0005-0000-0000-00003E480000}"/>
    <cellStyle name="Обычный 8 5" xfId="18547" xr:uid="{00000000-0005-0000-0000-00003F480000}"/>
    <cellStyle name="Обычный 80" xfId="18548" xr:uid="{00000000-0005-0000-0000-000040480000}"/>
    <cellStyle name="Обычный 80 2" xfId="18549" xr:uid="{00000000-0005-0000-0000-000041480000}"/>
    <cellStyle name="Обычный 80 3" xfId="18550" xr:uid="{00000000-0005-0000-0000-000042480000}"/>
    <cellStyle name="Обычный 81" xfId="18551" xr:uid="{00000000-0005-0000-0000-000043480000}"/>
    <cellStyle name="Обычный 81 2" xfId="18552" xr:uid="{00000000-0005-0000-0000-000044480000}"/>
    <cellStyle name="Обычный 81 3" xfId="18553" xr:uid="{00000000-0005-0000-0000-000045480000}"/>
    <cellStyle name="Обычный 82" xfId="18554" xr:uid="{00000000-0005-0000-0000-000046480000}"/>
    <cellStyle name="Обычный 82 2" xfId="18555" xr:uid="{00000000-0005-0000-0000-000047480000}"/>
    <cellStyle name="Обычный 82 3" xfId="18556" xr:uid="{00000000-0005-0000-0000-000048480000}"/>
    <cellStyle name="Обычный 83" xfId="18557" xr:uid="{00000000-0005-0000-0000-000049480000}"/>
    <cellStyle name="Обычный 83 2" xfId="18558" xr:uid="{00000000-0005-0000-0000-00004A480000}"/>
    <cellStyle name="Обычный 83 3" xfId="18559" xr:uid="{00000000-0005-0000-0000-00004B480000}"/>
    <cellStyle name="Обычный 84" xfId="18560" xr:uid="{00000000-0005-0000-0000-00004C480000}"/>
    <cellStyle name="Обычный 84 2" xfId="18561" xr:uid="{00000000-0005-0000-0000-00004D480000}"/>
    <cellStyle name="Обычный 84 3" xfId="18562" xr:uid="{00000000-0005-0000-0000-00004E480000}"/>
    <cellStyle name="Обычный 85" xfId="18563" xr:uid="{00000000-0005-0000-0000-00004F480000}"/>
    <cellStyle name="Обычный 85 2" xfId="18564" xr:uid="{00000000-0005-0000-0000-000050480000}"/>
    <cellStyle name="Обычный 85 3" xfId="18565" xr:uid="{00000000-0005-0000-0000-000051480000}"/>
    <cellStyle name="Обычный 86" xfId="18566" xr:uid="{00000000-0005-0000-0000-000052480000}"/>
    <cellStyle name="Обычный 86 2" xfId="18567" xr:uid="{00000000-0005-0000-0000-000053480000}"/>
    <cellStyle name="Обычный 86 3" xfId="18568" xr:uid="{00000000-0005-0000-0000-000054480000}"/>
    <cellStyle name="Обычный 87" xfId="18569" xr:uid="{00000000-0005-0000-0000-000055480000}"/>
    <cellStyle name="Обычный 87 2" xfId="18570" xr:uid="{00000000-0005-0000-0000-000056480000}"/>
    <cellStyle name="Обычный 87 3" xfId="18571" xr:uid="{00000000-0005-0000-0000-000057480000}"/>
    <cellStyle name="Обычный 88" xfId="18572" xr:uid="{00000000-0005-0000-0000-000058480000}"/>
    <cellStyle name="Обычный 88 2" xfId="18573" xr:uid="{00000000-0005-0000-0000-000059480000}"/>
    <cellStyle name="Обычный 88 3" xfId="18574" xr:uid="{00000000-0005-0000-0000-00005A480000}"/>
    <cellStyle name="Обычный 89" xfId="18575" xr:uid="{00000000-0005-0000-0000-00005B480000}"/>
    <cellStyle name="Обычный 89 2" xfId="18576" xr:uid="{00000000-0005-0000-0000-00005C480000}"/>
    <cellStyle name="Обычный 89 3" xfId="18577" xr:uid="{00000000-0005-0000-0000-00005D480000}"/>
    <cellStyle name="Обычный 9" xfId="434" xr:uid="{00000000-0005-0000-0000-00005E480000}"/>
    <cellStyle name="Обычный 9 10" xfId="18578" xr:uid="{00000000-0005-0000-0000-00005F480000}"/>
    <cellStyle name="Обычный 9 11" xfId="18579" xr:uid="{00000000-0005-0000-0000-000060480000}"/>
    <cellStyle name="Обычный 9 12" xfId="18580" xr:uid="{00000000-0005-0000-0000-000061480000}"/>
    <cellStyle name="Обычный 9 13" xfId="18581" xr:uid="{00000000-0005-0000-0000-000062480000}"/>
    <cellStyle name="Обычный 9 14" xfId="18582" xr:uid="{00000000-0005-0000-0000-000063480000}"/>
    <cellStyle name="Обычный 9 15" xfId="18583" xr:uid="{00000000-0005-0000-0000-000064480000}"/>
    <cellStyle name="Обычный 9 16" xfId="18584" xr:uid="{00000000-0005-0000-0000-000065480000}"/>
    <cellStyle name="Обычный 9 17" xfId="18585" xr:uid="{00000000-0005-0000-0000-000066480000}"/>
    <cellStyle name="Обычный 9 18" xfId="18586" xr:uid="{00000000-0005-0000-0000-000067480000}"/>
    <cellStyle name="Обычный 9 19" xfId="18587" xr:uid="{00000000-0005-0000-0000-000068480000}"/>
    <cellStyle name="Обычный 9 2" xfId="435" xr:uid="{00000000-0005-0000-0000-000069480000}"/>
    <cellStyle name="Обычный 9 2 10" xfId="18588" xr:uid="{00000000-0005-0000-0000-00006A480000}"/>
    <cellStyle name="Обычный 9 2 11" xfId="18589" xr:uid="{00000000-0005-0000-0000-00006B480000}"/>
    <cellStyle name="Обычный 9 2 12" xfId="18590" xr:uid="{00000000-0005-0000-0000-00006C480000}"/>
    <cellStyle name="Обычный 9 2 13" xfId="18591" xr:uid="{00000000-0005-0000-0000-00006D480000}"/>
    <cellStyle name="Обычный 9 2 14" xfId="18592" xr:uid="{00000000-0005-0000-0000-00006E480000}"/>
    <cellStyle name="Обычный 9 2 15" xfId="18593" xr:uid="{00000000-0005-0000-0000-00006F480000}"/>
    <cellStyle name="Обычный 9 2 16" xfId="18594" xr:uid="{00000000-0005-0000-0000-000070480000}"/>
    <cellStyle name="Обычный 9 2 17" xfId="18595" xr:uid="{00000000-0005-0000-0000-000071480000}"/>
    <cellStyle name="Обычный 9 2 18" xfId="18596" xr:uid="{00000000-0005-0000-0000-000072480000}"/>
    <cellStyle name="Обычный 9 2 19" xfId="18597" xr:uid="{00000000-0005-0000-0000-000073480000}"/>
    <cellStyle name="Обычный 9 2 2" xfId="18598" xr:uid="{00000000-0005-0000-0000-000074480000}"/>
    <cellStyle name="Обычный 9 2 2 2" xfId="18599" xr:uid="{00000000-0005-0000-0000-000075480000}"/>
    <cellStyle name="Обычный 9 2 2 3" xfId="18600" xr:uid="{00000000-0005-0000-0000-000076480000}"/>
    <cellStyle name="Обычный 9 2 20" xfId="18601" xr:uid="{00000000-0005-0000-0000-000077480000}"/>
    <cellStyle name="Обычный 9 2 21" xfId="18602" xr:uid="{00000000-0005-0000-0000-000078480000}"/>
    <cellStyle name="Обычный 9 2 22" xfId="18603" xr:uid="{00000000-0005-0000-0000-000079480000}"/>
    <cellStyle name="Обычный 9 2 23" xfId="18604" xr:uid="{00000000-0005-0000-0000-00007A480000}"/>
    <cellStyle name="Обычный 9 2 24" xfId="18605" xr:uid="{00000000-0005-0000-0000-00007B480000}"/>
    <cellStyle name="Обычный 9 2 25" xfId="18606" xr:uid="{00000000-0005-0000-0000-00007C480000}"/>
    <cellStyle name="Обычный 9 2 26" xfId="18607" xr:uid="{00000000-0005-0000-0000-00007D480000}"/>
    <cellStyle name="Обычный 9 2 27" xfId="18608" xr:uid="{00000000-0005-0000-0000-00007E480000}"/>
    <cellStyle name="Обычный 9 2 28" xfId="18609" xr:uid="{00000000-0005-0000-0000-00007F480000}"/>
    <cellStyle name="Обычный 9 2 29" xfId="18610" xr:uid="{00000000-0005-0000-0000-000080480000}"/>
    <cellStyle name="Обычный 9 2 3" xfId="18611" xr:uid="{00000000-0005-0000-0000-000081480000}"/>
    <cellStyle name="Обычный 9 2 30" xfId="18612" xr:uid="{00000000-0005-0000-0000-000082480000}"/>
    <cellStyle name="Обычный 9 2 31" xfId="18613" xr:uid="{00000000-0005-0000-0000-000083480000}"/>
    <cellStyle name="Обычный 9 2 32" xfId="18614" xr:uid="{00000000-0005-0000-0000-000084480000}"/>
    <cellStyle name="Обычный 9 2 33" xfId="18615" xr:uid="{00000000-0005-0000-0000-000085480000}"/>
    <cellStyle name="Обычный 9 2 34" xfId="18616" xr:uid="{00000000-0005-0000-0000-000086480000}"/>
    <cellStyle name="Обычный 9 2 35" xfId="18617" xr:uid="{00000000-0005-0000-0000-000087480000}"/>
    <cellStyle name="Обычный 9 2 36" xfId="18618" xr:uid="{00000000-0005-0000-0000-000088480000}"/>
    <cellStyle name="Обычный 9 2 37" xfId="18619" xr:uid="{00000000-0005-0000-0000-000089480000}"/>
    <cellStyle name="Обычный 9 2 38" xfId="18620" xr:uid="{00000000-0005-0000-0000-00008A480000}"/>
    <cellStyle name="Обычный 9 2 39" xfId="18621" xr:uid="{00000000-0005-0000-0000-00008B480000}"/>
    <cellStyle name="Обычный 9 2 4" xfId="18622" xr:uid="{00000000-0005-0000-0000-00008C480000}"/>
    <cellStyle name="Обычный 9 2 5" xfId="18623" xr:uid="{00000000-0005-0000-0000-00008D480000}"/>
    <cellStyle name="Обычный 9 2 6" xfId="18624" xr:uid="{00000000-0005-0000-0000-00008E480000}"/>
    <cellStyle name="Обычный 9 2 7" xfId="18625" xr:uid="{00000000-0005-0000-0000-00008F480000}"/>
    <cellStyle name="Обычный 9 2 8" xfId="18626" xr:uid="{00000000-0005-0000-0000-000090480000}"/>
    <cellStyle name="Обычный 9 2 9" xfId="18627" xr:uid="{00000000-0005-0000-0000-000091480000}"/>
    <cellStyle name="Обычный 9 20" xfId="18628" xr:uid="{00000000-0005-0000-0000-000092480000}"/>
    <cellStyle name="Обычный 9 21" xfId="18629" xr:uid="{00000000-0005-0000-0000-000093480000}"/>
    <cellStyle name="Обычный 9 22" xfId="18630" xr:uid="{00000000-0005-0000-0000-000094480000}"/>
    <cellStyle name="Обычный 9 23" xfId="18631" xr:uid="{00000000-0005-0000-0000-000095480000}"/>
    <cellStyle name="Обычный 9 24" xfId="18632" xr:uid="{00000000-0005-0000-0000-000096480000}"/>
    <cellStyle name="Обычный 9 25" xfId="18633" xr:uid="{00000000-0005-0000-0000-000097480000}"/>
    <cellStyle name="Обычный 9 26" xfId="18634" xr:uid="{00000000-0005-0000-0000-000098480000}"/>
    <cellStyle name="Обычный 9 27" xfId="18635" xr:uid="{00000000-0005-0000-0000-000099480000}"/>
    <cellStyle name="Обычный 9 28" xfId="18636" xr:uid="{00000000-0005-0000-0000-00009A480000}"/>
    <cellStyle name="Обычный 9 29" xfId="18637" xr:uid="{00000000-0005-0000-0000-00009B480000}"/>
    <cellStyle name="Обычный 9 3" xfId="18638" xr:uid="{00000000-0005-0000-0000-00009C480000}"/>
    <cellStyle name="Обычный 9 3 2" xfId="18639" xr:uid="{00000000-0005-0000-0000-00009D480000}"/>
    <cellStyle name="Обычный 9 3 3" xfId="18640" xr:uid="{00000000-0005-0000-0000-00009E480000}"/>
    <cellStyle name="Обычный 9 30" xfId="18641" xr:uid="{00000000-0005-0000-0000-00009F480000}"/>
    <cellStyle name="Обычный 9 31" xfId="18642" xr:uid="{00000000-0005-0000-0000-0000A0480000}"/>
    <cellStyle name="Обычный 9 32" xfId="18643" xr:uid="{00000000-0005-0000-0000-0000A1480000}"/>
    <cellStyle name="Обычный 9 33" xfId="18644" xr:uid="{00000000-0005-0000-0000-0000A2480000}"/>
    <cellStyle name="Обычный 9 34" xfId="18645" xr:uid="{00000000-0005-0000-0000-0000A3480000}"/>
    <cellStyle name="Обычный 9 35" xfId="18646" xr:uid="{00000000-0005-0000-0000-0000A4480000}"/>
    <cellStyle name="Обычный 9 36" xfId="18647" xr:uid="{00000000-0005-0000-0000-0000A5480000}"/>
    <cellStyle name="Обычный 9 37" xfId="18648" xr:uid="{00000000-0005-0000-0000-0000A6480000}"/>
    <cellStyle name="Обычный 9 38" xfId="18649" xr:uid="{00000000-0005-0000-0000-0000A7480000}"/>
    <cellStyle name="Обычный 9 39" xfId="18650" xr:uid="{00000000-0005-0000-0000-0000A8480000}"/>
    <cellStyle name="Обычный 9 4" xfId="18651" xr:uid="{00000000-0005-0000-0000-0000A9480000}"/>
    <cellStyle name="Обычный 9 4 2" xfId="18652" xr:uid="{00000000-0005-0000-0000-0000AA480000}"/>
    <cellStyle name="Обычный 9 40" xfId="18653" xr:uid="{00000000-0005-0000-0000-0000AB480000}"/>
    <cellStyle name="Обычный 9 5" xfId="18654" xr:uid="{00000000-0005-0000-0000-0000AC480000}"/>
    <cellStyle name="Обычный 9 6" xfId="18655" xr:uid="{00000000-0005-0000-0000-0000AD480000}"/>
    <cellStyle name="Обычный 9 7" xfId="18656" xr:uid="{00000000-0005-0000-0000-0000AE480000}"/>
    <cellStyle name="Обычный 9 8" xfId="18657" xr:uid="{00000000-0005-0000-0000-0000AF480000}"/>
    <cellStyle name="Обычный 9 9" xfId="18658" xr:uid="{00000000-0005-0000-0000-0000B0480000}"/>
    <cellStyle name="Обычный 9_Задание по Дт и КТ на 3 rd" xfId="18659" xr:uid="{00000000-0005-0000-0000-0000B1480000}"/>
    <cellStyle name="Обычный 90" xfId="18660" xr:uid="{00000000-0005-0000-0000-0000B2480000}"/>
    <cellStyle name="Обычный 90 2" xfId="18661" xr:uid="{00000000-0005-0000-0000-0000B3480000}"/>
    <cellStyle name="Обычный 90 3" xfId="18662" xr:uid="{00000000-0005-0000-0000-0000B4480000}"/>
    <cellStyle name="Обычный 91" xfId="18663" xr:uid="{00000000-0005-0000-0000-0000B5480000}"/>
    <cellStyle name="Обычный 91 2" xfId="18664" xr:uid="{00000000-0005-0000-0000-0000B6480000}"/>
    <cellStyle name="Обычный 91 3" xfId="18665" xr:uid="{00000000-0005-0000-0000-0000B7480000}"/>
    <cellStyle name="Обычный 92" xfId="18666" xr:uid="{00000000-0005-0000-0000-0000B8480000}"/>
    <cellStyle name="Обычный 92 2" xfId="18667" xr:uid="{00000000-0005-0000-0000-0000B9480000}"/>
    <cellStyle name="Обычный 92 3" xfId="18668" xr:uid="{00000000-0005-0000-0000-0000BA480000}"/>
    <cellStyle name="Обычный 93" xfId="18669" xr:uid="{00000000-0005-0000-0000-0000BB480000}"/>
    <cellStyle name="Обычный 93 2" xfId="18670" xr:uid="{00000000-0005-0000-0000-0000BC480000}"/>
    <cellStyle name="Обычный 93 3" xfId="18671" xr:uid="{00000000-0005-0000-0000-0000BD480000}"/>
    <cellStyle name="Обычный 94" xfId="18672" xr:uid="{00000000-0005-0000-0000-0000BE480000}"/>
    <cellStyle name="Обычный 94 2" xfId="18673" xr:uid="{00000000-0005-0000-0000-0000BF480000}"/>
    <cellStyle name="Обычный 94 3" xfId="18674" xr:uid="{00000000-0005-0000-0000-0000C0480000}"/>
    <cellStyle name="Обычный 95" xfId="18675" xr:uid="{00000000-0005-0000-0000-0000C1480000}"/>
    <cellStyle name="Обычный 95 2" xfId="18676" xr:uid="{00000000-0005-0000-0000-0000C2480000}"/>
    <cellStyle name="Обычный 95 3" xfId="18677" xr:uid="{00000000-0005-0000-0000-0000C3480000}"/>
    <cellStyle name="Обычный 96" xfId="18678" xr:uid="{00000000-0005-0000-0000-0000C4480000}"/>
    <cellStyle name="Обычный 96 2" xfId="18679" xr:uid="{00000000-0005-0000-0000-0000C5480000}"/>
    <cellStyle name="Обычный 96 3" xfId="18680" xr:uid="{00000000-0005-0000-0000-0000C6480000}"/>
    <cellStyle name="Обычный 97" xfId="18681" xr:uid="{00000000-0005-0000-0000-0000C7480000}"/>
    <cellStyle name="Обычный 97 2" xfId="18682" xr:uid="{00000000-0005-0000-0000-0000C8480000}"/>
    <cellStyle name="Обычный 97 3" xfId="18683" xr:uid="{00000000-0005-0000-0000-0000C9480000}"/>
    <cellStyle name="Обычный 98" xfId="18684" xr:uid="{00000000-0005-0000-0000-0000CA480000}"/>
    <cellStyle name="Обычный 98 2" xfId="18685" xr:uid="{00000000-0005-0000-0000-0000CB480000}"/>
    <cellStyle name="Обычный 98 3" xfId="18686" xr:uid="{00000000-0005-0000-0000-0000CC480000}"/>
    <cellStyle name="Обычный 99" xfId="18687" xr:uid="{00000000-0005-0000-0000-0000CD480000}"/>
    <cellStyle name="Обычный 99 2" xfId="18688" xr:uid="{00000000-0005-0000-0000-0000CE480000}"/>
    <cellStyle name="Обычный 99 3" xfId="18689" xr:uid="{00000000-0005-0000-0000-0000CF480000}"/>
    <cellStyle name="Обычный_Лист" xfId="490" xr:uid="{00000000-0005-0000-0000-0000D0480000}"/>
    <cellStyle name="Обычный_Прогноз для ДПР (исх.+нов.)" xfId="489" xr:uid="{00000000-0005-0000-0000-0000D1480000}"/>
    <cellStyle name="Обычный_Факт с 2003" xfId="488" xr:uid="{00000000-0005-0000-0000-0000D2480000}"/>
    <cellStyle name="Параметры автоформата" xfId="18690" xr:uid="{00000000-0005-0000-0000-0000D3480000}"/>
    <cellStyle name="Плохой 10" xfId="18691" xr:uid="{00000000-0005-0000-0000-0000D4480000}"/>
    <cellStyle name="Плохой 100" xfId="18692" xr:uid="{00000000-0005-0000-0000-0000D5480000}"/>
    <cellStyle name="Плохой 101" xfId="18693" xr:uid="{00000000-0005-0000-0000-0000D6480000}"/>
    <cellStyle name="Плохой 102" xfId="18694" xr:uid="{00000000-0005-0000-0000-0000D7480000}"/>
    <cellStyle name="Плохой 103" xfId="18695" xr:uid="{00000000-0005-0000-0000-0000D8480000}"/>
    <cellStyle name="Плохой 104" xfId="18696" xr:uid="{00000000-0005-0000-0000-0000D9480000}"/>
    <cellStyle name="Плохой 105" xfId="18697" xr:uid="{00000000-0005-0000-0000-0000DA480000}"/>
    <cellStyle name="Плохой 106" xfId="18698" xr:uid="{00000000-0005-0000-0000-0000DB480000}"/>
    <cellStyle name="Плохой 107" xfId="18699" xr:uid="{00000000-0005-0000-0000-0000DC480000}"/>
    <cellStyle name="Плохой 108" xfId="18700" xr:uid="{00000000-0005-0000-0000-0000DD480000}"/>
    <cellStyle name="Плохой 109" xfId="18701" xr:uid="{00000000-0005-0000-0000-0000DE480000}"/>
    <cellStyle name="Плохой 11" xfId="18702" xr:uid="{00000000-0005-0000-0000-0000DF480000}"/>
    <cellStyle name="Плохой 110" xfId="18703" xr:uid="{00000000-0005-0000-0000-0000E0480000}"/>
    <cellStyle name="Плохой 111" xfId="18704" xr:uid="{00000000-0005-0000-0000-0000E1480000}"/>
    <cellStyle name="Плохой 112" xfId="18705" xr:uid="{00000000-0005-0000-0000-0000E2480000}"/>
    <cellStyle name="Плохой 113" xfId="18706" xr:uid="{00000000-0005-0000-0000-0000E3480000}"/>
    <cellStyle name="Плохой 114" xfId="18707" xr:uid="{00000000-0005-0000-0000-0000E4480000}"/>
    <cellStyle name="Плохой 115" xfId="18708" xr:uid="{00000000-0005-0000-0000-0000E5480000}"/>
    <cellStyle name="Плохой 116" xfId="18709" xr:uid="{00000000-0005-0000-0000-0000E6480000}"/>
    <cellStyle name="Плохой 117" xfId="18710" xr:uid="{00000000-0005-0000-0000-0000E7480000}"/>
    <cellStyle name="Плохой 118" xfId="18711" xr:uid="{00000000-0005-0000-0000-0000E8480000}"/>
    <cellStyle name="Плохой 119" xfId="18712" xr:uid="{00000000-0005-0000-0000-0000E9480000}"/>
    <cellStyle name="Плохой 12" xfId="18713" xr:uid="{00000000-0005-0000-0000-0000EA480000}"/>
    <cellStyle name="Плохой 120" xfId="18714" xr:uid="{00000000-0005-0000-0000-0000EB480000}"/>
    <cellStyle name="Плохой 121" xfId="18715" xr:uid="{00000000-0005-0000-0000-0000EC480000}"/>
    <cellStyle name="Плохой 122" xfId="18716" xr:uid="{00000000-0005-0000-0000-0000ED480000}"/>
    <cellStyle name="Плохой 123" xfId="18717" xr:uid="{00000000-0005-0000-0000-0000EE480000}"/>
    <cellStyle name="Плохой 124" xfId="18718" xr:uid="{00000000-0005-0000-0000-0000EF480000}"/>
    <cellStyle name="Плохой 125" xfId="18719" xr:uid="{00000000-0005-0000-0000-0000F0480000}"/>
    <cellStyle name="Плохой 126" xfId="18720" xr:uid="{00000000-0005-0000-0000-0000F1480000}"/>
    <cellStyle name="Плохой 127" xfId="18721" xr:uid="{00000000-0005-0000-0000-0000F2480000}"/>
    <cellStyle name="Плохой 128" xfId="18722" xr:uid="{00000000-0005-0000-0000-0000F3480000}"/>
    <cellStyle name="Плохой 129" xfId="18723" xr:uid="{00000000-0005-0000-0000-0000F4480000}"/>
    <cellStyle name="Плохой 13" xfId="18724" xr:uid="{00000000-0005-0000-0000-0000F5480000}"/>
    <cellStyle name="Плохой 130" xfId="18725" xr:uid="{00000000-0005-0000-0000-0000F6480000}"/>
    <cellStyle name="Плохой 131" xfId="18726" xr:uid="{00000000-0005-0000-0000-0000F7480000}"/>
    <cellStyle name="Плохой 132" xfId="18727" xr:uid="{00000000-0005-0000-0000-0000F8480000}"/>
    <cellStyle name="Плохой 133" xfId="18728" xr:uid="{00000000-0005-0000-0000-0000F9480000}"/>
    <cellStyle name="Плохой 134" xfId="18729" xr:uid="{00000000-0005-0000-0000-0000FA480000}"/>
    <cellStyle name="Плохой 135" xfId="18730" xr:uid="{00000000-0005-0000-0000-0000FB480000}"/>
    <cellStyle name="Плохой 136" xfId="18731" xr:uid="{00000000-0005-0000-0000-0000FC480000}"/>
    <cellStyle name="Плохой 137" xfId="18732" xr:uid="{00000000-0005-0000-0000-0000FD480000}"/>
    <cellStyle name="Плохой 138" xfId="18733" xr:uid="{00000000-0005-0000-0000-0000FE480000}"/>
    <cellStyle name="Плохой 139" xfId="18734" xr:uid="{00000000-0005-0000-0000-0000FF480000}"/>
    <cellStyle name="Плохой 14" xfId="18735" xr:uid="{00000000-0005-0000-0000-000000490000}"/>
    <cellStyle name="Плохой 140" xfId="18736" xr:uid="{00000000-0005-0000-0000-000001490000}"/>
    <cellStyle name="Плохой 141" xfId="18737" xr:uid="{00000000-0005-0000-0000-000002490000}"/>
    <cellStyle name="Плохой 142" xfId="18738" xr:uid="{00000000-0005-0000-0000-000003490000}"/>
    <cellStyle name="Плохой 143" xfId="18739" xr:uid="{00000000-0005-0000-0000-000004490000}"/>
    <cellStyle name="Плохой 144" xfId="18740" xr:uid="{00000000-0005-0000-0000-000005490000}"/>
    <cellStyle name="Плохой 145" xfId="18741" xr:uid="{00000000-0005-0000-0000-000006490000}"/>
    <cellStyle name="Плохой 146" xfId="18742" xr:uid="{00000000-0005-0000-0000-000007490000}"/>
    <cellStyle name="Плохой 147" xfId="18743" xr:uid="{00000000-0005-0000-0000-000008490000}"/>
    <cellStyle name="Плохой 148" xfId="18744" xr:uid="{00000000-0005-0000-0000-000009490000}"/>
    <cellStyle name="Плохой 149" xfId="18745" xr:uid="{00000000-0005-0000-0000-00000A490000}"/>
    <cellStyle name="Плохой 15" xfId="18746" xr:uid="{00000000-0005-0000-0000-00000B490000}"/>
    <cellStyle name="Плохой 150" xfId="18747" xr:uid="{00000000-0005-0000-0000-00000C490000}"/>
    <cellStyle name="Плохой 151" xfId="18748" xr:uid="{00000000-0005-0000-0000-00000D490000}"/>
    <cellStyle name="Плохой 152" xfId="18749" xr:uid="{00000000-0005-0000-0000-00000E490000}"/>
    <cellStyle name="Плохой 16" xfId="18750" xr:uid="{00000000-0005-0000-0000-00000F490000}"/>
    <cellStyle name="Плохой 17" xfId="18751" xr:uid="{00000000-0005-0000-0000-000010490000}"/>
    <cellStyle name="Плохой 18" xfId="18752" xr:uid="{00000000-0005-0000-0000-000011490000}"/>
    <cellStyle name="Плохой 19" xfId="18753" xr:uid="{00000000-0005-0000-0000-000012490000}"/>
    <cellStyle name="Плохой 2" xfId="436" xr:uid="{00000000-0005-0000-0000-000013490000}"/>
    <cellStyle name="Плохой 2 2" xfId="18754" xr:uid="{00000000-0005-0000-0000-000014490000}"/>
    <cellStyle name="Плохой 2 3" xfId="18755" xr:uid="{00000000-0005-0000-0000-000015490000}"/>
    <cellStyle name="Плохой 2 4" xfId="18756" xr:uid="{00000000-0005-0000-0000-000016490000}"/>
    <cellStyle name="Плохой 2 5" xfId="18757" xr:uid="{00000000-0005-0000-0000-000017490000}"/>
    <cellStyle name="Плохой 2 6" xfId="18758" xr:uid="{00000000-0005-0000-0000-000018490000}"/>
    <cellStyle name="Плохой 2 7" xfId="18759" xr:uid="{00000000-0005-0000-0000-000019490000}"/>
    <cellStyle name="Плохой 20" xfId="18760" xr:uid="{00000000-0005-0000-0000-00001A490000}"/>
    <cellStyle name="Плохой 20 2" xfId="18761" xr:uid="{00000000-0005-0000-0000-00001B490000}"/>
    <cellStyle name="Плохой 21" xfId="18762" xr:uid="{00000000-0005-0000-0000-00001C490000}"/>
    <cellStyle name="Плохой 22" xfId="18763" xr:uid="{00000000-0005-0000-0000-00001D490000}"/>
    <cellStyle name="Плохой 23" xfId="18764" xr:uid="{00000000-0005-0000-0000-00001E490000}"/>
    <cellStyle name="Плохой 24" xfId="18765" xr:uid="{00000000-0005-0000-0000-00001F490000}"/>
    <cellStyle name="Плохой 25" xfId="18766" xr:uid="{00000000-0005-0000-0000-000020490000}"/>
    <cellStyle name="Плохой 26" xfId="18767" xr:uid="{00000000-0005-0000-0000-000021490000}"/>
    <cellStyle name="Плохой 27" xfId="18768" xr:uid="{00000000-0005-0000-0000-000022490000}"/>
    <cellStyle name="Плохой 28" xfId="18769" xr:uid="{00000000-0005-0000-0000-000023490000}"/>
    <cellStyle name="Плохой 29" xfId="18770" xr:uid="{00000000-0005-0000-0000-000024490000}"/>
    <cellStyle name="Плохой 3" xfId="18771" xr:uid="{00000000-0005-0000-0000-000025490000}"/>
    <cellStyle name="Плохой 30" xfId="18772" xr:uid="{00000000-0005-0000-0000-000026490000}"/>
    <cellStyle name="Плохой 31" xfId="18773" xr:uid="{00000000-0005-0000-0000-000027490000}"/>
    <cellStyle name="Плохой 32" xfId="18774" xr:uid="{00000000-0005-0000-0000-000028490000}"/>
    <cellStyle name="Плохой 33" xfId="18775" xr:uid="{00000000-0005-0000-0000-000029490000}"/>
    <cellStyle name="Плохой 34" xfId="18776" xr:uid="{00000000-0005-0000-0000-00002A490000}"/>
    <cellStyle name="Плохой 35" xfId="18777" xr:uid="{00000000-0005-0000-0000-00002B490000}"/>
    <cellStyle name="Плохой 36" xfId="18778" xr:uid="{00000000-0005-0000-0000-00002C490000}"/>
    <cellStyle name="Плохой 37" xfId="18779" xr:uid="{00000000-0005-0000-0000-00002D490000}"/>
    <cellStyle name="Плохой 38" xfId="18780" xr:uid="{00000000-0005-0000-0000-00002E490000}"/>
    <cellStyle name="Плохой 39" xfId="18781" xr:uid="{00000000-0005-0000-0000-00002F490000}"/>
    <cellStyle name="Плохой 4" xfId="18782" xr:uid="{00000000-0005-0000-0000-000030490000}"/>
    <cellStyle name="Плохой 40" xfId="18783" xr:uid="{00000000-0005-0000-0000-000031490000}"/>
    <cellStyle name="Плохой 41" xfId="18784" xr:uid="{00000000-0005-0000-0000-000032490000}"/>
    <cellStyle name="Плохой 42" xfId="18785" xr:uid="{00000000-0005-0000-0000-000033490000}"/>
    <cellStyle name="Плохой 43" xfId="18786" xr:uid="{00000000-0005-0000-0000-000034490000}"/>
    <cellStyle name="Плохой 44" xfId="18787" xr:uid="{00000000-0005-0000-0000-000035490000}"/>
    <cellStyle name="Плохой 45" xfId="18788" xr:uid="{00000000-0005-0000-0000-000036490000}"/>
    <cellStyle name="Плохой 46" xfId="18789" xr:uid="{00000000-0005-0000-0000-000037490000}"/>
    <cellStyle name="Плохой 47" xfId="18790" xr:uid="{00000000-0005-0000-0000-000038490000}"/>
    <cellStyle name="Плохой 48" xfId="18791" xr:uid="{00000000-0005-0000-0000-000039490000}"/>
    <cellStyle name="Плохой 49" xfId="18792" xr:uid="{00000000-0005-0000-0000-00003A490000}"/>
    <cellStyle name="Плохой 5" xfId="18793" xr:uid="{00000000-0005-0000-0000-00003B490000}"/>
    <cellStyle name="Плохой 50" xfId="18794" xr:uid="{00000000-0005-0000-0000-00003C490000}"/>
    <cellStyle name="Плохой 51" xfId="18795" xr:uid="{00000000-0005-0000-0000-00003D490000}"/>
    <cellStyle name="Плохой 52" xfId="18796" xr:uid="{00000000-0005-0000-0000-00003E490000}"/>
    <cellStyle name="Плохой 53" xfId="18797" xr:uid="{00000000-0005-0000-0000-00003F490000}"/>
    <cellStyle name="Плохой 54" xfId="18798" xr:uid="{00000000-0005-0000-0000-000040490000}"/>
    <cellStyle name="Плохой 55" xfId="18799" xr:uid="{00000000-0005-0000-0000-000041490000}"/>
    <cellStyle name="Плохой 56" xfId="18800" xr:uid="{00000000-0005-0000-0000-000042490000}"/>
    <cellStyle name="Плохой 57" xfId="18801" xr:uid="{00000000-0005-0000-0000-000043490000}"/>
    <cellStyle name="Плохой 58" xfId="18802" xr:uid="{00000000-0005-0000-0000-000044490000}"/>
    <cellStyle name="Плохой 59" xfId="18803" xr:uid="{00000000-0005-0000-0000-000045490000}"/>
    <cellStyle name="Плохой 6" xfId="18804" xr:uid="{00000000-0005-0000-0000-000046490000}"/>
    <cellStyle name="Плохой 60" xfId="18805" xr:uid="{00000000-0005-0000-0000-000047490000}"/>
    <cellStyle name="Плохой 61" xfId="18806" xr:uid="{00000000-0005-0000-0000-000048490000}"/>
    <cellStyle name="Плохой 62" xfId="18807" xr:uid="{00000000-0005-0000-0000-000049490000}"/>
    <cellStyle name="Плохой 63" xfId="18808" xr:uid="{00000000-0005-0000-0000-00004A490000}"/>
    <cellStyle name="Плохой 64" xfId="18809" xr:uid="{00000000-0005-0000-0000-00004B490000}"/>
    <cellStyle name="Плохой 65" xfId="18810" xr:uid="{00000000-0005-0000-0000-00004C490000}"/>
    <cellStyle name="Плохой 66" xfId="18811" xr:uid="{00000000-0005-0000-0000-00004D490000}"/>
    <cellStyle name="Плохой 67" xfId="18812" xr:uid="{00000000-0005-0000-0000-00004E490000}"/>
    <cellStyle name="Плохой 68" xfId="18813" xr:uid="{00000000-0005-0000-0000-00004F490000}"/>
    <cellStyle name="Плохой 69" xfId="18814" xr:uid="{00000000-0005-0000-0000-000050490000}"/>
    <cellStyle name="Плохой 7" xfId="18815" xr:uid="{00000000-0005-0000-0000-000051490000}"/>
    <cellStyle name="Плохой 70" xfId="18816" xr:uid="{00000000-0005-0000-0000-000052490000}"/>
    <cellStyle name="Плохой 71" xfId="18817" xr:uid="{00000000-0005-0000-0000-000053490000}"/>
    <cellStyle name="Плохой 72" xfId="18818" xr:uid="{00000000-0005-0000-0000-000054490000}"/>
    <cellStyle name="Плохой 73" xfId="18819" xr:uid="{00000000-0005-0000-0000-000055490000}"/>
    <cellStyle name="Плохой 74" xfId="18820" xr:uid="{00000000-0005-0000-0000-000056490000}"/>
    <cellStyle name="Плохой 75" xfId="18821" xr:uid="{00000000-0005-0000-0000-000057490000}"/>
    <cellStyle name="Плохой 76" xfId="18822" xr:uid="{00000000-0005-0000-0000-000058490000}"/>
    <cellStyle name="Плохой 77" xfId="18823" xr:uid="{00000000-0005-0000-0000-000059490000}"/>
    <cellStyle name="Плохой 78" xfId="18824" xr:uid="{00000000-0005-0000-0000-00005A490000}"/>
    <cellStyle name="Плохой 79" xfId="18825" xr:uid="{00000000-0005-0000-0000-00005B490000}"/>
    <cellStyle name="Плохой 8" xfId="18826" xr:uid="{00000000-0005-0000-0000-00005C490000}"/>
    <cellStyle name="Плохой 80" xfId="18827" xr:uid="{00000000-0005-0000-0000-00005D490000}"/>
    <cellStyle name="Плохой 81" xfId="18828" xr:uid="{00000000-0005-0000-0000-00005E490000}"/>
    <cellStyle name="Плохой 82" xfId="18829" xr:uid="{00000000-0005-0000-0000-00005F490000}"/>
    <cellStyle name="Плохой 83" xfId="18830" xr:uid="{00000000-0005-0000-0000-000060490000}"/>
    <cellStyle name="Плохой 84" xfId="18831" xr:uid="{00000000-0005-0000-0000-000061490000}"/>
    <cellStyle name="Плохой 85" xfId="18832" xr:uid="{00000000-0005-0000-0000-000062490000}"/>
    <cellStyle name="Плохой 86" xfId="18833" xr:uid="{00000000-0005-0000-0000-000063490000}"/>
    <cellStyle name="Плохой 87" xfId="18834" xr:uid="{00000000-0005-0000-0000-000064490000}"/>
    <cellStyle name="Плохой 88" xfId="18835" xr:uid="{00000000-0005-0000-0000-000065490000}"/>
    <cellStyle name="Плохой 89" xfId="18836" xr:uid="{00000000-0005-0000-0000-000066490000}"/>
    <cellStyle name="Плохой 9" xfId="18837" xr:uid="{00000000-0005-0000-0000-000067490000}"/>
    <cellStyle name="Плохой 90" xfId="18838" xr:uid="{00000000-0005-0000-0000-000068490000}"/>
    <cellStyle name="Плохой 91" xfId="18839" xr:uid="{00000000-0005-0000-0000-000069490000}"/>
    <cellStyle name="Плохой 92" xfId="18840" xr:uid="{00000000-0005-0000-0000-00006A490000}"/>
    <cellStyle name="Плохой 93" xfId="18841" xr:uid="{00000000-0005-0000-0000-00006B490000}"/>
    <cellStyle name="Плохой 94" xfId="18842" xr:uid="{00000000-0005-0000-0000-00006C490000}"/>
    <cellStyle name="Плохой 95" xfId="18843" xr:uid="{00000000-0005-0000-0000-00006D490000}"/>
    <cellStyle name="Плохой 96" xfId="18844" xr:uid="{00000000-0005-0000-0000-00006E490000}"/>
    <cellStyle name="Плохой 97" xfId="18845" xr:uid="{00000000-0005-0000-0000-00006F490000}"/>
    <cellStyle name="Плохой 98" xfId="18846" xr:uid="{00000000-0005-0000-0000-000070490000}"/>
    <cellStyle name="Плохой 99" xfId="18847" xr:uid="{00000000-0005-0000-0000-000071490000}"/>
    <cellStyle name="Пояснение 10" xfId="18848" xr:uid="{00000000-0005-0000-0000-000072490000}"/>
    <cellStyle name="Пояснение 100" xfId="18849" xr:uid="{00000000-0005-0000-0000-000073490000}"/>
    <cellStyle name="Пояснение 101" xfId="18850" xr:uid="{00000000-0005-0000-0000-000074490000}"/>
    <cellStyle name="Пояснение 102" xfId="18851" xr:uid="{00000000-0005-0000-0000-000075490000}"/>
    <cellStyle name="Пояснение 103" xfId="18852" xr:uid="{00000000-0005-0000-0000-000076490000}"/>
    <cellStyle name="Пояснение 104" xfId="18853" xr:uid="{00000000-0005-0000-0000-000077490000}"/>
    <cellStyle name="Пояснение 105" xfId="18854" xr:uid="{00000000-0005-0000-0000-000078490000}"/>
    <cellStyle name="Пояснение 106" xfId="18855" xr:uid="{00000000-0005-0000-0000-000079490000}"/>
    <cellStyle name="Пояснение 107" xfId="18856" xr:uid="{00000000-0005-0000-0000-00007A490000}"/>
    <cellStyle name="Пояснение 108" xfId="18857" xr:uid="{00000000-0005-0000-0000-00007B490000}"/>
    <cellStyle name="Пояснение 109" xfId="18858" xr:uid="{00000000-0005-0000-0000-00007C490000}"/>
    <cellStyle name="Пояснение 11" xfId="18859" xr:uid="{00000000-0005-0000-0000-00007D490000}"/>
    <cellStyle name="Пояснение 110" xfId="18860" xr:uid="{00000000-0005-0000-0000-00007E490000}"/>
    <cellStyle name="Пояснение 111" xfId="18861" xr:uid="{00000000-0005-0000-0000-00007F490000}"/>
    <cellStyle name="Пояснение 112" xfId="18862" xr:uid="{00000000-0005-0000-0000-000080490000}"/>
    <cellStyle name="Пояснение 113" xfId="18863" xr:uid="{00000000-0005-0000-0000-000081490000}"/>
    <cellStyle name="Пояснение 114" xfId="18864" xr:uid="{00000000-0005-0000-0000-000082490000}"/>
    <cellStyle name="Пояснение 115" xfId="18865" xr:uid="{00000000-0005-0000-0000-000083490000}"/>
    <cellStyle name="Пояснение 116" xfId="18866" xr:uid="{00000000-0005-0000-0000-000084490000}"/>
    <cellStyle name="Пояснение 117" xfId="18867" xr:uid="{00000000-0005-0000-0000-000085490000}"/>
    <cellStyle name="Пояснение 118" xfId="18868" xr:uid="{00000000-0005-0000-0000-000086490000}"/>
    <cellStyle name="Пояснение 119" xfId="18869" xr:uid="{00000000-0005-0000-0000-000087490000}"/>
    <cellStyle name="Пояснение 12" xfId="18870" xr:uid="{00000000-0005-0000-0000-000088490000}"/>
    <cellStyle name="Пояснение 120" xfId="18871" xr:uid="{00000000-0005-0000-0000-000089490000}"/>
    <cellStyle name="Пояснение 121" xfId="18872" xr:uid="{00000000-0005-0000-0000-00008A490000}"/>
    <cellStyle name="Пояснение 122" xfId="18873" xr:uid="{00000000-0005-0000-0000-00008B490000}"/>
    <cellStyle name="Пояснение 123" xfId="18874" xr:uid="{00000000-0005-0000-0000-00008C490000}"/>
    <cellStyle name="Пояснение 124" xfId="18875" xr:uid="{00000000-0005-0000-0000-00008D490000}"/>
    <cellStyle name="Пояснение 125" xfId="18876" xr:uid="{00000000-0005-0000-0000-00008E490000}"/>
    <cellStyle name="Пояснение 126" xfId="18877" xr:uid="{00000000-0005-0000-0000-00008F490000}"/>
    <cellStyle name="Пояснение 127" xfId="18878" xr:uid="{00000000-0005-0000-0000-000090490000}"/>
    <cellStyle name="Пояснение 128" xfId="18879" xr:uid="{00000000-0005-0000-0000-000091490000}"/>
    <cellStyle name="Пояснение 129" xfId="18880" xr:uid="{00000000-0005-0000-0000-000092490000}"/>
    <cellStyle name="Пояснение 13" xfId="18881" xr:uid="{00000000-0005-0000-0000-000093490000}"/>
    <cellStyle name="Пояснение 130" xfId="18882" xr:uid="{00000000-0005-0000-0000-000094490000}"/>
    <cellStyle name="Пояснение 131" xfId="18883" xr:uid="{00000000-0005-0000-0000-000095490000}"/>
    <cellStyle name="Пояснение 132" xfId="18884" xr:uid="{00000000-0005-0000-0000-000096490000}"/>
    <cellStyle name="Пояснение 133" xfId="18885" xr:uid="{00000000-0005-0000-0000-000097490000}"/>
    <cellStyle name="Пояснение 134" xfId="18886" xr:uid="{00000000-0005-0000-0000-000098490000}"/>
    <cellStyle name="Пояснение 135" xfId="18887" xr:uid="{00000000-0005-0000-0000-000099490000}"/>
    <cellStyle name="Пояснение 136" xfId="18888" xr:uid="{00000000-0005-0000-0000-00009A490000}"/>
    <cellStyle name="Пояснение 137" xfId="18889" xr:uid="{00000000-0005-0000-0000-00009B490000}"/>
    <cellStyle name="Пояснение 138" xfId="18890" xr:uid="{00000000-0005-0000-0000-00009C490000}"/>
    <cellStyle name="Пояснение 139" xfId="18891" xr:uid="{00000000-0005-0000-0000-00009D490000}"/>
    <cellStyle name="Пояснение 14" xfId="18892" xr:uid="{00000000-0005-0000-0000-00009E490000}"/>
    <cellStyle name="Пояснение 140" xfId="18893" xr:uid="{00000000-0005-0000-0000-00009F490000}"/>
    <cellStyle name="Пояснение 141" xfId="18894" xr:uid="{00000000-0005-0000-0000-0000A0490000}"/>
    <cellStyle name="Пояснение 142" xfId="18895" xr:uid="{00000000-0005-0000-0000-0000A1490000}"/>
    <cellStyle name="Пояснение 143" xfId="18896" xr:uid="{00000000-0005-0000-0000-0000A2490000}"/>
    <cellStyle name="Пояснение 144" xfId="18897" xr:uid="{00000000-0005-0000-0000-0000A3490000}"/>
    <cellStyle name="Пояснение 145" xfId="18898" xr:uid="{00000000-0005-0000-0000-0000A4490000}"/>
    <cellStyle name="Пояснение 146" xfId="18899" xr:uid="{00000000-0005-0000-0000-0000A5490000}"/>
    <cellStyle name="Пояснение 147" xfId="18900" xr:uid="{00000000-0005-0000-0000-0000A6490000}"/>
    <cellStyle name="Пояснение 148" xfId="18901" xr:uid="{00000000-0005-0000-0000-0000A7490000}"/>
    <cellStyle name="Пояснение 149" xfId="18902" xr:uid="{00000000-0005-0000-0000-0000A8490000}"/>
    <cellStyle name="Пояснение 15" xfId="18903" xr:uid="{00000000-0005-0000-0000-0000A9490000}"/>
    <cellStyle name="Пояснение 150" xfId="18904" xr:uid="{00000000-0005-0000-0000-0000AA490000}"/>
    <cellStyle name="Пояснение 151" xfId="18905" xr:uid="{00000000-0005-0000-0000-0000AB490000}"/>
    <cellStyle name="Пояснение 152" xfId="18906" xr:uid="{00000000-0005-0000-0000-0000AC490000}"/>
    <cellStyle name="Пояснение 16" xfId="18907" xr:uid="{00000000-0005-0000-0000-0000AD490000}"/>
    <cellStyle name="Пояснение 17" xfId="18908" xr:uid="{00000000-0005-0000-0000-0000AE490000}"/>
    <cellStyle name="Пояснение 18" xfId="18909" xr:uid="{00000000-0005-0000-0000-0000AF490000}"/>
    <cellStyle name="Пояснение 19" xfId="18910" xr:uid="{00000000-0005-0000-0000-0000B0490000}"/>
    <cellStyle name="Пояснение 2" xfId="18911" xr:uid="{00000000-0005-0000-0000-0000B1490000}"/>
    <cellStyle name="Пояснение 2 2" xfId="18912" xr:uid="{00000000-0005-0000-0000-0000B2490000}"/>
    <cellStyle name="Пояснение 2 3" xfId="18913" xr:uid="{00000000-0005-0000-0000-0000B3490000}"/>
    <cellStyle name="Пояснение 2 4" xfId="18914" xr:uid="{00000000-0005-0000-0000-0000B4490000}"/>
    <cellStyle name="Пояснение 2 5" xfId="18915" xr:uid="{00000000-0005-0000-0000-0000B5490000}"/>
    <cellStyle name="Пояснение 2 6" xfId="18916" xr:uid="{00000000-0005-0000-0000-0000B6490000}"/>
    <cellStyle name="Пояснение 2 7" xfId="18917" xr:uid="{00000000-0005-0000-0000-0000B7490000}"/>
    <cellStyle name="Пояснение 20" xfId="18918" xr:uid="{00000000-0005-0000-0000-0000B8490000}"/>
    <cellStyle name="Пояснение 20 2" xfId="18919" xr:uid="{00000000-0005-0000-0000-0000B9490000}"/>
    <cellStyle name="Пояснение 21" xfId="18920" xr:uid="{00000000-0005-0000-0000-0000BA490000}"/>
    <cellStyle name="Пояснение 22" xfId="18921" xr:uid="{00000000-0005-0000-0000-0000BB490000}"/>
    <cellStyle name="Пояснение 23" xfId="18922" xr:uid="{00000000-0005-0000-0000-0000BC490000}"/>
    <cellStyle name="Пояснение 24" xfId="18923" xr:uid="{00000000-0005-0000-0000-0000BD490000}"/>
    <cellStyle name="Пояснение 25" xfId="18924" xr:uid="{00000000-0005-0000-0000-0000BE490000}"/>
    <cellStyle name="Пояснение 26" xfId="18925" xr:uid="{00000000-0005-0000-0000-0000BF490000}"/>
    <cellStyle name="Пояснение 27" xfId="18926" xr:uid="{00000000-0005-0000-0000-0000C0490000}"/>
    <cellStyle name="Пояснение 28" xfId="18927" xr:uid="{00000000-0005-0000-0000-0000C1490000}"/>
    <cellStyle name="Пояснение 29" xfId="18928" xr:uid="{00000000-0005-0000-0000-0000C2490000}"/>
    <cellStyle name="Пояснение 3" xfId="18929" xr:uid="{00000000-0005-0000-0000-0000C3490000}"/>
    <cellStyle name="Пояснение 30" xfId="18930" xr:uid="{00000000-0005-0000-0000-0000C4490000}"/>
    <cellStyle name="Пояснение 31" xfId="18931" xr:uid="{00000000-0005-0000-0000-0000C5490000}"/>
    <cellStyle name="Пояснение 32" xfId="18932" xr:uid="{00000000-0005-0000-0000-0000C6490000}"/>
    <cellStyle name="Пояснение 33" xfId="18933" xr:uid="{00000000-0005-0000-0000-0000C7490000}"/>
    <cellStyle name="Пояснение 34" xfId="18934" xr:uid="{00000000-0005-0000-0000-0000C8490000}"/>
    <cellStyle name="Пояснение 35" xfId="18935" xr:uid="{00000000-0005-0000-0000-0000C9490000}"/>
    <cellStyle name="Пояснение 36" xfId="18936" xr:uid="{00000000-0005-0000-0000-0000CA490000}"/>
    <cellStyle name="Пояснение 37" xfId="18937" xr:uid="{00000000-0005-0000-0000-0000CB490000}"/>
    <cellStyle name="Пояснение 38" xfId="18938" xr:uid="{00000000-0005-0000-0000-0000CC490000}"/>
    <cellStyle name="Пояснение 39" xfId="18939" xr:uid="{00000000-0005-0000-0000-0000CD490000}"/>
    <cellStyle name="Пояснение 4" xfId="18940" xr:uid="{00000000-0005-0000-0000-0000CE490000}"/>
    <cellStyle name="Пояснение 40" xfId="18941" xr:uid="{00000000-0005-0000-0000-0000CF490000}"/>
    <cellStyle name="Пояснение 41" xfId="18942" xr:uid="{00000000-0005-0000-0000-0000D0490000}"/>
    <cellStyle name="Пояснение 42" xfId="18943" xr:uid="{00000000-0005-0000-0000-0000D1490000}"/>
    <cellStyle name="Пояснение 43" xfId="18944" xr:uid="{00000000-0005-0000-0000-0000D2490000}"/>
    <cellStyle name="Пояснение 44" xfId="18945" xr:uid="{00000000-0005-0000-0000-0000D3490000}"/>
    <cellStyle name="Пояснение 45" xfId="18946" xr:uid="{00000000-0005-0000-0000-0000D4490000}"/>
    <cellStyle name="Пояснение 46" xfId="18947" xr:uid="{00000000-0005-0000-0000-0000D5490000}"/>
    <cellStyle name="Пояснение 47" xfId="18948" xr:uid="{00000000-0005-0000-0000-0000D6490000}"/>
    <cellStyle name="Пояснение 48" xfId="18949" xr:uid="{00000000-0005-0000-0000-0000D7490000}"/>
    <cellStyle name="Пояснение 49" xfId="18950" xr:uid="{00000000-0005-0000-0000-0000D8490000}"/>
    <cellStyle name="Пояснение 5" xfId="18951" xr:uid="{00000000-0005-0000-0000-0000D9490000}"/>
    <cellStyle name="Пояснение 50" xfId="18952" xr:uid="{00000000-0005-0000-0000-0000DA490000}"/>
    <cellStyle name="Пояснение 51" xfId="18953" xr:uid="{00000000-0005-0000-0000-0000DB490000}"/>
    <cellStyle name="Пояснение 52" xfId="18954" xr:uid="{00000000-0005-0000-0000-0000DC490000}"/>
    <cellStyle name="Пояснение 53" xfId="18955" xr:uid="{00000000-0005-0000-0000-0000DD490000}"/>
    <cellStyle name="Пояснение 54" xfId="18956" xr:uid="{00000000-0005-0000-0000-0000DE490000}"/>
    <cellStyle name="Пояснение 55" xfId="18957" xr:uid="{00000000-0005-0000-0000-0000DF490000}"/>
    <cellStyle name="Пояснение 56" xfId="18958" xr:uid="{00000000-0005-0000-0000-0000E0490000}"/>
    <cellStyle name="Пояснение 57" xfId="18959" xr:uid="{00000000-0005-0000-0000-0000E1490000}"/>
    <cellStyle name="Пояснение 58" xfId="18960" xr:uid="{00000000-0005-0000-0000-0000E2490000}"/>
    <cellStyle name="Пояснение 59" xfId="18961" xr:uid="{00000000-0005-0000-0000-0000E3490000}"/>
    <cellStyle name="Пояснение 6" xfId="18962" xr:uid="{00000000-0005-0000-0000-0000E4490000}"/>
    <cellStyle name="Пояснение 60" xfId="18963" xr:uid="{00000000-0005-0000-0000-0000E5490000}"/>
    <cellStyle name="Пояснение 61" xfId="18964" xr:uid="{00000000-0005-0000-0000-0000E6490000}"/>
    <cellStyle name="Пояснение 62" xfId="18965" xr:uid="{00000000-0005-0000-0000-0000E7490000}"/>
    <cellStyle name="Пояснение 63" xfId="18966" xr:uid="{00000000-0005-0000-0000-0000E8490000}"/>
    <cellStyle name="Пояснение 64" xfId="18967" xr:uid="{00000000-0005-0000-0000-0000E9490000}"/>
    <cellStyle name="Пояснение 65" xfId="18968" xr:uid="{00000000-0005-0000-0000-0000EA490000}"/>
    <cellStyle name="Пояснение 66" xfId="18969" xr:uid="{00000000-0005-0000-0000-0000EB490000}"/>
    <cellStyle name="Пояснение 67" xfId="18970" xr:uid="{00000000-0005-0000-0000-0000EC490000}"/>
    <cellStyle name="Пояснение 68" xfId="18971" xr:uid="{00000000-0005-0000-0000-0000ED490000}"/>
    <cellStyle name="Пояснение 69" xfId="18972" xr:uid="{00000000-0005-0000-0000-0000EE490000}"/>
    <cellStyle name="Пояснение 7" xfId="18973" xr:uid="{00000000-0005-0000-0000-0000EF490000}"/>
    <cellStyle name="Пояснение 70" xfId="18974" xr:uid="{00000000-0005-0000-0000-0000F0490000}"/>
    <cellStyle name="Пояснение 71" xfId="18975" xr:uid="{00000000-0005-0000-0000-0000F1490000}"/>
    <cellStyle name="Пояснение 72" xfId="18976" xr:uid="{00000000-0005-0000-0000-0000F2490000}"/>
    <cellStyle name="Пояснение 73" xfId="18977" xr:uid="{00000000-0005-0000-0000-0000F3490000}"/>
    <cellStyle name="Пояснение 74" xfId="18978" xr:uid="{00000000-0005-0000-0000-0000F4490000}"/>
    <cellStyle name="Пояснение 75" xfId="18979" xr:uid="{00000000-0005-0000-0000-0000F5490000}"/>
    <cellStyle name="Пояснение 76" xfId="18980" xr:uid="{00000000-0005-0000-0000-0000F6490000}"/>
    <cellStyle name="Пояснение 77" xfId="18981" xr:uid="{00000000-0005-0000-0000-0000F7490000}"/>
    <cellStyle name="Пояснение 78" xfId="18982" xr:uid="{00000000-0005-0000-0000-0000F8490000}"/>
    <cellStyle name="Пояснение 79" xfId="18983" xr:uid="{00000000-0005-0000-0000-0000F9490000}"/>
    <cellStyle name="Пояснение 8" xfId="18984" xr:uid="{00000000-0005-0000-0000-0000FA490000}"/>
    <cellStyle name="Пояснение 80" xfId="18985" xr:uid="{00000000-0005-0000-0000-0000FB490000}"/>
    <cellStyle name="Пояснение 81" xfId="18986" xr:uid="{00000000-0005-0000-0000-0000FC490000}"/>
    <cellStyle name="Пояснение 82" xfId="18987" xr:uid="{00000000-0005-0000-0000-0000FD490000}"/>
    <cellStyle name="Пояснение 83" xfId="18988" xr:uid="{00000000-0005-0000-0000-0000FE490000}"/>
    <cellStyle name="Пояснение 84" xfId="18989" xr:uid="{00000000-0005-0000-0000-0000FF490000}"/>
    <cellStyle name="Пояснение 85" xfId="18990" xr:uid="{00000000-0005-0000-0000-0000004A0000}"/>
    <cellStyle name="Пояснение 86" xfId="18991" xr:uid="{00000000-0005-0000-0000-0000014A0000}"/>
    <cellStyle name="Пояснение 87" xfId="18992" xr:uid="{00000000-0005-0000-0000-0000024A0000}"/>
    <cellStyle name="Пояснение 88" xfId="18993" xr:uid="{00000000-0005-0000-0000-0000034A0000}"/>
    <cellStyle name="Пояснение 89" xfId="18994" xr:uid="{00000000-0005-0000-0000-0000044A0000}"/>
    <cellStyle name="Пояснение 9" xfId="18995" xr:uid="{00000000-0005-0000-0000-0000054A0000}"/>
    <cellStyle name="Пояснение 90" xfId="18996" xr:uid="{00000000-0005-0000-0000-0000064A0000}"/>
    <cellStyle name="Пояснение 91" xfId="18997" xr:uid="{00000000-0005-0000-0000-0000074A0000}"/>
    <cellStyle name="Пояснение 92" xfId="18998" xr:uid="{00000000-0005-0000-0000-0000084A0000}"/>
    <cellStyle name="Пояснение 93" xfId="18999" xr:uid="{00000000-0005-0000-0000-0000094A0000}"/>
    <cellStyle name="Пояснение 94" xfId="19000" xr:uid="{00000000-0005-0000-0000-00000A4A0000}"/>
    <cellStyle name="Пояснение 95" xfId="19001" xr:uid="{00000000-0005-0000-0000-00000B4A0000}"/>
    <cellStyle name="Пояснение 96" xfId="19002" xr:uid="{00000000-0005-0000-0000-00000C4A0000}"/>
    <cellStyle name="Пояснение 97" xfId="19003" xr:uid="{00000000-0005-0000-0000-00000D4A0000}"/>
    <cellStyle name="Пояснение 98" xfId="19004" xr:uid="{00000000-0005-0000-0000-00000E4A0000}"/>
    <cellStyle name="Пояснение 99" xfId="19005" xr:uid="{00000000-0005-0000-0000-00000F4A0000}"/>
    <cellStyle name="Примечание 10" xfId="19006" xr:uid="{00000000-0005-0000-0000-0000104A0000}"/>
    <cellStyle name="Примечание 10 10" xfId="19007" xr:uid="{00000000-0005-0000-0000-0000114A0000}"/>
    <cellStyle name="Примечание 10 2" xfId="19008" xr:uid="{00000000-0005-0000-0000-0000124A0000}"/>
    <cellStyle name="Примечание 10 3" xfId="19009" xr:uid="{00000000-0005-0000-0000-0000134A0000}"/>
    <cellStyle name="Примечание 10 4" xfId="19010" xr:uid="{00000000-0005-0000-0000-0000144A0000}"/>
    <cellStyle name="Примечание 10 5" xfId="19011" xr:uid="{00000000-0005-0000-0000-0000154A0000}"/>
    <cellStyle name="Примечание 10 6" xfId="19012" xr:uid="{00000000-0005-0000-0000-0000164A0000}"/>
    <cellStyle name="Примечание 10 7" xfId="19013" xr:uid="{00000000-0005-0000-0000-0000174A0000}"/>
    <cellStyle name="Примечание 10 8" xfId="19014" xr:uid="{00000000-0005-0000-0000-0000184A0000}"/>
    <cellStyle name="Примечание 10 9" xfId="19015" xr:uid="{00000000-0005-0000-0000-0000194A0000}"/>
    <cellStyle name="Примечание 100" xfId="19016" xr:uid="{00000000-0005-0000-0000-00001A4A0000}"/>
    <cellStyle name="Примечание 100 2" xfId="19017" xr:uid="{00000000-0005-0000-0000-00001B4A0000}"/>
    <cellStyle name="Примечание 101" xfId="19018" xr:uid="{00000000-0005-0000-0000-00001C4A0000}"/>
    <cellStyle name="Примечание 101 2" xfId="19019" xr:uid="{00000000-0005-0000-0000-00001D4A0000}"/>
    <cellStyle name="Примечание 102" xfId="19020" xr:uid="{00000000-0005-0000-0000-00001E4A0000}"/>
    <cellStyle name="Примечание 102 2" xfId="19021" xr:uid="{00000000-0005-0000-0000-00001F4A0000}"/>
    <cellStyle name="Примечание 103" xfId="19022" xr:uid="{00000000-0005-0000-0000-0000204A0000}"/>
    <cellStyle name="Примечание 103 2" xfId="19023" xr:uid="{00000000-0005-0000-0000-0000214A0000}"/>
    <cellStyle name="Примечание 104" xfId="19024" xr:uid="{00000000-0005-0000-0000-0000224A0000}"/>
    <cellStyle name="Примечание 104 2" xfId="19025" xr:uid="{00000000-0005-0000-0000-0000234A0000}"/>
    <cellStyle name="Примечание 105" xfId="19026" xr:uid="{00000000-0005-0000-0000-0000244A0000}"/>
    <cellStyle name="Примечание 105 2" xfId="19027" xr:uid="{00000000-0005-0000-0000-0000254A0000}"/>
    <cellStyle name="Примечание 106" xfId="19028" xr:uid="{00000000-0005-0000-0000-0000264A0000}"/>
    <cellStyle name="Примечание 106 2" xfId="19029" xr:uid="{00000000-0005-0000-0000-0000274A0000}"/>
    <cellStyle name="Примечание 107" xfId="19030" xr:uid="{00000000-0005-0000-0000-0000284A0000}"/>
    <cellStyle name="Примечание 107 2" xfId="19031" xr:uid="{00000000-0005-0000-0000-0000294A0000}"/>
    <cellStyle name="Примечание 108" xfId="19032" xr:uid="{00000000-0005-0000-0000-00002A4A0000}"/>
    <cellStyle name="Примечание 108 2" xfId="19033" xr:uid="{00000000-0005-0000-0000-00002B4A0000}"/>
    <cellStyle name="Примечание 109" xfId="19034" xr:uid="{00000000-0005-0000-0000-00002C4A0000}"/>
    <cellStyle name="Примечание 109 2" xfId="19035" xr:uid="{00000000-0005-0000-0000-00002D4A0000}"/>
    <cellStyle name="Примечание 11" xfId="19036" xr:uid="{00000000-0005-0000-0000-00002E4A0000}"/>
    <cellStyle name="Примечание 11 10" xfId="19037" xr:uid="{00000000-0005-0000-0000-00002F4A0000}"/>
    <cellStyle name="Примечание 11 2" xfId="19038" xr:uid="{00000000-0005-0000-0000-0000304A0000}"/>
    <cellStyle name="Примечание 11 3" xfId="19039" xr:uid="{00000000-0005-0000-0000-0000314A0000}"/>
    <cellStyle name="Примечание 11 4" xfId="19040" xr:uid="{00000000-0005-0000-0000-0000324A0000}"/>
    <cellStyle name="Примечание 11 5" xfId="19041" xr:uid="{00000000-0005-0000-0000-0000334A0000}"/>
    <cellStyle name="Примечание 11 6" xfId="19042" xr:uid="{00000000-0005-0000-0000-0000344A0000}"/>
    <cellStyle name="Примечание 11 7" xfId="19043" xr:uid="{00000000-0005-0000-0000-0000354A0000}"/>
    <cellStyle name="Примечание 11 8" xfId="19044" xr:uid="{00000000-0005-0000-0000-0000364A0000}"/>
    <cellStyle name="Примечание 11 9" xfId="19045" xr:uid="{00000000-0005-0000-0000-0000374A0000}"/>
    <cellStyle name="Примечание 110" xfId="19046" xr:uid="{00000000-0005-0000-0000-0000384A0000}"/>
    <cellStyle name="Примечание 110 2" xfId="19047" xr:uid="{00000000-0005-0000-0000-0000394A0000}"/>
    <cellStyle name="Примечание 111" xfId="19048" xr:uid="{00000000-0005-0000-0000-00003A4A0000}"/>
    <cellStyle name="Примечание 111 2" xfId="19049" xr:uid="{00000000-0005-0000-0000-00003B4A0000}"/>
    <cellStyle name="Примечание 112" xfId="19050" xr:uid="{00000000-0005-0000-0000-00003C4A0000}"/>
    <cellStyle name="Примечание 112 2" xfId="19051" xr:uid="{00000000-0005-0000-0000-00003D4A0000}"/>
    <cellStyle name="Примечание 113" xfId="19052" xr:uid="{00000000-0005-0000-0000-00003E4A0000}"/>
    <cellStyle name="Примечание 113 2" xfId="19053" xr:uid="{00000000-0005-0000-0000-00003F4A0000}"/>
    <cellStyle name="Примечание 114" xfId="19054" xr:uid="{00000000-0005-0000-0000-0000404A0000}"/>
    <cellStyle name="Примечание 114 2" xfId="19055" xr:uid="{00000000-0005-0000-0000-0000414A0000}"/>
    <cellStyle name="Примечание 115" xfId="19056" xr:uid="{00000000-0005-0000-0000-0000424A0000}"/>
    <cellStyle name="Примечание 115 2" xfId="19057" xr:uid="{00000000-0005-0000-0000-0000434A0000}"/>
    <cellStyle name="Примечание 116" xfId="19058" xr:uid="{00000000-0005-0000-0000-0000444A0000}"/>
    <cellStyle name="Примечание 116 2" xfId="19059" xr:uid="{00000000-0005-0000-0000-0000454A0000}"/>
    <cellStyle name="Примечание 117" xfId="19060" xr:uid="{00000000-0005-0000-0000-0000464A0000}"/>
    <cellStyle name="Примечание 117 2" xfId="19061" xr:uid="{00000000-0005-0000-0000-0000474A0000}"/>
    <cellStyle name="Примечание 118" xfId="19062" xr:uid="{00000000-0005-0000-0000-0000484A0000}"/>
    <cellStyle name="Примечание 118 2" xfId="19063" xr:uid="{00000000-0005-0000-0000-0000494A0000}"/>
    <cellStyle name="Примечание 119" xfId="19064" xr:uid="{00000000-0005-0000-0000-00004A4A0000}"/>
    <cellStyle name="Примечание 119 2" xfId="19065" xr:uid="{00000000-0005-0000-0000-00004B4A0000}"/>
    <cellStyle name="Примечание 12" xfId="19066" xr:uid="{00000000-0005-0000-0000-00004C4A0000}"/>
    <cellStyle name="Примечание 12 10" xfId="19067" xr:uid="{00000000-0005-0000-0000-00004D4A0000}"/>
    <cellStyle name="Примечание 12 2" xfId="19068" xr:uid="{00000000-0005-0000-0000-00004E4A0000}"/>
    <cellStyle name="Примечание 12 3" xfId="19069" xr:uid="{00000000-0005-0000-0000-00004F4A0000}"/>
    <cellStyle name="Примечание 12 4" xfId="19070" xr:uid="{00000000-0005-0000-0000-0000504A0000}"/>
    <cellStyle name="Примечание 12 5" xfId="19071" xr:uid="{00000000-0005-0000-0000-0000514A0000}"/>
    <cellStyle name="Примечание 12 6" xfId="19072" xr:uid="{00000000-0005-0000-0000-0000524A0000}"/>
    <cellStyle name="Примечание 12 7" xfId="19073" xr:uid="{00000000-0005-0000-0000-0000534A0000}"/>
    <cellStyle name="Примечание 12 8" xfId="19074" xr:uid="{00000000-0005-0000-0000-0000544A0000}"/>
    <cellStyle name="Примечание 12 9" xfId="19075" xr:uid="{00000000-0005-0000-0000-0000554A0000}"/>
    <cellStyle name="Примечание 120" xfId="19076" xr:uid="{00000000-0005-0000-0000-0000564A0000}"/>
    <cellStyle name="Примечание 120 2" xfId="19077" xr:uid="{00000000-0005-0000-0000-0000574A0000}"/>
    <cellStyle name="Примечание 121" xfId="19078" xr:uid="{00000000-0005-0000-0000-0000584A0000}"/>
    <cellStyle name="Примечание 121 2" xfId="19079" xr:uid="{00000000-0005-0000-0000-0000594A0000}"/>
    <cellStyle name="Примечание 122" xfId="19080" xr:uid="{00000000-0005-0000-0000-00005A4A0000}"/>
    <cellStyle name="Примечание 122 2" xfId="19081" xr:uid="{00000000-0005-0000-0000-00005B4A0000}"/>
    <cellStyle name="Примечание 123" xfId="19082" xr:uid="{00000000-0005-0000-0000-00005C4A0000}"/>
    <cellStyle name="Примечание 123 2" xfId="19083" xr:uid="{00000000-0005-0000-0000-00005D4A0000}"/>
    <cellStyle name="Примечание 124" xfId="19084" xr:uid="{00000000-0005-0000-0000-00005E4A0000}"/>
    <cellStyle name="Примечание 124 2" xfId="19085" xr:uid="{00000000-0005-0000-0000-00005F4A0000}"/>
    <cellStyle name="Примечание 125" xfId="19086" xr:uid="{00000000-0005-0000-0000-0000604A0000}"/>
    <cellStyle name="Примечание 125 2" xfId="19087" xr:uid="{00000000-0005-0000-0000-0000614A0000}"/>
    <cellStyle name="Примечание 126" xfId="19088" xr:uid="{00000000-0005-0000-0000-0000624A0000}"/>
    <cellStyle name="Примечание 126 2" xfId="19089" xr:uid="{00000000-0005-0000-0000-0000634A0000}"/>
    <cellStyle name="Примечание 127" xfId="19090" xr:uid="{00000000-0005-0000-0000-0000644A0000}"/>
    <cellStyle name="Примечание 127 2" xfId="19091" xr:uid="{00000000-0005-0000-0000-0000654A0000}"/>
    <cellStyle name="Примечание 128" xfId="19092" xr:uid="{00000000-0005-0000-0000-0000664A0000}"/>
    <cellStyle name="Примечание 128 2" xfId="19093" xr:uid="{00000000-0005-0000-0000-0000674A0000}"/>
    <cellStyle name="Примечание 129" xfId="19094" xr:uid="{00000000-0005-0000-0000-0000684A0000}"/>
    <cellStyle name="Примечание 129 2" xfId="19095" xr:uid="{00000000-0005-0000-0000-0000694A0000}"/>
    <cellStyle name="Примечание 13" xfId="19096" xr:uid="{00000000-0005-0000-0000-00006A4A0000}"/>
    <cellStyle name="Примечание 13 10" xfId="19097" xr:uid="{00000000-0005-0000-0000-00006B4A0000}"/>
    <cellStyle name="Примечание 13 2" xfId="19098" xr:uid="{00000000-0005-0000-0000-00006C4A0000}"/>
    <cellStyle name="Примечание 13 3" xfId="19099" xr:uid="{00000000-0005-0000-0000-00006D4A0000}"/>
    <cellStyle name="Примечание 13 4" xfId="19100" xr:uid="{00000000-0005-0000-0000-00006E4A0000}"/>
    <cellStyle name="Примечание 13 5" xfId="19101" xr:uid="{00000000-0005-0000-0000-00006F4A0000}"/>
    <cellStyle name="Примечание 13 6" xfId="19102" xr:uid="{00000000-0005-0000-0000-0000704A0000}"/>
    <cellStyle name="Примечание 13 7" xfId="19103" xr:uid="{00000000-0005-0000-0000-0000714A0000}"/>
    <cellStyle name="Примечание 13 8" xfId="19104" xr:uid="{00000000-0005-0000-0000-0000724A0000}"/>
    <cellStyle name="Примечание 13 9" xfId="19105" xr:uid="{00000000-0005-0000-0000-0000734A0000}"/>
    <cellStyle name="Примечание 130" xfId="19106" xr:uid="{00000000-0005-0000-0000-0000744A0000}"/>
    <cellStyle name="Примечание 130 2" xfId="19107" xr:uid="{00000000-0005-0000-0000-0000754A0000}"/>
    <cellStyle name="Примечание 131" xfId="19108" xr:uid="{00000000-0005-0000-0000-0000764A0000}"/>
    <cellStyle name="Примечание 131 2" xfId="19109" xr:uid="{00000000-0005-0000-0000-0000774A0000}"/>
    <cellStyle name="Примечание 132" xfId="19110" xr:uid="{00000000-0005-0000-0000-0000784A0000}"/>
    <cellStyle name="Примечание 132 2" xfId="19111" xr:uid="{00000000-0005-0000-0000-0000794A0000}"/>
    <cellStyle name="Примечание 133" xfId="19112" xr:uid="{00000000-0005-0000-0000-00007A4A0000}"/>
    <cellStyle name="Примечание 133 2" xfId="19113" xr:uid="{00000000-0005-0000-0000-00007B4A0000}"/>
    <cellStyle name="Примечание 134" xfId="19114" xr:uid="{00000000-0005-0000-0000-00007C4A0000}"/>
    <cellStyle name="Примечание 134 2" xfId="19115" xr:uid="{00000000-0005-0000-0000-00007D4A0000}"/>
    <cellStyle name="Примечание 135" xfId="19116" xr:uid="{00000000-0005-0000-0000-00007E4A0000}"/>
    <cellStyle name="Примечание 135 2" xfId="19117" xr:uid="{00000000-0005-0000-0000-00007F4A0000}"/>
    <cellStyle name="Примечание 136" xfId="19118" xr:uid="{00000000-0005-0000-0000-0000804A0000}"/>
    <cellStyle name="Примечание 136 2" xfId="19119" xr:uid="{00000000-0005-0000-0000-0000814A0000}"/>
    <cellStyle name="Примечание 137" xfId="19120" xr:uid="{00000000-0005-0000-0000-0000824A0000}"/>
    <cellStyle name="Примечание 137 2" xfId="19121" xr:uid="{00000000-0005-0000-0000-0000834A0000}"/>
    <cellStyle name="Примечание 138" xfId="19122" xr:uid="{00000000-0005-0000-0000-0000844A0000}"/>
    <cellStyle name="Примечание 138 2" xfId="19123" xr:uid="{00000000-0005-0000-0000-0000854A0000}"/>
    <cellStyle name="Примечание 139" xfId="19124" xr:uid="{00000000-0005-0000-0000-0000864A0000}"/>
    <cellStyle name="Примечание 139 2" xfId="19125" xr:uid="{00000000-0005-0000-0000-0000874A0000}"/>
    <cellStyle name="Примечание 14" xfId="19126" xr:uid="{00000000-0005-0000-0000-0000884A0000}"/>
    <cellStyle name="Примечание 14 10" xfId="19127" xr:uid="{00000000-0005-0000-0000-0000894A0000}"/>
    <cellStyle name="Примечание 14 2" xfId="19128" xr:uid="{00000000-0005-0000-0000-00008A4A0000}"/>
    <cellStyle name="Примечание 14 3" xfId="19129" xr:uid="{00000000-0005-0000-0000-00008B4A0000}"/>
    <cellStyle name="Примечание 14 4" xfId="19130" xr:uid="{00000000-0005-0000-0000-00008C4A0000}"/>
    <cellStyle name="Примечание 14 5" xfId="19131" xr:uid="{00000000-0005-0000-0000-00008D4A0000}"/>
    <cellStyle name="Примечание 14 6" xfId="19132" xr:uid="{00000000-0005-0000-0000-00008E4A0000}"/>
    <cellStyle name="Примечание 14 7" xfId="19133" xr:uid="{00000000-0005-0000-0000-00008F4A0000}"/>
    <cellStyle name="Примечание 14 8" xfId="19134" xr:uid="{00000000-0005-0000-0000-0000904A0000}"/>
    <cellStyle name="Примечание 14 9" xfId="19135" xr:uid="{00000000-0005-0000-0000-0000914A0000}"/>
    <cellStyle name="Примечание 140" xfId="19136" xr:uid="{00000000-0005-0000-0000-0000924A0000}"/>
    <cellStyle name="Примечание 140 2" xfId="19137" xr:uid="{00000000-0005-0000-0000-0000934A0000}"/>
    <cellStyle name="Примечание 141" xfId="19138" xr:uid="{00000000-0005-0000-0000-0000944A0000}"/>
    <cellStyle name="Примечание 141 2" xfId="19139" xr:uid="{00000000-0005-0000-0000-0000954A0000}"/>
    <cellStyle name="Примечание 142" xfId="19140" xr:uid="{00000000-0005-0000-0000-0000964A0000}"/>
    <cellStyle name="Примечание 142 2" xfId="19141" xr:uid="{00000000-0005-0000-0000-0000974A0000}"/>
    <cellStyle name="Примечание 143" xfId="19142" xr:uid="{00000000-0005-0000-0000-0000984A0000}"/>
    <cellStyle name="Примечание 143 2" xfId="19143" xr:uid="{00000000-0005-0000-0000-0000994A0000}"/>
    <cellStyle name="Примечание 144" xfId="19144" xr:uid="{00000000-0005-0000-0000-00009A4A0000}"/>
    <cellStyle name="Примечание 144 2" xfId="19145" xr:uid="{00000000-0005-0000-0000-00009B4A0000}"/>
    <cellStyle name="Примечание 145" xfId="19146" xr:uid="{00000000-0005-0000-0000-00009C4A0000}"/>
    <cellStyle name="Примечание 145 2" xfId="19147" xr:uid="{00000000-0005-0000-0000-00009D4A0000}"/>
    <cellStyle name="Примечание 146" xfId="19148" xr:uid="{00000000-0005-0000-0000-00009E4A0000}"/>
    <cellStyle name="Примечание 146 2" xfId="19149" xr:uid="{00000000-0005-0000-0000-00009F4A0000}"/>
    <cellStyle name="Примечание 147" xfId="19150" xr:uid="{00000000-0005-0000-0000-0000A04A0000}"/>
    <cellStyle name="Примечание 147 2" xfId="19151" xr:uid="{00000000-0005-0000-0000-0000A14A0000}"/>
    <cellStyle name="Примечание 148" xfId="19152" xr:uid="{00000000-0005-0000-0000-0000A24A0000}"/>
    <cellStyle name="Примечание 148 2" xfId="19153" xr:uid="{00000000-0005-0000-0000-0000A34A0000}"/>
    <cellStyle name="Примечание 149" xfId="19154" xr:uid="{00000000-0005-0000-0000-0000A44A0000}"/>
    <cellStyle name="Примечание 149 2" xfId="19155" xr:uid="{00000000-0005-0000-0000-0000A54A0000}"/>
    <cellStyle name="Примечание 15" xfId="19156" xr:uid="{00000000-0005-0000-0000-0000A64A0000}"/>
    <cellStyle name="Примечание 150" xfId="19157" xr:uid="{00000000-0005-0000-0000-0000A74A0000}"/>
    <cellStyle name="Примечание 150 2" xfId="19158" xr:uid="{00000000-0005-0000-0000-0000A84A0000}"/>
    <cellStyle name="Примечание 151" xfId="19159" xr:uid="{00000000-0005-0000-0000-0000A94A0000}"/>
    <cellStyle name="Примечание 151 2" xfId="19160" xr:uid="{00000000-0005-0000-0000-0000AA4A0000}"/>
    <cellStyle name="Примечание 152" xfId="19161" xr:uid="{00000000-0005-0000-0000-0000AB4A0000}"/>
    <cellStyle name="Примечание 152 2" xfId="19162" xr:uid="{00000000-0005-0000-0000-0000AC4A0000}"/>
    <cellStyle name="Примечание 153" xfId="19163" xr:uid="{00000000-0005-0000-0000-0000AD4A0000}"/>
    <cellStyle name="Примечание 153 2" xfId="19164" xr:uid="{00000000-0005-0000-0000-0000AE4A0000}"/>
    <cellStyle name="Примечание 154" xfId="19165" xr:uid="{00000000-0005-0000-0000-0000AF4A0000}"/>
    <cellStyle name="Примечание 154 2" xfId="19166" xr:uid="{00000000-0005-0000-0000-0000B04A0000}"/>
    <cellStyle name="Примечание 155" xfId="19167" xr:uid="{00000000-0005-0000-0000-0000B14A0000}"/>
    <cellStyle name="Примечание 155 2" xfId="19168" xr:uid="{00000000-0005-0000-0000-0000B24A0000}"/>
    <cellStyle name="Примечание 156" xfId="19169" xr:uid="{00000000-0005-0000-0000-0000B34A0000}"/>
    <cellStyle name="Примечание 156 2" xfId="19170" xr:uid="{00000000-0005-0000-0000-0000B44A0000}"/>
    <cellStyle name="Примечание 157" xfId="19171" xr:uid="{00000000-0005-0000-0000-0000B54A0000}"/>
    <cellStyle name="Примечание 157 2" xfId="19172" xr:uid="{00000000-0005-0000-0000-0000B64A0000}"/>
    <cellStyle name="Примечание 158" xfId="19173" xr:uid="{00000000-0005-0000-0000-0000B74A0000}"/>
    <cellStyle name="Примечание 158 2" xfId="19174" xr:uid="{00000000-0005-0000-0000-0000B84A0000}"/>
    <cellStyle name="Примечание 159" xfId="19175" xr:uid="{00000000-0005-0000-0000-0000B94A0000}"/>
    <cellStyle name="Примечание 159 2" xfId="19176" xr:uid="{00000000-0005-0000-0000-0000BA4A0000}"/>
    <cellStyle name="Примечание 16" xfId="19177" xr:uid="{00000000-0005-0000-0000-0000BB4A0000}"/>
    <cellStyle name="Примечание 160" xfId="19178" xr:uid="{00000000-0005-0000-0000-0000BC4A0000}"/>
    <cellStyle name="Примечание 160 2" xfId="19179" xr:uid="{00000000-0005-0000-0000-0000BD4A0000}"/>
    <cellStyle name="Примечание 161" xfId="19180" xr:uid="{00000000-0005-0000-0000-0000BE4A0000}"/>
    <cellStyle name="Примечание 161 2" xfId="19181" xr:uid="{00000000-0005-0000-0000-0000BF4A0000}"/>
    <cellStyle name="Примечание 162" xfId="19182" xr:uid="{00000000-0005-0000-0000-0000C04A0000}"/>
    <cellStyle name="Примечание 162 2" xfId="19183" xr:uid="{00000000-0005-0000-0000-0000C14A0000}"/>
    <cellStyle name="Примечание 163" xfId="19184" xr:uid="{00000000-0005-0000-0000-0000C24A0000}"/>
    <cellStyle name="Примечание 163 2" xfId="19185" xr:uid="{00000000-0005-0000-0000-0000C34A0000}"/>
    <cellStyle name="Примечание 164" xfId="19186" xr:uid="{00000000-0005-0000-0000-0000C44A0000}"/>
    <cellStyle name="Примечание 164 2" xfId="19187" xr:uid="{00000000-0005-0000-0000-0000C54A0000}"/>
    <cellStyle name="Примечание 165" xfId="19188" xr:uid="{00000000-0005-0000-0000-0000C64A0000}"/>
    <cellStyle name="Примечание 165 2" xfId="19189" xr:uid="{00000000-0005-0000-0000-0000C74A0000}"/>
    <cellStyle name="Примечание 166" xfId="19190" xr:uid="{00000000-0005-0000-0000-0000C84A0000}"/>
    <cellStyle name="Примечание 166 2" xfId="19191" xr:uid="{00000000-0005-0000-0000-0000C94A0000}"/>
    <cellStyle name="Примечание 167" xfId="19192" xr:uid="{00000000-0005-0000-0000-0000CA4A0000}"/>
    <cellStyle name="Примечание 167 2" xfId="19193" xr:uid="{00000000-0005-0000-0000-0000CB4A0000}"/>
    <cellStyle name="Примечание 168" xfId="19194" xr:uid="{00000000-0005-0000-0000-0000CC4A0000}"/>
    <cellStyle name="Примечание 168 2" xfId="19195" xr:uid="{00000000-0005-0000-0000-0000CD4A0000}"/>
    <cellStyle name="Примечание 169" xfId="19196" xr:uid="{00000000-0005-0000-0000-0000CE4A0000}"/>
    <cellStyle name="Примечание 169 2" xfId="19197" xr:uid="{00000000-0005-0000-0000-0000CF4A0000}"/>
    <cellStyle name="Примечание 17" xfId="19198" xr:uid="{00000000-0005-0000-0000-0000D04A0000}"/>
    <cellStyle name="Примечание 170" xfId="19199" xr:uid="{00000000-0005-0000-0000-0000D14A0000}"/>
    <cellStyle name="Примечание 170 2" xfId="19200" xr:uid="{00000000-0005-0000-0000-0000D24A0000}"/>
    <cellStyle name="Примечание 171" xfId="19201" xr:uid="{00000000-0005-0000-0000-0000D34A0000}"/>
    <cellStyle name="Примечание 171 2" xfId="19202" xr:uid="{00000000-0005-0000-0000-0000D44A0000}"/>
    <cellStyle name="Примечание 172" xfId="19203" xr:uid="{00000000-0005-0000-0000-0000D54A0000}"/>
    <cellStyle name="Примечание 172 2" xfId="19204" xr:uid="{00000000-0005-0000-0000-0000D64A0000}"/>
    <cellStyle name="Примечание 173" xfId="19205" xr:uid="{00000000-0005-0000-0000-0000D74A0000}"/>
    <cellStyle name="Примечание 173 2" xfId="19206" xr:uid="{00000000-0005-0000-0000-0000D84A0000}"/>
    <cellStyle name="Примечание 174" xfId="19207" xr:uid="{00000000-0005-0000-0000-0000D94A0000}"/>
    <cellStyle name="Примечание 174 2" xfId="19208" xr:uid="{00000000-0005-0000-0000-0000DA4A0000}"/>
    <cellStyle name="Примечание 175" xfId="19209" xr:uid="{00000000-0005-0000-0000-0000DB4A0000}"/>
    <cellStyle name="Примечание 175 2" xfId="19210" xr:uid="{00000000-0005-0000-0000-0000DC4A0000}"/>
    <cellStyle name="Примечание 176" xfId="19211" xr:uid="{00000000-0005-0000-0000-0000DD4A0000}"/>
    <cellStyle name="Примечание 176 2" xfId="19212" xr:uid="{00000000-0005-0000-0000-0000DE4A0000}"/>
    <cellStyle name="Примечание 177" xfId="19213" xr:uid="{00000000-0005-0000-0000-0000DF4A0000}"/>
    <cellStyle name="Примечание 177 2" xfId="19214" xr:uid="{00000000-0005-0000-0000-0000E04A0000}"/>
    <cellStyle name="Примечание 178" xfId="19215" xr:uid="{00000000-0005-0000-0000-0000E14A0000}"/>
    <cellStyle name="Примечание 178 2" xfId="19216" xr:uid="{00000000-0005-0000-0000-0000E24A0000}"/>
    <cellStyle name="Примечание 179" xfId="19217" xr:uid="{00000000-0005-0000-0000-0000E34A0000}"/>
    <cellStyle name="Примечание 179 2" xfId="19218" xr:uid="{00000000-0005-0000-0000-0000E44A0000}"/>
    <cellStyle name="Примечание 18" xfId="19219" xr:uid="{00000000-0005-0000-0000-0000E54A0000}"/>
    <cellStyle name="Примечание 180" xfId="19220" xr:uid="{00000000-0005-0000-0000-0000E64A0000}"/>
    <cellStyle name="Примечание 180 2" xfId="19221" xr:uid="{00000000-0005-0000-0000-0000E74A0000}"/>
    <cellStyle name="Примечание 181" xfId="19222" xr:uid="{00000000-0005-0000-0000-0000E84A0000}"/>
    <cellStyle name="Примечание 181 2" xfId="19223" xr:uid="{00000000-0005-0000-0000-0000E94A0000}"/>
    <cellStyle name="Примечание 182" xfId="19224" xr:uid="{00000000-0005-0000-0000-0000EA4A0000}"/>
    <cellStyle name="Примечание 182 2" xfId="19225" xr:uid="{00000000-0005-0000-0000-0000EB4A0000}"/>
    <cellStyle name="Примечание 183" xfId="19226" xr:uid="{00000000-0005-0000-0000-0000EC4A0000}"/>
    <cellStyle name="Примечание 183 2" xfId="19227" xr:uid="{00000000-0005-0000-0000-0000ED4A0000}"/>
    <cellStyle name="Примечание 184" xfId="19228" xr:uid="{00000000-0005-0000-0000-0000EE4A0000}"/>
    <cellStyle name="Примечание 184 2" xfId="19229" xr:uid="{00000000-0005-0000-0000-0000EF4A0000}"/>
    <cellStyle name="Примечание 185" xfId="19230" xr:uid="{00000000-0005-0000-0000-0000F04A0000}"/>
    <cellStyle name="Примечание 185 2" xfId="19231" xr:uid="{00000000-0005-0000-0000-0000F14A0000}"/>
    <cellStyle name="Примечание 186" xfId="19232" xr:uid="{00000000-0005-0000-0000-0000F24A0000}"/>
    <cellStyle name="Примечание 186 2" xfId="19233" xr:uid="{00000000-0005-0000-0000-0000F34A0000}"/>
    <cellStyle name="Примечание 187" xfId="19234" xr:uid="{00000000-0005-0000-0000-0000F44A0000}"/>
    <cellStyle name="Примечание 187 2" xfId="19235" xr:uid="{00000000-0005-0000-0000-0000F54A0000}"/>
    <cellStyle name="Примечание 188" xfId="19236" xr:uid="{00000000-0005-0000-0000-0000F64A0000}"/>
    <cellStyle name="Примечание 188 2" xfId="19237" xr:uid="{00000000-0005-0000-0000-0000F74A0000}"/>
    <cellStyle name="Примечание 189" xfId="19238" xr:uid="{00000000-0005-0000-0000-0000F84A0000}"/>
    <cellStyle name="Примечание 189 2" xfId="19239" xr:uid="{00000000-0005-0000-0000-0000F94A0000}"/>
    <cellStyle name="Примечание 19" xfId="19240" xr:uid="{00000000-0005-0000-0000-0000FA4A0000}"/>
    <cellStyle name="Примечание 190" xfId="19241" xr:uid="{00000000-0005-0000-0000-0000FB4A0000}"/>
    <cellStyle name="Примечание 190 2" xfId="19242" xr:uid="{00000000-0005-0000-0000-0000FC4A0000}"/>
    <cellStyle name="Примечание 191" xfId="19243" xr:uid="{00000000-0005-0000-0000-0000FD4A0000}"/>
    <cellStyle name="Примечание 191 2" xfId="19244" xr:uid="{00000000-0005-0000-0000-0000FE4A0000}"/>
    <cellStyle name="Примечание 192" xfId="19245" xr:uid="{00000000-0005-0000-0000-0000FF4A0000}"/>
    <cellStyle name="Примечание 192 2" xfId="19246" xr:uid="{00000000-0005-0000-0000-0000004B0000}"/>
    <cellStyle name="Примечание 193" xfId="19247" xr:uid="{00000000-0005-0000-0000-0000014B0000}"/>
    <cellStyle name="Примечание 193 2" xfId="19248" xr:uid="{00000000-0005-0000-0000-0000024B0000}"/>
    <cellStyle name="Примечание 194" xfId="19249" xr:uid="{00000000-0005-0000-0000-0000034B0000}"/>
    <cellStyle name="Примечание 194 2" xfId="19250" xr:uid="{00000000-0005-0000-0000-0000044B0000}"/>
    <cellStyle name="Примечание 195" xfId="19251" xr:uid="{00000000-0005-0000-0000-0000054B0000}"/>
    <cellStyle name="Примечание 195 2" xfId="19252" xr:uid="{00000000-0005-0000-0000-0000064B0000}"/>
    <cellStyle name="Примечание 196" xfId="19253" xr:uid="{00000000-0005-0000-0000-0000074B0000}"/>
    <cellStyle name="Примечание 196 2" xfId="19254" xr:uid="{00000000-0005-0000-0000-0000084B0000}"/>
    <cellStyle name="Примечание 197" xfId="19255" xr:uid="{00000000-0005-0000-0000-0000094B0000}"/>
    <cellStyle name="Примечание 197 2" xfId="19256" xr:uid="{00000000-0005-0000-0000-00000A4B0000}"/>
    <cellStyle name="Примечание 198" xfId="19257" xr:uid="{00000000-0005-0000-0000-00000B4B0000}"/>
    <cellStyle name="Примечание 198 2" xfId="19258" xr:uid="{00000000-0005-0000-0000-00000C4B0000}"/>
    <cellStyle name="Примечание 199" xfId="19259" xr:uid="{00000000-0005-0000-0000-00000D4B0000}"/>
    <cellStyle name="Примечание 199 2" xfId="19260" xr:uid="{00000000-0005-0000-0000-00000E4B0000}"/>
    <cellStyle name="Примечание 2" xfId="437" xr:uid="{00000000-0005-0000-0000-00000F4B0000}"/>
    <cellStyle name="Примечание 2 10" xfId="19261" xr:uid="{00000000-0005-0000-0000-0000104B0000}"/>
    <cellStyle name="Примечание 2 11" xfId="19262" xr:uid="{00000000-0005-0000-0000-0000114B0000}"/>
    <cellStyle name="Примечание 2 12" xfId="19263" xr:uid="{00000000-0005-0000-0000-0000124B0000}"/>
    <cellStyle name="Примечание 2 13" xfId="19264" xr:uid="{00000000-0005-0000-0000-0000134B0000}"/>
    <cellStyle name="Примечание 2 14" xfId="19265" xr:uid="{00000000-0005-0000-0000-0000144B0000}"/>
    <cellStyle name="Примечание 2 15" xfId="19266" xr:uid="{00000000-0005-0000-0000-0000154B0000}"/>
    <cellStyle name="Примечание 2 16" xfId="19267" xr:uid="{00000000-0005-0000-0000-0000164B0000}"/>
    <cellStyle name="Примечание 2 17" xfId="19268" xr:uid="{00000000-0005-0000-0000-0000174B0000}"/>
    <cellStyle name="Примечание 2 18" xfId="19269" xr:uid="{00000000-0005-0000-0000-0000184B0000}"/>
    <cellStyle name="Примечание 2 2" xfId="438" xr:uid="{00000000-0005-0000-0000-0000194B0000}"/>
    <cellStyle name="Примечание 2 2 10" xfId="19270" xr:uid="{00000000-0005-0000-0000-00001A4B0000}"/>
    <cellStyle name="Примечание 2 2 2" xfId="19271" xr:uid="{00000000-0005-0000-0000-00001B4B0000}"/>
    <cellStyle name="Примечание 2 2 2 2" xfId="19272" xr:uid="{00000000-0005-0000-0000-00001C4B0000}"/>
    <cellStyle name="Примечание 2 2 3" xfId="19273" xr:uid="{00000000-0005-0000-0000-00001D4B0000}"/>
    <cellStyle name="Примечание 2 2 3 2" xfId="19274" xr:uid="{00000000-0005-0000-0000-00001E4B0000}"/>
    <cellStyle name="Примечание 2 2 4" xfId="19275" xr:uid="{00000000-0005-0000-0000-00001F4B0000}"/>
    <cellStyle name="Примечание 2 2 5" xfId="19276" xr:uid="{00000000-0005-0000-0000-0000204B0000}"/>
    <cellStyle name="Примечание 2 2 6" xfId="19277" xr:uid="{00000000-0005-0000-0000-0000214B0000}"/>
    <cellStyle name="Примечание 2 2 7" xfId="19278" xr:uid="{00000000-0005-0000-0000-0000224B0000}"/>
    <cellStyle name="Примечание 2 2 8" xfId="19279" xr:uid="{00000000-0005-0000-0000-0000234B0000}"/>
    <cellStyle name="Примечание 2 2 9" xfId="19280" xr:uid="{00000000-0005-0000-0000-0000244B0000}"/>
    <cellStyle name="Примечание 2 3" xfId="439" xr:uid="{00000000-0005-0000-0000-0000254B0000}"/>
    <cellStyle name="Примечание 2 3 10" xfId="19281" xr:uid="{00000000-0005-0000-0000-0000264B0000}"/>
    <cellStyle name="Примечание 2 3 2" xfId="19282" xr:uid="{00000000-0005-0000-0000-0000274B0000}"/>
    <cellStyle name="Примечание 2 3 2 2" xfId="19283" xr:uid="{00000000-0005-0000-0000-0000284B0000}"/>
    <cellStyle name="Примечание 2 3 3" xfId="19284" xr:uid="{00000000-0005-0000-0000-0000294B0000}"/>
    <cellStyle name="Примечание 2 3 3 2" xfId="19285" xr:uid="{00000000-0005-0000-0000-00002A4B0000}"/>
    <cellStyle name="Примечание 2 3 4" xfId="19286" xr:uid="{00000000-0005-0000-0000-00002B4B0000}"/>
    <cellStyle name="Примечание 2 3 5" xfId="19287" xr:uid="{00000000-0005-0000-0000-00002C4B0000}"/>
    <cellStyle name="Примечание 2 3 6" xfId="19288" xr:uid="{00000000-0005-0000-0000-00002D4B0000}"/>
    <cellStyle name="Примечание 2 3 7" xfId="19289" xr:uid="{00000000-0005-0000-0000-00002E4B0000}"/>
    <cellStyle name="Примечание 2 3 8" xfId="19290" xr:uid="{00000000-0005-0000-0000-00002F4B0000}"/>
    <cellStyle name="Примечание 2 3 9" xfId="19291" xr:uid="{00000000-0005-0000-0000-0000304B0000}"/>
    <cellStyle name="Примечание 2 4" xfId="440" xr:uid="{00000000-0005-0000-0000-0000314B0000}"/>
    <cellStyle name="Примечание 2 4 10" xfId="19292" xr:uid="{00000000-0005-0000-0000-0000324B0000}"/>
    <cellStyle name="Примечание 2 4 2" xfId="19293" xr:uid="{00000000-0005-0000-0000-0000334B0000}"/>
    <cellStyle name="Примечание 2 4 3" xfId="19294" xr:uid="{00000000-0005-0000-0000-0000344B0000}"/>
    <cellStyle name="Примечание 2 4 4" xfId="19295" xr:uid="{00000000-0005-0000-0000-0000354B0000}"/>
    <cellStyle name="Примечание 2 4 5" xfId="19296" xr:uid="{00000000-0005-0000-0000-0000364B0000}"/>
    <cellStyle name="Примечание 2 4 6" xfId="19297" xr:uid="{00000000-0005-0000-0000-0000374B0000}"/>
    <cellStyle name="Примечание 2 4 7" xfId="19298" xr:uid="{00000000-0005-0000-0000-0000384B0000}"/>
    <cellStyle name="Примечание 2 4 8" xfId="19299" xr:uid="{00000000-0005-0000-0000-0000394B0000}"/>
    <cellStyle name="Примечание 2 4 9" xfId="19300" xr:uid="{00000000-0005-0000-0000-00003A4B0000}"/>
    <cellStyle name="Примечание 2 5" xfId="441" xr:uid="{00000000-0005-0000-0000-00003B4B0000}"/>
    <cellStyle name="Примечание 2 5 10" xfId="19301" xr:uid="{00000000-0005-0000-0000-00003C4B0000}"/>
    <cellStyle name="Примечание 2 5 2" xfId="19302" xr:uid="{00000000-0005-0000-0000-00003D4B0000}"/>
    <cellStyle name="Примечание 2 5 3" xfId="19303" xr:uid="{00000000-0005-0000-0000-00003E4B0000}"/>
    <cellStyle name="Примечание 2 5 4" xfId="19304" xr:uid="{00000000-0005-0000-0000-00003F4B0000}"/>
    <cellStyle name="Примечание 2 5 5" xfId="19305" xr:uid="{00000000-0005-0000-0000-0000404B0000}"/>
    <cellStyle name="Примечание 2 5 6" xfId="19306" xr:uid="{00000000-0005-0000-0000-0000414B0000}"/>
    <cellStyle name="Примечание 2 5 7" xfId="19307" xr:uid="{00000000-0005-0000-0000-0000424B0000}"/>
    <cellStyle name="Примечание 2 5 8" xfId="19308" xr:uid="{00000000-0005-0000-0000-0000434B0000}"/>
    <cellStyle name="Примечание 2 5 9" xfId="19309" xr:uid="{00000000-0005-0000-0000-0000444B0000}"/>
    <cellStyle name="Примечание 2 6" xfId="19310" xr:uid="{00000000-0005-0000-0000-0000454B0000}"/>
    <cellStyle name="Примечание 2 6 10" xfId="19311" xr:uid="{00000000-0005-0000-0000-0000464B0000}"/>
    <cellStyle name="Примечание 2 6 2" xfId="19312" xr:uid="{00000000-0005-0000-0000-0000474B0000}"/>
    <cellStyle name="Примечание 2 6 3" xfId="19313" xr:uid="{00000000-0005-0000-0000-0000484B0000}"/>
    <cellStyle name="Примечание 2 6 4" xfId="19314" xr:uid="{00000000-0005-0000-0000-0000494B0000}"/>
    <cellStyle name="Примечание 2 6 5" xfId="19315" xr:uid="{00000000-0005-0000-0000-00004A4B0000}"/>
    <cellStyle name="Примечание 2 6 6" xfId="19316" xr:uid="{00000000-0005-0000-0000-00004B4B0000}"/>
    <cellStyle name="Примечание 2 6 7" xfId="19317" xr:uid="{00000000-0005-0000-0000-00004C4B0000}"/>
    <cellStyle name="Примечание 2 6 8" xfId="19318" xr:uid="{00000000-0005-0000-0000-00004D4B0000}"/>
    <cellStyle name="Примечание 2 6 9" xfId="19319" xr:uid="{00000000-0005-0000-0000-00004E4B0000}"/>
    <cellStyle name="Примечание 2 7" xfId="19320" xr:uid="{00000000-0005-0000-0000-00004F4B0000}"/>
    <cellStyle name="Примечание 2 7 10" xfId="19321" xr:uid="{00000000-0005-0000-0000-0000504B0000}"/>
    <cellStyle name="Примечание 2 7 2" xfId="19322" xr:uid="{00000000-0005-0000-0000-0000514B0000}"/>
    <cellStyle name="Примечание 2 7 3" xfId="19323" xr:uid="{00000000-0005-0000-0000-0000524B0000}"/>
    <cellStyle name="Примечание 2 7 4" xfId="19324" xr:uid="{00000000-0005-0000-0000-0000534B0000}"/>
    <cellStyle name="Примечание 2 7 5" xfId="19325" xr:uid="{00000000-0005-0000-0000-0000544B0000}"/>
    <cellStyle name="Примечание 2 7 6" xfId="19326" xr:uid="{00000000-0005-0000-0000-0000554B0000}"/>
    <cellStyle name="Примечание 2 7 7" xfId="19327" xr:uid="{00000000-0005-0000-0000-0000564B0000}"/>
    <cellStyle name="Примечание 2 7 8" xfId="19328" xr:uid="{00000000-0005-0000-0000-0000574B0000}"/>
    <cellStyle name="Примечание 2 7 9" xfId="19329" xr:uid="{00000000-0005-0000-0000-0000584B0000}"/>
    <cellStyle name="Примечание 2 8" xfId="19330" xr:uid="{00000000-0005-0000-0000-0000594B0000}"/>
    <cellStyle name="Примечание 2 9" xfId="19331" xr:uid="{00000000-0005-0000-0000-00005A4B0000}"/>
    <cellStyle name="Примечание 20" xfId="19332" xr:uid="{00000000-0005-0000-0000-00005B4B0000}"/>
    <cellStyle name="Примечание 200" xfId="19333" xr:uid="{00000000-0005-0000-0000-00005C4B0000}"/>
    <cellStyle name="Примечание 200 2" xfId="19334" xr:uid="{00000000-0005-0000-0000-00005D4B0000}"/>
    <cellStyle name="Примечание 201" xfId="19335" xr:uid="{00000000-0005-0000-0000-00005E4B0000}"/>
    <cellStyle name="Примечание 201 2" xfId="19336" xr:uid="{00000000-0005-0000-0000-00005F4B0000}"/>
    <cellStyle name="Примечание 202" xfId="19337" xr:uid="{00000000-0005-0000-0000-0000604B0000}"/>
    <cellStyle name="Примечание 202 2" xfId="19338" xr:uid="{00000000-0005-0000-0000-0000614B0000}"/>
    <cellStyle name="Примечание 203" xfId="19339" xr:uid="{00000000-0005-0000-0000-0000624B0000}"/>
    <cellStyle name="Примечание 203 2" xfId="19340" xr:uid="{00000000-0005-0000-0000-0000634B0000}"/>
    <cellStyle name="Примечание 204" xfId="19341" xr:uid="{00000000-0005-0000-0000-0000644B0000}"/>
    <cellStyle name="Примечание 204 2" xfId="19342" xr:uid="{00000000-0005-0000-0000-0000654B0000}"/>
    <cellStyle name="Примечание 205" xfId="19343" xr:uid="{00000000-0005-0000-0000-0000664B0000}"/>
    <cellStyle name="Примечание 205 2" xfId="19344" xr:uid="{00000000-0005-0000-0000-0000674B0000}"/>
    <cellStyle name="Примечание 206" xfId="19345" xr:uid="{00000000-0005-0000-0000-0000684B0000}"/>
    <cellStyle name="Примечание 206 2" xfId="19346" xr:uid="{00000000-0005-0000-0000-0000694B0000}"/>
    <cellStyle name="Примечание 207" xfId="19347" xr:uid="{00000000-0005-0000-0000-00006A4B0000}"/>
    <cellStyle name="Примечание 207 2" xfId="19348" xr:uid="{00000000-0005-0000-0000-00006B4B0000}"/>
    <cellStyle name="Примечание 208" xfId="19349" xr:uid="{00000000-0005-0000-0000-00006C4B0000}"/>
    <cellStyle name="Примечание 208 2" xfId="19350" xr:uid="{00000000-0005-0000-0000-00006D4B0000}"/>
    <cellStyle name="Примечание 209" xfId="19351" xr:uid="{00000000-0005-0000-0000-00006E4B0000}"/>
    <cellStyle name="Примечание 209 2" xfId="19352" xr:uid="{00000000-0005-0000-0000-00006F4B0000}"/>
    <cellStyle name="Примечание 21" xfId="19353" xr:uid="{00000000-0005-0000-0000-0000704B0000}"/>
    <cellStyle name="Примечание 21 2" xfId="19354" xr:uid="{00000000-0005-0000-0000-0000714B0000}"/>
    <cellStyle name="Примечание 210" xfId="19355" xr:uid="{00000000-0005-0000-0000-0000724B0000}"/>
    <cellStyle name="Примечание 210 2" xfId="19356" xr:uid="{00000000-0005-0000-0000-0000734B0000}"/>
    <cellStyle name="Примечание 211" xfId="19357" xr:uid="{00000000-0005-0000-0000-0000744B0000}"/>
    <cellStyle name="Примечание 211 2" xfId="19358" xr:uid="{00000000-0005-0000-0000-0000754B0000}"/>
    <cellStyle name="Примечание 212" xfId="19359" xr:uid="{00000000-0005-0000-0000-0000764B0000}"/>
    <cellStyle name="Примечание 212 2" xfId="19360" xr:uid="{00000000-0005-0000-0000-0000774B0000}"/>
    <cellStyle name="Примечание 213" xfId="19361" xr:uid="{00000000-0005-0000-0000-0000784B0000}"/>
    <cellStyle name="Примечание 213 2" xfId="19362" xr:uid="{00000000-0005-0000-0000-0000794B0000}"/>
    <cellStyle name="Примечание 214" xfId="19363" xr:uid="{00000000-0005-0000-0000-00007A4B0000}"/>
    <cellStyle name="Примечание 214 2" xfId="19364" xr:uid="{00000000-0005-0000-0000-00007B4B0000}"/>
    <cellStyle name="Примечание 215" xfId="19365" xr:uid="{00000000-0005-0000-0000-00007C4B0000}"/>
    <cellStyle name="Примечание 215 2" xfId="19366" xr:uid="{00000000-0005-0000-0000-00007D4B0000}"/>
    <cellStyle name="Примечание 216" xfId="19367" xr:uid="{00000000-0005-0000-0000-00007E4B0000}"/>
    <cellStyle name="Примечание 216 2" xfId="19368" xr:uid="{00000000-0005-0000-0000-00007F4B0000}"/>
    <cellStyle name="Примечание 217" xfId="19369" xr:uid="{00000000-0005-0000-0000-0000804B0000}"/>
    <cellStyle name="Примечание 217 2" xfId="19370" xr:uid="{00000000-0005-0000-0000-0000814B0000}"/>
    <cellStyle name="Примечание 217 3" xfId="19371" xr:uid="{00000000-0005-0000-0000-0000824B0000}"/>
    <cellStyle name="Примечание 218" xfId="19372" xr:uid="{00000000-0005-0000-0000-0000834B0000}"/>
    <cellStyle name="Примечание 218 2" xfId="19373" xr:uid="{00000000-0005-0000-0000-0000844B0000}"/>
    <cellStyle name="Примечание 218 3" xfId="19374" xr:uid="{00000000-0005-0000-0000-0000854B0000}"/>
    <cellStyle name="Примечание 218 4" xfId="19375" xr:uid="{00000000-0005-0000-0000-0000864B0000}"/>
    <cellStyle name="Примечание 219" xfId="19376" xr:uid="{00000000-0005-0000-0000-0000874B0000}"/>
    <cellStyle name="Примечание 22" xfId="19377" xr:uid="{00000000-0005-0000-0000-0000884B0000}"/>
    <cellStyle name="Примечание 22 2" xfId="19378" xr:uid="{00000000-0005-0000-0000-0000894B0000}"/>
    <cellStyle name="Примечание 220" xfId="19379" xr:uid="{00000000-0005-0000-0000-00008A4B0000}"/>
    <cellStyle name="Примечание 221" xfId="19380" xr:uid="{00000000-0005-0000-0000-00008B4B0000}"/>
    <cellStyle name="Примечание 221 2" xfId="19381" xr:uid="{00000000-0005-0000-0000-00008C4B0000}"/>
    <cellStyle name="Примечание 221 3" xfId="19382" xr:uid="{00000000-0005-0000-0000-00008D4B0000}"/>
    <cellStyle name="Примечание 222" xfId="19383" xr:uid="{00000000-0005-0000-0000-00008E4B0000}"/>
    <cellStyle name="Примечание 222 2" xfId="19384" xr:uid="{00000000-0005-0000-0000-00008F4B0000}"/>
    <cellStyle name="Примечание 222 3" xfId="19385" xr:uid="{00000000-0005-0000-0000-0000904B0000}"/>
    <cellStyle name="Примечание 223" xfId="19386" xr:uid="{00000000-0005-0000-0000-0000914B0000}"/>
    <cellStyle name="Примечание 223 2" xfId="19387" xr:uid="{00000000-0005-0000-0000-0000924B0000}"/>
    <cellStyle name="Примечание 224" xfId="19388" xr:uid="{00000000-0005-0000-0000-0000934B0000}"/>
    <cellStyle name="Примечание 225" xfId="19389" xr:uid="{00000000-0005-0000-0000-0000944B0000}"/>
    <cellStyle name="Примечание 226" xfId="19390" xr:uid="{00000000-0005-0000-0000-0000954B0000}"/>
    <cellStyle name="Примечание 227" xfId="19391" xr:uid="{00000000-0005-0000-0000-0000964B0000}"/>
    <cellStyle name="Примечание 228" xfId="19392" xr:uid="{00000000-0005-0000-0000-0000974B0000}"/>
    <cellStyle name="Примечание 229" xfId="19393" xr:uid="{00000000-0005-0000-0000-0000984B0000}"/>
    <cellStyle name="Примечание 23" xfId="19394" xr:uid="{00000000-0005-0000-0000-0000994B0000}"/>
    <cellStyle name="Примечание 23 2" xfId="19395" xr:uid="{00000000-0005-0000-0000-00009A4B0000}"/>
    <cellStyle name="Примечание 230" xfId="19396" xr:uid="{00000000-0005-0000-0000-00009B4B0000}"/>
    <cellStyle name="Примечание 230 2" xfId="19397" xr:uid="{00000000-0005-0000-0000-00009C4B0000}"/>
    <cellStyle name="Примечание 230 2 2" xfId="19398" xr:uid="{00000000-0005-0000-0000-00009D4B0000}"/>
    <cellStyle name="Примечание 231" xfId="19399" xr:uid="{00000000-0005-0000-0000-00009E4B0000}"/>
    <cellStyle name="Примечание 232" xfId="19400" xr:uid="{00000000-0005-0000-0000-00009F4B0000}"/>
    <cellStyle name="Примечание 233" xfId="19401" xr:uid="{00000000-0005-0000-0000-0000A04B0000}"/>
    <cellStyle name="Примечание 234" xfId="19402" xr:uid="{00000000-0005-0000-0000-0000A14B0000}"/>
    <cellStyle name="Примечание 235" xfId="19403" xr:uid="{00000000-0005-0000-0000-0000A24B0000}"/>
    <cellStyle name="Примечание 236" xfId="19404" xr:uid="{00000000-0005-0000-0000-0000A34B0000}"/>
    <cellStyle name="Примечание 237" xfId="19405" xr:uid="{00000000-0005-0000-0000-0000A44B0000}"/>
    <cellStyle name="Примечание 238" xfId="19406" xr:uid="{00000000-0005-0000-0000-0000A54B0000}"/>
    <cellStyle name="Примечание 239" xfId="19407" xr:uid="{00000000-0005-0000-0000-0000A64B0000}"/>
    <cellStyle name="Примечание 24" xfId="19408" xr:uid="{00000000-0005-0000-0000-0000A74B0000}"/>
    <cellStyle name="Примечание 24 2" xfId="19409" xr:uid="{00000000-0005-0000-0000-0000A84B0000}"/>
    <cellStyle name="Примечание 240" xfId="19410" xr:uid="{00000000-0005-0000-0000-0000A94B0000}"/>
    <cellStyle name="Примечание 241" xfId="19411" xr:uid="{00000000-0005-0000-0000-0000AA4B0000}"/>
    <cellStyle name="Примечание 242" xfId="19412" xr:uid="{00000000-0005-0000-0000-0000AB4B0000}"/>
    <cellStyle name="Примечание 243" xfId="19413" xr:uid="{00000000-0005-0000-0000-0000AC4B0000}"/>
    <cellStyle name="Примечание 244" xfId="19414" xr:uid="{00000000-0005-0000-0000-0000AD4B0000}"/>
    <cellStyle name="Примечание 245" xfId="19415" xr:uid="{00000000-0005-0000-0000-0000AE4B0000}"/>
    <cellStyle name="Примечание 246" xfId="19416" xr:uid="{00000000-0005-0000-0000-0000AF4B0000}"/>
    <cellStyle name="Примечание 247" xfId="19417" xr:uid="{00000000-0005-0000-0000-0000B04B0000}"/>
    <cellStyle name="Примечание 248" xfId="19418" xr:uid="{00000000-0005-0000-0000-0000B14B0000}"/>
    <cellStyle name="Примечание 249" xfId="19419" xr:uid="{00000000-0005-0000-0000-0000B24B0000}"/>
    <cellStyle name="Примечание 25" xfId="19420" xr:uid="{00000000-0005-0000-0000-0000B34B0000}"/>
    <cellStyle name="Примечание 25 2" xfId="19421" xr:uid="{00000000-0005-0000-0000-0000B44B0000}"/>
    <cellStyle name="Примечание 250" xfId="19422" xr:uid="{00000000-0005-0000-0000-0000B54B0000}"/>
    <cellStyle name="Примечание 251" xfId="19423" xr:uid="{00000000-0005-0000-0000-0000B64B0000}"/>
    <cellStyle name="Примечание 252" xfId="19424" xr:uid="{00000000-0005-0000-0000-0000B74B0000}"/>
    <cellStyle name="Примечание 253" xfId="19425" xr:uid="{00000000-0005-0000-0000-0000B84B0000}"/>
    <cellStyle name="Примечание 254" xfId="19426" xr:uid="{00000000-0005-0000-0000-0000B94B0000}"/>
    <cellStyle name="Примечание 255" xfId="19427" xr:uid="{00000000-0005-0000-0000-0000BA4B0000}"/>
    <cellStyle name="Примечание 26" xfId="19428" xr:uid="{00000000-0005-0000-0000-0000BB4B0000}"/>
    <cellStyle name="Примечание 26 2" xfId="19429" xr:uid="{00000000-0005-0000-0000-0000BC4B0000}"/>
    <cellStyle name="Примечание 27" xfId="19430" xr:uid="{00000000-0005-0000-0000-0000BD4B0000}"/>
    <cellStyle name="Примечание 27 2" xfId="19431" xr:uid="{00000000-0005-0000-0000-0000BE4B0000}"/>
    <cellStyle name="Примечание 28" xfId="19432" xr:uid="{00000000-0005-0000-0000-0000BF4B0000}"/>
    <cellStyle name="Примечание 28 2" xfId="19433" xr:uid="{00000000-0005-0000-0000-0000C04B0000}"/>
    <cellStyle name="Примечание 29" xfId="19434" xr:uid="{00000000-0005-0000-0000-0000C14B0000}"/>
    <cellStyle name="Примечание 29 2" xfId="19435" xr:uid="{00000000-0005-0000-0000-0000C24B0000}"/>
    <cellStyle name="Примечание 3" xfId="442" xr:uid="{00000000-0005-0000-0000-0000C34B0000}"/>
    <cellStyle name="Примечание 3 10" xfId="19436" xr:uid="{00000000-0005-0000-0000-0000C44B0000}"/>
    <cellStyle name="Примечание 3 2" xfId="19437" xr:uid="{00000000-0005-0000-0000-0000C54B0000}"/>
    <cellStyle name="Примечание 3 2 2" xfId="19438" xr:uid="{00000000-0005-0000-0000-0000C64B0000}"/>
    <cellStyle name="Примечание 3 2 3" xfId="19439" xr:uid="{00000000-0005-0000-0000-0000C74B0000}"/>
    <cellStyle name="Примечание 3 3" xfId="19440" xr:uid="{00000000-0005-0000-0000-0000C84B0000}"/>
    <cellStyle name="Примечание 3 4" xfId="19441" xr:uid="{00000000-0005-0000-0000-0000C94B0000}"/>
    <cellStyle name="Примечание 3 5" xfId="19442" xr:uid="{00000000-0005-0000-0000-0000CA4B0000}"/>
    <cellStyle name="Примечание 3 6" xfId="19443" xr:uid="{00000000-0005-0000-0000-0000CB4B0000}"/>
    <cellStyle name="Примечание 3 7" xfId="19444" xr:uid="{00000000-0005-0000-0000-0000CC4B0000}"/>
    <cellStyle name="Примечание 3 8" xfId="19445" xr:uid="{00000000-0005-0000-0000-0000CD4B0000}"/>
    <cellStyle name="Примечание 3 9" xfId="19446" xr:uid="{00000000-0005-0000-0000-0000CE4B0000}"/>
    <cellStyle name="Примечание 30" xfId="19447" xr:uid="{00000000-0005-0000-0000-0000CF4B0000}"/>
    <cellStyle name="Примечание 30 2" xfId="19448" xr:uid="{00000000-0005-0000-0000-0000D04B0000}"/>
    <cellStyle name="Примечание 31" xfId="19449" xr:uid="{00000000-0005-0000-0000-0000D14B0000}"/>
    <cellStyle name="Примечание 31 2" xfId="19450" xr:uid="{00000000-0005-0000-0000-0000D24B0000}"/>
    <cellStyle name="Примечание 32" xfId="19451" xr:uid="{00000000-0005-0000-0000-0000D34B0000}"/>
    <cellStyle name="Примечание 32 2" xfId="19452" xr:uid="{00000000-0005-0000-0000-0000D44B0000}"/>
    <cellStyle name="Примечание 33" xfId="19453" xr:uid="{00000000-0005-0000-0000-0000D54B0000}"/>
    <cellStyle name="Примечание 33 2" xfId="19454" xr:uid="{00000000-0005-0000-0000-0000D64B0000}"/>
    <cellStyle name="Примечание 34" xfId="19455" xr:uid="{00000000-0005-0000-0000-0000D74B0000}"/>
    <cellStyle name="Примечание 34 2" xfId="19456" xr:uid="{00000000-0005-0000-0000-0000D84B0000}"/>
    <cellStyle name="Примечание 35" xfId="19457" xr:uid="{00000000-0005-0000-0000-0000D94B0000}"/>
    <cellStyle name="Примечание 35 2" xfId="19458" xr:uid="{00000000-0005-0000-0000-0000DA4B0000}"/>
    <cellStyle name="Примечание 36" xfId="19459" xr:uid="{00000000-0005-0000-0000-0000DB4B0000}"/>
    <cellStyle name="Примечание 36 2" xfId="19460" xr:uid="{00000000-0005-0000-0000-0000DC4B0000}"/>
    <cellStyle name="Примечание 37" xfId="19461" xr:uid="{00000000-0005-0000-0000-0000DD4B0000}"/>
    <cellStyle name="Примечание 37 2" xfId="19462" xr:uid="{00000000-0005-0000-0000-0000DE4B0000}"/>
    <cellStyle name="Примечание 38" xfId="19463" xr:uid="{00000000-0005-0000-0000-0000DF4B0000}"/>
    <cellStyle name="Примечание 38 2" xfId="19464" xr:uid="{00000000-0005-0000-0000-0000E04B0000}"/>
    <cellStyle name="Примечание 39" xfId="19465" xr:uid="{00000000-0005-0000-0000-0000E14B0000}"/>
    <cellStyle name="Примечание 39 2" xfId="19466" xr:uid="{00000000-0005-0000-0000-0000E24B0000}"/>
    <cellStyle name="Примечание 4" xfId="443" xr:uid="{00000000-0005-0000-0000-0000E34B0000}"/>
    <cellStyle name="Примечание 4 10" xfId="19467" xr:uid="{00000000-0005-0000-0000-0000E44B0000}"/>
    <cellStyle name="Примечание 4 2" xfId="19468" xr:uid="{00000000-0005-0000-0000-0000E54B0000}"/>
    <cellStyle name="Примечание 4 2 2" xfId="19469" xr:uid="{00000000-0005-0000-0000-0000E64B0000}"/>
    <cellStyle name="Примечание 4 2 3" xfId="19470" xr:uid="{00000000-0005-0000-0000-0000E74B0000}"/>
    <cellStyle name="Примечание 4 3" xfId="19471" xr:uid="{00000000-0005-0000-0000-0000E84B0000}"/>
    <cellStyle name="Примечание 4 4" xfId="19472" xr:uid="{00000000-0005-0000-0000-0000E94B0000}"/>
    <cellStyle name="Примечание 4 5" xfId="19473" xr:uid="{00000000-0005-0000-0000-0000EA4B0000}"/>
    <cellStyle name="Примечание 4 6" xfId="19474" xr:uid="{00000000-0005-0000-0000-0000EB4B0000}"/>
    <cellStyle name="Примечание 4 7" xfId="19475" xr:uid="{00000000-0005-0000-0000-0000EC4B0000}"/>
    <cellStyle name="Примечание 4 8" xfId="19476" xr:uid="{00000000-0005-0000-0000-0000ED4B0000}"/>
    <cellStyle name="Примечание 4 9" xfId="19477" xr:uid="{00000000-0005-0000-0000-0000EE4B0000}"/>
    <cellStyle name="Примечание 40" xfId="19478" xr:uid="{00000000-0005-0000-0000-0000EF4B0000}"/>
    <cellStyle name="Примечание 40 2" xfId="19479" xr:uid="{00000000-0005-0000-0000-0000F04B0000}"/>
    <cellStyle name="Примечание 41" xfId="19480" xr:uid="{00000000-0005-0000-0000-0000F14B0000}"/>
    <cellStyle name="Примечание 41 2" xfId="19481" xr:uid="{00000000-0005-0000-0000-0000F24B0000}"/>
    <cellStyle name="Примечание 42" xfId="19482" xr:uid="{00000000-0005-0000-0000-0000F34B0000}"/>
    <cellStyle name="Примечание 42 2" xfId="19483" xr:uid="{00000000-0005-0000-0000-0000F44B0000}"/>
    <cellStyle name="Примечание 43" xfId="19484" xr:uid="{00000000-0005-0000-0000-0000F54B0000}"/>
    <cellStyle name="Примечание 43 2" xfId="19485" xr:uid="{00000000-0005-0000-0000-0000F64B0000}"/>
    <cellStyle name="Примечание 44" xfId="19486" xr:uid="{00000000-0005-0000-0000-0000F74B0000}"/>
    <cellStyle name="Примечание 44 2" xfId="19487" xr:uid="{00000000-0005-0000-0000-0000F84B0000}"/>
    <cellStyle name="Примечание 45" xfId="19488" xr:uid="{00000000-0005-0000-0000-0000F94B0000}"/>
    <cellStyle name="Примечание 45 2" xfId="19489" xr:uid="{00000000-0005-0000-0000-0000FA4B0000}"/>
    <cellStyle name="Примечание 46" xfId="19490" xr:uid="{00000000-0005-0000-0000-0000FB4B0000}"/>
    <cellStyle name="Примечание 46 2" xfId="19491" xr:uid="{00000000-0005-0000-0000-0000FC4B0000}"/>
    <cellStyle name="Примечание 47" xfId="19492" xr:uid="{00000000-0005-0000-0000-0000FD4B0000}"/>
    <cellStyle name="Примечание 47 2" xfId="19493" xr:uid="{00000000-0005-0000-0000-0000FE4B0000}"/>
    <cellStyle name="Примечание 48" xfId="19494" xr:uid="{00000000-0005-0000-0000-0000FF4B0000}"/>
    <cellStyle name="Примечание 48 2" xfId="19495" xr:uid="{00000000-0005-0000-0000-0000004C0000}"/>
    <cellStyle name="Примечание 49" xfId="19496" xr:uid="{00000000-0005-0000-0000-0000014C0000}"/>
    <cellStyle name="Примечание 49 2" xfId="19497" xr:uid="{00000000-0005-0000-0000-0000024C0000}"/>
    <cellStyle name="Примечание 5" xfId="444" xr:uid="{00000000-0005-0000-0000-0000034C0000}"/>
    <cellStyle name="Примечание 5 10" xfId="19498" xr:uid="{00000000-0005-0000-0000-0000044C0000}"/>
    <cellStyle name="Примечание 5 2" xfId="19499" xr:uid="{00000000-0005-0000-0000-0000054C0000}"/>
    <cellStyle name="Примечание 5 2 2" xfId="19500" xr:uid="{00000000-0005-0000-0000-0000064C0000}"/>
    <cellStyle name="Примечание 5 2 3" xfId="19501" xr:uid="{00000000-0005-0000-0000-0000074C0000}"/>
    <cellStyle name="Примечание 5 3" xfId="19502" xr:uid="{00000000-0005-0000-0000-0000084C0000}"/>
    <cellStyle name="Примечание 5 4" xfId="19503" xr:uid="{00000000-0005-0000-0000-0000094C0000}"/>
    <cellStyle name="Примечание 5 5" xfId="19504" xr:uid="{00000000-0005-0000-0000-00000A4C0000}"/>
    <cellStyle name="Примечание 5 6" xfId="19505" xr:uid="{00000000-0005-0000-0000-00000B4C0000}"/>
    <cellStyle name="Примечание 5 7" xfId="19506" xr:uid="{00000000-0005-0000-0000-00000C4C0000}"/>
    <cellStyle name="Примечание 5 8" xfId="19507" xr:uid="{00000000-0005-0000-0000-00000D4C0000}"/>
    <cellStyle name="Примечание 5 9" xfId="19508" xr:uid="{00000000-0005-0000-0000-00000E4C0000}"/>
    <cellStyle name="Примечание 50" xfId="19509" xr:uid="{00000000-0005-0000-0000-00000F4C0000}"/>
    <cellStyle name="Примечание 50 2" xfId="19510" xr:uid="{00000000-0005-0000-0000-0000104C0000}"/>
    <cellStyle name="Примечание 51" xfId="19511" xr:uid="{00000000-0005-0000-0000-0000114C0000}"/>
    <cellStyle name="Примечание 51 2" xfId="19512" xr:uid="{00000000-0005-0000-0000-0000124C0000}"/>
    <cellStyle name="Примечание 52" xfId="19513" xr:uid="{00000000-0005-0000-0000-0000134C0000}"/>
    <cellStyle name="Примечание 52 2" xfId="19514" xr:uid="{00000000-0005-0000-0000-0000144C0000}"/>
    <cellStyle name="Примечание 53" xfId="19515" xr:uid="{00000000-0005-0000-0000-0000154C0000}"/>
    <cellStyle name="Примечание 53 2" xfId="19516" xr:uid="{00000000-0005-0000-0000-0000164C0000}"/>
    <cellStyle name="Примечание 54" xfId="19517" xr:uid="{00000000-0005-0000-0000-0000174C0000}"/>
    <cellStyle name="Примечание 54 2" xfId="19518" xr:uid="{00000000-0005-0000-0000-0000184C0000}"/>
    <cellStyle name="Примечание 55" xfId="19519" xr:uid="{00000000-0005-0000-0000-0000194C0000}"/>
    <cellStyle name="Примечание 55 2" xfId="19520" xr:uid="{00000000-0005-0000-0000-00001A4C0000}"/>
    <cellStyle name="Примечание 56" xfId="19521" xr:uid="{00000000-0005-0000-0000-00001B4C0000}"/>
    <cellStyle name="Примечание 56 2" xfId="19522" xr:uid="{00000000-0005-0000-0000-00001C4C0000}"/>
    <cellStyle name="Примечание 57" xfId="19523" xr:uid="{00000000-0005-0000-0000-00001D4C0000}"/>
    <cellStyle name="Примечание 57 2" xfId="19524" xr:uid="{00000000-0005-0000-0000-00001E4C0000}"/>
    <cellStyle name="Примечание 58" xfId="19525" xr:uid="{00000000-0005-0000-0000-00001F4C0000}"/>
    <cellStyle name="Примечание 58 2" xfId="19526" xr:uid="{00000000-0005-0000-0000-0000204C0000}"/>
    <cellStyle name="Примечание 59" xfId="19527" xr:uid="{00000000-0005-0000-0000-0000214C0000}"/>
    <cellStyle name="Примечание 59 2" xfId="19528" xr:uid="{00000000-0005-0000-0000-0000224C0000}"/>
    <cellStyle name="Примечание 6" xfId="445" xr:uid="{00000000-0005-0000-0000-0000234C0000}"/>
    <cellStyle name="Примечание 6 10" xfId="19529" xr:uid="{00000000-0005-0000-0000-0000244C0000}"/>
    <cellStyle name="Примечание 6 2" xfId="19530" xr:uid="{00000000-0005-0000-0000-0000254C0000}"/>
    <cellStyle name="Примечание 6 3" xfId="19531" xr:uid="{00000000-0005-0000-0000-0000264C0000}"/>
    <cellStyle name="Примечание 6 4" xfId="19532" xr:uid="{00000000-0005-0000-0000-0000274C0000}"/>
    <cellStyle name="Примечание 6 5" xfId="19533" xr:uid="{00000000-0005-0000-0000-0000284C0000}"/>
    <cellStyle name="Примечание 6 6" xfId="19534" xr:uid="{00000000-0005-0000-0000-0000294C0000}"/>
    <cellStyle name="Примечание 6 7" xfId="19535" xr:uid="{00000000-0005-0000-0000-00002A4C0000}"/>
    <cellStyle name="Примечание 6 8" xfId="19536" xr:uid="{00000000-0005-0000-0000-00002B4C0000}"/>
    <cellStyle name="Примечание 6 9" xfId="19537" xr:uid="{00000000-0005-0000-0000-00002C4C0000}"/>
    <cellStyle name="Примечание 60" xfId="19538" xr:uid="{00000000-0005-0000-0000-00002D4C0000}"/>
    <cellStyle name="Примечание 60 2" xfId="19539" xr:uid="{00000000-0005-0000-0000-00002E4C0000}"/>
    <cellStyle name="Примечание 61" xfId="19540" xr:uid="{00000000-0005-0000-0000-00002F4C0000}"/>
    <cellStyle name="Примечание 61 2" xfId="19541" xr:uid="{00000000-0005-0000-0000-0000304C0000}"/>
    <cellStyle name="Примечание 62" xfId="19542" xr:uid="{00000000-0005-0000-0000-0000314C0000}"/>
    <cellStyle name="Примечание 62 2" xfId="19543" xr:uid="{00000000-0005-0000-0000-0000324C0000}"/>
    <cellStyle name="Примечание 63" xfId="19544" xr:uid="{00000000-0005-0000-0000-0000334C0000}"/>
    <cellStyle name="Примечание 63 2" xfId="19545" xr:uid="{00000000-0005-0000-0000-0000344C0000}"/>
    <cellStyle name="Примечание 64" xfId="19546" xr:uid="{00000000-0005-0000-0000-0000354C0000}"/>
    <cellStyle name="Примечание 64 2" xfId="19547" xr:uid="{00000000-0005-0000-0000-0000364C0000}"/>
    <cellStyle name="Примечание 65" xfId="19548" xr:uid="{00000000-0005-0000-0000-0000374C0000}"/>
    <cellStyle name="Примечание 65 2" xfId="19549" xr:uid="{00000000-0005-0000-0000-0000384C0000}"/>
    <cellStyle name="Примечание 66" xfId="19550" xr:uid="{00000000-0005-0000-0000-0000394C0000}"/>
    <cellStyle name="Примечание 66 2" xfId="19551" xr:uid="{00000000-0005-0000-0000-00003A4C0000}"/>
    <cellStyle name="Примечание 67" xfId="19552" xr:uid="{00000000-0005-0000-0000-00003B4C0000}"/>
    <cellStyle name="Примечание 67 2" xfId="19553" xr:uid="{00000000-0005-0000-0000-00003C4C0000}"/>
    <cellStyle name="Примечание 68" xfId="19554" xr:uid="{00000000-0005-0000-0000-00003D4C0000}"/>
    <cellStyle name="Примечание 68 2" xfId="19555" xr:uid="{00000000-0005-0000-0000-00003E4C0000}"/>
    <cellStyle name="Примечание 69" xfId="19556" xr:uid="{00000000-0005-0000-0000-00003F4C0000}"/>
    <cellStyle name="Примечание 69 2" xfId="19557" xr:uid="{00000000-0005-0000-0000-0000404C0000}"/>
    <cellStyle name="Примечание 7" xfId="19558" xr:uid="{00000000-0005-0000-0000-0000414C0000}"/>
    <cellStyle name="Примечание 7 10" xfId="19559" xr:uid="{00000000-0005-0000-0000-0000424C0000}"/>
    <cellStyle name="Примечание 7 2" xfId="19560" xr:uid="{00000000-0005-0000-0000-0000434C0000}"/>
    <cellStyle name="Примечание 7 3" xfId="19561" xr:uid="{00000000-0005-0000-0000-0000444C0000}"/>
    <cellStyle name="Примечание 7 4" xfId="19562" xr:uid="{00000000-0005-0000-0000-0000454C0000}"/>
    <cellStyle name="Примечание 7 5" xfId="19563" xr:uid="{00000000-0005-0000-0000-0000464C0000}"/>
    <cellStyle name="Примечание 7 6" xfId="19564" xr:uid="{00000000-0005-0000-0000-0000474C0000}"/>
    <cellStyle name="Примечание 7 7" xfId="19565" xr:uid="{00000000-0005-0000-0000-0000484C0000}"/>
    <cellStyle name="Примечание 7 8" xfId="19566" xr:uid="{00000000-0005-0000-0000-0000494C0000}"/>
    <cellStyle name="Примечание 7 9" xfId="19567" xr:uid="{00000000-0005-0000-0000-00004A4C0000}"/>
    <cellStyle name="Примечание 70" xfId="19568" xr:uid="{00000000-0005-0000-0000-00004B4C0000}"/>
    <cellStyle name="Примечание 70 2" xfId="19569" xr:uid="{00000000-0005-0000-0000-00004C4C0000}"/>
    <cellStyle name="Примечание 71" xfId="19570" xr:uid="{00000000-0005-0000-0000-00004D4C0000}"/>
    <cellStyle name="Примечание 71 2" xfId="19571" xr:uid="{00000000-0005-0000-0000-00004E4C0000}"/>
    <cellStyle name="Примечание 72" xfId="19572" xr:uid="{00000000-0005-0000-0000-00004F4C0000}"/>
    <cellStyle name="Примечание 72 2" xfId="19573" xr:uid="{00000000-0005-0000-0000-0000504C0000}"/>
    <cellStyle name="Примечание 73" xfId="19574" xr:uid="{00000000-0005-0000-0000-0000514C0000}"/>
    <cellStyle name="Примечание 73 2" xfId="19575" xr:uid="{00000000-0005-0000-0000-0000524C0000}"/>
    <cellStyle name="Примечание 74" xfId="19576" xr:uid="{00000000-0005-0000-0000-0000534C0000}"/>
    <cellStyle name="Примечание 74 2" xfId="19577" xr:uid="{00000000-0005-0000-0000-0000544C0000}"/>
    <cellStyle name="Примечание 75" xfId="19578" xr:uid="{00000000-0005-0000-0000-0000554C0000}"/>
    <cellStyle name="Примечание 75 2" xfId="19579" xr:uid="{00000000-0005-0000-0000-0000564C0000}"/>
    <cellStyle name="Примечание 76" xfId="19580" xr:uid="{00000000-0005-0000-0000-0000574C0000}"/>
    <cellStyle name="Примечание 76 2" xfId="19581" xr:uid="{00000000-0005-0000-0000-0000584C0000}"/>
    <cellStyle name="Примечание 77" xfId="19582" xr:uid="{00000000-0005-0000-0000-0000594C0000}"/>
    <cellStyle name="Примечание 77 2" xfId="19583" xr:uid="{00000000-0005-0000-0000-00005A4C0000}"/>
    <cellStyle name="Примечание 78" xfId="19584" xr:uid="{00000000-0005-0000-0000-00005B4C0000}"/>
    <cellStyle name="Примечание 78 2" xfId="19585" xr:uid="{00000000-0005-0000-0000-00005C4C0000}"/>
    <cellStyle name="Примечание 79" xfId="19586" xr:uid="{00000000-0005-0000-0000-00005D4C0000}"/>
    <cellStyle name="Примечание 79 2" xfId="19587" xr:uid="{00000000-0005-0000-0000-00005E4C0000}"/>
    <cellStyle name="Примечание 8" xfId="19588" xr:uid="{00000000-0005-0000-0000-00005F4C0000}"/>
    <cellStyle name="Примечание 8 10" xfId="19589" xr:uid="{00000000-0005-0000-0000-0000604C0000}"/>
    <cellStyle name="Примечание 8 2" xfId="19590" xr:uid="{00000000-0005-0000-0000-0000614C0000}"/>
    <cellStyle name="Примечание 8 3" xfId="19591" xr:uid="{00000000-0005-0000-0000-0000624C0000}"/>
    <cellStyle name="Примечание 8 4" xfId="19592" xr:uid="{00000000-0005-0000-0000-0000634C0000}"/>
    <cellStyle name="Примечание 8 5" xfId="19593" xr:uid="{00000000-0005-0000-0000-0000644C0000}"/>
    <cellStyle name="Примечание 8 6" xfId="19594" xr:uid="{00000000-0005-0000-0000-0000654C0000}"/>
    <cellStyle name="Примечание 8 7" xfId="19595" xr:uid="{00000000-0005-0000-0000-0000664C0000}"/>
    <cellStyle name="Примечание 8 8" xfId="19596" xr:uid="{00000000-0005-0000-0000-0000674C0000}"/>
    <cellStyle name="Примечание 8 9" xfId="19597" xr:uid="{00000000-0005-0000-0000-0000684C0000}"/>
    <cellStyle name="Примечание 80" xfId="19598" xr:uid="{00000000-0005-0000-0000-0000694C0000}"/>
    <cellStyle name="Примечание 80 2" xfId="19599" xr:uid="{00000000-0005-0000-0000-00006A4C0000}"/>
    <cellStyle name="Примечание 81" xfId="19600" xr:uid="{00000000-0005-0000-0000-00006B4C0000}"/>
    <cellStyle name="Примечание 81 2" xfId="19601" xr:uid="{00000000-0005-0000-0000-00006C4C0000}"/>
    <cellStyle name="Примечание 82" xfId="19602" xr:uid="{00000000-0005-0000-0000-00006D4C0000}"/>
    <cellStyle name="Примечание 82 2" xfId="19603" xr:uid="{00000000-0005-0000-0000-00006E4C0000}"/>
    <cellStyle name="Примечание 83" xfId="19604" xr:uid="{00000000-0005-0000-0000-00006F4C0000}"/>
    <cellStyle name="Примечание 83 2" xfId="19605" xr:uid="{00000000-0005-0000-0000-0000704C0000}"/>
    <cellStyle name="Примечание 84" xfId="19606" xr:uid="{00000000-0005-0000-0000-0000714C0000}"/>
    <cellStyle name="Примечание 84 2" xfId="19607" xr:uid="{00000000-0005-0000-0000-0000724C0000}"/>
    <cellStyle name="Примечание 85" xfId="19608" xr:uid="{00000000-0005-0000-0000-0000734C0000}"/>
    <cellStyle name="Примечание 85 2" xfId="19609" xr:uid="{00000000-0005-0000-0000-0000744C0000}"/>
    <cellStyle name="Примечание 86" xfId="19610" xr:uid="{00000000-0005-0000-0000-0000754C0000}"/>
    <cellStyle name="Примечание 86 2" xfId="19611" xr:uid="{00000000-0005-0000-0000-0000764C0000}"/>
    <cellStyle name="Примечание 87" xfId="19612" xr:uid="{00000000-0005-0000-0000-0000774C0000}"/>
    <cellStyle name="Примечание 87 2" xfId="19613" xr:uid="{00000000-0005-0000-0000-0000784C0000}"/>
    <cellStyle name="Примечание 88" xfId="19614" xr:uid="{00000000-0005-0000-0000-0000794C0000}"/>
    <cellStyle name="Примечание 88 2" xfId="19615" xr:uid="{00000000-0005-0000-0000-00007A4C0000}"/>
    <cellStyle name="Примечание 89" xfId="19616" xr:uid="{00000000-0005-0000-0000-00007B4C0000}"/>
    <cellStyle name="Примечание 89 2" xfId="19617" xr:uid="{00000000-0005-0000-0000-00007C4C0000}"/>
    <cellStyle name="Примечание 9" xfId="19618" xr:uid="{00000000-0005-0000-0000-00007D4C0000}"/>
    <cellStyle name="Примечание 9 10" xfId="19619" xr:uid="{00000000-0005-0000-0000-00007E4C0000}"/>
    <cellStyle name="Примечание 9 2" xfId="19620" xr:uid="{00000000-0005-0000-0000-00007F4C0000}"/>
    <cellStyle name="Примечание 9 3" xfId="19621" xr:uid="{00000000-0005-0000-0000-0000804C0000}"/>
    <cellStyle name="Примечание 9 4" xfId="19622" xr:uid="{00000000-0005-0000-0000-0000814C0000}"/>
    <cellStyle name="Примечание 9 5" xfId="19623" xr:uid="{00000000-0005-0000-0000-0000824C0000}"/>
    <cellStyle name="Примечание 9 6" xfId="19624" xr:uid="{00000000-0005-0000-0000-0000834C0000}"/>
    <cellStyle name="Примечание 9 7" xfId="19625" xr:uid="{00000000-0005-0000-0000-0000844C0000}"/>
    <cellStyle name="Примечание 9 8" xfId="19626" xr:uid="{00000000-0005-0000-0000-0000854C0000}"/>
    <cellStyle name="Примечание 9 9" xfId="19627" xr:uid="{00000000-0005-0000-0000-0000864C0000}"/>
    <cellStyle name="Примечание 90" xfId="19628" xr:uid="{00000000-0005-0000-0000-0000874C0000}"/>
    <cellStyle name="Примечание 90 2" xfId="19629" xr:uid="{00000000-0005-0000-0000-0000884C0000}"/>
    <cellStyle name="Примечание 91" xfId="19630" xr:uid="{00000000-0005-0000-0000-0000894C0000}"/>
    <cellStyle name="Примечание 91 2" xfId="19631" xr:uid="{00000000-0005-0000-0000-00008A4C0000}"/>
    <cellStyle name="Примечание 92" xfId="19632" xr:uid="{00000000-0005-0000-0000-00008B4C0000}"/>
    <cellStyle name="Примечание 92 2" xfId="19633" xr:uid="{00000000-0005-0000-0000-00008C4C0000}"/>
    <cellStyle name="Примечание 93" xfId="19634" xr:uid="{00000000-0005-0000-0000-00008D4C0000}"/>
    <cellStyle name="Примечание 93 2" xfId="19635" xr:uid="{00000000-0005-0000-0000-00008E4C0000}"/>
    <cellStyle name="Примечание 94" xfId="19636" xr:uid="{00000000-0005-0000-0000-00008F4C0000}"/>
    <cellStyle name="Примечание 94 2" xfId="19637" xr:uid="{00000000-0005-0000-0000-0000904C0000}"/>
    <cellStyle name="Примечание 95" xfId="19638" xr:uid="{00000000-0005-0000-0000-0000914C0000}"/>
    <cellStyle name="Примечание 95 2" xfId="19639" xr:uid="{00000000-0005-0000-0000-0000924C0000}"/>
    <cellStyle name="Примечание 96" xfId="19640" xr:uid="{00000000-0005-0000-0000-0000934C0000}"/>
    <cellStyle name="Примечание 96 2" xfId="19641" xr:uid="{00000000-0005-0000-0000-0000944C0000}"/>
    <cellStyle name="Примечание 97" xfId="19642" xr:uid="{00000000-0005-0000-0000-0000954C0000}"/>
    <cellStyle name="Примечание 97 2" xfId="19643" xr:uid="{00000000-0005-0000-0000-0000964C0000}"/>
    <cellStyle name="Примечание 98" xfId="19644" xr:uid="{00000000-0005-0000-0000-0000974C0000}"/>
    <cellStyle name="Примечание 98 2" xfId="19645" xr:uid="{00000000-0005-0000-0000-0000984C0000}"/>
    <cellStyle name="Примечание 99" xfId="19646" xr:uid="{00000000-0005-0000-0000-0000994C0000}"/>
    <cellStyle name="Примечание 99 2" xfId="19647" xr:uid="{00000000-0005-0000-0000-00009A4C0000}"/>
    <cellStyle name="Процент" xfId="19648" xr:uid="{00000000-0005-0000-0000-00009B4C0000}"/>
    <cellStyle name="Процент 2" xfId="19649" xr:uid="{00000000-0005-0000-0000-00009C4C0000}"/>
    <cellStyle name="Процентный" xfId="474" builtinId="5"/>
    <cellStyle name="Процентный 10" xfId="19650" xr:uid="{00000000-0005-0000-0000-00009E4C0000}"/>
    <cellStyle name="Процентный 10 2" xfId="19651" xr:uid="{00000000-0005-0000-0000-00009F4C0000}"/>
    <cellStyle name="Процентный 10 2 2" xfId="19652" xr:uid="{00000000-0005-0000-0000-0000A04C0000}"/>
    <cellStyle name="Процентный 10 2 2 2" xfId="19653" xr:uid="{00000000-0005-0000-0000-0000A14C0000}"/>
    <cellStyle name="Процентный 10 2 3" xfId="19654" xr:uid="{00000000-0005-0000-0000-0000A24C0000}"/>
    <cellStyle name="Процентный 10 2 4" xfId="19655" xr:uid="{00000000-0005-0000-0000-0000A34C0000}"/>
    <cellStyle name="Процентный 10 3" xfId="19656" xr:uid="{00000000-0005-0000-0000-0000A44C0000}"/>
    <cellStyle name="Процентный 10 4" xfId="19657" xr:uid="{00000000-0005-0000-0000-0000A54C0000}"/>
    <cellStyle name="Процентный 11" xfId="19658" xr:uid="{00000000-0005-0000-0000-0000A64C0000}"/>
    <cellStyle name="Процентный 12" xfId="19659" xr:uid="{00000000-0005-0000-0000-0000A74C0000}"/>
    <cellStyle name="Процентный 12 2" xfId="19660" xr:uid="{00000000-0005-0000-0000-0000A84C0000}"/>
    <cellStyle name="Процентный 12 2 2" xfId="19661" xr:uid="{00000000-0005-0000-0000-0000A94C0000}"/>
    <cellStyle name="Процентный 12 2 2 2" xfId="19662" xr:uid="{00000000-0005-0000-0000-0000AA4C0000}"/>
    <cellStyle name="Процентный 12 2 3" xfId="19663" xr:uid="{00000000-0005-0000-0000-0000AB4C0000}"/>
    <cellStyle name="Процентный 12 3" xfId="19664" xr:uid="{00000000-0005-0000-0000-0000AC4C0000}"/>
    <cellStyle name="Процентный 12 3 2" xfId="19665" xr:uid="{00000000-0005-0000-0000-0000AD4C0000}"/>
    <cellStyle name="Процентный 12 3 2 2" xfId="19666" xr:uid="{00000000-0005-0000-0000-0000AE4C0000}"/>
    <cellStyle name="Процентный 12 3 3" xfId="19667" xr:uid="{00000000-0005-0000-0000-0000AF4C0000}"/>
    <cellStyle name="Процентный 12 4" xfId="19668" xr:uid="{00000000-0005-0000-0000-0000B04C0000}"/>
    <cellStyle name="Процентный 12 4 2" xfId="19669" xr:uid="{00000000-0005-0000-0000-0000B14C0000}"/>
    <cellStyle name="Процентный 12 5" xfId="19670" xr:uid="{00000000-0005-0000-0000-0000B24C0000}"/>
    <cellStyle name="Процентный 12 5 2" xfId="19671" xr:uid="{00000000-0005-0000-0000-0000B34C0000}"/>
    <cellStyle name="Процентный 12 6" xfId="19672" xr:uid="{00000000-0005-0000-0000-0000B44C0000}"/>
    <cellStyle name="Процентный 13" xfId="19673" xr:uid="{00000000-0005-0000-0000-0000B54C0000}"/>
    <cellStyle name="Процентный 14" xfId="19674" xr:uid="{00000000-0005-0000-0000-0000B64C0000}"/>
    <cellStyle name="Процентный 2" xfId="446" xr:uid="{00000000-0005-0000-0000-0000B74C0000}"/>
    <cellStyle name="Процентный 2 10" xfId="19675" xr:uid="{00000000-0005-0000-0000-0000B84C0000}"/>
    <cellStyle name="Процентный 2 11" xfId="19676" xr:uid="{00000000-0005-0000-0000-0000B94C0000}"/>
    <cellStyle name="Процентный 2 12" xfId="19677" xr:uid="{00000000-0005-0000-0000-0000BA4C0000}"/>
    <cellStyle name="Процентный 2 13" xfId="19678" xr:uid="{00000000-0005-0000-0000-0000BB4C0000}"/>
    <cellStyle name="Процентный 2 14" xfId="19679" xr:uid="{00000000-0005-0000-0000-0000BC4C0000}"/>
    <cellStyle name="Процентный 2 15" xfId="19680" xr:uid="{00000000-0005-0000-0000-0000BD4C0000}"/>
    <cellStyle name="Процентный 2 16" xfId="19681" xr:uid="{00000000-0005-0000-0000-0000BE4C0000}"/>
    <cellStyle name="Процентный 2 17" xfId="19682" xr:uid="{00000000-0005-0000-0000-0000BF4C0000}"/>
    <cellStyle name="Процентный 2 18" xfId="19683" xr:uid="{00000000-0005-0000-0000-0000C04C0000}"/>
    <cellStyle name="Процентный 2 19" xfId="19684" xr:uid="{00000000-0005-0000-0000-0000C14C0000}"/>
    <cellStyle name="Процентный 2 2" xfId="447" xr:uid="{00000000-0005-0000-0000-0000C24C0000}"/>
    <cellStyle name="Процентный 2 2 10" xfId="19685" xr:uid="{00000000-0005-0000-0000-0000C34C0000}"/>
    <cellStyle name="Процентный 2 2 11" xfId="19686" xr:uid="{00000000-0005-0000-0000-0000C44C0000}"/>
    <cellStyle name="Процентный 2 2 12" xfId="19687" xr:uid="{00000000-0005-0000-0000-0000C54C0000}"/>
    <cellStyle name="Процентный 2 2 13" xfId="19688" xr:uid="{00000000-0005-0000-0000-0000C64C0000}"/>
    <cellStyle name="Процентный 2 2 14" xfId="19689" xr:uid="{00000000-0005-0000-0000-0000C74C0000}"/>
    <cellStyle name="Процентный 2 2 15" xfId="19690" xr:uid="{00000000-0005-0000-0000-0000C84C0000}"/>
    <cellStyle name="Процентный 2 2 16" xfId="19691" xr:uid="{00000000-0005-0000-0000-0000C94C0000}"/>
    <cellStyle name="Процентный 2 2 17" xfId="19692" xr:uid="{00000000-0005-0000-0000-0000CA4C0000}"/>
    <cellStyle name="Процентный 2 2 18" xfId="19693" xr:uid="{00000000-0005-0000-0000-0000CB4C0000}"/>
    <cellStyle name="Процентный 2 2 19" xfId="19694" xr:uid="{00000000-0005-0000-0000-0000CC4C0000}"/>
    <cellStyle name="Процентный 2 2 2" xfId="448" xr:uid="{00000000-0005-0000-0000-0000CD4C0000}"/>
    <cellStyle name="Процентный 2 2 20" xfId="19695" xr:uid="{00000000-0005-0000-0000-0000CE4C0000}"/>
    <cellStyle name="Процентный 2 2 21" xfId="19696" xr:uid="{00000000-0005-0000-0000-0000CF4C0000}"/>
    <cellStyle name="Процентный 2 2 22" xfId="19697" xr:uid="{00000000-0005-0000-0000-0000D04C0000}"/>
    <cellStyle name="Процентный 2 2 23" xfId="19698" xr:uid="{00000000-0005-0000-0000-0000D14C0000}"/>
    <cellStyle name="Процентный 2 2 24" xfId="19699" xr:uid="{00000000-0005-0000-0000-0000D24C0000}"/>
    <cellStyle name="Процентный 2 2 3" xfId="19700" xr:uid="{00000000-0005-0000-0000-0000D34C0000}"/>
    <cellStyle name="Процентный 2 2 4" xfId="19701" xr:uid="{00000000-0005-0000-0000-0000D44C0000}"/>
    <cellStyle name="Процентный 2 2 5" xfId="19702" xr:uid="{00000000-0005-0000-0000-0000D54C0000}"/>
    <cellStyle name="Процентный 2 2 6" xfId="19703" xr:uid="{00000000-0005-0000-0000-0000D64C0000}"/>
    <cellStyle name="Процентный 2 2 7" xfId="19704" xr:uid="{00000000-0005-0000-0000-0000D74C0000}"/>
    <cellStyle name="Процентный 2 2 8" xfId="19705" xr:uid="{00000000-0005-0000-0000-0000D84C0000}"/>
    <cellStyle name="Процентный 2 2 9" xfId="19706" xr:uid="{00000000-0005-0000-0000-0000D94C0000}"/>
    <cellStyle name="Процентный 2 20" xfId="19707" xr:uid="{00000000-0005-0000-0000-0000DA4C0000}"/>
    <cellStyle name="Процентный 2 3" xfId="449" xr:uid="{00000000-0005-0000-0000-0000DB4C0000}"/>
    <cellStyle name="Процентный 2 4" xfId="19708" xr:uid="{00000000-0005-0000-0000-0000DC4C0000}"/>
    <cellStyle name="Процентный 2 5" xfId="19709" xr:uid="{00000000-0005-0000-0000-0000DD4C0000}"/>
    <cellStyle name="Процентный 2 6" xfId="19710" xr:uid="{00000000-0005-0000-0000-0000DE4C0000}"/>
    <cellStyle name="Процентный 2 7" xfId="19711" xr:uid="{00000000-0005-0000-0000-0000DF4C0000}"/>
    <cellStyle name="Процентный 2 8" xfId="19712" xr:uid="{00000000-0005-0000-0000-0000E04C0000}"/>
    <cellStyle name="Процентный 2 9" xfId="19713" xr:uid="{00000000-0005-0000-0000-0000E14C0000}"/>
    <cellStyle name="Процентный 3" xfId="450" xr:uid="{00000000-0005-0000-0000-0000E24C0000}"/>
    <cellStyle name="Процентный 3 10" xfId="19714" xr:uid="{00000000-0005-0000-0000-0000E34C0000}"/>
    <cellStyle name="Процентный 3 11" xfId="19715" xr:uid="{00000000-0005-0000-0000-0000E44C0000}"/>
    <cellStyle name="Процентный 3 12" xfId="19716" xr:uid="{00000000-0005-0000-0000-0000E54C0000}"/>
    <cellStyle name="Процентный 3 13" xfId="19717" xr:uid="{00000000-0005-0000-0000-0000E64C0000}"/>
    <cellStyle name="Процентный 3 14" xfId="19718" xr:uid="{00000000-0005-0000-0000-0000E74C0000}"/>
    <cellStyle name="Процентный 3 15" xfId="19719" xr:uid="{00000000-0005-0000-0000-0000E84C0000}"/>
    <cellStyle name="Процентный 3 2" xfId="451" xr:uid="{00000000-0005-0000-0000-0000E94C0000}"/>
    <cellStyle name="Процентный 3 2 2" xfId="452" xr:uid="{00000000-0005-0000-0000-0000EA4C0000}"/>
    <cellStyle name="Процентный 3 3" xfId="453" xr:uid="{00000000-0005-0000-0000-0000EB4C0000}"/>
    <cellStyle name="Процентный 3 4" xfId="485" xr:uid="{00000000-0005-0000-0000-0000EC4C0000}"/>
    <cellStyle name="Процентный 3 5" xfId="19720" xr:uid="{00000000-0005-0000-0000-0000ED4C0000}"/>
    <cellStyle name="Процентный 3 6" xfId="19721" xr:uid="{00000000-0005-0000-0000-0000EE4C0000}"/>
    <cellStyle name="Процентный 3 7" xfId="19722" xr:uid="{00000000-0005-0000-0000-0000EF4C0000}"/>
    <cellStyle name="Процентный 3 8" xfId="19723" xr:uid="{00000000-0005-0000-0000-0000F04C0000}"/>
    <cellStyle name="Процентный 3 9" xfId="19724" xr:uid="{00000000-0005-0000-0000-0000F14C0000}"/>
    <cellStyle name="Процентный 4" xfId="454" xr:uid="{00000000-0005-0000-0000-0000F24C0000}"/>
    <cellStyle name="Процентный 4 2" xfId="455" xr:uid="{00000000-0005-0000-0000-0000F34C0000}"/>
    <cellStyle name="Процентный 4 3" xfId="19725" xr:uid="{00000000-0005-0000-0000-0000F44C0000}"/>
    <cellStyle name="Процентный 4 4" xfId="19726" xr:uid="{00000000-0005-0000-0000-0000F54C0000}"/>
    <cellStyle name="Процентный 4 5" xfId="19727" xr:uid="{00000000-0005-0000-0000-0000F64C0000}"/>
    <cellStyle name="Процентный 4 6" xfId="19728" xr:uid="{00000000-0005-0000-0000-0000F74C0000}"/>
    <cellStyle name="Процентный 4 7" xfId="19729" xr:uid="{00000000-0005-0000-0000-0000F84C0000}"/>
    <cellStyle name="Процентный 4 8" xfId="19730" xr:uid="{00000000-0005-0000-0000-0000F94C0000}"/>
    <cellStyle name="Процентный 4 9" xfId="19731" xr:uid="{00000000-0005-0000-0000-0000FA4C0000}"/>
    <cellStyle name="Процентный 5" xfId="456" xr:uid="{00000000-0005-0000-0000-0000FB4C0000}"/>
    <cellStyle name="Процентный 5 2" xfId="19732" xr:uid="{00000000-0005-0000-0000-0000FC4C0000}"/>
    <cellStyle name="Процентный 5 3" xfId="19733" xr:uid="{00000000-0005-0000-0000-0000FD4C0000}"/>
    <cellStyle name="Процентный 5 4" xfId="19734" xr:uid="{00000000-0005-0000-0000-0000FE4C0000}"/>
    <cellStyle name="Процентный 6" xfId="457" xr:uid="{00000000-0005-0000-0000-0000FF4C0000}"/>
    <cellStyle name="Процентный 6 2" xfId="19735" xr:uid="{00000000-0005-0000-0000-0000004D0000}"/>
    <cellStyle name="Процентный 6 3" xfId="19736" xr:uid="{00000000-0005-0000-0000-0000014D0000}"/>
    <cellStyle name="Процентный 6 4" xfId="19737" xr:uid="{00000000-0005-0000-0000-0000024D0000}"/>
    <cellStyle name="Процентный 7" xfId="478" xr:uid="{00000000-0005-0000-0000-0000034D0000}"/>
    <cellStyle name="Процентный 7 2" xfId="19738" xr:uid="{00000000-0005-0000-0000-0000044D0000}"/>
    <cellStyle name="Процентный 7 3" xfId="19739" xr:uid="{00000000-0005-0000-0000-0000054D0000}"/>
    <cellStyle name="Процентный 7 4" xfId="19740" xr:uid="{00000000-0005-0000-0000-0000064D0000}"/>
    <cellStyle name="Процентный 8" xfId="19741" xr:uid="{00000000-0005-0000-0000-0000074D0000}"/>
    <cellStyle name="Процентный 9" xfId="19742" xr:uid="{00000000-0005-0000-0000-0000084D0000}"/>
    <cellStyle name="Пункт 2 2" xfId="19743" xr:uid="{00000000-0005-0000-0000-0000094D0000}"/>
    <cellStyle name="Пункт 2 2 2" xfId="19744" xr:uid="{00000000-0005-0000-0000-00000A4D0000}"/>
    <cellStyle name="Расчет" xfId="19745" xr:uid="{00000000-0005-0000-0000-00000B4D0000}"/>
    <cellStyle name="Сверхулин" xfId="19746" xr:uid="{00000000-0005-0000-0000-00000C4D0000}"/>
    <cellStyle name="Сверхулин 2" xfId="19747" xr:uid="{00000000-0005-0000-0000-00000D4D0000}"/>
    <cellStyle name="Сверхулин 2 2" xfId="19748" xr:uid="{00000000-0005-0000-0000-00000E4D0000}"/>
    <cellStyle name="Сверхулин 2 2 2" xfId="19749" xr:uid="{00000000-0005-0000-0000-00000F4D0000}"/>
    <cellStyle name="Сверхулин 2 3" xfId="19750" xr:uid="{00000000-0005-0000-0000-0000104D0000}"/>
    <cellStyle name="Сверхулин 2 3 2" xfId="19751" xr:uid="{00000000-0005-0000-0000-0000114D0000}"/>
    <cellStyle name="Сверхулин 2 4" xfId="19752" xr:uid="{00000000-0005-0000-0000-0000124D0000}"/>
    <cellStyle name="Сверхулин 3" xfId="19753" xr:uid="{00000000-0005-0000-0000-0000134D0000}"/>
    <cellStyle name="Сверхулин 3 2" xfId="19754" xr:uid="{00000000-0005-0000-0000-0000144D0000}"/>
    <cellStyle name="Сверхулин 3 2 2" xfId="19755" xr:uid="{00000000-0005-0000-0000-0000154D0000}"/>
    <cellStyle name="Сверхулин 3 3" xfId="19756" xr:uid="{00000000-0005-0000-0000-0000164D0000}"/>
    <cellStyle name="Сверхулин 3 3 2" xfId="19757" xr:uid="{00000000-0005-0000-0000-0000174D0000}"/>
    <cellStyle name="Сверхулин 3 4" xfId="19758" xr:uid="{00000000-0005-0000-0000-0000184D0000}"/>
    <cellStyle name="Сверхулин 4" xfId="19759" xr:uid="{00000000-0005-0000-0000-0000194D0000}"/>
    <cellStyle name="Сверхулин 4 2" xfId="19760" xr:uid="{00000000-0005-0000-0000-00001A4D0000}"/>
    <cellStyle name="Сверхулин 4 2 2" xfId="19761" xr:uid="{00000000-0005-0000-0000-00001B4D0000}"/>
    <cellStyle name="Сверхулин 4 3" xfId="19762" xr:uid="{00000000-0005-0000-0000-00001C4D0000}"/>
    <cellStyle name="Сверхулин 4 3 2" xfId="19763" xr:uid="{00000000-0005-0000-0000-00001D4D0000}"/>
    <cellStyle name="Сверхулин 4 4" xfId="19764" xr:uid="{00000000-0005-0000-0000-00001E4D0000}"/>
    <cellStyle name="Сверхулин 5" xfId="19765" xr:uid="{00000000-0005-0000-0000-00001F4D0000}"/>
    <cellStyle name="Сверхулин 5 2" xfId="19766" xr:uid="{00000000-0005-0000-0000-0000204D0000}"/>
    <cellStyle name="Сверхулин 6" xfId="19767" xr:uid="{00000000-0005-0000-0000-0000214D0000}"/>
    <cellStyle name="Сверхулин 6 2" xfId="19768" xr:uid="{00000000-0005-0000-0000-0000224D0000}"/>
    <cellStyle name="Сверхулин 7" xfId="19769" xr:uid="{00000000-0005-0000-0000-0000234D0000}"/>
    <cellStyle name="Связанная ячейка 10" xfId="19770" xr:uid="{00000000-0005-0000-0000-0000244D0000}"/>
    <cellStyle name="Связанная ячейка 100" xfId="19771" xr:uid="{00000000-0005-0000-0000-0000254D0000}"/>
    <cellStyle name="Связанная ячейка 101" xfId="19772" xr:uid="{00000000-0005-0000-0000-0000264D0000}"/>
    <cellStyle name="Связанная ячейка 102" xfId="19773" xr:uid="{00000000-0005-0000-0000-0000274D0000}"/>
    <cellStyle name="Связанная ячейка 103" xfId="19774" xr:uid="{00000000-0005-0000-0000-0000284D0000}"/>
    <cellStyle name="Связанная ячейка 104" xfId="19775" xr:uid="{00000000-0005-0000-0000-0000294D0000}"/>
    <cellStyle name="Связанная ячейка 105" xfId="19776" xr:uid="{00000000-0005-0000-0000-00002A4D0000}"/>
    <cellStyle name="Связанная ячейка 106" xfId="19777" xr:uid="{00000000-0005-0000-0000-00002B4D0000}"/>
    <cellStyle name="Связанная ячейка 107" xfId="19778" xr:uid="{00000000-0005-0000-0000-00002C4D0000}"/>
    <cellStyle name="Связанная ячейка 108" xfId="19779" xr:uid="{00000000-0005-0000-0000-00002D4D0000}"/>
    <cellStyle name="Связанная ячейка 109" xfId="19780" xr:uid="{00000000-0005-0000-0000-00002E4D0000}"/>
    <cellStyle name="Связанная ячейка 11" xfId="19781" xr:uid="{00000000-0005-0000-0000-00002F4D0000}"/>
    <cellStyle name="Связанная ячейка 110" xfId="19782" xr:uid="{00000000-0005-0000-0000-0000304D0000}"/>
    <cellStyle name="Связанная ячейка 111" xfId="19783" xr:uid="{00000000-0005-0000-0000-0000314D0000}"/>
    <cellStyle name="Связанная ячейка 112" xfId="19784" xr:uid="{00000000-0005-0000-0000-0000324D0000}"/>
    <cellStyle name="Связанная ячейка 113" xfId="19785" xr:uid="{00000000-0005-0000-0000-0000334D0000}"/>
    <cellStyle name="Связанная ячейка 114" xfId="19786" xr:uid="{00000000-0005-0000-0000-0000344D0000}"/>
    <cellStyle name="Связанная ячейка 115" xfId="19787" xr:uid="{00000000-0005-0000-0000-0000354D0000}"/>
    <cellStyle name="Связанная ячейка 116" xfId="19788" xr:uid="{00000000-0005-0000-0000-0000364D0000}"/>
    <cellStyle name="Связанная ячейка 117" xfId="19789" xr:uid="{00000000-0005-0000-0000-0000374D0000}"/>
    <cellStyle name="Связанная ячейка 118" xfId="19790" xr:uid="{00000000-0005-0000-0000-0000384D0000}"/>
    <cellStyle name="Связанная ячейка 119" xfId="19791" xr:uid="{00000000-0005-0000-0000-0000394D0000}"/>
    <cellStyle name="Связанная ячейка 12" xfId="19792" xr:uid="{00000000-0005-0000-0000-00003A4D0000}"/>
    <cellStyle name="Связанная ячейка 120" xfId="19793" xr:uid="{00000000-0005-0000-0000-00003B4D0000}"/>
    <cellStyle name="Связанная ячейка 121" xfId="19794" xr:uid="{00000000-0005-0000-0000-00003C4D0000}"/>
    <cellStyle name="Связанная ячейка 122" xfId="19795" xr:uid="{00000000-0005-0000-0000-00003D4D0000}"/>
    <cellStyle name="Связанная ячейка 123" xfId="19796" xr:uid="{00000000-0005-0000-0000-00003E4D0000}"/>
    <cellStyle name="Связанная ячейка 124" xfId="19797" xr:uid="{00000000-0005-0000-0000-00003F4D0000}"/>
    <cellStyle name="Связанная ячейка 125" xfId="19798" xr:uid="{00000000-0005-0000-0000-0000404D0000}"/>
    <cellStyle name="Связанная ячейка 126" xfId="19799" xr:uid="{00000000-0005-0000-0000-0000414D0000}"/>
    <cellStyle name="Связанная ячейка 127" xfId="19800" xr:uid="{00000000-0005-0000-0000-0000424D0000}"/>
    <cellStyle name="Связанная ячейка 128" xfId="19801" xr:uid="{00000000-0005-0000-0000-0000434D0000}"/>
    <cellStyle name="Связанная ячейка 129" xfId="19802" xr:uid="{00000000-0005-0000-0000-0000444D0000}"/>
    <cellStyle name="Связанная ячейка 13" xfId="19803" xr:uid="{00000000-0005-0000-0000-0000454D0000}"/>
    <cellStyle name="Связанная ячейка 130" xfId="19804" xr:uid="{00000000-0005-0000-0000-0000464D0000}"/>
    <cellStyle name="Связанная ячейка 131" xfId="19805" xr:uid="{00000000-0005-0000-0000-0000474D0000}"/>
    <cellStyle name="Связанная ячейка 132" xfId="19806" xr:uid="{00000000-0005-0000-0000-0000484D0000}"/>
    <cellStyle name="Связанная ячейка 133" xfId="19807" xr:uid="{00000000-0005-0000-0000-0000494D0000}"/>
    <cellStyle name="Связанная ячейка 134" xfId="19808" xr:uid="{00000000-0005-0000-0000-00004A4D0000}"/>
    <cellStyle name="Связанная ячейка 135" xfId="19809" xr:uid="{00000000-0005-0000-0000-00004B4D0000}"/>
    <cellStyle name="Связанная ячейка 136" xfId="19810" xr:uid="{00000000-0005-0000-0000-00004C4D0000}"/>
    <cellStyle name="Связанная ячейка 137" xfId="19811" xr:uid="{00000000-0005-0000-0000-00004D4D0000}"/>
    <cellStyle name="Связанная ячейка 138" xfId="19812" xr:uid="{00000000-0005-0000-0000-00004E4D0000}"/>
    <cellStyle name="Связанная ячейка 139" xfId="19813" xr:uid="{00000000-0005-0000-0000-00004F4D0000}"/>
    <cellStyle name="Связанная ячейка 14" xfId="19814" xr:uid="{00000000-0005-0000-0000-0000504D0000}"/>
    <cellStyle name="Связанная ячейка 140" xfId="19815" xr:uid="{00000000-0005-0000-0000-0000514D0000}"/>
    <cellStyle name="Связанная ячейка 141" xfId="19816" xr:uid="{00000000-0005-0000-0000-0000524D0000}"/>
    <cellStyle name="Связанная ячейка 142" xfId="19817" xr:uid="{00000000-0005-0000-0000-0000534D0000}"/>
    <cellStyle name="Связанная ячейка 143" xfId="19818" xr:uid="{00000000-0005-0000-0000-0000544D0000}"/>
    <cellStyle name="Связанная ячейка 144" xfId="19819" xr:uid="{00000000-0005-0000-0000-0000554D0000}"/>
    <cellStyle name="Связанная ячейка 145" xfId="19820" xr:uid="{00000000-0005-0000-0000-0000564D0000}"/>
    <cellStyle name="Связанная ячейка 146" xfId="19821" xr:uid="{00000000-0005-0000-0000-0000574D0000}"/>
    <cellStyle name="Связанная ячейка 147" xfId="19822" xr:uid="{00000000-0005-0000-0000-0000584D0000}"/>
    <cellStyle name="Связанная ячейка 148" xfId="19823" xr:uid="{00000000-0005-0000-0000-0000594D0000}"/>
    <cellStyle name="Связанная ячейка 149" xfId="19824" xr:uid="{00000000-0005-0000-0000-00005A4D0000}"/>
    <cellStyle name="Связанная ячейка 15" xfId="19825" xr:uid="{00000000-0005-0000-0000-00005B4D0000}"/>
    <cellStyle name="Связанная ячейка 150" xfId="19826" xr:uid="{00000000-0005-0000-0000-00005C4D0000}"/>
    <cellStyle name="Связанная ячейка 151" xfId="19827" xr:uid="{00000000-0005-0000-0000-00005D4D0000}"/>
    <cellStyle name="Связанная ячейка 16" xfId="19828" xr:uid="{00000000-0005-0000-0000-00005E4D0000}"/>
    <cellStyle name="Связанная ячейка 17" xfId="19829" xr:uid="{00000000-0005-0000-0000-00005F4D0000}"/>
    <cellStyle name="Связанная ячейка 18" xfId="19830" xr:uid="{00000000-0005-0000-0000-0000604D0000}"/>
    <cellStyle name="Связанная ячейка 19" xfId="19831" xr:uid="{00000000-0005-0000-0000-0000614D0000}"/>
    <cellStyle name="Связанная ячейка 2" xfId="458" xr:uid="{00000000-0005-0000-0000-0000624D0000}"/>
    <cellStyle name="Связанная ячейка 2 2" xfId="19832" xr:uid="{00000000-0005-0000-0000-0000634D0000}"/>
    <cellStyle name="Связанная ячейка 2 3" xfId="19833" xr:uid="{00000000-0005-0000-0000-0000644D0000}"/>
    <cellStyle name="Связанная ячейка 2 4" xfId="19834" xr:uid="{00000000-0005-0000-0000-0000654D0000}"/>
    <cellStyle name="Связанная ячейка 2 5" xfId="19835" xr:uid="{00000000-0005-0000-0000-0000664D0000}"/>
    <cellStyle name="Связанная ячейка 2 6" xfId="19836" xr:uid="{00000000-0005-0000-0000-0000674D0000}"/>
    <cellStyle name="Связанная ячейка 2 7" xfId="19837" xr:uid="{00000000-0005-0000-0000-0000684D0000}"/>
    <cellStyle name="Связанная ячейка 20" xfId="19838" xr:uid="{00000000-0005-0000-0000-0000694D0000}"/>
    <cellStyle name="Связанная ячейка 20 2" xfId="19839" xr:uid="{00000000-0005-0000-0000-00006A4D0000}"/>
    <cellStyle name="Связанная ячейка 21" xfId="19840" xr:uid="{00000000-0005-0000-0000-00006B4D0000}"/>
    <cellStyle name="Связанная ячейка 22" xfId="19841" xr:uid="{00000000-0005-0000-0000-00006C4D0000}"/>
    <cellStyle name="Связанная ячейка 23" xfId="19842" xr:uid="{00000000-0005-0000-0000-00006D4D0000}"/>
    <cellStyle name="Связанная ячейка 24" xfId="19843" xr:uid="{00000000-0005-0000-0000-00006E4D0000}"/>
    <cellStyle name="Связанная ячейка 25" xfId="19844" xr:uid="{00000000-0005-0000-0000-00006F4D0000}"/>
    <cellStyle name="Связанная ячейка 26" xfId="19845" xr:uid="{00000000-0005-0000-0000-0000704D0000}"/>
    <cellStyle name="Связанная ячейка 27" xfId="19846" xr:uid="{00000000-0005-0000-0000-0000714D0000}"/>
    <cellStyle name="Связанная ячейка 28" xfId="19847" xr:uid="{00000000-0005-0000-0000-0000724D0000}"/>
    <cellStyle name="Связанная ячейка 29" xfId="19848" xr:uid="{00000000-0005-0000-0000-0000734D0000}"/>
    <cellStyle name="Связанная ячейка 3" xfId="19849" xr:uid="{00000000-0005-0000-0000-0000744D0000}"/>
    <cellStyle name="Связанная ячейка 30" xfId="19850" xr:uid="{00000000-0005-0000-0000-0000754D0000}"/>
    <cellStyle name="Связанная ячейка 31" xfId="19851" xr:uid="{00000000-0005-0000-0000-0000764D0000}"/>
    <cellStyle name="Связанная ячейка 32" xfId="19852" xr:uid="{00000000-0005-0000-0000-0000774D0000}"/>
    <cellStyle name="Связанная ячейка 33" xfId="19853" xr:uid="{00000000-0005-0000-0000-0000784D0000}"/>
    <cellStyle name="Связанная ячейка 34" xfId="19854" xr:uid="{00000000-0005-0000-0000-0000794D0000}"/>
    <cellStyle name="Связанная ячейка 35" xfId="19855" xr:uid="{00000000-0005-0000-0000-00007A4D0000}"/>
    <cellStyle name="Связанная ячейка 36" xfId="19856" xr:uid="{00000000-0005-0000-0000-00007B4D0000}"/>
    <cellStyle name="Связанная ячейка 37" xfId="19857" xr:uid="{00000000-0005-0000-0000-00007C4D0000}"/>
    <cellStyle name="Связанная ячейка 38" xfId="19858" xr:uid="{00000000-0005-0000-0000-00007D4D0000}"/>
    <cellStyle name="Связанная ячейка 39" xfId="19859" xr:uid="{00000000-0005-0000-0000-00007E4D0000}"/>
    <cellStyle name="Связанная ячейка 4" xfId="19860" xr:uid="{00000000-0005-0000-0000-00007F4D0000}"/>
    <cellStyle name="Связанная ячейка 40" xfId="19861" xr:uid="{00000000-0005-0000-0000-0000804D0000}"/>
    <cellStyle name="Связанная ячейка 41" xfId="19862" xr:uid="{00000000-0005-0000-0000-0000814D0000}"/>
    <cellStyle name="Связанная ячейка 42" xfId="19863" xr:uid="{00000000-0005-0000-0000-0000824D0000}"/>
    <cellStyle name="Связанная ячейка 43" xfId="19864" xr:uid="{00000000-0005-0000-0000-0000834D0000}"/>
    <cellStyle name="Связанная ячейка 44" xfId="19865" xr:uid="{00000000-0005-0000-0000-0000844D0000}"/>
    <cellStyle name="Связанная ячейка 45" xfId="19866" xr:uid="{00000000-0005-0000-0000-0000854D0000}"/>
    <cellStyle name="Связанная ячейка 46" xfId="19867" xr:uid="{00000000-0005-0000-0000-0000864D0000}"/>
    <cellStyle name="Связанная ячейка 47" xfId="19868" xr:uid="{00000000-0005-0000-0000-0000874D0000}"/>
    <cellStyle name="Связанная ячейка 48" xfId="19869" xr:uid="{00000000-0005-0000-0000-0000884D0000}"/>
    <cellStyle name="Связанная ячейка 49" xfId="19870" xr:uid="{00000000-0005-0000-0000-0000894D0000}"/>
    <cellStyle name="Связанная ячейка 5" xfId="19871" xr:uid="{00000000-0005-0000-0000-00008A4D0000}"/>
    <cellStyle name="Связанная ячейка 50" xfId="19872" xr:uid="{00000000-0005-0000-0000-00008B4D0000}"/>
    <cellStyle name="Связанная ячейка 51" xfId="19873" xr:uid="{00000000-0005-0000-0000-00008C4D0000}"/>
    <cellStyle name="Связанная ячейка 52" xfId="19874" xr:uid="{00000000-0005-0000-0000-00008D4D0000}"/>
    <cellStyle name="Связанная ячейка 53" xfId="19875" xr:uid="{00000000-0005-0000-0000-00008E4D0000}"/>
    <cellStyle name="Связанная ячейка 54" xfId="19876" xr:uid="{00000000-0005-0000-0000-00008F4D0000}"/>
    <cellStyle name="Связанная ячейка 55" xfId="19877" xr:uid="{00000000-0005-0000-0000-0000904D0000}"/>
    <cellStyle name="Связанная ячейка 56" xfId="19878" xr:uid="{00000000-0005-0000-0000-0000914D0000}"/>
    <cellStyle name="Связанная ячейка 57" xfId="19879" xr:uid="{00000000-0005-0000-0000-0000924D0000}"/>
    <cellStyle name="Связанная ячейка 58" xfId="19880" xr:uid="{00000000-0005-0000-0000-0000934D0000}"/>
    <cellStyle name="Связанная ячейка 59" xfId="19881" xr:uid="{00000000-0005-0000-0000-0000944D0000}"/>
    <cellStyle name="Связанная ячейка 6" xfId="19882" xr:uid="{00000000-0005-0000-0000-0000954D0000}"/>
    <cellStyle name="Связанная ячейка 60" xfId="19883" xr:uid="{00000000-0005-0000-0000-0000964D0000}"/>
    <cellStyle name="Связанная ячейка 61" xfId="19884" xr:uid="{00000000-0005-0000-0000-0000974D0000}"/>
    <cellStyle name="Связанная ячейка 62" xfId="19885" xr:uid="{00000000-0005-0000-0000-0000984D0000}"/>
    <cellStyle name="Связанная ячейка 63" xfId="19886" xr:uid="{00000000-0005-0000-0000-0000994D0000}"/>
    <cellStyle name="Связанная ячейка 64" xfId="19887" xr:uid="{00000000-0005-0000-0000-00009A4D0000}"/>
    <cellStyle name="Связанная ячейка 65" xfId="19888" xr:uid="{00000000-0005-0000-0000-00009B4D0000}"/>
    <cellStyle name="Связанная ячейка 66" xfId="19889" xr:uid="{00000000-0005-0000-0000-00009C4D0000}"/>
    <cellStyle name="Связанная ячейка 67" xfId="19890" xr:uid="{00000000-0005-0000-0000-00009D4D0000}"/>
    <cellStyle name="Связанная ячейка 68" xfId="19891" xr:uid="{00000000-0005-0000-0000-00009E4D0000}"/>
    <cellStyle name="Связанная ячейка 69" xfId="19892" xr:uid="{00000000-0005-0000-0000-00009F4D0000}"/>
    <cellStyle name="Связанная ячейка 7" xfId="19893" xr:uid="{00000000-0005-0000-0000-0000A04D0000}"/>
    <cellStyle name="Связанная ячейка 70" xfId="19894" xr:uid="{00000000-0005-0000-0000-0000A14D0000}"/>
    <cellStyle name="Связанная ячейка 71" xfId="19895" xr:uid="{00000000-0005-0000-0000-0000A24D0000}"/>
    <cellStyle name="Связанная ячейка 72" xfId="19896" xr:uid="{00000000-0005-0000-0000-0000A34D0000}"/>
    <cellStyle name="Связанная ячейка 73" xfId="19897" xr:uid="{00000000-0005-0000-0000-0000A44D0000}"/>
    <cellStyle name="Связанная ячейка 74" xfId="19898" xr:uid="{00000000-0005-0000-0000-0000A54D0000}"/>
    <cellStyle name="Связанная ячейка 75" xfId="19899" xr:uid="{00000000-0005-0000-0000-0000A64D0000}"/>
    <cellStyle name="Связанная ячейка 76" xfId="19900" xr:uid="{00000000-0005-0000-0000-0000A74D0000}"/>
    <cellStyle name="Связанная ячейка 77" xfId="19901" xr:uid="{00000000-0005-0000-0000-0000A84D0000}"/>
    <cellStyle name="Связанная ячейка 78" xfId="19902" xr:uid="{00000000-0005-0000-0000-0000A94D0000}"/>
    <cellStyle name="Связанная ячейка 79" xfId="19903" xr:uid="{00000000-0005-0000-0000-0000AA4D0000}"/>
    <cellStyle name="Связанная ячейка 8" xfId="19904" xr:uid="{00000000-0005-0000-0000-0000AB4D0000}"/>
    <cellStyle name="Связанная ячейка 80" xfId="19905" xr:uid="{00000000-0005-0000-0000-0000AC4D0000}"/>
    <cellStyle name="Связанная ячейка 81" xfId="19906" xr:uid="{00000000-0005-0000-0000-0000AD4D0000}"/>
    <cellStyle name="Связанная ячейка 82" xfId="19907" xr:uid="{00000000-0005-0000-0000-0000AE4D0000}"/>
    <cellStyle name="Связанная ячейка 83" xfId="19908" xr:uid="{00000000-0005-0000-0000-0000AF4D0000}"/>
    <cellStyle name="Связанная ячейка 84" xfId="19909" xr:uid="{00000000-0005-0000-0000-0000B04D0000}"/>
    <cellStyle name="Связанная ячейка 85" xfId="19910" xr:uid="{00000000-0005-0000-0000-0000B14D0000}"/>
    <cellStyle name="Связанная ячейка 86" xfId="19911" xr:uid="{00000000-0005-0000-0000-0000B24D0000}"/>
    <cellStyle name="Связанная ячейка 87" xfId="19912" xr:uid="{00000000-0005-0000-0000-0000B34D0000}"/>
    <cellStyle name="Связанная ячейка 88" xfId="19913" xr:uid="{00000000-0005-0000-0000-0000B44D0000}"/>
    <cellStyle name="Связанная ячейка 89" xfId="19914" xr:uid="{00000000-0005-0000-0000-0000B54D0000}"/>
    <cellStyle name="Связанная ячейка 9" xfId="19915" xr:uid="{00000000-0005-0000-0000-0000B64D0000}"/>
    <cellStyle name="Связанная ячейка 90" xfId="19916" xr:uid="{00000000-0005-0000-0000-0000B74D0000}"/>
    <cellStyle name="Связанная ячейка 91" xfId="19917" xr:uid="{00000000-0005-0000-0000-0000B84D0000}"/>
    <cellStyle name="Связанная ячейка 92" xfId="19918" xr:uid="{00000000-0005-0000-0000-0000B94D0000}"/>
    <cellStyle name="Связанная ячейка 93" xfId="19919" xr:uid="{00000000-0005-0000-0000-0000BA4D0000}"/>
    <cellStyle name="Связанная ячейка 94" xfId="19920" xr:uid="{00000000-0005-0000-0000-0000BB4D0000}"/>
    <cellStyle name="Связанная ячейка 95" xfId="19921" xr:uid="{00000000-0005-0000-0000-0000BC4D0000}"/>
    <cellStyle name="Связанная ячейка 96" xfId="19922" xr:uid="{00000000-0005-0000-0000-0000BD4D0000}"/>
    <cellStyle name="Связанная ячейка 97" xfId="19923" xr:uid="{00000000-0005-0000-0000-0000BE4D0000}"/>
    <cellStyle name="Связанная ячейка 98" xfId="19924" xr:uid="{00000000-0005-0000-0000-0000BF4D0000}"/>
    <cellStyle name="Связанная ячейка 99" xfId="19925" xr:uid="{00000000-0005-0000-0000-0000C04D0000}"/>
    <cellStyle name="Ссылка" xfId="19926" xr:uid="{00000000-0005-0000-0000-0000C14D0000}"/>
    <cellStyle name="Стиль 1" xfId="459" xr:uid="{00000000-0005-0000-0000-0000C24D0000}"/>
    <cellStyle name="Стиль 1 10" xfId="19927" xr:uid="{00000000-0005-0000-0000-0000C34D0000}"/>
    <cellStyle name="Стиль 1 2" xfId="19928" xr:uid="{00000000-0005-0000-0000-0000C44D0000}"/>
    <cellStyle name="Стиль 1 2 2" xfId="19929" xr:uid="{00000000-0005-0000-0000-0000C54D0000}"/>
    <cellStyle name="Стиль 1 2 2 2" xfId="19930" xr:uid="{00000000-0005-0000-0000-0000C64D0000}"/>
    <cellStyle name="Стиль 1 2 3" xfId="19931" xr:uid="{00000000-0005-0000-0000-0000C74D0000}"/>
    <cellStyle name="Стиль 1 2 3 2" xfId="19932" xr:uid="{00000000-0005-0000-0000-0000C84D0000}"/>
    <cellStyle name="Стиль 1 2 4" xfId="19933" xr:uid="{00000000-0005-0000-0000-0000C94D0000}"/>
    <cellStyle name="Стиль 1 2 4 2" xfId="19934" xr:uid="{00000000-0005-0000-0000-0000CA4D0000}"/>
    <cellStyle name="Стиль 1 2 5" xfId="19935" xr:uid="{00000000-0005-0000-0000-0000CB4D0000}"/>
    <cellStyle name="Стиль 1 3" xfId="19936" xr:uid="{00000000-0005-0000-0000-0000CC4D0000}"/>
    <cellStyle name="Стиль 1 3 2" xfId="19937" xr:uid="{00000000-0005-0000-0000-0000CD4D0000}"/>
    <cellStyle name="Стиль 1 3 3" xfId="19938" xr:uid="{00000000-0005-0000-0000-0000CE4D0000}"/>
    <cellStyle name="Стиль 1 4" xfId="19939" xr:uid="{00000000-0005-0000-0000-0000CF4D0000}"/>
    <cellStyle name="Стиль 1 4 2" xfId="19940" xr:uid="{00000000-0005-0000-0000-0000D04D0000}"/>
    <cellStyle name="Стиль 1 4 3" xfId="19941" xr:uid="{00000000-0005-0000-0000-0000D14D0000}"/>
    <cellStyle name="Стиль 1 5" xfId="19942" xr:uid="{00000000-0005-0000-0000-0000D24D0000}"/>
    <cellStyle name="Стиль 1 5 2" xfId="19943" xr:uid="{00000000-0005-0000-0000-0000D34D0000}"/>
    <cellStyle name="Стиль 1 5 3" xfId="19944" xr:uid="{00000000-0005-0000-0000-0000D44D0000}"/>
    <cellStyle name="Стиль 1 6" xfId="19945" xr:uid="{00000000-0005-0000-0000-0000D54D0000}"/>
    <cellStyle name="Стиль 1 6 2" xfId="19946" xr:uid="{00000000-0005-0000-0000-0000D64D0000}"/>
    <cellStyle name="Стиль 1 6 3" xfId="19947" xr:uid="{00000000-0005-0000-0000-0000D74D0000}"/>
    <cellStyle name="Стиль 1 7" xfId="19948" xr:uid="{00000000-0005-0000-0000-0000D84D0000}"/>
    <cellStyle name="Стиль 1 7 2" xfId="19949" xr:uid="{00000000-0005-0000-0000-0000D94D0000}"/>
    <cellStyle name="Стиль 1 7 3" xfId="19950" xr:uid="{00000000-0005-0000-0000-0000DA4D0000}"/>
    <cellStyle name="Стиль 1 8" xfId="19951" xr:uid="{00000000-0005-0000-0000-0000DB4D0000}"/>
    <cellStyle name="Стиль 1 8 2" xfId="19952" xr:uid="{00000000-0005-0000-0000-0000DC4D0000}"/>
    <cellStyle name="Стиль 1 9" xfId="19953" xr:uid="{00000000-0005-0000-0000-0000DD4D0000}"/>
    <cellStyle name="Стиль 1 9 2" xfId="19954" xr:uid="{00000000-0005-0000-0000-0000DE4D0000}"/>
    <cellStyle name="Стиль 2" xfId="19955" xr:uid="{00000000-0005-0000-0000-0000DF4D0000}"/>
    <cellStyle name="Стиль 2 2" xfId="19956" xr:uid="{00000000-0005-0000-0000-0000E04D0000}"/>
    <cellStyle name="Стиль 2 3" xfId="19957" xr:uid="{00000000-0005-0000-0000-0000E14D0000}"/>
    <cellStyle name="Стиль 2 4" xfId="19958" xr:uid="{00000000-0005-0000-0000-0000E24D0000}"/>
    <cellStyle name="Стиль 3" xfId="19959" xr:uid="{00000000-0005-0000-0000-0000E34D0000}"/>
    <cellStyle name="Стиль 3 2" xfId="19960" xr:uid="{00000000-0005-0000-0000-0000E44D0000}"/>
    <cellStyle name="Стиль 3 3" xfId="19961" xr:uid="{00000000-0005-0000-0000-0000E54D0000}"/>
    <cellStyle name="Стиль 3 4" xfId="19962" xr:uid="{00000000-0005-0000-0000-0000E64D0000}"/>
    <cellStyle name="Стиль 4" xfId="19963" xr:uid="{00000000-0005-0000-0000-0000E74D0000}"/>
    <cellStyle name="Стиль 4 2" xfId="19964" xr:uid="{00000000-0005-0000-0000-0000E84D0000}"/>
    <cellStyle name="Стиль 4 3" xfId="19965" xr:uid="{00000000-0005-0000-0000-0000E94D0000}"/>
    <cellStyle name="Стиль 4 4" xfId="19966" xr:uid="{00000000-0005-0000-0000-0000EA4D0000}"/>
    <cellStyle name="Стиль 5" xfId="19967" xr:uid="{00000000-0005-0000-0000-0000EB4D0000}"/>
    <cellStyle name="Стиль 5 2" xfId="19968" xr:uid="{00000000-0005-0000-0000-0000EC4D0000}"/>
    <cellStyle name="Стиль 5 3" xfId="19969" xr:uid="{00000000-0005-0000-0000-0000ED4D0000}"/>
    <cellStyle name="Стиль 5 4" xfId="19970" xr:uid="{00000000-0005-0000-0000-0000EE4D0000}"/>
    <cellStyle name="Стиль 6" xfId="19971" xr:uid="{00000000-0005-0000-0000-0000EF4D0000}"/>
    <cellStyle name="Субсчет" xfId="19972" xr:uid="{00000000-0005-0000-0000-0000F04D0000}"/>
    <cellStyle name="Счет" xfId="19973" xr:uid="{00000000-0005-0000-0000-0000F14D0000}"/>
    <cellStyle name="ТаблицаТекст" xfId="19974" xr:uid="{00000000-0005-0000-0000-0000F24D0000}"/>
    <cellStyle name="Текст предупреждения 10" xfId="19975" xr:uid="{00000000-0005-0000-0000-0000F34D0000}"/>
    <cellStyle name="Текст предупреждения 100" xfId="19976" xr:uid="{00000000-0005-0000-0000-0000F44D0000}"/>
    <cellStyle name="Текст предупреждения 101" xfId="19977" xr:uid="{00000000-0005-0000-0000-0000F54D0000}"/>
    <cellStyle name="Текст предупреждения 102" xfId="19978" xr:uid="{00000000-0005-0000-0000-0000F64D0000}"/>
    <cellStyle name="Текст предупреждения 103" xfId="19979" xr:uid="{00000000-0005-0000-0000-0000F74D0000}"/>
    <cellStyle name="Текст предупреждения 104" xfId="19980" xr:uid="{00000000-0005-0000-0000-0000F84D0000}"/>
    <cellStyle name="Текст предупреждения 105" xfId="19981" xr:uid="{00000000-0005-0000-0000-0000F94D0000}"/>
    <cellStyle name="Текст предупреждения 106" xfId="19982" xr:uid="{00000000-0005-0000-0000-0000FA4D0000}"/>
    <cellStyle name="Текст предупреждения 107" xfId="19983" xr:uid="{00000000-0005-0000-0000-0000FB4D0000}"/>
    <cellStyle name="Текст предупреждения 108" xfId="19984" xr:uid="{00000000-0005-0000-0000-0000FC4D0000}"/>
    <cellStyle name="Текст предупреждения 109" xfId="19985" xr:uid="{00000000-0005-0000-0000-0000FD4D0000}"/>
    <cellStyle name="Текст предупреждения 11" xfId="19986" xr:uid="{00000000-0005-0000-0000-0000FE4D0000}"/>
    <cellStyle name="Текст предупреждения 110" xfId="19987" xr:uid="{00000000-0005-0000-0000-0000FF4D0000}"/>
    <cellStyle name="Текст предупреждения 111" xfId="19988" xr:uid="{00000000-0005-0000-0000-0000004E0000}"/>
    <cellStyle name="Текст предупреждения 112" xfId="19989" xr:uid="{00000000-0005-0000-0000-0000014E0000}"/>
    <cellStyle name="Текст предупреждения 113" xfId="19990" xr:uid="{00000000-0005-0000-0000-0000024E0000}"/>
    <cellStyle name="Текст предупреждения 114" xfId="19991" xr:uid="{00000000-0005-0000-0000-0000034E0000}"/>
    <cellStyle name="Текст предупреждения 115" xfId="19992" xr:uid="{00000000-0005-0000-0000-0000044E0000}"/>
    <cellStyle name="Текст предупреждения 116" xfId="19993" xr:uid="{00000000-0005-0000-0000-0000054E0000}"/>
    <cellStyle name="Текст предупреждения 117" xfId="19994" xr:uid="{00000000-0005-0000-0000-0000064E0000}"/>
    <cellStyle name="Текст предупреждения 118" xfId="19995" xr:uid="{00000000-0005-0000-0000-0000074E0000}"/>
    <cellStyle name="Текст предупреждения 119" xfId="19996" xr:uid="{00000000-0005-0000-0000-0000084E0000}"/>
    <cellStyle name="Текст предупреждения 12" xfId="19997" xr:uid="{00000000-0005-0000-0000-0000094E0000}"/>
    <cellStyle name="Текст предупреждения 120" xfId="19998" xr:uid="{00000000-0005-0000-0000-00000A4E0000}"/>
    <cellStyle name="Текст предупреждения 121" xfId="19999" xr:uid="{00000000-0005-0000-0000-00000B4E0000}"/>
    <cellStyle name="Текст предупреждения 122" xfId="20000" xr:uid="{00000000-0005-0000-0000-00000C4E0000}"/>
    <cellStyle name="Текст предупреждения 123" xfId="20001" xr:uid="{00000000-0005-0000-0000-00000D4E0000}"/>
    <cellStyle name="Текст предупреждения 124" xfId="20002" xr:uid="{00000000-0005-0000-0000-00000E4E0000}"/>
    <cellStyle name="Текст предупреждения 125" xfId="20003" xr:uid="{00000000-0005-0000-0000-00000F4E0000}"/>
    <cellStyle name="Текст предупреждения 126" xfId="20004" xr:uid="{00000000-0005-0000-0000-0000104E0000}"/>
    <cellStyle name="Текст предупреждения 127" xfId="20005" xr:uid="{00000000-0005-0000-0000-0000114E0000}"/>
    <cellStyle name="Текст предупреждения 128" xfId="20006" xr:uid="{00000000-0005-0000-0000-0000124E0000}"/>
    <cellStyle name="Текст предупреждения 129" xfId="20007" xr:uid="{00000000-0005-0000-0000-0000134E0000}"/>
    <cellStyle name="Текст предупреждения 13" xfId="20008" xr:uid="{00000000-0005-0000-0000-0000144E0000}"/>
    <cellStyle name="Текст предупреждения 130" xfId="20009" xr:uid="{00000000-0005-0000-0000-0000154E0000}"/>
    <cellStyle name="Текст предупреждения 131" xfId="20010" xr:uid="{00000000-0005-0000-0000-0000164E0000}"/>
    <cellStyle name="Текст предупреждения 132" xfId="20011" xr:uid="{00000000-0005-0000-0000-0000174E0000}"/>
    <cellStyle name="Текст предупреждения 133" xfId="20012" xr:uid="{00000000-0005-0000-0000-0000184E0000}"/>
    <cellStyle name="Текст предупреждения 134" xfId="20013" xr:uid="{00000000-0005-0000-0000-0000194E0000}"/>
    <cellStyle name="Текст предупреждения 135" xfId="20014" xr:uid="{00000000-0005-0000-0000-00001A4E0000}"/>
    <cellStyle name="Текст предупреждения 136" xfId="20015" xr:uid="{00000000-0005-0000-0000-00001B4E0000}"/>
    <cellStyle name="Текст предупреждения 137" xfId="20016" xr:uid="{00000000-0005-0000-0000-00001C4E0000}"/>
    <cellStyle name="Текст предупреждения 138" xfId="20017" xr:uid="{00000000-0005-0000-0000-00001D4E0000}"/>
    <cellStyle name="Текст предупреждения 139" xfId="20018" xr:uid="{00000000-0005-0000-0000-00001E4E0000}"/>
    <cellStyle name="Текст предупреждения 14" xfId="20019" xr:uid="{00000000-0005-0000-0000-00001F4E0000}"/>
    <cellStyle name="Текст предупреждения 140" xfId="20020" xr:uid="{00000000-0005-0000-0000-0000204E0000}"/>
    <cellStyle name="Текст предупреждения 141" xfId="20021" xr:uid="{00000000-0005-0000-0000-0000214E0000}"/>
    <cellStyle name="Текст предупреждения 142" xfId="20022" xr:uid="{00000000-0005-0000-0000-0000224E0000}"/>
    <cellStyle name="Текст предупреждения 143" xfId="20023" xr:uid="{00000000-0005-0000-0000-0000234E0000}"/>
    <cellStyle name="Текст предупреждения 144" xfId="20024" xr:uid="{00000000-0005-0000-0000-0000244E0000}"/>
    <cellStyle name="Текст предупреждения 145" xfId="20025" xr:uid="{00000000-0005-0000-0000-0000254E0000}"/>
    <cellStyle name="Текст предупреждения 146" xfId="20026" xr:uid="{00000000-0005-0000-0000-0000264E0000}"/>
    <cellStyle name="Текст предупреждения 147" xfId="20027" xr:uid="{00000000-0005-0000-0000-0000274E0000}"/>
    <cellStyle name="Текст предупреждения 148" xfId="20028" xr:uid="{00000000-0005-0000-0000-0000284E0000}"/>
    <cellStyle name="Текст предупреждения 149" xfId="20029" xr:uid="{00000000-0005-0000-0000-0000294E0000}"/>
    <cellStyle name="Текст предупреждения 15" xfId="20030" xr:uid="{00000000-0005-0000-0000-00002A4E0000}"/>
    <cellStyle name="Текст предупреждения 150" xfId="20031" xr:uid="{00000000-0005-0000-0000-00002B4E0000}"/>
    <cellStyle name="Текст предупреждения 151" xfId="20032" xr:uid="{00000000-0005-0000-0000-00002C4E0000}"/>
    <cellStyle name="Текст предупреждения 16" xfId="20033" xr:uid="{00000000-0005-0000-0000-00002D4E0000}"/>
    <cellStyle name="Текст предупреждения 17" xfId="20034" xr:uid="{00000000-0005-0000-0000-00002E4E0000}"/>
    <cellStyle name="Текст предупреждения 18" xfId="20035" xr:uid="{00000000-0005-0000-0000-00002F4E0000}"/>
    <cellStyle name="Текст предупреждения 19" xfId="20036" xr:uid="{00000000-0005-0000-0000-0000304E0000}"/>
    <cellStyle name="Текст предупреждения 2" xfId="460" xr:uid="{00000000-0005-0000-0000-0000314E0000}"/>
    <cellStyle name="Текст предупреждения 2 2" xfId="20037" xr:uid="{00000000-0005-0000-0000-0000324E0000}"/>
    <cellStyle name="Текст предупреждения 2 3" xfId="20038" xr:uid="{00000000-0005-0000-0000-0000334E0000}"/>
    <cellStyle name="Текст предупреждения 2 4" xfId="20039" xr:uid="{00000000-0005-0000-0000-0000344E0000}"/>
    <cellStyle name="Текст предупреждения 2 5" xfId="20040" xr:uid="{00000000-0005-0000-0000-0000354E0000}"/>
    <cellStyle name="Текст предупреждения 2 6" xfId="20041" xr:uid="{00000000-0005-0000-0000-0000364E0000}"/>
    <cellStyle name="Текст предупреждения 2 7" xfId="20042" xr:uid="{00000000-0005-0000-0000-0000374E0000}"/>
    <cellStyle name="Текст предупреждения 20" xfId="20043" xr:uid="{00000000-0005-0000-0000-0000384E0000}"/>
    <cellStyle name="Текст предупреждения 20 2" xfId="20044" xr:uid="{00000000-0005-0000-0000-0000394E0000}"/>
    <cellStyle name="Текст предупреждения 21" xfId="20045" xr:uid="{00000000-0005-0000-0000-00003A4E0000}"/>
    <cellStyle name="Текст предупреждения 22" xfId="20046" xr:uid="{00000000-0005-0000-0000-00003B4E0000}"/>
    <cellStyle name="Текст предупреждения 23" xfId="20047" xr:uid="{00000000-0005-0000-0000-00003C4E0000}"/>
    <cellStyle name="Текст предупреждения 24" xfId="20048" xr:uid="{00000000-0005-0000-0000-00003D4E0000}"/>
    <cellStyle name="Текст предупреждения 25" xfId="20049" xr:uid="{00000000-0005-0000-0000-00003E4E0000}"/>
    <cellStyle name="Текст предупреждения 26" xfId="20050" xr:uid="{00000000-0005-0000-0000-00003F4E0000}"/>
    <cellStyle name="Текст предупреждения 27" xfId="20051" xr:uid="{00000000-0005-0000-0000-0000404E0000}"/>
    <cellStyle name="Текст предупреждения 28" xfId="20052" xr:uid="{00000000-0005-0000-0000-0000414E0000}"/>
    <cellStyle name="Текст предупреждения 29" xfId="20053" xr:uid="{00000000-0005-0000-0000-0000424E0000}"/>
    <cellStyle name="Текст предупреждения 3" xfId="20054" xr:uid="{00000000-0005-0000-0000-0000434E0000}"/>
    <cellStyle name="Текст предупреждения 30" xfId="20055" xr:uid="{00000000-0005-0000-0000-0000444E0000}"/>
    <cellStyle name="Текст предупреждения 31" xfId="20056" xr:uid="{00000000-0005-0000-0000-0000454E0000}"/>
    <cellStyle name="Текст предупреждения 32" xfId="20057" xr:uid="{00000000-0005-0000-0000-0000464E0000}"/>
    <cellStyle name="Текст предупреждения 33" xfId="20058" xr:uid="{00000000-0005-0000-0000-0000474E0000}"/>
    <cellStyle name="Текст предупреждения 34" xfId="20059" xr:uid="{00000000-0005-0000-0000-0000484E0000}"/>
    <cellStyle name="Текст предупреждения 35" xfId="20060" xr:uid="{00000000-0005-0000-0000-0000494E0000}"/>
    <cellStyle name="Текст предупреждения 36" xfId="20061" xr:uid="{00000000-0005-0000-0000-00004A4E0000}"/>
    <cellStyle name="Текст предупреждения 37" xfId="20062" xr:uid="{00000000-0005-0000-0000-00004B4E0000}"/>
    <cellStyle name="Текст предупреждения 38" xfId="20063" xr:uid="{00000000-0005-0000-0000-00004C4E0000}"/>
    <cellStyle name="Текст предупреждения 39" xfId="20064" xr:uid="{00000000-0005-0000-0000-00004D4E0000}"/>
    <cellStyle name="Текст предупреждения 4" xfId="20065" xr:uid="{00000000-0005-0000-0000-00004E4E0000}"/>
    <cellStyle name="Текст предупреждения 40" xfId="20066" xr:uid="{00000000-0005-0000-0000-00004F4E0000}"/>
    <cellStyle name="Текст предупреждения 41" xfId="20067" xr:uid="{00000000-0005-0000-0000-0000504E0000}"/>
    <cellStyle name="Текст предупреждения 42" xfId="20068" xr:uid="{00000000-0005-0000-0000-0000514E0000}"/>
    <cellStyle name="Текст предупреждения 43" xfId="20069" xr:uid="{00000000-0005-0000-0000-0000524E0000}"/>
    <cellStyle name="Текст предупреждения 44" xfId="20070" xr:uid="{00000000-0005-0000-0000-0000534E0000}"/>
    <cellStyle name="Текст предупреждения 45" xfId="20071" xr:uid="{00000000-0005-0000-0000-0000544E0000}"/>
    <cellStyle name="Текст предупреждения 46" xfId="20072" xr:uid="{00000000-0005-0000-0000-0000554E0000}"/>
    <cellStyle name="Текст предупреждения 47" xfId="20073" xr:uid="{00000000-0005-0000-0000-0000564E0000}"/>
    <cellStyle name="Текст предупреждения 48" xfId="20074" xr:uid="{00000000-0005-0000-0000-0000574E0000}"/>
    <cellStyle name="Текст предупреждения 49" xfId="20075" xr:uid="{00000000-0005-0000-0000-0000584E0000}"/>
    <cellStyle name="Текст предупреждения 5" xfId="20076" xr:uid="{00000000-0005-0000-0000-0000594E0000}"/>
    <cellStyle name="Текст предупреждения 50" xfId="20077" xr:uid="{00000000-0005-0000-0000-00005A4E0000}"/>
    <cellStyle name="Текст предупреждения 51" xfId="20078" xr:uid="{00000000-0005-0000-0000-00005B4E0000}"/>
    <cellStyle name="Текст предупреждения 52" xfId="20079" xr:uid="{00000000-0005-0000-0000-00005C4E0000}"/>
    <cellStyle name="Текст предупреждения 53" xfId="20080" xr:uid="{00000000-0005-0000-0000-00005D4E0000}"/>
    <cellStyle name="Текст предупреждения 54" xfId="20081" xr:uid="{00000000-0005-0000-0000-00005E4E0000}"/>
    <cellStyle name="Текст предупреждения 55" xfId="20082" xr:uid="{00000000-0005-0000-0000-00005F4E0000}"/>
    <cellStyle name="Текст предупреждения 56" xfId="20083" xr:uid="{00000000-0005-0000-0000-0000604E0000}"/>
    <cellStyle name="Текст предупреждения 57" xfId="20084" xr:uid="{00000000-0005-0000-0000-0000614E0000}"/>
    <cellStyle name="Текст предупреждения 58" xfId="20085" xr:uid="{00000000-0005-0000-0000-0000624E0000}"/>
    <cellStyle name="Текст предупреждения 59" xfId="20086" xr:uid="{00000000-0005-0000-0000-0000634E0000}"/>
    <cellStyle name="Текст предупреждения 6" xfId="20087" xr:uid="{00000000-0005-0000-0000-0000644E0000}"/>
    <cellStyle name="Текст предупреждения 60" xfId="20088" xr:uid="{00000000-0005-0000-0000-0000654E0000}"/>
    <cellStyle name="Текст предупреждения 61" xfId="20089" xr:uid="{00000000-0005-0000-0000-0000664E0000}"/>
    <cellStyle name="Текст предупреждения 62" xfId="20090" xr:uid="{00000000-0005-0000-0000-0000674E0000}"/>
    <cellStyle name="Текст предупреждения 63" xfId="20091" xr:uid="{00000000-0005-0000-0000-0000684E0000}"/>
    <cellStyle name="Текст предупреждения 64" xfId="20092" xr:uid="{00000000-0005-0000-0000-0000694E0000}"/>
    <cellStyle name="Текст предупреждения 65" xfId="20093" xr:uid="{00000000-0005-0000-0000-00006A4E0000}"/>
    <cellStyle name="Текст предупреждения 66" xfId="20094" xr:uid="{00000000-0005-0000-0000-00006B4E0000}"/>
    <cellStyle name="Текст предупреждения 67" xfId="20095" xr:uid="{00000000-0005-0000-0000-00006C4E0000}"/>
    <cellStyle name="Текст предупреждения 68" xfId="20096" xr:uid="{00000000-0005-0000-0000-00006D4E0000}"/>
    <cellStyle name="Текст предупреждения 69" xfId="20097" xr:uid="{00000000-0005-0000-0000-00006E4E0000}"/>
    <cellStyle name="Текст предупреждения 7" xfId="20098" xr:uid="{00000000-0005-0000-0000-00006F4E0000}"/>
    <cellStyle name="Текст предупреждения 70" xfId="20099" xr:uid="{00000000-0005-0000-0000-0000704E0000}"/>
    <cellStyle name="Текст предупреждения 71" xfId="20100" xr:uid="{00000000-0005-0000-0000-0000714E0000}"/>
    <cellStyle name="Текст предупреждения 72" xfId="20101" xr:uid="{00000000-0005-0000-0000-0000724E0000}"/>
    <cellStyle name="Текст предупреждения 73" xfId="20102" xr:uid="{00000000-0005-0000-0000-0000734E0000}"/>
    <cellStyle name="Текст предупреждения 74" xfId="20103" xr:uid="{00000000-0005-0000-0000-0000744E0000}"/>
    <cellStyle name="Текст предупреждения 75" xfId="20104" xr:uid="{00000000-0005-0000-0000-0000754E0000}"/>
    <cellStyle name="Текст предупреждения 76" xfId="20105" xr:uid="{00000000-0005-0000-0000-0000764E0000}"/>
    <cellStyle name="Текст предупреждения 77" xfId="20106" xr:uid="{00000000-0005-0000-0000-0000774E0000}"/>
    <cellStyle name="Текст предупреждения 78" xfId="20107" xr:uid="{00000000-0005-0000-0000-0000784E0000}"/>
    <cellStyle name="Текст предупреждения 79" xfId="20108" xr:uid="{00000000-0005-0000-0000-0000794E0000}"/>
    <cellStyle name="Текст предупреждения 8" xfId="20109" xr:uid="{00000000-0005-0000-0000-00007A4E0000}"/>
    <cellStyle name="Текст предупреждения 80" xfId="20110" xr:uid="{00000000-0005-0000-0000-00007B4E0000}"/>
    <cellStyle name="Текст предупреждения 81" xfId="20111" xr:uid="{00000000-0005-0000-0000-00007C4E0000}"/>
    <cellStyle name="Текст предупреждения 82" xfId="20112" xr:uid="{00000000-0005-0000-0000-00007D4E0000}"/>
    <cellStyle name="Текст предупреждения 83" xfId="20113" xr:uid="{00000000-0005-0000-0000-00007E4E0000}"/>
    <cellStyle name="Текст предупреждения 84" xfId="20114" xr:uid="{00000000-0005-0000-0000-00007F4E0000}"/>
    <cellStyle name="Текст предупреждения 85" xfId="20115" xr:uid="{00000000-0005-0000-0000-0000804E0000}"/>
    <cellStyle name="Текст предупреждения 86" xfId="20116" xr:uid="{00000000-0005-0000-0000-0000814E0000}"/>
    <cellStyle name="Текст предупреждения 87" xfId="20117" xr:uid="{00000000-0005-0000-0000-0000824E0000}"/>
    <cellStyle name="Текст предупреждения 88" xfId="20118" xr:uid="{00000000-0005-0000-0000-0000834E0000}"/>
    <cellStyle name="Текст предупреждения 89" xfId="20119" xr:uid="{00000000-0005-0000-0000-0000844E0000}"/>
    <cellStyle name="Текст предупреждения 9" xfId="20120" xr:uid="{00000000-0005-0000-0000-0000854E0000}"/>
    <cellStyle name="Текст предупреждения 90" xfId="20121" xr:uid="{00000000-0005-0000-0000-0000864E0000}"/>
    <cellStyle name="Текст предупреждения 91" xfId="20122" xr:uid="{00000000-0005-0000-0000-0000874E0000}"/>
    <cellStyle name="Текст предупреждения 92" xfId="20123" xr:uid="{00000000-0005-0000-0000-0000884E0000}"/>
    <cellStyle name="Текст предупреждения 93" xfId="20124" xr:uid="{00000000-0005-0000-0000-0000894E0000}"/>
    <cellStyle name="Текст предупреждения 94" xfId="20125" xr:uid="{00000000-0005-0000-0000-00008A4E0000}"/>
    <cellStyle name="Текст предупреждения 95" xfId="20126" xr:uid="{00000000-0005-0000-0000-00008B4E0000}"/>
    <cellStyle name="Текст предупреждения 96" xfId="20127" xr:uid="{00000000-0005-0000-0000-00008C4E0000}"/>
    <cellStyle name="Текст предупреждения 97" xfId="20128" xr:uid="{00000000-0005-0000-0000-00008D4E0000}"/>
    <cellStyle name="Текст предупреждения 98" xfId="20129" xr:uid="{00000000-0005-0000-0000-00008E4E0000}"/>
    <cellStyle name="Текст предупреждения 99" xfId="20130" xr:uid="{00000000-0005-0000-0000-00008F4E0000}"/>
    <cellStyle name="тонны" xfId="20131" xr:uid="{00000000-0005-0000-0000-0000904E0000}"/>
    <cellStyle name="Тысячи [0]_21.10" xfId="20132" xr:uid="{00000000-0005-0000-0000-0000914E0000}"/>
    <cellStyle name="Тысячи_21.10" xfId="20133" xr:uid="{00000000-0005-0000-0000-0000924E0000}"/>
    <cellStyle name="Уровень 1" xfId="20134" xr:uid="{00000000-0005-0000-0000-0000934E0000}"/>
    <cellStyle name="Уровень 2" xfId="20135" xr:uid="{00000000-0005-0000-0000-0000944E0000}"/>
    <cellStyle name="Уровень 3" xfId="20136" xr:uid="{00000000-0005-0000-0000-0000954E0000}"/>
    <cellStyle name="Уровень 4" xfId="20137" xr:uid="{00000000-0005-0000-0000-0000964E0000}"/>
    <cellStyle name="Уровень 5" xfId="20138" xr:uid="{00000000-0005-0000-0000-0000974E0000}"/>
    <cellStyle name="Уровень 6" xfId="20139" xr:uid="{00000000-0005-0000-0000-0000984E0000}"/>
    <cellStyle name="Финансовый" xfId="1" builtinId="3"/>
    <cellStyle name="Финансовый [0] 2" xfId="20140" xr:uid="{00000000-0005-0000-0000-00009A4E0000}"/>
    <cellStyle name="Финансовый 10" xfId="20141" xr:uid="{00000000-0005-0000-0000-00009B4E0000}"/>
    <cellStyle name="Финансовый 10 2" xfId="20142" xr:uid="{00000000-0005-0000-0000-00009C4E0000}"/>
    <cellStyle name="Финансовый 11" xfId="20143" xr:uid="{00000000-0005-0000-0000-00009D4E0000}"/>
    <cellStyle name="Финансовый 11 2" xfId="20144" xr:uid="{00000000-0005-0000-0000-00009E4E0000}"/>
    <cellStyle name="Финансовый 11 3" xfId="20145" xr:uid="{00000000-0005-0000-0000-00009F4E0000}"/>
    <cellStyle name="Финансовый 11 3 2" xfId="20146" xr:uid="{00000000-0005-0000-0000-0000A04E0000}"/>
    <cellStyle name="Финансовый 11 4" xfId="20147" xr:uid="{00000000-0005-0000-0000-0000A14E0000}"/>
    <cellStyle name="Финансовый 12" xfId="20148" xr:uid="{00000000-0005-0000-0000-0000A24E0000}"/>
    <cellStyle name="Финансовый 12 2" xfId="20149" xr:uid="{00000000-0005-0000-0000-0000A34E0000}"/>
    <cellStyle name="Финансовый 13" xfId="20150" xr:uid="{00000000-0005-0000-0000-0000A44E0000}"/>
    <cellStyle name="Финансовый 13 2" xfId="20151" xr:uid="{00000000-0005-0000-0000-0000A54E0000}"/>
    <cellStyle name="Финансовый 14" xfId="20152" xr:uid="{00000000-0005-0000-0000-0000A64E0000}"/>
    <cellStyle name="Финансовый 15" xfId="20153" xr:uid="{00000000-0005-0000-0000-0000A74E0000}"/>
    <cellStyle name="Финансовый 2" xfId="461" xr:uid="{00000000-0005-0000-0000-0000A84E0000}"/>
    <cellStyle name="Финансовый 2 10" xfId="20154" xr:uid="{00000000-0005-0000-0000-0000A94E0000}"/>
    <cellStyle name="Финансовый 2 11" xfId="20155" xr:uid="{00000000-0005-0000-0000-0000AA4E0000}"/>
    <cellStyle name="Финансовый 2 12" xfId="20156" xr:uid="{00000000-0005-0000-0000-0000AB4E0000}"/>
    <cellStyle name="Финансовый 2 12 2" xfId="20157" xr:uid="{00000000-0005-0000-0000-0000AC4E0000}"/>
    <cellStyle name="Финансовый 2 13" xfId="20158" xr:uid="{00000000-0005-0000-0000-0000AD4E0000}"/>
    <cellStyle name="Финансовый 2 14" xfId="20159" xr:uid="{00000000-0005-0000-0000-0000AE4E0000}"/>
    <cellStyle name="Финансовый 2 15" xfId="20160" xr:uid="{00000000-0005-0000-0000-0000AF4E0000}"/>
    <cellStyle name="Финансовый 2 16" xfId="20161" xr:uid="{00000000-0005-0000-0000-0000B04E0000}"/>
    <cellStyle name="Финансовый 2 17" xfId="20162" xr:uid="{00000000-0005-0000-0000-0000B14E0000}"/>
    <cellStyle name="Финансовый 2 18" xfId="20163" xr:uid="{00000000-0005-0000-0000-0000B24E0000}"/>
    <cellStyle name="Финансовый 2 19" xfId="20164" xr:uid="{00000000-0005-0000-0000-0000B34E0000}"/>
    <cellStyle name="Финансовый 2 2" xfId="462" xr:uid="{00000000-0005-0000-0000-0000B44E0000}"/>
    <cellStyle name="Финансовый 2 2 10" xfId="20165" xr:uid="{00000000-0005-0000-0000-0000B54E0000}"/>
    <cellStyle name="Финансовый 2 2 2" xfId="486" xr:uid="{00000000-0005-0000-0000-0000B64E0000}"/>
    <cellStyle name="Финансовый 2 2 3" xfId="20166" xr:uid="{00000000-0005-0000-0000-0000B74E0000}"/>
    <cellStyle name="Финансовый 2 2 4" xfId="20167" xr:uid="{00000000-0005-0000-0000-0000B84E0000}"/>
    <cellStyle name="Финансовый 2 2 5" xfId="20168" xr:uid="{00000000-0005-0000-0000-0000B94E0000}"/>
    <cellStyle name="Финансовый 2 2 6" xfId="20169" xr:uid="{00000000-0005-0000-0000-0000BA4E0000}"/>
    <cellStyle name="Финансовый 2 2 7" xfId="20170" xr:uid="{00000000-0005-0000-0000-0000BB4E0000}"/>
    <cellStyle name="Финансовый 2 2 8" xfId="20171" xr:uid="{00000000-0005-0000-0000-0000BC4E0000}"/>
    <cellStyle name="Финансовый 2 2 9" xfId="20172" xr:uid="{00000000-0005-0000-0000-0000BD4E0000}"/>
    <cellStyle name="Финансовый 2 20" xfId="20173" xr:uid="{00000000-0005-0000-0000-0000BE4E0000}"/>
    <cellStyle name="Финансовый 2 21" xfId="20174" xr:uid="{00000000-0005-0000-0000-0000BF4E0000}"/>
    <cellStyle name="Финансовый 2 22" xfId="20175" xr:uid="{00000000-0005-0000-0000-0000C04E0000}"/>
    <cellStyle name="Финансовый 2 23" xfId="20176" xr:uid="{00000000-0005-0000-0000-0000C14E0000}"/>
    <cellStyle name="Финансовый 2 24" xfId="20177" xr:uid="{00000000-0005-0000-0000-0000C24E0000}"/>
    <cellStyle name="Финансовый 2 25" xfId="20178" xr:uid="{00000000-0005-0000-0000-0000C34E0000}"/>
    <cellStyle name="Финансовый 2 26" xfId="20179" xr:uid="{00000000-0005-0000-0000-0000C44E0000}"/>
    <cellStyle name="Финансовый 2 27" xfId="20180" xr:uid="{00000000-0005-0000-0000-0000C54E0000}"/>
    <cellStyle name="Финансовый 2 28" xfId="20181" xr:uid="{00000000-0005-0000-0000-0000C64E0000}"/>
    <cellStyle name="Финансовый 2 29" xfId="20182" xr:uid="{00000000-0005-0000-0000-0000C74E0000}"/>
    <cellStyle name="Финансовый 2 3" xfId="483" xr:uid="{00000000-0005-0000-0000-0000C84E0000}"/>
    <cellStyle name="Финансовый 2 3 10" xfId="20183" xr:uid="{00000000-0005-0000-0000-0000C94E0000}"/>
    <cellStyle name="Финансовый 2 3 2" xfId="20184" xr:uid="{00000000-0005-0000-0000-0000CA4E0000}"/>
    <cellStyle name="Финансовый 2 3 3" xfId="20185" xr:uid="{00000000-0005-0000-0000-0000CB4E0000}"/>
    <cellStyle name="Финансовый 2 3 4" xfId="20186" xr:uid="{00000000-0005-0000-0000-0000CC4E0000}"/>
    <cellStyle name="Финансовый 2 3 5" xfId="20187" xr:uid="{00000000-0005-0000-0000-0000CD4E0000}"/>
    <cellStyle name="Финансовый 2 3 6" xfId="20188" xr:uid="{00000000-0005-0000-0000-0000CE4E0000}"/>
    <cellStyle name="Финансовый 2 3 7" xfId="20189" xr:uid="{00000000-0005-0000-0000-0000CF4E0000}"/>
    <cellStyle name="Финансовый 2 3 8" xfId="20190" xr:uid="{00000000-0005-0000-0000-0000D04E0000}"/>
    <cellStyle name="Финансовый 2 3 9" xfId="20191" xr:uid="{00000000-0005-0000-0000-0000D14E0000}"/>
    <cellStyle name="Финансовый 2 30" xfId="20192" xr:uid="{00000000-0005-0000-0000-0000D24E0000}"/>
    <cellStyle name="Финансовый 2 31" xfId="20193" xr:uid="{00000000-0005-0000-0000-0000D34E0000}"/>
    <cellStyle name="Финансовый 2 32" xfId="20194" xr:uid="{00000000-0005-0000-0000-0000D44E0000}"/>
    <cellStyle name="Финансовый 2 33" xfId="20195" xr:uid="{00000000-0005-0000-0000-0000D54E0000}"/>
    <cellStyle name="Финансовый 2 34" xfId="20196" xr:uid="{00000000-0005-0000-0000-0000D64E0000}"/>
    <cellStyle name="Финансовый 2 35" xfId="20197" xr:uid="{00000000-0005-0000-0000-0000D74E0000}"/>
    <cellStyle name="Финансовый 2 36" xfId="20198" xr:uid="{00000000-0005-0000-0000-0000D84E0000}"/>
    <cellStyle name="Финансовый 2 37" xfId="20199" xr:uid="{00000000-0005-0000-0000-0000D94E0000}"/>
    <cellStyle name="Финансовый 2 38" xfId="20200" xr:uid="{00000000-0005-0000-0000-0000DA4E0000}"/>
    <cellStyle name="Финансовый 2 39" xfId="20201" xr:uid="{00000000-0005-0000-0000-0000DB4E0000}"/>
    <cellStyle name="Финансовый 2 4" xfId="20202" xr:uid="{00000000-0005-0000-0000-0000DC4E0000}"/>
    <cellStyle name="Финансовый 2 4 10" xfId="20203" xr:uid="{00000000-0005-0000-0000-0000DD4E0000}"/>
    <cellStyle name="Финансовый 2 4 2" xfId="20204" xr:uid="{00000000-0005-0000-0000-0000DE4E0000}"/>
    <cellStyle name="Финансовый 2 4 3" xfId="20205" xr:uid="{00000000-0005-0000-0000-0000DF4E0000}"/>
    <cellStyle name="Финансовый 2 4 4" xfId="20206" xr:uid="{00000000-0005-0000-0000-0000E04E0000}"/>
    <cellStyle name="Финансовый 2 4 5" xfId="20207" xr:uid="{00000000-0005-0000-0000-0000E14E0000}"/>
    <cellStyle name="Финансовый 2 4 6" xfId="20208" xr:uid="{00000000-0005-0000-0000-0000E24E0000}"/>
    <cellStyle name="Финансовый 2 4 7" xfId="20209" xr:uid="{00000000-0005-0000-0000-0000E34E0000}"/>
    <cellStyle name="Финансовый 2 4 8" xfId="20210" xr:uid="{00000000-0005-0000-0000-0000E44E0000}"/>
    <cellStyle name="Финансовый 2 4 9" xfId="20211" xr:uid="{00000000-0005-0000-0000-0000E54E0000}"/>
    <cellStyle name="Финансовый 2 40" xfId="20212" xr:uid="{00000000-0005-0000-0000-0000E64E0000}"/>
    <cellStyle name="Финансовый 2 41" xfId="20213" xr:uid="{00000000-0005-0000-0000-0000E74E0000}"/>
    <cellStyle name="Финансовый 2 42" xfId="20214" xr:uid="{00000000-0005-0000-0000-0000E84E0000}"/>
    <cellStyle name="Финансовый 2 43" xfId="20215" xr:uid="{00000000-0005-0000-0000-0000E94E0000}"/>
    <cellStyle name="Финансовый 2 44" xfId="20216" xr:uid="{00000000-0005-0000-0000-0000EA4E0000}"/>
    <cellStyle name="Финансовый 2 45" xfId="20217" xr:uid="{00000000-0005-0000-0000-0000EB4E0000}"/>
    <cellStyle name="Финансовый 2 46" xfId="20218" xr:uid="{00000000-0005-0000-0000-0000EC4E0000}"/>
    <cellStyle name="Финансовый 2 47" xfId="20219" xr:uid="{00000000-0005-0000-0000-0000ED4E0000}"/>
    <cellStyle name="Финансовый 2 5" xfId="20220" xr:uid="{00000000-0005-0000-0000-0000EE4E0000}"/>
    <cellStyle name="Финансовый 2 5 10" xfId="20221" xr:uid="{00000000-0005-0000-0000-0000EF4E0000}"/>
    <cellStyle name="Финансовый 2 5 2" xfId="20222" xr:uid="{00000000-0005-0000-0000-0000F04E0000}"/>
    <cellStyle name="Финансовый 2 5 3" xfId="20223" xr:uid="{00000000-0005-0000-0000-0000F14E0000}"/>
    <cellStyle name="Финансовый 2 5 4" xfId="20224" xr:uid="{00000000-0005-0000-0000-0000F24E0000}"/>
    <cellStyle name="Финансовый 2 5 5" xfId="20225" xr:uid="{00000000-0005-0000-0000-0000F34E0000}"/>
    <cellStyle name="Финансовый 2 5 6" xfId="20226" xr:uid="{00000000-0005-0000-0000-0000F44E0000}"/>
    <cellStyle name="Финансовый 2 5 7" xfId="20227" xr:uid="{00000000-0005-0000-0000-0000F54E0000}"/>
    <cellStyle name="Финансовый 2 5 8" xfId="20228" xr:uid="{00000000-0005-0000-0000-0000F64E0000}"/>
    <cellStyle name="Финансовый 2 5 9" xfId="20229" xr:uid="{00000000-0005-0000-0000-0000F74E0000}"/>
    <cellStyle name="Финансовый 2 6" xfId="20230" xr:uid="{00000000-0005-0000-0000-0000F84E0000}"/>
    <cellStyle name="Финансовый 2 6 10" xfId="20231" xr:uid="{00000000-0005-0000-0000-0000F94E0000}"/>
    <cellStyle name="Финансовый 2 6 2" xfId="20232" xr:uid="{00000000-0005-0000-0000-0000FA4E0000}"/>
    <cellStyle name="Финансовый 2 6 3" xfId="20233" xr:uid="{00000000-0005-0000-0000-0000FB4E0000}"/>
    <cellStyle name="Финансовый 2 6 4" xfId="20234" xr:uid="{00000000-0005-0000-0000-0000FC4E0000}"/>
    <cellStyle name="Финансовый 2 6 5" xfId="20235" xr:uid="{00000000-0005-0000-0000-0000FD4E0000}"/>
    <cellStyle name="Финансовый 2 6 6" xfId="20236" xr:uid="{00000000-0005-0000-0000-0000FE4E0000}"/>
    <cellStyle name="Финансовый 2 6 7" xfId="20237" xr:uid="{00000000-0005-0000-0000-0000FF4E0000}"/>
    <cellStyle name="Финансовый 2 6 8" xfId="20238" xr:uid="{00000000-0005-0000-0000-0000004F0000}"/>
    <cellStyle name="Финансовый 2 6 9" xfId="20239" xr:uid="{00000000-0005-0000-0000-0000014F0000}"/>
    <cellStyle name="Финансовый 2 7" xfId="20240" xr:uid="{00000000-0005-0000-0000-0000024F0000}"/>
    <cellStyle name="Финансовый 2 7 10" xfId="20241" xr:uid="{00000000-0005-0000-0000-0000034F0000}"/>
    <cellStyle name="Финансовый 2 7 2" xfId="20242" xr:uid="{00000000-0005-0000-0000-0000044F0000}"/>
    <cellStyle name="Финансовый 2 7 3" xfId="20243" xr:uid="{00000000-0005-0000-0000-0000054F0000}"/>
    <cellStyle name="Финансовый 2 7 4" xfId="20244" xr:uid="{00000000-0005-0000-0000-0000064F0000}"/>
    <cellStyle name="Финансовый 2 7 5" xfId="20245" xr:uid="{00000000-0005-0000-0000-0000074F0000}"/>
    <cellStyle name="Финансовый 2 7 6" xfId="20246" xr:uid="{00000000-0005-0000-0000-0000084F0000}"/>
    <cellStyle name="Финансовый 2 7 7" xfId="20247" xr:uid="{00000000-0005-0000-0000-0000094F0000}"/>
    <cellStyle name="Финансовый 2 7 8" xfId="20248" xr:uid="{00000000-0005-0000-0000-00000A4F0000}"/>
    <cellStyle name="Финансовый 2 7 9" xfId="20249" xr:uid="{00000000-0005-0000-0000-00000B4F0000}"/>
    <cellStyle name="Финансовый 2 8" xfId="20250" xr:uid="{00000000-0005-0000-0000-00000C4F0000}"/>
    <cellStyle name="Финансовый 2 8 10" xfId="20251" xr:uid="{00000000-0005-0000-0000-00000D4F0000}"/>
    <cellStyle name="Финансовый 2 8 2" xfId="20252" xr:uid="{00000000-0005-0000-0000-00000E4F0000}"/>
    <cellStyle name="Финансовый 2 8 3" xfId="20253" xr:uid="{00000000-0005-0000-0000-00000F4F0000}"/>
    <cellStyle name="Финансовый 2 8 4" xfId="20254" xr:uid="{00000000-0005-0000-0000-0000104F0000}"/>
    <cellStyle name="Финансовый 2 8 5" xfId="20255" xr:uid="{00000000-0005-0000-0000-0000114F0000}"/>
    <cellStyle name="Финансовый 2 8 6" xfId="20256" xr:uid="{00000000-0005-0000-0000-0000124F0000}"/>
    <cellStyle name="Финансовый 2 8 7" xfId="20257" xr:uid="{00000000-0005-0000-0000-0000134F0000}"/>
    <cellStyle name="Финансовый 2 8 8" xfId="20258" xr:uid="{00000000-0005-0000-0000-0000144F0000}"/>
    <cellStyle name="Финансовый 2 8 9" xfId="20259" xr:uid="{00000000-0005-0000-0000-0000154F0000}"/>
    <cellStyle name="Финансовый 2 87" xfId="20260" xr:uid="{00000000-0005-0000-0000-0000164F0000}"/>
    <cellStyle name="Финансовый 2 87 2" xfId="20261" xr:uid="{00000000-0005-0000-0000-0000174F0000}"/>
    <cellStyle name="Финансовый 2 9" xfId="20262" xr:uid="{00000000-0005-0000-0000-0000184F0000}"/>
    <cellStyle name="Финансовый 2 9 10" xfId="20263" xr:uid="{00000000-0005-0000-0000-0000194F0000}"/>
    <cellStyle name="Финансовый 2 9 2" xfId="20264" xr:uid="{00000000-0005-0000-0000-00001A4F0000}"/>
    <cellStyle name="Финансовый 2 9 3" xfId="20265" xr:uid="{00000000-0005-0000-0000-00001B4F0000}"/>
    <cellStyle name="Финансовый 2 9 4" xfId="20266" xr:uid="{00000000-0005-0000-0000-00001C4F0000}"/>
    <cellStyle name="Финансовый 2 9 5" xfId="20267" xr:uid="{00000000-0005-0000-0000-00001D4F0000}"/>
    <cellStyle name="Финансовый 2 9 6" xfId="20268" xr:uid="{00000000-0005-0000-0000-00001E4F0000}"/>
    <cellStyle name="Финансовый 2 9 7" xfId="20269" xr:uid="{00000000-0005-0000-0000-00001F4F0000}"/>
    <cellStyle name="Финансовый 2 9 8" xfId="20270" xr:uid="{00000000-0005-0000-0000-0000204F0000}"/>
    <cellStyle name="Финансовый 2 9 9" xfId="20271" xr:uid="{00000000-0005-0000-0000-0000214F0000}"/>
    <cellStyle name="Финансовый 2_январь2010 ДКЗ" xfId="20272" xr:uid="{00000000-0005-0000-0000-0000224F0000}"/>
    <cellStyle name="Финансовый 3" xfId="463" xr:uid="{00000000-0005-0000-0000-0000234F0000}"/>
    <cellStyle name="Финансовый 3 2" xfId="464" xr:uid="{00000000-0005-0000-0000-0000244F0000}"/>
    <cellStyle name="Финансовый 3 3" xfId="465" xr:uid="{00000000-0005-0000-0000-0000254F0000}"/>
    <cellStyle name="Финансовый 3 3 2" xfId="466" xr:uid="{00000000-0005-0000-0000-0000264F0000}"/>
    <cellStyle name="Финансовый 3 3 3" xfId="467" xr:uid="{00000000-0005-0000-0000-0000274F0000}"/>
    <cellStyle name="Финансовый 3 3 3 10" xfId="20273" xr:uid="{00000000-0005-0000-0000-0000284F0000}"/>
    <cellStyle name="Финансовый 3 3 3 11" xfId="20274" xr:uid="{00000000-0005-0000-0000-0000294F0000}"/>
    <cellStyle name="Финансовый 3 3 3 12" xfId="20275" xr:uid="{00000000-0005-0000-0000-00002A4F0000}"/>
    <cellStyle name="Финансовый 3 3 3 13" xfId="20276" xr:uid="{00000000-0005-0000-0000-00002B4F0000}"/>
    <cellStyle name="Финансовый 3 3 3 14" xfId="20277" xr:uid="{00000000-0005-0000-0000-00002C4F0000}"/>
    <cellStyle name="Финансовый 3 3 3 15" xfId="20278" xr:uid="{00000000-0005-0000-0000-00002D4F0000}"/>
    <cellStyle name="Финансовый 3 3 3 16" xfId="20279" xr:uid="{00000000-0005-0000-0000-00002E4F0000}"/>
    <cellStyle name="Финансовый 3 3 3 17" xfId="20280" xr:uid="{00000000-0005-0000-0000-00002F4F0000}"/>
    <cellStyle name="Финансовый 3 3 3 18" xfId="20281" xr:uid="{00000000-0005-0000-0000-0000304F0000}"/>
    <cellStyle name="Финансовый 3 3 3 19" xfId="20282" xr:uid="{00000000-0005-0000-0000-0000314F0000}"/>
    <cellStyle name="Финансовый 3 3 3 2" xfId="20283" xr:uid="{00000000-0005-0000-0000-0000324F0000}"/>
    <cellStyle name="Финансовый 3 3 3 20" xfId="20284" xr:uid="{00000000-0005-0000-0000-0000334F0000}"/>
    <cellStyle name="Финансовый 3 3 3 21" xfId="20285" xr:uid="{00000000-0005-0000-0000-0000344F0000}"/>
    <cellStyle name="Финансовый 3 3 3 22" xfId="20286" xr:uid="{00000000-0005-0000-0000-0000354F0000}"/>
    <cellStyle name="Финансовый 3 3 3 23" xfId="20287" xr:uid="{00000000-0005-0000-0000-0000364F0000}"/>
    <cellStyle name="Финансовый 3 3 3 24" xfId="20288" xr:uid="{00000000-0005-0000-0000-0000374F0000}"/>
    <cellStyle name="Финансовый 3 3 3 3" xfId="20289" xr:uid="{00000000-0005-0000-0000-0000384F0000}"/>
    <cellStyle name="Финансовый 3 3 3 4" xfId="20290" xr:uid="{00000000-0005-0000-0000-0000394F0000}"/>
    <cellStyle name="Финансовый 3 3 3 5" xfId="20291" xr:uid="{00000000-0005-0000-0000-00003A4F0000}"/>
    <cellStyle name="Финансовый 3 3 3 6" xfId="20292" xr:uid="{00000000-0005-0000-0000-00003B4F0000}"/>
    <cellStyle name="Финансовый 3 3 3 7" xfId="20293" xr:uid="{00000000-0005-0000-0000-00003C4F0000}"/>
    <cellStyle name="Финансовый 3 3 3 8" xfId="20294" xr:uid="{00000000-0005-0000-0000-00003D4F0000}"/>
    <cellStyle name="Финансовый 3 3 3 9" xfId="20295" xr:uid="{00000000-0005-0000-0000-00003E4F0000}"/>
    <cellStyle name="Финансовый 3 4" xfId="481" xr:uid="{00000000-0005-0000-0000-00003F4F0000}"/>
    <cellStyle name="Финансовый 3 5" xfId="20296" xr:uid="{00000000-0005-0000-0000-0000404F0000}"/>
    <cellStyle name="Финансовый 39" xfId="20297" xr:uid="{00000000-0005-0000-0000-0000414F0000}"/>
    <cellStyle name="Финансовый 4" xfId="468" xr:uid="{00000000-0005-0000-0000-0000424F0000}"/>
    <cellStyle name="Финансовый 4 10" xfId="20298" xr:uid="{00000000-0005-0000-0000-0000434F0000}"/>
    <cellStyle name="Финансовый 4 11" xfId="20299" xr:uid="{00000000-0005-0000-0000-0000444F0000}"/>
    <cellStyle name="Финансовый 4 12" xfId="20300" xr:uid="{00000000-0005-0000-0000-0000454F0000}"/>
    <cellStyle name="Финансовый 4 13" xfId="20301" xr:uid="{00000000-0005-0000-0000-0000464F0000}"/>
    <cellStyle name="Финансовый 4 2" xfId="484" xr:uid="{00000000-0005-0000-0000-0000474F0000}"/>
    <cellStyle name="Финансовый 4 2 10" xfId="20302" xr:uid="{00000000-0005-0000-0000-0000484F0000}"/>
    <cellStyle name="Финансовый 4 2 2" xfId="20303" xr:uid="{00000000-0005-0000-0000-0000494F0000}"/>
    <cellStyle name="Финансовый 4 2 3" xfId="20304" xr:uid="{00000000-0005-0000-0000-00004A4F0000}"/>
    <cellStyle name="Финансовый 4 2 4" xfId="20305" xr:uid="{00000000-0005-0000-0000-00004B4F0000}"/>
    <cellStyle name="Финансовый 4 2 5" xfId="20306" xr:uid="{00000000-0005-0000-0000-00004C4F0000}"/>
    <cellStyle name="Финансовый 4 2 6" xfId="20307" xr:uid="{00000000-0005-0000-0000-00004D4F0000}"/>
    <cellStyle name="Финансовый 4 2 7" xfId="20308" xr:uid="{00000000-0005-0000-0000-00004E4F0000}"/>
    <cellStyle name="Финансовый 4 2 8" xfId="20309" xr:uid="{00000000-0005-0000-0000-00004F4F0000}"/>
    <cellStyle name="Финансовый 4 2 9" xfId="20310" xr:uid="{00000000-0005-0000-0000-0000504F0000}"/>
    <cellStyle name="Финансовый 4 3" xfId="20311" xr:uid="{00000000-0005-0000-0000-0000514F0000}"/>
    <cellStyle name="Финансовый 4 3 10" xfId="20312" xr:uid="{00000000-0005-0000-0000-0000524F0000}"/>
    <cellStyle name="Финансовый 4 3 2" xfId="20313" xr:uid="{00000000-0005-0000-0000-0000534F0000}"/>
    <cellStyle name="Финансовый 4 3 3" xfId="20314" xr:uid="{00000000-0005-0000-0000-0000544F0000}"/>
    <cellStyle name="Финансовый 4 3 4" xfId="20315" xr:uid="{00000000-0005-0000-0000-0000554F0000}"/>
    <cellStyle name="Финансовый 4 3 5" xfId="20316" xr:uid="{00000000-0005-0000-0000-0000564F0000}"/>
    <cellStyle name="Финансовый 4 3 6" xfId="20317" xr:uid="{00000000-0005-0000-0000-0000574F0000}"/>
    <cellStyle name="Финансовый 4 3 7" xfId="20318" xr:uid="{00000000-0005-0000-0000-0000584F0000}"/>
    <cellStyle name="Финансовый 4 3 8" xfId="20319" xr:uid="{00000000-0005-0000-0000-0000594F0000}"/>
    <cellStyle name="Финансовый 4 3 9" xfId="20320" xr:uid="{00000000-0005-0000-0000-00005A4F0000}"/>
    <cellStyle name="Финансовый 4 4" xfId="20321" xr:uid="{00000000-0005-0000-0000-00005B4F0000}"/>
    <cellStyle name="Финансовый 4 4 10" xfId="20322" xr:uid="{00000000-0005-0000-0000-00005C4F0000}"/>
    <cellStyle name="Финансовый 4 4 2" xfId="20323" xr:uid="{00000000-0005-0000-0000-00005D4F0000}"/>
    <cellStyle name="Финансовый 4 4 3" xfId="20324" xr:uid="{00000000-0005-0000-0000-00005E4F0000}"/>
    <cellStyle name="Финансовый 4 4 4" xfId="20325" xr:uid="{00000000-0005-0000-0000-00005F4F0000}"/>
    <cellStyle name="Финансовый 4 4 5" xfId="20326" xr:uid="{00000000-0005-0000-0000-0000604F0000}"/>
    <cellStyle name="Финансовый 4 4 6" xfId="20327" xr:uid="{00000000-0005-0000-0000-0000614F0000}"/>
    <cellStyle name="Финансовый 4 4 7" xfId="20328" xr:uid="{00000000-0005-0000-0000-0000624F0000}"/>
    <cellStyle name="Финансовый 4 4 8" xfId="20329" xr:uid="{00000000-0005-0000-0000-0000634F0000}"/>
    <cellStyle name="Финансовый 4 4 9" xfId="20330" xr:uid="{00000000-0005-0000-0000-0000644F0000}"/>
    <cellStyle name="Финансовый 4 5" xfId="20331" xr:uid="{00000000-0005-0000-0000-0000654F0000}"/>
    <cellStyle name="Финансовый 4 6" xfId="20332" xr:uid="{00000000-0005-0000-0000-0000664F0000}"/>
    <cellStyle name="Финансовый 4 7" xfId="20333" xr:uid="{00000000-0005-0000-0000-0000674F0000}"/>
    <cellStyle name="Финансовый 4 8" xfId="20334" xr:uid="{00000000-0005-0000-0000-0000684F0000}"/>
    <cellStyle name="Финансовый 4 9" xfId="20335" xr:uid="{00000000-0005-0000-0000-0000694F0000}"/>
    <cellStyle name="Финансовый 5" xfId="469" xr:uid="{00000000-0005-0000-0000-00006A4F0000}"/>
    <cellStyle name="Финансовый 5 10" xfId="20336" xr:uid="{00000000-0005-0000-0000-00006B4F0000}"/>
    <cellStyle name="Финансовый 5 11" xfId="20337" xr:uid="{00000000-0005-0000-0000-00006C4F0000}"/>
    <cellStyle name="Финансовый 5 12" xfId="20338" xr:uid="{00000000-0005-0000-0000-00006D4F0000}"/>
    <cellStyle name="Финансовый 5 13" xfId="20339" xr:uid="{00000000-0005-0000-0000-00006E4F0000}"/>
    <cellStyle name="Финансовый 5 2" xfId="20340" xr:uid="{00000000-0005-0000-0000-00006F4F0000}"/>
    <cellStyle name="Финансовый 5 2 10" xfId="20341" xr:uid="{00000000-0005-0000-0000-0000704F0000}"/>
    <cellStyle name="Финансовый 5 2 2" xfId="20342" xr:uid="{00000000-0005-0000-0000-0000714F0000}"/>
    <cellStyle name="Финансовый 5 2 3" xfId="20343" xr:uid="{00000000-0005-0000-0000-0000724F0000}"/>
    <cellStyle name="Финансовый 5 2 4" xfId="20344" xr:uid="{00000000-0005-0000-0000-0000734F0000}"/>
    <cellStyle name="Финансовый 5 2 5" xfId="20345" xr:uid="{00000000-0005-0000-0000-0000744F0000}"/>
    <cellStyle name="Финансовый 5 2 6" xfId="20346" xr:uid="{00000000-0005-0000-0000-0000754F0000}"/>
    <cellStyle name="Финансовый 5 2 7" xfId="20347" xr:uid="{00000000-0005-0000-0000-0000764F0000}"/>
    <cellStyle name="Финансовый 5 2 8" xfId="20348" xr:uid="{00000000-0005-0000-0000-0000774F0000}"/>
    <cellStyle name="Финансовый 5 2 9" xfId="20349" xr:uid="{00000000-0005-0000-0000-0000784F0000}"/>
    <cellStyle name="Финансовый 5 3" xfId="20350" xr:uid="{00000000-0005-0000-0000-0000794F0000}"/>
    <cellStyle name="Финансовый 5 3 10" xfId="20351" xr:uid="{00000000-0005-0000-0000-00007A4F0000}"/>
    <cellStyle name="Финансовый 5 3 2" xfId="20352" xr:uid="{00000000-0005-0000-0000-00007B4F0000}"/>
    <cellStyle name="Финансовый 5 3 3" xfId="20353" xr:uid="{00000000-0005-0000-0000-00007C4F0000}"/>
    <cellStyle name="Финансовый 5 3 4" xfId="20354" xr:uid="{00000000-0005-0000-0000-00007D4F0000}"/>
    <cellStyle name="Финансовый 5 3 5" xfId="20355" xr:uid="{00000000-0005-0000-0000-00007E4F0000}"/>
    <cellStyle name="Финансовый 5 3 6" xfId="20356" xr:uid="{00000000-0005-0000-0000-00007F4F0000}"/>
    <cellStyle name="Финансовый 5 3 7" xfId="20357" xr:uid="{00000000-0005-0000-0000-0000804F0000}"/>
    <cellStyle name="Финансовый 5 3 8" xfId="20358" xr:uid="{00000000-0005-0000-0000-0000814F0000}"/>
    <cellStyle name="Финансовый 5 3 9" xfId="20359" xr:uid="{00000000-0005-0000-0000-0000824F0000}"/>
    <cellStyle name="Финансовый 5 4" xfId="20360" xr:uid="{00000000-0005-0000-0000-0000834F0000}"/>
    <cellStyle name="Финансовый 5 4 10" xfId="20361" xr:uid="{00000000-0005-0000-0000-0000844F0000}"/>
    <cellStyle name="Финансовый 5 4 2" xfId="20362" xr:uid="{00000000-0005-0000-0000-0000854F0000}"/>
    <cellStyle name="Финансовый 5 4 3" xfId="20363" xr:uid="{00000000-0005-0000-0000-0000864F0000}"/>
    <cellStyle name="Финансовый 5 4 4" xfId="20364" xr:uid="{00000000-0005-0000-0000-0000874F0000}"/>
    <cellStyle name="Финансовый 5 4 5" xfId="20365" xr:uid="{00000000-0005-0000-0000-0000884F0000}"/>
    <cellStyle name="Финансовый 5 4 6" xfId="20366" xr:uid="{00000000-0005-0000-0000-0000894F0000}"/>
    <cellStyle name="Финансовый 5 4 7" xfId="20367" xr:uid="{00000000-0005-0000-0000-00008A4F0000}"/>
    <cellStyle name="Финансовый 5 4 8" xfId="20368" xr:uid="{00000000-0005-0000-0000-00008B4F0000}"/>
    <cellStyle name="Финансовый 5 4 9" xfId="20369" xr:uid="{00000000-0005-0000-0000-00008C4F0000}"/>
    <cellStyle name="Финансовый 5 5" xfId="20370" xr:uid="{00000000-0005-0000-0000-00008D4F0000}"/>
    <cellStyle name="Финансовый 5 6" xfId="20371" xr:uid="{00000000-0005-0000-0000-00008E4F0000}"/>
    <cellStyle name="Финансовый 5 7" xfId="20372" xr:uid="{00000000-0005-0000-0000-00008F4F0000}"/>
    <cellStyle name="Финансовый 5 8" xfId="20373" xr:uid="{00000000-0005-0000-0000-0000904F0000}"/>
    <cellStyle name="Финансовый 5 9" xfId="20374" xr:uid="{00000000-0005-0000-0000-0000914F0000}"/>
    <cellStyle name="Финансовый 6" xfId="470" xr:uid="{00000000-0005-0000-0000-0000924F0000}"/>
    <cellStyle name="Финансовый 6 2" xfId="20375" xr:uid="{00000000-0005-0000-0000-0000934F0000}"/>
    <cellStyle name="Финансовый 7" xfId="471" xr:uid="{00000000-0005-0000-0000-0000944F0000}"/>
    <cellStyle name="Финансовый 8" xfId="477" xr:uid="{00000000-0005-0000-0000-0000954F0000}"/>
    <cellStyle name="Финансовый 9" xfId="20376" xr:uid="{00000000-0005-0000-0000-0000964F0000}"/>
    <cellStyle name="Финансовый 9 2" xfId="20377" xr:uid="{00000000-0005-0000-0000-0000974F0000}"/>
    <cellStyle name="Хороший 10" xfId="20378" xr:uid="{00000000-0005-0000-0000-0000984F0000}"/>
    <cellStyle name="Хороший 100" xfId="20379" xr:uid="{00000000-0005-0000-0000-0000994F0000}"/>
    <cellStyle name="Хороший 101" xfId="20380" xr:uid="{00000000-0005-0000-0000-00009A4F0000}"/>
    <cellStyle name="Хороший 102" xfId="20381" xr:uid="{00000000-0005-0000-0000-00009B4F0000}"/>
    <cellStyle name="Хороший 103" xfId="20382" xr:uid="{00000000-0005-0000-0000-00009C4F0000}"/>
    <cellStyle name="Хороший 104" xfId="20383" xr:uid="{00000000-0005-0000-0000-00009D4F0000}"/>
    <cellStyle name="Хороший 105" xfId="20384" xr:uid="{00000000-0005-0000-0000-00009E4F0000}"/>
    <cellStyle name="Хороший 106" xfId="20385" xr:uid="{00000000-0005-0000-0000-00009F4F0000}"/>
    <cellStyle name="Хороший 107" xfId="20386" xr:uid="{00000000-0005-0000-0000-0000A04F0000}"/>
    <cellStyle name="Хороший 108" xfId="20387" xr:uid="{00000000-0005-0000-0000-0000A14F0000}"/>
    <cellStyle name="Хороший 109" xfId="20388" xr:uid="{00000000-0005-0000-0000-0000A24F0000}"/>
    <cellStyle name="Хороший 11" xfId="20389" xr:uid="{00000000-0005-0000-0000-0000A34F0000}"/>
    <cellStyle name="Хороший 110" xfId="20390" xr:uid="{00000000-0005-0000-0000-0000A44F0000}"/>
    <cellStyle name="Хороший 111" xfId="20391" xr:uid="{00000000-0005-0000-0000-0000A54F0000}"/>
    <cellStyle name="Хороший 112" xfId="20392" xr:uid="{00000000-0005-0000-0000-0000A64F0000}"/>
    <cellStyle name="Хороший 113" xfId="20393" xr:uid="{00000000-0005-0000-0000-0000A74F0000}"/>
    <cellStyle name="Хороший 114" xfId="20394" xr:uid="{00000000-0005-0000-0000-0000A84F0000}"/>
    <cellStyle name="Хороший 115" xfId="20395" xr:uid="{00000000-0005-0000-0000-0000A94F0000}"/>
    <cellStyle name="Хороший 116" xfId="20396" xr:uid="{00000000-0005-0000-0000-0000AA4F0000}"/>
    <cellStyle name="Хороший 117" xfId="20397" xr:uid="{00000000-0005-0000-0000-0000AB4F0000}"/>
    <cellStyle name="Хороший 118" xfId="20398" xr:uid="{00000000-0005-0000-0000-0000AC4F0000}"/>
    <cellStyle name="Хороший 119" xfId="20399" xr:uid="{00000000-0005-0000-0000-0000AD4F0000}"/>
    <cellStyle name="Хороший 12" xfId="20400" xr:uid="{00000000-0005-0000-0000-0000AE4F0000}"/>
    <cellStyle name="Хороший 120" xfId="20401" xr:uid="{00000000-0005-0000-0000-0000AF4F0000}"/>
    <cellStyle name="Хороший 121" xfId="20402" xr:uid="{00000000-0005-0000-0000-0000B04F0000}"/>
    <cellStyle name="Хороший 122" xfId="20403" xr:uid="{00000000-0005-0000-0000-0000B14F0000}"/>
    <cellStyle name="Хороший 123" xfId="20404" xr:uid="{00000000-0005-0000-0000-0000B24F0000}"/>
    <cellStyle name="Хороший 124" xfId="20405" xr:uid="{00000000-0005-0000-0000-0000B34F0000}"/>
    <cellStyle name="Хороший 125" xfId="20406" xr:uid="{00000000-0005-0000-0000-0000B44F0000}"/>
    <cellStyle name="Хороший 126" xfId="20407" xr:uid="{00000000-0005-0000-0000-0000B54F0000}"/>
    <cellStyle name="Хороший 127" xfId="20408" xr:uid="{00000000-0005-0000-0000-0000B64F0000}"/>
    <cellStyle name="Хороший 128" xfId="20409" xr:uid="{00000000-0005-0000-0000-0000B74F0000}"/>
    <cellStyle name="Хороший 129" xfId="20410" xr:uid="{00000000-0005-0000-0000-0000B84F0000}"/>
    <cellStyle name="Хороший 13" xfId="20411" xr:uid="{00000000-0005-0000-0000-0000B94F0000}"/>
    <cellStyle name="Хороший 130" xfId="20412" xr:uid="{00000000-0005-0000-0000-0000BA4F0000}"/>
    <cellStyle name="Хороший 131" xfId="20413" xr:uid="{00000000-0005-0000-0000-0000BB4F0000}"/>
    <cellStyle name="Хороший 132" xfId="20414" xr:uid="{00000000-0005-0000-0000-0000BC4F0000}"/>
    <cellStyle name="Хороший 133" xfId="20415" xr:uid="{00000000-0005-0000-0000-0000BD4F0000}"/>
    <cellStyle name="Хороший 134" xfId="20416" xr:uid="{00000000-0005-0000-0000-0000BE4F0000}"/>
    <cellStyle name="Хороший 135" xfId="20417" xr:uid="{00000000-0005-0000-0000-0000BF4F0000}"/>
    <cellStyle name="Хороший 136" xfId="20418" xr:uid="{00000000-0005-0000-0000-0000C04F0000}"/>
    <cellStyle name="Хороший 137" xfId="20419" xr:uid="{00000000-0005-0000-0000-0000C14F0000}"/>
    <cellStyle name="Хороший 138" xfId="20420" xr:uid="{00000000-0005-0000-0000-0000C24F0000}"/>
    <cellStyle name="Хороший 139" xfId="20421" xr:uid="{00000000-0005-0000-0000-0000C34F0000}"/>
    <cellStyle name="Хороший 14" xfId="20422" xr:uid="{00000000-0005-0000-0000-0000C44F0000}"/>
    <cellStyle name="Хороший 140" xfId="20423" xr:uid="{00000000-0005-0000-0000-0000C54F0000}"/>
    <cellStyle name="Хороший 141" xfId="20424" xr:uid="{00000000-0005-0000-0000-0000C64F0000}"/>
    <cellStyle name="Хороший 142" xfId="20425" xr:uid="{00000000-0005-0000-0000-0000C74F0000}"/>
    <cellStyle name="Хороший 143" xfId="20426" xr:uid="{00000000-0005-0000-0000-0000C84F0000}"/>
    <cellStyle name="Хороший 144" xfId="20427" xr:uid="{00000000-0005-0000-0000-0000C94F0000}"/>
    <cellStyle name="Хороший 145" xfId="20428" xr:uid="{00000000-0005-0000-0000-0000CA4F0000}"/>
    <cellStyle name="Хороший 146" xfId="20429" xr:uid="{00000000-0005-0000-0000-0000CB4F0000}"/>
    <cellStyle name="Хороший 147" xfId="20430" xr:uid="{00000000-0005-0000-0000-0000CC4F0000}"/>
    <cellStyle name="Хороший 148" xfId="20431" xr:uid="{00000000-0005-0000-0000-0000CD4F0000}"/>
    <cellStyle name="Хороший 149" xfId="20432" xr:uid="{00000000-0005-0000-0000-0000CE4F0000}"/>
    <cellStyle name="Хороший 15" xfId="20433" xr:uid="{00000000-0005-0000-0000-0000CF4F0000}"/>
    <cellStyle name="Хороший 150" xfId="20434" xr:uid="{00000000-0005-0000-0000-0000D04F0000}"/>
    <cellStyle name="Хороший 151" xfId="20435" xr:uid="{00000000-0005-0000-0000-0000D14F0000}"/>
    <cellStyle name="Хороший 16" xfId="20436" xr:uid="{00000000-0005-0000-0000-0000D24F0000}"/>
    <cellStyle name="Хороший 17" xfId="20437" xr:uid="{00000000-0005-0000-0000-0000D34F0000}"/>
    <cellStyle name="Хороший 18" xfId="20438" xr:uid="{00000000-0005-0000-0000-0000D44F0000}"/>
    <cellStyle name="Хороший 19" xfId="20439" xr:uid="{00000000-0005-0000-0000-0000D54F0000}"/>
    <cellStyle name="Хороший 2" xfId="472" xr:uid="{00000000-0005-0000-0000-0000D64F0000}"/>
    <cellStyle name="Хороший 2 2" xfId="20440" xr:uid="{00000000-0005-0000-0000-0000D74F0000}"/>
    <cellStyle name="Хороший 2 3" xfId="20441" xr:uid="{00000000-0005-0000-0000-0000D84F0000}"/>
    <cellStyle name="Хороший 2 4" xfId="20442" xr:uid="{00000000-0005-0000-0000-0000D94F0000}"/>
    <cellStyle name="Хороший 2 5" xfId="20443" xr:uid="{00000000-0005-0000-0000-0000DA4F0000}"/>
    <cellStyle name="Хороший 2 6" xfId="20444" xr:uid="{00000000-0005-0000-0000-0000DB4F0000}"/>
    <cellStyle name="Хороший 2 7" xfId="20445" xr:uid="{00000000-0005-0000-0000-0000DC4F0000}"/>
    <cellStyle name="Хороший 20" xfId="20446" xr:uid="{00000000-0005-0000-0000-0000DD4F0000}"/>
    <cellStyle name="Хороший 20 2" xfId="20447" xr:uid="{00000000-0005-0000-0000-0000DE4F0000}"/>
    <cellStyle name="Хороший 21" xfId="20448" xr:uid="{00000000-0005-0000-0000-0000DF4F0000}"/>
    <cellStyle name="Хороший 22" xfId="20449" xr:uid="{00000000-0005-0000-0000-0000E04F0000}"/>
    <cellStyle name="Хороший 23" xfId="20450" xr:uid="{00000000-0005-0000-0000-0000E14F0000}"/>
    <cellStyle name="Хороший 24" xfId="20451" xr:uid="{00000000-0005-0000-0000-0000E24F0000}"/>
    <cellStyle name="Хороший 25" xfId="20452" xr:uid="{00000000-0005-0000-0000-0000E34F0000}"/>
    <cellStyle name="Хороший 26" xfId="20453" xr:uid="{00000000-0005-0000-0000-0000E44F0000}"/>
    <cellStyle name="Хороший 27" xfId="20454" xr:uid="{00000000-0005-0000-0000-0000E54F0000}"/>
    <cellStyle name="Хороший 28" xfId="20455" xr:uid="{00000000-0005-0000-0000-0000E64F0000}"/>
    <cellStyle name="Хороший 29" xfId="20456" xr:uid="{00000000-0005-0000-0000-0000E74F0000}"/>
    <cellStyle name="Хороший 3" xfId="473" xr:uid="{00000000-0005-0000-0000-0000E84F0000}"/>
    <cellStyle name="Хороший 30" xfId="20457" xr:uid="{00000000-0005-0000-0000-0000E94F0000}"/>
    <cellStyle name="Хороший 31" xfId="20458" xr:uid="{00000000-0005-0000-0000-0000EA4F0000}"/>
    <cellStyle name="Хороший 32" xfId="20459" xr:uid="{00000000-0005-0000-0000-0000EB4F0000}"/>
    <cellStyle name="Хороший 33" xfId="20460" xr:uid="{00000000-0005-0000-0000-0000EC4F0000}"/>
    <cellStyle name="Хороший 34" xfId="20461" xr:uid="{00000000-0005-0000-0000-0000ED4F0000}"/>
    <cellStyle name="Хороший 35" xfId="20462" xr:uid="{00000000-0005-0000-0000-0000EE4F0000}"/>
    <cellStyle name="Хороший 36" xfId="20463" xr:uid="{00000000-0005-0000-0000-0000EF4F0000}"/>
    <cellStyle name="Хороший 37" xfId="20464" xr:uid="{00000000-0005-0000-0000-0000F04F0000}"/>
    <cellStyle name="Хороший 38" xfId="20465" xr:uid="{00000000-0005-0000-0000-0000F14F0000}"/>
    <cellStyle name="Хороший 39" xfId="20466" xr:uid="{00000000-0005-0000-0000-0000F24F0000}"/>
    <cellStyle name="Хороший 4" xfId="20467" xr:uid="{00000000-0005-0000-0000-0000F34F0000}"/>
    <cellStyle name="Хороший 40" xfId="20468" xr:uid="{00000000-0005-0000-0000-0000F44F0000}"/>
    <cellStyle name="Хороший 41" xfId="20469" xr:uid="{00000000-0005-0000-0000-0000F54F0000}"/>
    <cellStyle name="Хороший 42" xfId="20470" xr:uid="{00000000-0005-0000-0000-0000F64F0000}"/>
    <cellStyle name="Хороший 43" xfId="20471" xr:uid="{00000000-0005-0000-0000-0000F74F0000}"/>
    <cellStyle name="Хороший 44" xfId="20472" xr:uid="{00000000-0005-0000-0000-0000F84F0000}"/>
    <cellStyle name="Хороший 45" xfId="20473" xr:uid="{00000000-0005-0000-0000-0000F94F0000}"/>
    <cellStyle name="Хороший 46" xfId="20474" xr:uid="{00000000-0005-0000-0000-0000FA4F0000}"/>
    <cellStyle name="Хороший 47" xfId="20475" xr:uid="{00000000-0005-0000-0000-0000FB4F0000}"/>
    <cellStyle name="Хороший 48" xfId="20476" xr:uid="{00000000-0005-0000-0000-0000FC4F0000}"/>
    <cellStyle name="Хороший 49" xfId="20477" xr:uid="{00000000-0005-0000-0000-0000FD4F0000}"/>
    <cellStyle name="Хороший 5" xfId="20478" xr:uid="{00000000-0005-0000-0000-0000FE4F0000}"/>
    <cellStyle name="Хороший 50" xfId="20479" xr:uid="{00000000-0005-0000-0000-0000FF4F0000}"/>
    <cellStyle name="Хороший 51" xfId="20480" xr:uid="{00000000-0005-0000-0000-000000500000}"/>
    <cellStyle name="Хороший 52" xfId="20481" xr:uid="{00000000-0005-0000-0000-000001500000}"/>
    <cellStyle name="Хороший 53" xfId="20482" xr:uid="{00000000-0005-0000-0000-000002500000}"/>
    <cellStyle name="Хороший 54" xfId="20483" xr:uid="{00000000-0005-0000-0000-000003500000}"/>
    <cellStyle name="Хороший 55" xfId="20484" xr:uid="{00000000-0005-0000-0000-000004500000}"/>
    <cellStyle name="Хороший 56" xfId="20485" xr:uid="{00000000-0005-0000-0000-000005500000}"/>
    <cellStyle name="Хороший 57" xfId="20486" xr:uid="{00000000-0005-0000-0000-000006500000}"/>
    <cellStyle name="Хороший 58" xfId="20487" xr:uid="{00000000-0005-0000-0000-000007500000}"/>
    <cellStyle name="Хороший 59" xfId="20488" xr:uid="{00000000-0005-0000-0000-000008500000}"/>
    <cellStyle name="Хороший 6" xfId="20489" xr:uid="{00000000-0005-0000-0000-000009500000}"/>
    <cellStyle name="Хороший 60" xfId="20490" xr:uid="{00000000-0005-0000-0000-00000A500000}"/>
    <cellStyle name="Хороший 61" xfId="20491" xr:uid="{00000000-0005-0000-0000-00000B500000}"/>
    <cellStyle name="Хороший 62" xfId="20492" xr:uid="{00000000-0005-0000-0000-00000C500000}"/>
    <cellStyle name="Хороший 63" xfId="20493" xr:uid="{00000000-0005-0000-0000-00000D500000}"/>
    <cellStyle name="Хороший 64" xfId="20494" xr:uid="{00000000-0005-0000-0000-00000E500000}"/>
    <cellStyle name="Хороший 65" xfId="20495" xr:uid="{00000000-0005-0000-0000-00000F500000}"/>
    <cellStyle name="Хороший 66" xfId="20496" xr:uid="{00000000-0005-0000-0000-000010500000}"/>
    <cellStyle name="Хороший 67" xfId="20497" xr:uid="{00000000-0005-0000-0000-000011500000}"/>
    <cellStyle name="Хороший 68" xfId="20498" xr:uid="{00000000-0005-0000-0000-000012500000}"/>
    <cellStyle name="Хороший 69" xfId="20499" xr:uid="{00000000-0005-0000-0000-000013500000}"/>
    <cellStyle name="Хороший 7" xfId="20500" xr:uid="{00000000-0005-0000-0000-000014500000}"/>
    <cellStyle name="Хороший 70" xfId="20501" xr:uid="{00000000-0005-0000-0000-000015500000}"/>
    <cellStyle name="Хороший 71" xfId="20502" xr:uid="{00000000-0005-0000-0000-000016500000}"/>
    <cellStyle name="Хороший 72" xfId="20503" xr:uid="{00000000-0005-0000-0000-000017500000}"/>
    <cellStyle name="Хороший 73" xfId="20504" xr:uid="{00000000-0005-0000-0000-000018500000}"/>
    <cellStyle name="Хороший 74" xfId="20505" xr:uid="{00000000-0005-0000-0000-000019500000}"/>
    <cellStyle name="Хороший 75" xfId="20506" xr:uid="{00000000-0005-0000-0000-00001A500000}"/>
    <cellStyle name="Хороший 76" xfId="20507" xr:uid="{00000000-0005-0000-0000-00001B500000}"/>
    <cellStyle name="Хороший 77" xfId="20508" xr:uid="{00000000-0005-0000-0000-00001C500000}"/>
    <cellStyle name="Хороший 78" xfId="20509" xr:uid="{00000000-0005-0000-0000-00001D500000}"/>
    <cellStyle name="Хороший 79" xfId="20510" xr:uid="{00000000-0005-0000-0000-00001E500000}"/>
    <cellStyle name="Хороший 8" xfId="20511" xr:uid="{00000000-0005-0000-0000-00001F500000}"/>
    <cellStyle name="Хороший 80" xfId="20512" xr:uid="{00000000-0005-0000-0000-000020500000}"/>
    <cellStyle name="Хороший 81" xfId="20513" xr:uid="{00000000-0005-0000-0000-000021500000}"/>
    <cellStyle name="Хороший 82" xfId="20514" xr:uid="{00000000-0005-0000-0000-000022500000}"/>
    <cellStyle name="Хороший 83" xfId="20515" xr:uid="{00000000-0005-0000-0000-000023500000}"/>
    <cellStyle name="Хороший 84" xfId="20516" xr:uid="{00000000-0005-0000-0000-000024500000}"/>
    <cellStyle name="Хороший 85" xfId="20517" xr:uid="{00000000-0005-0000-0000-000025500000}"/>
    <cellStyle name="Хороший 86" xfId="20518" xr:uid="{00000000-0005-0000-0000-000026500000}"/>
    <cellStyle name="Хороший 87" xfId="20519" xr:uid="{00000000-0005-0000-0000-000027500000}"/>
    <cellStyle name="Хороший 88" xfId="20520" xr:uid="{00000000-0005-0000-0000-000028500000}"/>
    <cellStyle name="Хороший 89" xfId="20521" xr:uid="{00000000-0005-0000-0000-000029500000}"/>
    <cellStyle name="Хороший 9" xfId="20522" xr:uid="{00000000-0005-0000-0000-00002A500000}"/>
    <cellStyle name="Хороший 90" xfId="20523" xr:uid="{00000000-0005-0000-0000-00002B500000}"/>
    <cellStyle name="Хороший 91" xfId="20524" xr:uid="{00000000-0005-0000-0000-00002C500000}"/>
    <cellStyle name="Хороший 92" xfId="20525" xr:uid="{00000000-0005-0000-0000-00002D500000}"/>
    <cellStyle name="Хороший 93" xfId="20526" xr:uid="{00000000-0005-0000-0000-00002E500000}"/>
    <cellStyle name="Хороший 94" xfId="20527" xr:uid="{00000000-0005-0000-0000-00002F500000}"/>
    <cellStyle name="Хороший 95" xfId="20528" xr:uid="{00000000-0005-0000-0000-000030500000}"/>
    <cellStyle name="Хороший 96" xfId="20529" xr:uid="{00000000-0005-0000-0000-000031500000}"/>
    <cellStyle name="Хороший 97" xfId="20530" xr:uid="{00000000-0005-0000-0000-000032500000}"/>
    <cellStyle name="Хороший 98" xfId="20531" xr:uid="{00000000-0005-0000-0000-000033500000}"/>
    <cellStyle name="Хороший 99" xfId="20532" xr:uid="{00000000-0005-0000-0000-000034500000}"/>
    <cellStyle name="Число [0]" xfId="20533" xr:uid="{00000000-0005-0000-0000-000035500000}"/>
    <cellStyle name="Число [1]" xfId="20534" xr:uid="{00000000-0005-0000-0000-000036500000}"/>
    <cellStyle name="Число [2]" xfId="20535" xr:uid="{00000000-0005-0000-0000-000037500000}"/>
    <cellStyle name="Число [3]" xfId="20536" xr:uid="{00000000-0005-0000-0000-000038500000}"/>
    <cellStyle name="Џђћ–…ќ’ќ›‰" xfId="20537" xr:uid="{00000000-0005-0000-0000-000039500000}"/>
    <cellStyle name="Џђћ–…ќ’ќ›‰ 2" xfId="20538" xr:uid="{00000000-0005-0000-0000-00003A500000}"/>
    <cellStyle name="Џђћ–…ќ’ќ›‰ 3" xfId="20539" xr:uid="{00000000-0005-0000-0000-00003B500000}"/>
    <cellStyle name="Џђћ–…ќ’ќ›‰ 4" xfId="20540" xr:uid="{00000000-0005-0000-0000-00003C500000}"/>
    <cellStyle name="ШАУ" xfId="20541" xr:uid="{00000000-0005-0000-0000-00003D500000}"/>
    <cellStyle name="ШАУ 10" xfId="20542" xr:uid="{00000000-0005-0000-0000-00003E500000}"/>
    <cellStyle name="ШАУ 10 2" xfId="20543" xr:uid="{00000000-0005-0000-0000-00003F500000}"/>
    <cellStyle name="ШАУ 10 2 2" xfId="20544" xr:uid="{00000000-0005-0000-0000-000040500000}"/>
    <cellStyle name="ШАУ 10 2 2 2" xfId="20545" xr:uid="{00000000-0005-0000-0000-000041500000}"/>
    <cellStyle name="ШАУ 10 2 3" xfId="20546" xr:uid="{00000000-0005-0000-0000-000042500000}"/>
    <cellStyle name="ШАУ 10 2 3 2" xfId="20547" xr:uid="{00000000-0005-0000-0000-000043500000}"/>
    <cellStyle name="ШАУ 10 2 4" xfId="20548" xr:uid="{00000000-0005-0000-0000-000044500000}"/>
    <cellStyle name="ШАУ 10 3" xfId="20549" xr:uid="{00000000-0005-0000-0000-000045500000}"/>
    <cellStyle name="ШАУ 10 3 2" xfId="20550" xr:uid="{00000000-0005-0000-0000-000046500000}"/>
    <cellStyle name="ШАУ 10 3 2 2" xfId="20551" xr:uid="{00000000-0005-0000-0000-000047500000}"/>
    <cellStyle name="ШАУ 10 3 3" xfId="20552" xr:uid="{00000000-0005-0000-0000-000048500000}"/>
    <cellStyle name="ШАУ 10 3 3 2" xfId="20553" xr:uid="{00000000-0005-0000-0000-000049500000}"/>
    <cellStyle name="ШАУ 10 3 4" xfId="20554" xr:uid="{00000000-0005-0000-0000-00004A500000}"/>
    <cellStyle name="ШАУ 10 4" xfId="20555" xr:uid="{00000000-0005-0000-0000-00004B500000}"/>
    <cellStyle name="ШАУ 10 4 2" xfId="20556" xr:uid="{00000000-0005-0000-0000-00004C500000}"/>
    <cellStyle name="ШАУ 10 5" xfId="20557" xr:uid="{00000000-0005-0000-0000-00004D500000}"/>
    <cellStyle name="ШАУ 10 5 2" xfId="20558" xr:uid="{00000000-0005-0000-0000-00004E500000}"/>
    <cellStyle name="ШАУ 10 6" xfId="20559" xr:uid="{00000000-0005-0000-0000-00004F500000}"/>
    <cellStyle name="ШАУ 11" xfId="20560" xr:uid="{00000000-0005-0000-0000-000050500000}"/>
    <cellStyle name="ШАУ 11 2" xfId="20561" xr:uid="{00000000-0005-0000-0000-000051500000}"/>
    <cellStyle name="ШАУ 11 2 2" xfId="20562" xr:uid="{00000000-0005-0000-0000-000052500000}"/>
    <cellStyle name="ШАУ 11 2 2 2" xfId="20563" xr:uid="{00000000-0005-0000-0000-000053500000}"/>
    <cellStyle name="ШАУ 11 2 3" xfId="20564" xr:uid="{00000000-0005-0000-0000-000054500000}"/>
    <cellStyle name="ШАУ 11 2 3 2" xfId="20565" xr:uid="{00000000-0005-0000-0000-000055500000}"/>
    <cellStyle name="ШАУ 11 2 4" xfId="20566" xr:uid="{00000000-0005-0000-0000-000056500000}"/>
    <cellStyle name="ШАУ 11 3" xfId="20567" xr:uid="{00000000-0005-0000-0000-000057500000}"/>
    <cellStyle name="ШАУ 11 3 2" xfId="20568" xr:uid="{00000000-0005-0000-0000-000058500000}"/>
    <cellStyle name="ШАУ 11 3 2 2" xfId="20569" xr:uid="{00000000-0005-0000-0000-000059500000}"/>
    <cellStyle name="ШАУ 11 3 3" xfId="20570" xr:uid="{00000000-0005-0000-0000-00005A500000}"/>
    <cellStyle name="ШАУ 11 3 3 2" xfId="20571" xr:uid="{00000000-0005-0000-0000-00005B500000}"/>
    <cellStyle name="ШАУ 11 3 4" xfId="20572" xr:uid="{00000000-0005-0000-0000-00005C500000}"/>
    <cellStyle name="ШАУ 11 4" xfId="20573" xr:uid="{00000000-0005-0000-0000-00005D500000}"/>
    <cellStyle name="ШАУ 11 4 2" xfId="20574" xr:uid="{00000000-0005-0000-0000-00005E500000}"/>
    <cellStyle name="ШАУ 11 5" xfId="20575" xr:uid="{00000000-0005-0000-0000-00005F500000}"/>
    <cellStyle name="ШАУ 11 5 2" xfId="20576" xr:uid="{00000000-0005-0000-0000-000060500000}"/>
    <cellStyle name="ШАУ 11 6" xfId="20577" xr:uid="{00000000-0005-0000-0000-000061500000}"/>
    <cellStyle name="ШАУ 12" xfId="20578" xr:uid="{00000000-0005-0000-0000-000062500000}"/>
    <cellStyle name="ШАУ 12 2" xfId="20579" xr:uid="{00000000-0005-0000-0000-000063500000}"/>
    <cellStyle name="ШАУ 12 2 2" xfId="20580" xr:uid="{00000000-0005-0000-0000-000064500000}"/>
    <cellStyle name="ШАУ 12 2 2 2" xfId="20581" xr:uid="{00000000-0005-0000-0000-000065500000}"/>
    <cellStyle name="ШАУ 12 2 3" xfId="20582" xr:uid="{00000000-0005-0000-0000-000066500000}"/>
    <cellStyle name="ШАУ 12 2 3 2" xfId="20583" xr:uid="{00000000-0005-0000-0000-000067500000}"/>
    <cellStyle name="ШАУ 12 2 4" xfId="20584" xr:uid="{00000000-0005-0000-0000-000068500000}"/>
    <cellStyle name="ШАУ 12 3" xfId="20585" xr:uid="{00000000-0005-0000-0000-000069500000}"/>
    <cellStyle name="ШАУ 12 3 2" xfId="20586" xr:uid="{00000000-0005-0000-0000-00006A500000}"/>
    <cellStyle name="ШАУ 12 3 2 2" xfId="20587" xr:uid="{00000000-0005-0000-0000-00006B500000}"/>
    <cellStyle name="ШАУ 12 3 3" xfId="20588" xr:uid="{00000000-0005-0000-0000-00006C500000}"/>
    <cellStyle name="ШАУ 12 3 3 2" xfId="20589" xr:uid="{00000000-0005-0000-0000-00006D500000}"/>
    <cellStyle name="ШАУ 12 3 4" xfId="20590" xr:uid="{00000000-0005-0000-0000-00006E500000}"/>
    <cellStyle name="ШАУ 12 4" xfId="20591" xr:uid="{00000000-0005-0000-0000-00006F500000}"/>
    <cellStyle name="ШАУ 12 4 2" xfId="20592" xr:uid="{00000000-0005-0000-0000-000070500000}"/>
    <cellStyle name="ШАУ 12 5" xfId="20593" xr:uid="{00000000-0005-0000-0000-000071500000}"/>
    <cellStyle name="ШАУ 12 5 2" xfId="20594" xr:uid="{00000000-0005-0000-0000-000072500000}"/>
    <cellStyle name="ШАУ 12 6" xfId="20595" xr:uid="{00000000-0005-0000-0000-000073500000}"/>
    <cellStyle name="ШАУ 13" xfId="20596" xr:uid="{00000000-0005-0000-0000-000074500000}"/>
    <cellStyle name="ШАУ 13 2" xfId="20597" xr:uid="{00000000-0005-0000-0000-000075500000}"/>
    <cellStyle name="ШАУ 13 2 2" xfId="20598" xr:uid="{00000000-0005-0000-0000-000076500000}"/>
    <cellStyle name="ШАУ 13 2 2 2" xfId="20599" xr:uid="{00000000-0005-0000-0000-000077500000}"/>
    <cellStyle name="ШАУ 13 2 3" xfId="20600" xr:uid="{00000000-0005-0000-0000-000078500000}"/>
    <cellStyle name="ШАУ 13 2 3 2" xfId="20601" xr:uid="{00000000-0005-0000-0000-000079500000}"/>
    <cellStyle name="ШАУ 13 2 4" xfId="20602" xr:uid="{00000000-0005-0000-0000-00007A500000}"/>
    <cellStyle name="ШАУ 13 3" xfId="20603" xr:uid="{00000000-0005-0000-0000-00007B500000}"/>
    <cellStyle name="ШАУ 13 3 2" xfId="20604" xr:uid="{00000000-0005-0000-0000-00007C500000}"/>
    <cellStyle name="ШАУ 13 3 2 2" xfId="20605" xr:uid="{00000000-0005-0000-0000-00007D500000}"/>
    <cellStyle name="ШАУ 13 3 3" xfId="20606" xr:uid="{00000000-0005-0000-0000-00007E500000}"/>
    <cellStyle name="ШАУ 13 3 3 2" xfId="20607" xr:uid="{00000000-0005-0000-0000-00007F500000}"/>
    <cellStyle name="ШАУ 13 3 4" xfId="20608" xr:uid="{00000000-0005-0000-0000-000080500000}"/>
    <cellStyle name="ШАУ 13 4" xfId="20609" xr:uid="{00000000-0005-0000-0000-000081500000}"/>
    <cellStyle name="ШАУ 13 4 2" xfId="20610" xr:uid="{00000000-0005-0000-0000-000082500000}"/>
    <cellStyle name="ШАУ 13 5" xfId="20611" xr:uid="{00000000-0005-0000-0000-000083500000}"/>
    <cellStyle name="ШАУ 13 5 2" xfId="20612" xr:uid="{00000000-0005-0000-0000-000084500000}"/>
    <cellStyle name="ШАУ 13 6" xfId="20613" xr:uid="{00000000-0005-0000-0000-000085500000}"/>
    <cellStyle name="ШАУ 14" xfId="20614" xr:uid="{00000000-0005-0000-0000-000086500000}"/>
    <cellStyle name="ШАУ 14 2" xfId="20615" xr:uid="{00000000-0005-0000-0000-000087500000}"/>
    <cellStyle name="ШАУ 14 2 2" xfId="20616" xr:uid="{00000000-0005-0000-0000-000088500000}"/>
    <cellStyle name="ШАУ 14 2 2 2" xfId="20617" xr:uid="{00000000-0005-0000-0000-000089500000}"/>
    <cellStyle name="ШАУ 14 2 3" xfId="20618" xr:uid="{00000000-0005-0000-0000-00008A500000}"/>
    <cellStyle name="ШАУ 14 2 3 2" xfId="20619" xr:uid="{00000000-0005-0000-0000-00008B500000}"/>
    <cellStyle name="ШАУ 14 2 4" xfId="20620" xr:uid="{00000000-0005-0000-0000-00008C500000}"/>
    <cellStyle name="ШАУ 14 3" xfId="20621" xr:uid="{00000000-0005-0000-0000-00008D500000}"/>
    <cellStyle name="ШАУ 14 3 2" xfId="20622" xr:uid="{00000000-0005-0000-0000-00008E500000}"/>
    <cellStyle name="ШАУ 14 3 2 2" xfId="20623" xr:uid="{00000000-0005-0000-0000-00008F500000}"/>
    <cellStyle name="ШАУ 14 3 3" xfId="20624" xr:uid="{00000000-0005-0000-0000-000090500000}"/>
    <cellStyle name="ШАУ 14 3 3 2" xfId="20625" xr:uid="{00000000-0005-0000-0000-000091500000}"/>
    <cellStyle name="ШАУ 14 3 4" xfId="20626" xr:uid="{00000000-0005-0000-0000-000092500000}"/>
    <cellStyle name="ШАУ 14 4" xfId="20627" xr:uid="{00000000-0005-0000-0000-000093500000}"/>
    <cellStyle name="ШАУ 14 4 2" xfId="20628" xr:uid="{00000000-0005-0000-0000-000094500000}"/>
    <cellStyle name="ШАУ 14 5" xfId="20629" xr:uid="{00000000-0005-0000-0000-000095500000}"/>
    <cellStyle name="ШАУ 14 5 2" xfId="20630" xr:uid="{00000000-0005-0000-0000-000096500000}"/>
    <cellStyle name="ШАУ 14 6" xfId="20631" xr:uid="{00000000-0005-0000-0000-000097500000}"/>
    <cellStyle name="ШАУ 15" xfId="20632" xr:uid="{00000000-0005-0000-0000-000098500000}"/>
    <cellStyle name="ШАУ 15 2" xfId="20633" xr:uid="{00000000-0005-0000-0000-000099500000}"/>
    <cellStyle name="ШАУ 15 2 2" xfId="20634" xr:uid="{00000000-0005-0000-0000-00009A500000}"/>
    <cellStyle name="ШАУ 15 2 2 2" xfId="20635" xr:uid="{00000000-0005-0000-0000-00009B500000}"/>
    <cellStyle name="ШАУ 15 2 3" xfId="20636" xr:uid="{00000000-0005-0000-0000-00009C500000}"/>
    <cellStyle name="ШАУ 15 2 3 2" xfId="20637" xr:uid="{00000000-0005-0000-0000-00009D500000}"/>
    <cellStyle name="ШАУ 15 2 4" xfId="20638" xr:uid="{00000000-0005-0000-0000-00009E500000}"/>
    <cellStyle name="ШАУ 15 3" xfId="20639" xr:uid="{00000000-0005-0000-0000-00009F500000}"/>
    <cellStyle name="ШАУ 15 3 2" xfId="20640" xr:uid="{00000000-0005-0000-0000-0000A0500000}"/>
    <cellStyle name="ШАУ 15 3 2 2" xfId="20641" xr:uid="{00000000-0005-0000-0000-0000A1500000}"/>
    <cellStyle name="ШАУ 15 3 3" xfId="20642" xr:uid="{00000000-0005-0000-0000-0000A2500000}"/>
    <cellStyle name="ШАУ 15 3 3 2" xfId="20643" xr:uid="{00000000-0005-0000-0000-0000A3500000}"/>
    <cellStyle name="ШАУ 15 3 4" xfId="20644" xr:uid="{00000000-0005-0000-0000-0000A4500000}"/>
    <cellStyle name="ШАУ 15 4" xfId="20645" xr:uid="{00000000-0005-0000-0000-0000A5500000}"/>
    <cellStyle name="ШАУ 15 4 2" xfId="20646" xr:uid="{00000000-0005-0000-0000-0000A6500000}"/>
    <cellStyle name="ШАУ 15 5" xfId="20647" xr:uid="{00000000-0005-0000-0000-0000A7500000}"/>
    <cellStyle name="ШАУ 15 5 2" xfId="20648" xr:uid="{00000000-0005-0000-0000-0000A8500000}"/>
    <cellStyle name="ШАУ 15 6" xfId="20649" xr:uid="{00000000-0005-0000-0000-0000A9500000}"/>
    <cellStyle name="ШАУ 16" xfId="20650" xr:uid="{00000000-0005-0000-0000-0000AA500000}"/>
    <cellStyle name="ШАУ 16 2" xfId="20651" xr:uid="{00000000-0005-0000-0000-0000AB500000}"/>
    <cellStyle name="ШАУ 16 2 2" xfId="20652" xr:uid="{00000000-0005-0000-0000-0000AC500000}"/>
    <cellStyle name="ШАУ 16 2 2 2" xfId="20653" xr:uid="{00000000-0005-0000-0000-0000AD500000}"/>
    <cellStyle name="ШАУ 16 2 3" xfId="20654" xr:uid="{00000000-0005-0000-0000-0000AE500000}"/>
    <cellStyle name="ШАУ 16 2 3 2" xfId="20655" xr:uid="{00000000-0005-0000-0000-0000AF500000}"/>
    <cellStyle name="ШАУ 16 2 4" xfId="20656" xr:uid="{00000000-0005-0000-0000-0000B0500000}"/>
    <cellStyle name="ШАУ 16 3" xfId="20657" xr:uid="{00000000-0005-0000-0000-0000B1500000}"/>
    <cellStyle name="ШАУ 16 3 2" xfId="20658" xr:uid="{00000000-0005-0000-0000-0000B2500000}"/>
    <cellStyle name="ШАУ 16 3 2 2" xfId="20659" xr:uid="{00000000-0005-0000-0000-0000B3500000}"/>
    <cellStyle name="ШАУ 16 3 3" xfId="20660" xr:uid="{00000000-0005-0000-0000-0000B4500000}"/>
    <cellStyle name="ШАУ 16 3 3 2" xfId="20661" xr:uid="{00000000-0005-0000-0000-0000B5500000}"/>
    <cellStyle name="ШАУ 16 3 4" xfId="20662" xr:uid="{00000000-0005-0000-0000-0000B6500000}"/>
    <cellStyle name="ШАУ 16 4" xfId="20663" xr:uid="{00000000-0005-0000-0000-0000B7500000}"/>
    <cellStyle name="ШАУ 16 4 2" xfId="20664" xr:uid="{00000000-0005-0000-0000-0000B8500000}"/>
    <cellStyle name="ШАУ 16 5" xfId="20665" xr:uid="{00000000-0005-0000-0000-0000B9500000}"/>
    <cellStyle name="ШАУ 16 5 2" xfId="20666" xr:uid="{00000000-0005-0000-0000-0000BA500000}"/>
    <cellStyle name="ШАУ 16 6" xfId="20667" xr:uid="{00000000-0005-0000-0000-0000BB500000}"/>
    <cellStyle name="ШАУ 17" xfId="20668" xr:uid="{00000000-0005-0000-0000-0000BC500000}"/>
    <cellStyle name="ШАУ 17 2" xfId="20669" xr:uid="{00000000-0005-0000-0000-0000BD500000}"/>
    <cellStyle name="ШАУ 17 2 2" xfId="20670" xr:uid="{00000000-0005-0000-0000-0000BE500000}"/>
    <cellStyle name="ШАУ 17 2 2 2" xfId="20671" xr:uid="{00000000-0005-0000-0000-0000BF500000}"/>
    <cellStyle name="ШАУ 17 2 3" xfId="20672" xr:uid="{00000000-0005-0000-0000-0000C0500000}"/>
    <cellStyle name="ШАУ 17 2 3 2" xfId="20673" xr:uid="{00000000-0005-0000-0000-0000C1500000}"/>
    <cellStyle name="ШАУ 17 2 4" xfId="20674" xr:uid="{00000000-0005-0000-0000-0000C2500000}"/>
    <cellStyle name="ШАУ 17 3" xfId="20675" xr:uid="{00000000-0005-0000-0000-0000C3500000}"/>
    <cellStyle name="ШАУ 17 3 2" xfId="20676" xr:uid="{00000000-0005-0000-0000-0000C4500000}"/>
    <cellStyle name="ШАУ 17 3 2 2" xfId="20677" xr:uid="{00000000-0005-0000-0000-0000C5500000}"/>
    <cellStyle name="ШАУ 17 3 3" xfId="20678" xr:uid="{00000000-0005-0000-0000-0000C6500000}"/>
    <cellStyle name="ШАУ 17 3 3 2" xfId="20679" xr:uid="{00000000-0005-0000-0000-0000C7500000}"/>
    <cellStyle name="ШАУ 17 3 4" xfId="20680" xr:uid="{00000000-0005-0000-0000-0000C8500000}"/>
    <cellStyle name="ШАУ 17 4" xfId="20681" xr:uid="{00000000-0005-0000-0000-0000C9500000}"/>
    <cellStyle name="ШАУ 17 4 2" xfId="20682" xr:uid="{00000000-0005-0000-0000-0000CA500000}"/>
    <cellStyle name="ШАУ 17 5" xfId="20683" xr:uid="{00000000-0005-0000-0000-0000CB500000}"/>
    <cellStyle name="ШАУ 17 5 2" xfId="20684" xr:uid="{00000000-0005-0000-0000-0000CC500000}"/>
    <cellStyle name="ШАУ 17 6" xfId="20685" xr:uid="{00000000-0005-0000-0000-0000CD500000}"/>
    <cellStyle name="ШАУ 18" xfId="20686" xr:uid="{00000000-0005-0000-0000-0000CE500000}"/>
    <cellStyle name="ШАУ 18 2" xfId="20687" xr:uid="{00000000-0005-0000-0000-0000CF500000}"/>
    <cellStyle name="ШАУ 18 2 2" xfId="20688" xr:uid="{00000000-0005-0000-0000-0000D0500000}"/>
    <cellStyle name="ШАУ 18 2 2 2" xfId="20689" xr:uid="{00000000-0005-0000-0000-0000D1500000}"/>
    <cellStyle name="ШАУ 18 2 3" xfId="20690" xr:uid="{00000000-0005-0000-0000-0000D2500000}"/>
    <cellStyle name="ШАУ 18 2 3 2" xfId="20691" xr:uid="{00000000-0005-0000-0000-0000D3500000}"/>
    <cellStyle name="ШАУ 18 2 4" xfId="20692" xr:uid="{00000000-0005-0000-0000-0000D4500000}"/>
    <cellStyle name="ШАУ 18 3" xfId="20693" xr:uid="{00000000-0005-0000-0000-0000D5500000}"/>
    <cellStyle name="ШАУ 18 3 2" xfId="20694" xr:uid="{00000000-0005-0000-0000-0000D6500000}"/>
    <cellStyle name="ШАУ 18 3 2 2" xfId="20695" xr:uid="{00000000-0005-0000-0000-0000D7500000}"/>
    <cellStyle name="ШАУ 18 3 3" xfId="20696" xr:uid="{00000000-0005-0000-0000-0000D8500000}"/>
    <cellStyle name="ШАУ 18 3 3 2" xfId="20697" xr:uid="{00000000-0005-0000-0000-0000D9500000}"/>
    <cellStyle name="ШАУ 18 3 4" xfId="20698" xr:uid="{00000000-0005-0000-0000-0000DA500000}"/>
    <cellStyle name="ШАУ 18 4" xfId="20699" xr:uid="{00000000-0005-0000-0000-0000DB500000}"/>
    <cellStyle name="ШАУ 18 4 2" xfId="20700" xr:uid="{00000000-0005-0000-0000-0000DC500000}"/>
    <cellStyle name="ШАУ 18 5" xfId="20701" xr:uid="{00000000-0005-0000-0000-0000DD500000}"/>
    <cellStyle name="ШАУ 18 5 2" xfId="20702" xr:uid="{00000000-0005-0000-0000-0000DE500000}"/>
    <cellStyle name="ШАУ 18 6" xfId="20703" xr:uid="{00000000-0005-0000-0000-0000DF500000}"/>
    <cellStyle name="ШАУ 19" xfId="20704" xr:uid="{00000000-0005-0000-0000-0000E0500000}"/>
    <cellStyle name="ШАУ 19 2" xfId="20705" xr:uid="{00000000-0005-0000-0000-0000E1500000}"/>
    <cellStyle name="ШАУ 19 2 2" xfId="20706" xr:uid="{00000000-0005-0000-0000-0000E2500000}"/>
    <cellStyle name="ШАУ 19 2 2 2" xfId="20707" xr:uid="{00000000-0005-0000-0000-0000E3500000}"/>
    <cellStyle name="ШАУ 19 2 3" xfId="20708" xr:uid="{00000000-0005-0000-0000-0000E4500000}"/>
    <cellStyle name="ШАУ 19 2 3 2" xfId="20709" xr:uid="{00000000-0005-0000-0000-0000E5500000}"/>
    <cellStyle name="ШАУ 19 2 4" xfId="20710" xr:uid="{00000000-0005-0000-0000-0000E6500000}"/>
    <cellStyle name="ШАУ 19 3" xfId="20711" xr:uid="{00000000-0005-0000-0000-0000E7500000}"/>
    <cellStyle name="ШАУ 19 3 2" xfId="20712" xr:uid="{00000000-0005-0000-0000-0000E8500000}"/>
    <cellStyle name="ШАУ 19 3 2 2" xfId="20713" xr:uid="{00000000-0005-0000-0000-0000E9500000}"/>
    <cellStyle name="ШАУ 19 3 3" xfId="20714" xr:uid="{00000000-0005-0000-0000-0000EA500000}"/>
    <cellStyle name="ШАУ 19 3 3 2" xfId="20715" xr:uid="{00000000-0005-0000-0000-0000EB500000}"/>
    <cellStyle name="ШАУ 19 3 4" xfId="20716" xr:uid="{00000000-0005-0000-0000-0000EC500000}"/>
    <cellStyle name="ШАУ 19 4" xfId="20717" xr:uid="{00000000-0005-0000-0000-0000ED500000}"/>
    <cellStyle name="ШАУ 19 4 2" xfId="20718" xr:uid="{00000000-0005-0000-0000-0000EE500000}"/>
    <cellStyle name="ШАУ 19 5" xfId="20719" xr:uid="{00000000-0005-0000-0000-0000EF500000}"/>
    <cellStyle name="ШАУ 19 5 2" xfId="20720" xr:uid="{00000000-0005-0000-0000-0000F0500000}"/>
    <cellStyle name="ШАУ 19 6" xfId="20721" xr:uid="{00000000-0005-0000-0000-0000F1500000}"/>
    <cellStyle name="ШАУ 2" xfId="20722" xr:uid="{00000000-0005-0000-0000-0000F2500000}"/>
    <cellStyle name="ШАУ 2 2" xfId="20723" xr:uid="{00000000-0005-0000-0000-0000F3500000}"/>
    <cellStyle name="ШАУ 2 2 2" xfId="20724" xr:uid="{00000000-0005-0000-0000-0000F4500000}"/>
    <cellStyle name="ШАУ 2 2 2 2" xfId="20725" xr:uid="{00000000-0005-0000-0000-0000F5500000}"/>
    <cellStyle name="ШАУ 2 2 3" xfId="20726" xr:uid="{00000000-0005-0000-0000-0000F6500000}"/>
    <cellStyle name="ШАУ 2 2 3 2" xfId="20727" xr:uid="{00000000-0005-0000-0000-0000F7500000}"/>
    <cellStyle name="ШАУ 2 2 4" xfId="20728" xr:uid="{00000000-0005-0000-0000-0000F8500000}"/>
    <cellStyle name="ШАУ 2 3" xfId="20729" xr:uid="{00000000-0005-0000-0000-0000F9500000}"/>
    <cellStyle name="ШАУ 2 3 2" xfId="20730" xr:uid="{00000000-0005-0000-0000-0000FA500000}"/>
    <cellStyle name="ШАУ 2 3 2 2" xfId="20731" xr:uid="{00000000-0005-0000-0000-0000FB500000}"/>
    <cellStyle name="ШАУ 2 3 3" xfId="20732" xr:uid="{00000000-0005-0000-0000-0000FC500000}"/>
    <cellStyle name="ШАУ 2 3 3 2" xfId="20733" xr:uid="{00000000-0005-0000-0000-0000FD500000}"/>
    <cellStyle name="ШАУ 2 3 4" xfId="20734" xr:uid="{00000000-0005-0000-0000-0000FE500000}"/>
    <cellStyle name="ШАУ 2 4" xfId="20735" xr:uid="{00000000-0005-0000-0000-0000FF500000}"/>
    <cellStyle name="ШАУ 2 4 2" xfId="20736" xr:uid="{00000000-0005-0000-0000-000000510000}"/>
    <cellStyle name="ШАУ 2 5" xfId="20737" xr:uid="{00000000-0005-0000-0000-000001510000}"/>
    <cellStyle name="ШАУ 2 5 2" xfId="20738" xr:uid="{00000000-0005-0000-0000-000002510000}"/>
    <cellStyle name="ШАУ 2 6" xfId="20739" xr:uid="{00000000-0005-0000-0000-000003510000}"/>
    <cellStyle name="ШАУ 20" xfId="20740" xr:uid="{00000000-0005-0000-0000-000004510000}"/>
    <cellStyle name="ШАУ 20 2" xfId="20741" xr:uid="{00000000-0005-0000-0000-000005510000}"/>
    <cellStyle name="ШАУ 20 2 2" xfId="20742" xr:uid="{00000000-0005-0000-0000-000006510000}"/>
    <cellStyle name="ШАУ 20 2 2 2" xfId="20743" xr:uid="{00000000-0005-0000-0000-000007510000}"/>
    <cellStyle name="ШАУ 20 2 3" xfId="20744" xr:uid="{00000000-0005-0000-0000-000008510000}"/>
    <cellStyle name="ШАУ 20 2 3 2" xfId="20745" xr:uid="{00000000-0005-0000-0000-000009510000}"/>
    <cellStyle name="ШАУ 20 2 4" xfId="20746" xr:uid="{00000000-0005-0000-0000-00000A510000}"/>
    <cellStyle name="ШАУ 20 3" xfId="20747" xr:uid="{00000000-0005-0000-0000-00000B510000}"/>
    <cellStyle name="ШАУ 20 3 2" xfId="20748" xr:uid="{00000000-0005-0000-0000-00000C510000}"/>
    <cellStyle name="ШАУ 20 3 2 2" xfId="20749" xr:uid="{00000000-0005-0000-0000-00000D510000}"/>
    <cellStyle name="ШАУ 20 3 3" xfId="20750" xr:uid="{00000000-0005-0000-0000-00000E510000}"/>
    <cellStyle name="ШАУ 20 3 3 2" xfId="20751" xr:uid="{00000000-0005-0000-0000-00000F510000}"/>
    <cellStyle name="ШАУ 20 3 4" xfId="20752" xr:uid="{00000000-0005-0000-0000-000010510000}"/>
    <cellStyle name="ШАУ 20 4" xfId="20753" xr:uid="{00000000-0005-0000-0000-000011510000}"/>
    <cellStyle name="ШАУ 20 4 2" xfId="20754" xr:uid="{00000000-0005-0000-0000-000012510000}"/>
    <cellStyle name="ШАУ 20 5" xfId="20755" xr:uid="{00000000-0005-0000-0000-000013510000}"/>
    <cellStyle name="ШАУ 20 5 2" xfId="20756" xr:uid="{00000000-0005-0000-0000-000014510000}"/>
    <cellStyle name="ШАУ 20 6" xfId="20757" xr:uid="{00000000-0005-0000-0000-000015510000}"/>
    <cellStyle name="ШАУ 21" xfId="20758" xr:uid="{00000000-0005-0000-0000-000016510000}"/>
    <cellStyle name="ШАУ 21 2" xfId="20759" xr:uid="{00000000-0005-0000-0000-000017510000}"/>
    <cellStyle name="ШАУ 21 2 2" xfId="20760" xr:uid="{00000000-0005-0000-0000-000018510000}"/>
    <cellStyle name="ШАУ 21 3" xfId="20761" xr:uid="{00000000-0005-0000-0000-000019510000}"/>
    <cellStyle name="ШАУ 21 3 2" xfId="20762" xr:uid="{00000000-0005-0000-0000-00001A510000}"/>
    <cellStyle name="ШАУ 21 4" xfId="20763" xr:uid="{00000000-0005-0000-0000-00001B510000}"/>
    <cellStyle name="ШАУ 22" xfId="20764" xr:uid="{00000000-0005-0000-0000-00001C510000}"/>
    <cellStyle name="ШАУ 22 2" xfId="20765" xr:uid="{00000000-0005-0000-0000-00001D510000}"/>
    <cellStyle name="ШАУ 22 2 2" xfId="20766" xr:uid="{00000000-0005-0000-0000-00001E510000}"/>
    <cellStyle name="ШАУ 22 3" xfId="20767" xr:uid="{00000000-0005-0000-0000-00001F510000}"/>
    <cellStyle name="ШАУ 22 3 2" xfId="20768" xr:uid="{00000000-0005-0000-0000-000020510000}"/>
    <cellStyle name="ШАУ 22 4" xfId="20769" xr:uid="{00000000-0005-0000-0000-000021510000}"/>
    <cellStyle name="ШАУ 23" xfId="20770" xr:uid="{00000000-0005-0000-0000-000022510000}"/>
    <cellStyle name="ШАУ 23 2" xfId="20771" xr:uid="{00000000-0005-0000-0000-000023510000}"/>
    <cellStyle name="ШАУ 24" xfId="20772" xr:uid="{00000000-0005-0000-0000-000024510000}"/>
    <cellStyle name="ШАУ 24 2" xfId="20773" xr:uid="{00000000-0005-0000-0000-000025510000}"/>
    <cellStyle name="ШАУ 25" xfId="20774" xr:uid="{00000000-0005-0000-0000-000026510000}"/>
    <cellStyle name="ШАУ 3" xfId="20775" xr:uid="{00000000-0005-0000-0000-000027510000}"/>
    <cellStyle name="ШАУ 3 2" xfId="20776" xr:uid="{00000000-0005-0000-0000-000028510000}"/>
    <cellStyle name="ШАУ 3 2 2" xfId="20777" xr:uid="{00000000-0005-0000-0000-000029510000}"/>
    <cellStyle name="ШАУ 3 2 2 2" xfId="20778" xr:uid="{00000000-0005-0000-0000-00002A510000}"/>
    <cellStyle name="ШАУ 3 2 3" xfId="20779" xr:uid="{00000000-0005-0000-0000-00002B510000}"/>
    <cellStyle name="ШАУ 3 2 3 2" xfId="20780" xr:uid="{00000000-0005-0000-0000-00002C510000}"/>
    <cellStyle name="ШАУ 3 2 4" xfId="20781" xr:uid="{00000000-0005-0000-0000-00002D510000}"/>
    <cellStyle name="ШАУ 3 3" xfId="20782" xr:uid="{00000000-0005-0000-0000-00002E510000}"/>
    <cellStyle name="ШАУ 3 3 2" xfId="20783" xr:uid="{00000000-0005-0000-0000-00002F510000}"/>
    <cellStyle name="ШАУ 3 3 2 2" xfId="20784" xr:uid="{00000000-0005-0000-0000-000030510000}"/>
    <cellStyle name="ШАУ 3 3 3" xfId="20785" xr:uid="{00000000-0005-0000-0000-000031510000}"/>
    <cellStyle name="ШАУ 3 3 3 2" xfId="20786" xr:uid="{00000000-0005-0000-0000-000032510000}"/>
    <cellStyle name="ШАУ 3 3 4" xfId="20787" xr:uid="{00000000-0005-0000-0000-000033510000}"/>
    <cellStyle name="ШАУ 3 4" xfId="20788" xr:uid="{00000000-0005-0000-0000-000034510000}"/>
    <cellStyle name="ШАУ 3 4 2" xfId="20789" xr:uid="{00000000-0005-0000-0000-000035510000}"/>
    <cellStyle name="ШАУ 3 5" xfId="20790" xr:uid="{00000000-0005-0000-0000-000036510000}"/>
    <cellStyle name="ШАУ 3 5 2" xfId="20791" xr:uid="{00000000-0005-0000-0000-000037510000}"/>
    <cellStyle name="ШАУ 3 6" xfId="20792" xr:uid="{00000000-0005-0000-0000-000038510000}"/>
    <cellStyle name="ШАУ 4" xfId="20793" xr:uid="{00000000-0005-0000-0000-000039510000}"/>
    <cellStyle name="ШАУ 4 2" xfId="20794" xr:uid="{00000000-0005-0000-0000-00003A510000}"/>
    <cellStyle name="ШАУ 4 2 2" xfId="20795" xr:uid="{00000000-0005-0000-0000-00003B510000}"/>
    <cellStyle name="ШАУ 4 2 2 2" xfId="20796" xr:uid="{00000000-0005-0000-0000-00003C510000}"/>
    <cellStyle name="ШАУ 4 2 3" xfId="20797" xr:uid="{00000000-0005-0000-0000-00003D510000}"/>
    <cellStyle name="ШАУ 4 2 3 2" xfId="20798" xr:uid="{00000000-0005-0000-0000-00003E510000}"/>
    <cellStyle name="ШАУ 4 2 4" xfId="20799" xr:uid="{00000000-0005-0000-0000-00003F510000}"/>
    <cellStyle name="ШАУ 4 3" xfId="20800" xr:uid="{00000000-0005-0000-0000-000040510000}"/>
    <cellStyle name="ШАУ 4 3 2" xfId="20801" xr:uid="{00000000-0005-0000-0000-000041510000}"/>
    <cellStyle name="ШАУ 4 3 2 2" xfId="20802" xr:uid="{00000000-0005-0000-0000-000042510000}"/>
    <cellStyle name="ШАУ 4 3 3" xfId="20803" xr:uid="{00000000-0005-0000-0000-000043510000}"/>
    <cellStyle name="ШАУ 4 3 3 2" xfId="20804" xr:uid="{00000000-0005-0000-0000-000044510000}"/>
    <cellStyle name="ШАУ 4 3 4" xfId="20805" xr:uid="{00000000-0005-0000-0000-000045510000}"/>
    <cellStyle name="ШАУ 4 4" xfId="20806" xr:uid="{00000000-0005-0000-0000-000046510000}"/>
    <cellStyle name="ШАУ 4 4 2" xfId="20807" xr:uid="{00000000-0005-0000-0000-000047510000}"/>
    <cellStyle name="ШАУ 4 5" xfId="20808" xr:uid="{00000000-0005-0000-0000-000048510000}"/>
    <cellStyle name="ШАУ 4 5 2" xfId="20809" xr:uid="{00000000-0005-0000-0000-000049510000}"/>
    <cellStyle name="ШАУ 4 6" xfId="20810" xr:uid="{00000000-0005-0000-0000-00004A510000}"/>
    <cellStyle name="ШАУ 5" xfId="20811" xr:uid="{00000000-0005-0000-0000-00004B510000}"/>
    <cellStyle name="ШАУ 5 2" xfId="20812" xr:uid="{00000000-0005-0000-0000-00004C510000}"/>
    <cellStyle name="ШАУ 5 2 2" xfId="20813" xr:uid="{00000000-0005-0000-0000-00004D510000}"/>
    <cellStyle name="ШАУ 5 2 2 2" xfId="20814" xr:uid="{00000000-0005-0000-0000-00004E510000}"/>
    <cellStyle name="ШАУ 5 2 3" xfId="20815" xr:uid="{00000000-0005-0000-0000-00004F510000}"/>
    <cellStyle name="ШАУ 5 2 3 2" xfId="20816" xr:uid="{00000000-0005-0000-0000-000050510000}"/>
    <cellStyle name="ШАУ 5 2 4" xfId="20817" xr:uid="{00000000-0005-0000-0000-000051510000}"/>
    <cellStyle name="ШАУ 5 3" xfId="20818" xr:uid="{00000000-0005-0000-0000-000052510000}"/>
    <cellStyle name="ШАУ 5 3 2" xfId="20819" xr:uid="{00000000-0005-0000-0000-000053510000}"/>
    <cellStyle name="ШАУ 5 3 2 2" xfId="20820" xr:uid="{00000000-0005-0000-0000-000054510000}"/>
    <cellStyle name="ШАУ 5 3 3" xfId="20821" xr:uid="{00000000-0005-0000-0000-000055510000}"/>
    <cellStyle name="ШАУ 5 3 3 2" xfId="20822" xr:uid="{00000000-0005-0000-0000-000056510000}"/>
    <cellStyle name="ШАУ 5 3 4" xfId="20823" xr:uid="{00000000-0005-0000-0000-000057510000}"/>
    <cellStyle name="ШАУ 5 4" xfId="20824" xr:uid="{00000000-0005-0000-0000-000058510000}"/>
    <cellStyle name="ШАУ 5 4 2" xfId="20825" xr:uid="{00000000-0005-0000-0000-000059510000}"/>
    <cellStyle name="ШАУ 5 5" xfId="20826" xr:uid="{00000000-0005-0000-0000-00005A510000}"/>
    <cellStyle name="ШАУ 5 5 2" xfId="20827" xr:uid="{00000000-0005-0000-0000-00005B510000}"/>
    <cellStyle name="ШАУ 5 6" xfId="20828" xr:uid="{00000000-0005-0000-0000-00005C510000}"/>
    <cellStyle name="ШАУ 6" xfId="20829" xr:uid="{00000000-0005-0000-0000-00005D510000}"/>
    <cellStyle name="ШАУ 6 2" xfId="20830" xr:uid="{00000000-0005-0000-0000-00005E510000}"/>
    <cellStyle name="ШАУ 6 2 2" xfId="20831" xr:uid="{00000000-0005-0000-0000-00005F510000}"/>
    <cellStyle name="ШАУ 6 2 2 2" xfId="20832" xr:uid="{00000000-0005-0000-0000-000060510000}"/>
    <cellStyle name="ШАУ 6 2 3" xfId="20833" xr:uid="{00000000-0005-0000-0000-000061510000}"/>
    <cellStyle name="ШАУ 6 2 3 2" xfId="20834" xr:uid="{00000000-0005-0000-0000-000062510000}"/>
    <cellStyle name="ШАУ 6 2 4" xfId="20835" xr:uid="{00000000-0005-0000-0000-000063510000}"/>
    <cellStyle name="ШАУ 6 3" xfId="20836" xr:uid="{00000000-0005-0000-0000-000064510000}"/>
    <cellStyle name="ШАУ 6 3 2" xfId="20837" xr:uid="{00000000-0005-0000-0000-000065510000}"/>
    <cellStyle name="ШАУ 6 3 2 2" xfId="20838" xr:uid="{00000000-0005-0000-0000-000066510000}"/>
    <cellStyle name="ШАУ 6 3 3" xfId="20839" xr:uid="{00000000-0005-0000-0000-000067510000}"/>
    <cellStyle name="ШАУ 6 3 3 2" xfId="20840" xr:uid="{00000000-0005-0000-0000-000068510000}"/>
    <cellStyle name="ШАУ 6 3 4" xfId="20841" xr:uid="{00000000-0005-0000-0000-000069510000}"/>
    <cellStyle name="ШАУ 6 4" xfId="20842" xr:uid="{00000000-0005-0000-0000-00006A510000}"/>
    <cellStyle name="ШАУ 6 4 2" xfId="20843" xr:uid="{00000000-0005-0000-0000-00006B510000}"/>
    <cellStyle name="ШАУ 6 5" xfId="20844" xr:uid="{00000000-0005-0000-0000-00006C510000}"/>
    <cellStyle name="ШАУ 6 5 2" xfId="20845" xr:uid="{00000000-0005-0000-0000-00006D510000}"/>
    <cellStyle name="ШАУ 6 6" xfId="20846" xr:uid="{00000000-0005-0000-0000-00006E510000}"/>
    <cellStyle name="ШАУ 7" xfId="20847" xr:uid="{00000000-0005-0000-0000-00006F510000}"/>
    <cellStyle name="ШАУ 7 2" xfId="20848" xr:uid="{00000000-0005-0000-0000-000070510000}"/>
    <cellStyle name="ШАУ 7 2 2" xfId="20849" xr:uid="{00000000-0005-0000-0000-000071510000}"/>
    <cellStyle name="ШАУ 7 2 2 2" xfId="20850" xr:uid="{00000000-0005-0000-0000-000072510000}"/>
    <cellStyle name="ШАУ 7 2 3" xfId="20851" xr:uid="{00000000-0005-0000-0000-000073510000}"/>
    <cellStyle name="ШАУ 7 2 3 2" xfId="20852" xr:uid="{00000000-0005-0000-0000-000074510000}"/>
    <cellStyle name="ШАУ 7 2 4" xfId="20853" xr:uid="{00000000-0005-0000-0000-000075510000}"/>
    <cellStyle name="ШАУ 7 3" xfId="20854" xr:uid="{00000000-0005-0000-0000-000076510000}"/>
    <cellStyle name="ШАУ 7 3 2" xfId="20855" xr:uid="{00000000-0005-0000-0000-000077510000}"/>
    <cellStyle name="ШАУ 7 3 2 2" xfId="20856" xr:uid="{00000000-0005-0000-0000-000078510000}"/>
    <cellStyle name="ШАУ 7 3 3" xfId="20857" xr:uid="{00000000-0005-0000-0000-000079510000}"/>
    <cellStyle name="ШАУ 7 3 3 2" xfId="20858" xr:uid="{00000000-0005-0000-0000-00007A510000}"/>
    <cellStyle name="ШАУ 7 3 4" xfId="20859" xr:uid="{00000000-0005-0000-0000-00007B510000}"/>
    <cellStyle name="ШАУ 7 4" xfId="20860" xr:uid="{00000000-0005-0000-0000-00007C510000}"/>
    <cellStyle name="ШАУ 7 4 2" xfId="20861" xr:uid="{00000000-0005-0000-0000-00007D510000}"/>
    <cellStyle name="ШАУ 7 5" xfId="20862" xr:uid="{00000000-0005-0000-0000-00007E510000}"/>
    <cellStyle name="ШАУ 7 5 2" xfId="20863" xr:uid="{00000000-0005-0000-0000-00007F510000}"/>
    <cellStyle name="ШАУ 7 6" xfId="20864" xr:uid="{00000000-0005-0000-0000-000080510000}"/>
    <cellStyle name="ШАУ 8" xfId="20865" xr:uid="{00000000-0005-0000-0000-000081510000}"/>
    <cellStyle name="ШАУ 8 2" xfId="20866" xr:uid="{00000000-0005-0000-0000-000082510000}"/>
    <cellStyle name="ШАУ 8 2 2" xfId="20867" xr:uid="{00000000-0005-0000-0000-000083510000}"/>
    <cellStyle name="ШАУ 8 2 2 2" xfId="20868" xr:uid="{00000000-0005-0000-0000-000084510000}"/>
    <cellStyle name="ШАУ 8 2 3" xfId="20869" xr:uid="{00000000-0005-0000-0000-000085510000}"/>
    <cellStyle name="ШАУ 8 2 3 2" xfId="20870" xr:uid="{00000000-0005-0000-0000-000086510000}"/>
    <cellStyle name="ШАУ 8 2 4" xfId="20871" xr:uid="{00000000-0005-0000-0000-000087510000}"/>
    <cellStyle name="ШАУ 8 3" xfId="20872" xr:uid="{00000000-0005-0000-0000-000088510000}"/>
    <cellStyle name="ШАУ 8 3 2" xfId="20873" xr:uid="{00000000-0005-0000-0000-000089510000}"/>
    <cellStyle name="ШАУ 8 3 2 2" xfId="20874" xr:uid="{00000000-0005-0000-0000-00008A510000}"/>
    <cellStyle name="ШАУ 8 3 3" xfId="20875" xr:uid="{00000000-0005-0000-0000-00008B510000}"/>
    <cellStyle name="ШАУ 8 3 3 2" xfId="20876" xr:uid="{00000000-0005-0000-0000-00008C510000}"/>
    <cellStyle name="ШАУ 8 3 4" xfId="20877" xr:uid="{00000000-0005-0000-0000-00008D510000}"/>
    <cellStyle name="ШАУ 8 4" xfId="20878" xr:uid="{00000000-0005-0000-0000-00008E510000}"/>
    <cellStyle name="ШАУ 8 4 2" xfId="20879" xr:uid="{00000000-0005-0000-0000-00008F510000}"/>
    <cellStyle name="ШАУ 8 5" xfId="20880" xr:uid="{00000000-0005-0000-0000-000090510000}"/>
    <cellStyle name="ШАУ 8 5 2" xfId="20881" xr:uid="{00000000-0005-0000-0000-000091510000}"/>
    <cellStyle name="ШАУ 8 6" xfId="20882" xr:uid="{00000000-0005-0000-0000-000092510000}"/>
    <cellStyle name="ШАУ 9" xfId="20883" xr:uid="{00000000-0005-0000-0000-000093510000}"/>
    <cellStyle name="ШАУ 9 2" xfId="20884" xr:uid="{00000000-0005-0000-0000-000094510000}"/>
    <cellStyle name="ШАУ 9 2 2" xfId="20885" xr:uid="{00000000-0005-0000-0000-000095510000}"/>
    <cellStyle name="ШАУ 9 2 2 2" xfId="20886" xr:uid="{00000000-0005-0000-0000-000096510000}"/>
    <cellStyle name="ШАУ 9 2 3" xfId="20887" xr:uid="{00000000-0005-0000-0000-000097510000}"/>
    <cellStyle name="ШАУ 9 2 3 2" xfId="20888" xr:uid="{00000000-0005-0000-0000-000098510000}"/>
    <cellStyle name="ШАУ 9 2 4" xfId="20889" xr:uid="{00000000-0005-0000-0000-000099510000}"/>
    <cellStyle name="ШАУ 9 3" xfId="20890" xr:uid="{00000000-0005-0000-0000-00009A510000}"/>
    <cellStyle name="ШАУ 9 3 2" xfId="20891" xr:uid="{00000000-0005-0000-0000-00009B510000}"/>
    <cellStyle name="ШАУ 9 3 2 2" xfId="20892" xr:uid="{00000000-0005-0000-0000-00009C510000}"/>
    <cellStyle name="ШАУ 9 3 3" xfId="20893" xr:uid="{00000000-0005-0000-0000-00009D510000}"/>
    <cellStyle name="ШАУ 9 3 3 2" xfId="20894" xr:uid="{00000000-0005-0000-0000-00009E510000}"/>
    <cellStyle name="ШАУ 9 3 4" xfId="20895" xr:uid="{00000000-0005-0000-0000-00009F510000}"/>
    <cellStyle name="ШАУ 9 4" xfId="20896" xr:uid="{00000000-0005-0000-0000-0000A0510000}"/>
    <cellStyle name="ШАУ 9 4 2" xfId="20897" xr:uid="{00000000-0005-0000-0000-0000A1510000}"/>
    <cellStyle name="ШАУ 9 5" xfId="20898" xr:uid="{00000000-0005-0000-0000-0000A2510000}"/>
    <cellStyle name="ШАУ 9 5 2" xfId="20899" xr:uid="{00000000-0005-0000-0000-0000A3510000}"/>
    <cellStyle name="ШАУ 9 6" xfId="20900" xr:uid="{00000000-0005-0000-0000-0000A4510000}"/>
    <cellStyle name="Ячейка отчета" xfId="20901" xr:uid="{00000000-0005-0000-0000-0000A5510000}"/>
  </cellStyles>
  <dxfs count="27"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numFmt numFmtId="173" formatCode="#,##0.000"/>
    </dxf>
    <dxf>
      <alignment vertical="center" readingOrder="0"/>
    </dxf>
    <dxf>
      <alignment wrapText="1" readingOrder="0"/>
    </dxf>
    <dxf>
      <alignment wrapText="1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3" formatCode="#,##0.000"/>
    </dxf>
    <dxf>
      <numFmt numFmtId="3" formatCode="#,##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9" fmlaLink="$I$14" horiz="1" max="500" page="10" val="45"/>
</file>

<file path=xl/ctrlProps/ctrlProp2.xml><?xml version="1.0" encoding="utf-8"?>
<formControlPr xmlns="http://schemas.microsoft.com/office/spreadsheetml/2009/9/main" objectType="Scroll" dx="29" fmlaLink="$I$17" horiz="1" max="500" page="10" val="0"/>
</file>

<file path=xl/ctrlProps/ctrlProp3.xml><?xml version="1.0" encoding="utf-8"?>
<formControlPr xmlns="http://schemas.microsoft.com/office/spreadsheetml/2009/9/main" objectType="CheckBox" checked="Checked" fmlaLink="G11" lockText="1" noThreeD="1"/>
</file>

<file path=xl/ctrlProps/ctrlProp4.xml><?xml version="1.0" encoding="utf-8"?>
<formControlPr xmlns="http://schemas.microsoft.com/office/spreadsheetml/2009/9/main" objectType="CheckBox" fmlaLink="J11" lockText="1" noThreeD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checked="Checked" firstButton="1" fmlaLink="$IV$2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Scroll" dx="29" fmlaLink="$IX$1" horiz="1" max="50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10886</xdr:colOff>
          <xdr:row>12</xdr:row>
          <xdr:rowOff>179614</xdr:rowOff>
        </xdr:from>
        <xdr:to>
          <xdr:col>9</xdr:col>
          <xdr:colOff>152400</xdr:colOff>
          <xdr:row>13</xdr:row>
          <xdr:rowOff>174171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10886</xdr:colOff>
          <xdr:row>15</xdr:row>
          <xdr:rowOff>179614</xdr:rowOff>
        </xdr:from>
        <xdr:to>
          <xdr:col>9</xdr:col>
          <xdr:colOff>174171</xdr:colOff>
          <xdr:row>16</xdr:row>
          <xdr:rowOff>174171</xdr:rowOff>
        </xdr:to>
        <xdr:sp macro="" textlink="">
          <xdr:nvSpPr>
            <xdr:cNvPr id="2058" name="Scroll Ba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767443</xdr:colOff>
          <xdr:row>9</xdr:row>
          <xdr:rowOff>179614</xdr:rowOff>
        </xdr:from>
        <xdr:to>
          <xdr:col>7</xdr:col>
          <xdr:colOff>713014</xdr:colOff>
          <xdr:row>11</xdr:row>
          <xdr:rowOff>21771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ИНДЕКСАЦИЯ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794657</xdr:colOff>
          <xdr:row>9</xdr:row>
          <xdr:rowOff>174171</xdr:rowOff>
        </xdr:from>
        <xdr:to>
          <xdr:col>9</xdr:col>
          <xdr:colOff>1028700</xdr:colOff>
          <xdr:row>11</xdr:row>
          <xdr:rowOff>10886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СКИДКА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5443</xdr:colOff>
          <xdr:row>17</xdr:row>
          <xdr:rowOff>168729</xdr:rowOff>
        </xdr:from>
        <xdr:to>
          <xdr:col>9</xdr:col>
          <xdr:colOff>1121229</xdr:colOff>
          <xdr:row>20</xdr:row>
          <xdr:rowOff>16329</xdr:rowOff>
        </xdr:to>
        <xdr:sp macro="" textlink="">
          <xdr:nvSpPr>
            <xdr:cNvPr id="2061" name="Butto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Рассчитать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255</xdr:col>
          <xdr:colOff>81643</xdr:colOff>
          <xdr:row>0</xdr:row>
          <xdr:rowOff>446314</xdr:rowOff>
        </xdr:from>
        <xdr:to>
          <xdr:col>256</xdr:col>
          <xdr:colOff>10886</xdr:colOff>
          <xdr:row>2</xdr:row>
          <xdr:rowOff>212271</xdr:rowOff>
        </xdr:to>
        <xdr:sp macro="" textlink="">
          <xdr:nvSpPr>
            <xdr:cNvPr id="3076" name="Option 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 логике ИПЕМ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255</xdr:col>
          <xdr:colOff>97971</xdr:colOff>
          <xdr:row>2</xdr:row>
          <xdr:rowOff>277586</xdr:rowOff>
        </xdr:from>
        <xdr:to>
          <xdr:col>256</xdr:col>
          <xdr:colOff>424543</xdr:colOff>
          <xdr:row>2</xdr:row>
          <xdr:rowOff>1088571</xdr:rowOff>
        </xdr:to>
        <xdr:sp macro="" textlink="">
          <xdr:nvSpPr>
            <xdr:cNvPr id="3077" name="Option 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без логики ИПЕМ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2155371</xdr:colOff>
          <xdr:row>0</xdr:row>
          <xdr:rowOff>136071</xdr:rowOff>
        </xdr:from>
        <xdr:to>
          <xdr:col>265</xdr:col>
          <xdr:colOff>593271</xdr:colOff>
          <xdr:row>0</xdr:row>
          <xdr:rowOff>353786</xdr:rowOff>
        </xdr:to>
        <xdr:sp macro="" textlink="">
          <xdr:nvSpPr>
            <xdr:cNvPr id="3079" name="Scroll Bar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zd-share-01\&#1062;&#1069;&#1050;&#1056;\Users\BoldyrevaAV\Desktop\&#1057;&#1077;&#1083;&#1077;&#1082;&#1090;&#1086;&#1088;\&#1043;&#1054;-10\2013\&#1084;&#1072;&#1088;&#1090;\&#1084;&#1072;&#1088;&#1090;%2020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55;&#1086;&#1095;&#1090;&#1072;%20&#1076;&#1077;&#1082;&#1072;&#1073;&#1088;&#110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jinab\2003%20&#1075;&#1086;&#1076;\WINDOWS\TEMP\&#1040;&#1088;&#1093;&#1080;&#1074;%20&#1087;&#1086;%20&#1074;&#1099;&#1088;&#1091;&#1095;&#1082;&#10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р нар"/>
      <sheetName val="дор"/>
      <sheetName val="гр"/>
      <sheetName val="гр нар"/>
      <sheetName val="дороги мес Кунаевой"/>
      <sheetName val="дороги нар Кунаевой"/>
      <sheetName val="дороги"/>
      <sheetName val="грузы"/>
      <sheetName val="грузы нар"/>
      <sheetName val="динамика грузы Кунаевой"/>
    </sheetNames>
    <sheetDataSet>
      <sheetData sheetId="0">
        <row r="6">
          <cell r="H6">
            <v>23296</v>
          </cell>
        </row>
      </sheetData>
      <sheetData sheetId="1">
        <row r="1">
          <cell r="AB1">
            <v>2006</v>
          </cell>
          <cell r="AE1" t="str">
            <v>январь</v>
          </cell>
        </row>
        <row r="2">
          <cell r="AE2" t="str">
            <v>февраль</v>
          </cell>
        </row>
        <row r="3">
          <cell r="AE3" t="str">
            <v>март</v>
          </cell>
        </row>
        <row r="4">
          <cell r="AB4">
            <v>0</v>
          </cell>
          <cell r="AE4" t="str">
            <v>апрель</v>
          </cell>
        </row>
        <row r="5">
          <cell r="AD5" t="str">
            <v>февраля</v>
          </cell>
          <cell r="AE5" t="str">
            <v>май</v>
          </cell>
        </row>
        <row r="6">
          <cell r="AE6" t="str">
            <v>июнь</v>
          </cell>
        </row>
        <row r="7">
          <cell r="AE7" t="str">
            <v>июль</v>
          </cell>
        </row>
        <row r="8">
          <cell r="AB8" t="str">
            <v>Груз: Все грузы</v>
          </cell>
          <cell r="AE8" t="str">
            <v>август</v>
          </cell>
        </row>
        <row r="9">
          <cell r="AE9" t="str">
            <v>сентябрь</v>
          </cell>
        </row>
        <row r="10">
          <cell r="AE10" t="str">
            <v>октябрь</v>
          </cell>
        </row>
        <row r="11">
          <cell r="AE11" t="str">
            <v>ноябрь</v>
          </cell>
        </row>
        <row r="12">
          <cell r="AE12" t="str">
            <v>декабрь</v>
          </cell>
        </row>
        <row r="13">
          <cell r="AE13" t="str">
            <v>января</v>
          </cell>
        </row>
        <row r="14">
          <cell r="AE14" t="str">
            <v>февраля</v>
          </cell>
        </row>
        <row r="15">
          <cell r="AE15" t="str">
            <v>марта</v>
          </cell>
        </row>
        <row r="16">
          <cell r="AE16" t="str">
            <v>апреля</v>
          </cell>
        </row>
        <row r="17">
          <cell r="AE17" t="str">
            <v>мая</v>
          </cell>
        </row>
        <row r="18">
          <cell r="AE18" t="str">
            <v>июня</v>
          </cell>
        </row>
        <row r="19">
          <cell r="AE19" t="str">
            <v>июля</v>
          </cell>
        </row>
        <row r="20">
          <cell r="AE20" t="str">
            <v>августа</v>
          </cell>
        </row>
        <row r="21">
          <cell r="AE21" t="str">
            <v>сентября</v>
          </cell>
        </row>
        <row r="22">
          <cell r="AE22" t="str">
            <v>ноября</v>
          </cell>
        </row>
        <row r="23">
          <cell r="AE23" t="str">
            <v>декабря</v>
          </cell>
        </row>
      </sheetData>
      <sheetData sheetId="2">
        <row r="7">
          <cell r="H7">
            <v>26658.822</v>
          </cell>
        </row>
      </sheetData>
      <sheetData sheetId="3">
        <row r="7">
          <cell r="H7">
            <v>78345.827999999994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т бал"/>
      <sheetName val="гр вед"/>
      <sheetName val="декабрьден"/>
      <sheetName val="декабрьзач"/>
      <sheetName val="лимит"/>
      <sheetName val="выручка"/>
      <sheetName val="телеграмма"/>
      <sheetName val="Спр"/>
      <sheetName val="02.02"/>
      <sheetName val="03.02"/>
      <sheetName val="04.02"/>
      <sheetName val="07.02"/>
      <sheetName val="08.02"/>
      <sheetName val="09.02"/>
      <sheetName val="10.02"/>
      <sheetName val="11.02"/>
      <sheetName val="14.02"/>
      <sheetName val="15.02"/>
      <sheetName val="16.02"/>
      <sheetName val="17.02"/>
      <sheetName val="18.02"/>
      <sheetName val="21.02"/>
      <sheetName val="22.02"/>
      <sheetName val="24.02"/>
      <sheetName val="25.02"/>
      <sheetName val="28.02"/>
      <sheetName val="за февраль"/>
      <sheetName val="январь"/>
      <sheetName val="февраль"/>
      <sheetName val="март"/>
      <sheetName val="1кв."/>
      <sheetName val="эксплуатация"/>
      <sheetName val="ПВД"/>
      <sheetName val="ИТОГО"/>
      <sheetName val="план"/>
      <sheetName val="Disclosures"/>
      <sheetName val="inputs"/>
      <sheetName val="Форма 4.1"/>
      <sheetName val="Почта декабрь"/>
      <sheetName val="плат_бал"/>
      <sheetName val="гр_вед"/>
      <sheetName val="02_02"/>
      <sheetName val="03_02"/>
      <sheetName val="04_02"/>
      <sheetName val="07_02"/>
      <sheetName val="08_02"/>
      <sheetName val="09_02"/>
      <sheetName val="10_02"/>
      <sheetName val="11_02"/>
      <sheetName val="14_02"/>
      <sheetName val="15_02"/>
      <sheetName val="16_02"/>
      <sheetName val="17_02"/>
      <sheetName val="18_02"/>
      <sheetName val="21_02"/>
      <sheetName val="22_02"/>
      <sheetName val="24_02"/>
      <sheetName val="25_02"/>
      <sheetName val="28_02"/>
      <sheetName val="за_февраль"/>
      <sheetName val="1кв_"/>
      <sheetName val="Форма_4_1"/>
      <sheetName val="Почта_декабрь"/>
      <sheetName val="Макро"/>
      <sheetName val="пла__б__окт"/>
      <sheetName val="налоги"/>
      <sheetName val="плат_бал1"/>
      <sheetName val="гр_вед1"/>
      <sheetName val="02_021"/>
      <sheetName val="03_021"/>
      <sheetName val="04_021"/>
      <sheetName val="07_021"/>
      <sheetName val="08_021"/>
      <sheetName val="09_021"/>
      <sheetName val="10_021"/>
      <sheetName val="11_021"/>
      <sheetName val="14_021"/>
      <sheetName val="15_021"/>
      <sheetName val="16_021"/>
      <sheetName val="17_021"/>
      <sheetName val="18_021"/>
      <sheetName val="21_021"/>
      <sheetName val="22_021"/>
      <sheetName val="24_021"/>
      <sheetName val="25_021"/>
      <sheetName val="28_021"/>
      <sheetName val="за_февраль1"/>
      <sheetName val="1кв_1"/>
      <sheetName val="Форма_4_11"/>
      <sheetName val="Почта_декабрь1"/>
      <sheetName val="плат_бал2"/>
      <sheetName val="гр_вед2"/>
      <sheetName val="02_022"/>
      <sheetName val="03_022"/>
      <sheetName val="04_022"/>
      <sheetName val="07_022"/>
      <sheetName val="08_022"/>
      <sheetName val="09_022"/>
      <sheetName val="10_022"/>
      <sheetName val="11_022"/>
      <sheetName val="14_022"/>
      <sheetName val="15_022"/>
      <sheetName val="16_022"/>
      <sheetName val="17_022"/>
      <sheetName val="18_022"/>
      <sheetName val="21_022"/>
      <sheetName val="22_022"/>
      <sheetName val="24_022"/>
      <sheetName val="25_022"/>
      <sheetName val="28_022"/>
      <sheetName val="за_февраль2"/>
      <sheetName val="1кв_2"/>
      <sheetName val="Форма_4_12"/>
      <sheetName val="Почта_декабрь2"/>
      <sheetName val="2017 уточ гр-от ЦЭКР 01.03.2017"/>
      <sheetName val="плат_бал3"/>
      <sheetName val="гр_вед3"/>
      <sheetName val="02_023"/>
      <sheetName val="03_023"/>
      <sheetName val="04_023"/>
      <sheetName val="07_023"/>
      <sheetName val="08_023"/>
      <sheetName val="09_023"/>
      <sheetName val="10_023"/>
      <sheetName val="11_023"/>
      <sheetName val="14_023"/>
      <sheetName val="15_023"/>
      <sheetName val="16_023"/>
      <sheetName val="17_023"/>
      <sheetName val="18_023"/>
      <sheetName val="21_023"/>
      <sheetName val="22_023"/>
      <sheetName val="24_023"/>
      <sheetName val="25_023"/>
      <sheetName val="28_023"/>
      <sheetName val="за_февраль3"/>
      <sheetName val="1кв_3"/>
      <sheetName val="Форма_4_13"/>
      <sheetName val="Почта_декабрь3"/>
      <sheetName val="Controls"/>
      <sheetName val="с испр"/>
      <sheetName val="Баланс"/>
      <sheetName val="плат_бал4"/>
      <sheetName val="гр_вед4"/>
      <sheetName val="02_024"/>
      <sheetName val="03_024"/>
      <sheetName val="04_024"/>
      <sheetName val="07_024"/>
      <sheetName val="08_024"/>
      <sheetName val="09_024"/>
      <sheetName val="10_024"/>
      <sheetName val="11_024"/>
      <sheetName val="14_024"/>
      <sheetName val="15_024"/>
      <sheetName val="16_024"/>
      <sheetName val="17_024"/>
      <sheetName val="18_024"/>
      <sheetName val="21_024"/>
      <sheetName val="22_024"/>
      <sheetName val="24_024"/>
      <sheetName val="25_024"/>
      <sheetName val="28_024"/>
      <sheetName val="за_февраль4"/>
      <sheetName val="1кв_4"/>
      <sheetName val="Форма_4_14"/>
      <sheetName val="Почта_декабрь4"/>
      <sheetName val="2017_уточ_гр-от_ЦЭКР_01_03_2017"/>
      <sheetName val="списки по кредиторам"/>
      <sheetName val="пла__б__окт2"/>
      <sheetName val="сокращения"/>
      <sheetName val="Для списков"/>
      <sheetName val="списки"/>
      <sheetName val="Ìàêðî"/>
      <sheetName val="плат_бал5"/>
      <sheetName val="гр_вед5"/>
      <sheetName val="02_025"/>
      <sheetName val="03_025"/>
      <sheetName val="04_025"/>
      <sheetName val="07_025"/>
      <sheetName val="08_025"/>
      <sheetName val="09_025"/>
      <sheetName val="10_025"/>
      <sheetName val="11_025"/>
      <sheetName val="14_025"/>
      <sheetName val="15_025"/>
      <sheetName val="16_025"/>
      <sheetName val="17_025"/>
      <sheetName val="18_025"/>
      <sheetName val="21_025"/>
      <sheetName val="22_025"/>
      <sheetName val="24_025"/>
      <sheetName val="25_025"/>
      <sheetName val="28_025"/>
      <sheetName val="за_февраль5"/>
      <sheetName val="1кв_5"/>
      <sheetName val="Форма_4_15"/>
      <sheetName val="Почта_декабрь5"/>
      <sheetName val="2017_уточ_гр-от_ЦЭКР_01_03_2011"/>
      <sheetName val="с_испр"/>
      <sheetName val="списки_по_кредиторам"/>
      <sheetName val="плат_бал8"/>
      <sheetName val="гр_вед8"/>
      <sheetName val="02_028"/>
      <sheetName val="03_028"/>
      <sheetName val="04_028"/>
      <sheetName val="07_028"/>
      <sheetName val="08_028"/>
      <sheetName val="09_028"/>
      <sheetName val="10_028"/>
      <sheetName val="11_028"/>
      <sheetName val="14_028"/>
      <sheetName val="15_028"/>
      <sheetName val="16_028"/>
      <sheetName val="17_028"/>
      <sheetName val="18_028"/>
      <sheetName val="21_028"/>
      <sheetName val="22_028"/>
      <sheetName val="24_028"/>
      <sheetName val="25_028"/>
      <sheetName val="28_028"/>
      <sheetName val="за_февраль8"/>
      <sheetName val="1кв_8"/>
      <sheetName val="Форма_4_18"/>
      <sheetName val="Почта_декабрь8"/>
      <sheetName val="2017_уточ_гр-от_ЦЭКР_01_03_2014"/>
      <sheetName val="с_испр3"/>
      <sheetName val="списки_по_кредиторам3"/>
      <sheetName val="Для_списков3"/>
      <sheetName val="плат_бал6"/>
      <sheetName val="гр_вед6"/>
      <sheetName val="02_026"/>
      <sheetName val="03_026"/>
      <sheetName val="04_026"/>
      <sheetName val="07_026"/>
      <sheetName val="08_026"/>
      <sheetName val="09_026"/>
      <sheetName val="10_026"/>
      <sheetName val="11_026"/>
      <sheetName val="14_026"/>
      <sheetName val="15_026"/>
      <sheetName val="16_026"/>
      <sheetName val="17_026"/>
      <sheetName val="18_026"/>
      <sheetName val="21_026"/>
      <sheetName val="22_026"/>
      <sheetName val="24_026"/>
      <sheetName val="25_026"/>
      <sheetName val="28_026"/>
      <sheetName val="за_февраль6"/>
      <sheetName val="1кв_6"/>
      <sheetName val="Форма_4_16"/>
      <sheetName val="Почта_декабрь6"/>
      <sheetName val="2017_уточ_гр-от_ЦЭКР_01_03_2012"/>
      <sheetName val="с_испр1"/>
      <sheetName val="списки_по_кредиторам1"/>
      <sheetName val="Для_списков1"/>
      <sheetName val="Для_списков"/>
      <sheetName val="пла__б__окт4"/>
      <sheetName val="плат_бал7"/>
      <sheetName val="гр_вед7"/>
      <sheetName val="02_027"/>
      <sheetName val="03_027"/>
      <sheetName val="04_027"/>
      <sheetName val="07_027"/>
      <sheetName val="08_027"/>
      <sheetName val="09_027"/>
      <sheetName val="10_027"/>
      <sheetName val="11_027"/>
      <sheetName val="14_027"/>
      <sheetName val="15_027"/>
      <sheetName val="16_027"/>
      <sheetName val="17_027"/>
      <sheetName val="18_027"/>
      <sheetName val="21_027"/>
      <sheetName val="22_027"/>
      <sheetName val="24_027"/>
      <sheetName val="25_027"/>
      <sheetName val="28_027"/>
      <sheetName val="за_февраль7"/>
      <sheetName val="1кв_7"/>
      <sheetName val="Форма_4_17"/>
      <sheetName val="Почта_декабрь7"/>
      <sheetName val="2017_уточ_гр-от_ЦЭКР_01_03_2013"/>
      <sheetName val="с_испр2"/>
      <sheetName val="списки_по_кредиторам2"/>
      <sheetName val="Для_списков2"/>
      <sheetName val="плат_бал9"/>
      <sheetName val="гр_вед9"/>
      <sheetName val="02_029"/>
      <sheetName val="03_029"/>
      <sheetName val="04_029"/>
      <sheetName val="07_029"/>
      <sheetName val="08_029"/>
      <sheetName val="09_029"/>
      <sheetName val="10_029"/>
      <sheetName val="11_029"/>
      <sheetName val="14_029"/>
      <sheetName val="15_029"/>
      <sheetName val="16_029"/>
      <sheetName val="17_029"/>
      <sheetName val="18_029"/>
      <sheetName val="21_029"/>
      <sheetName val="22_029"/>
      <sheetName val="24_029"/>
      <sheetName val="25_029"/>
      <sheetName val="28_029"/>
      <sheetName val="за_февраль9"/>
      <sheetName val="1кв_9"/>
      <sheetName val="Форма_4_19"/>
      <sheetName val="Почта_декабрь9"/>
      <sheetName val="2017_уточ_гр-от_ЦЭКР_01_03_2015"/>
      <sheetName val="с_испр4"/>
      <sheetName val="списки_по_кредиторам4"/>
      <sheetName val="Для_списков4"/>
      <sheetName val="Настройки"/>
      <sheetName val=""/>
      <sheetName val="плат_бал10"/>
      <sheetName val="гр_вед10"/>
      <sheetName val="02_0210"/>
      <sheetName val="03_0210"/>
      <sheetName val="04_0210"/>
      <sheetName val="07_0210"/>
      <sheetName val="08_0210"/>
      <sheetName val="09_0210"/>
      <sheetName val="10_0210"/>
      <sheetName val="11_0210"/>
      <sheetName val="14_0210"/>
      <sheetName val="15_0210"/>
      <sheetName val="16_0210"/>
      <sheetName val="17_0210"/>
      <sheetName val="18_0210"/>
      <sheetName val="21_0210"/>
      <sheetName val="22_0210"/>
      <sheetName val="24_0210"/>
      <sheetName val="25_0210"/>
      <sheetName val="28_0210"/>
      <sheetName val="за_февраль10"/>
      <sheetName val="1кв_10"/>
      <sheetName val="Форма_4_110"/>
      <sheetName val="Почта_декабрь10"/>
      <sheetName val="2017_уточ_гр-от_ЦЭКР_01_03_2016"/>
      <sheetName val="с_испр5"/>
      <sheetName val="списки_по_кредиторам5"/>
      <sheetName val="Для_списков5"/>
      <sheetName val="эл"/>
      <sheetName val="плат_бал11"/>
      <sheetName val="гр_вед11"/>
      <sheetName val="02_0211"/>
      <sheetName val="03_0211"/>
      <sheetName val="04_0211"/>
      <sheetName val="07_0211"/>
      <sheetName val="08_0211"/>
      <sheetName val="09_0211"/>
      <sheetName val="10_0211"/>
      <sheetName val="11_0211"/>
      <sheetName val="14_0211"/>
      <sheetName val="15_0211"/>
      <sheetName val="16_0211"/>
      <sheetName val="17_0211"/>
      <sheetName val="18_0211"/>
      <sheetName val="21_0211"/>
      <sheetName val="22_0211"/>
      <sheetName val="24_0211"/>
      <sheetName val="25_0211"/>
      <sheetName val="28_0211"/>
      <sheetName val="за_февраль11"/>
      <sheetName val="1кв_11"/>
      <sheetName val="Форма_4_111"/>
      <sheetName val="Почта_декабрь11"/>
      <sheetName val="2017_уточ_гр-от_ЦЭКР_01_03_2018"/>
      <sheetName val="с_испр6"/>
      <sheetName val="списки_по_кредиторам6"/>
      <sheetName val="Для_списков6"/>
      <sheetName val="Смета ПДР"/>
      <sheetName val="плат_бал12"/>
      <sheetName val="гр_вед12"/>
      <sheetName val="02_0212"/>
      <sheetName val="03_0212"/>
      <sheetName val="04_0212"/>
      <sheetName val="07_0212"/>
      <sheetName val="08_0212"/>
      <sheetName val="09_0212"/>
      <sheetName val="10_0212"/>
      <sheetName val="11_0212"/>
      <sheetName val="14_0212"/>
      <sheetName val="15_0212"/>
      <sheetName val="16_0212"/>
      <sheetName val="17_0212"/>
      <sheetName val="18_0212"/>
      <sheetName val="21_0212"/>
      <sheetName val="22_0212"/>
      <sheetName val="24_0212"/>
      <sheetName val="25_0212"/>
      <sheetName val="28_0212"/>
      <sheetName val="за_февраль12"/>
      <sheetName val="1кв_12"/>
      <sheetName val="Форма_4_112"/>
      <sheetName val="Почта_декабрь12"/>
      <sheetName val="2017_уточ_гр-от_ЦЭКР_01_03_2019"/>
      <sheetName val="с_испр7"/>
      <sheetName val="списки_по_кредиторам7"/>
      <sheetName val="Для_списков7"/>
      <sheetName val="Смета_ПДР"/>
      <sheetName val="Switches"/>
      <sheetName val="10"/>
      <sheetName val="плат_бал13"/>
      <sheetName val="гр_вед13"/>
      <sheetName val="02_0213"/>
      <sheetName val="03_0213"/>
      <sheetName val="04_0213"/>
      <sheetName val="07_0213"/>
      <sheetName val="08_0213"/>
      <sheetName val="09_0213"/>
      <sheetName val="10_0213"/>
      <sheetName val="11_0213"/>
      <sheetName val="14_0213"/>
      <sheetName val="15_0213"/>
      <sheetName val="16_0213"/>
      <sheetName val="17_0213"/>
      <sheetName val="18_0213"/>
      <sheetName val="21_0213"/>
      <sheetName val="22_0213"/>
      <sheetName val="24_0213"/>
      <sheetName val="25_0213"/>
      <sheetName val="28_0213"/>
      <sheetName val="за_февраль13"/>
      <sheetName val="1кв_13"/>
      <sheetName val="Форма_4_113"/>
      <sheetName val="Почта_декабрь13"/>
      <sheetName val="2017_уточ_гр-от_ЦЭКР_01_03_2010"/>
      <sheetName val="с_испр8"/>
      <sheetName val="списки_по_кредиторам8"/>
      <sheetName val="Для_списков8"/>
      <sheetName val="Смета_ПДР1"/>
      <sheetName val="рабочая"/>
      <sheetName val="плат_бал14"/>
      <sheetName val="гр_вед14"/>
      <sheetName val="02_0214"/>
      <sheetName val="03_0214"/>
      <sheetName val="04_0214"/>
      <sheetName val="07_0214"/>
      <sheetName val="08_0214"/>
      <sheetName val="09_0214"/>
      <sheetName val="10_0214"/>
      <sheetName val="11_0214"/>
      <sheetName val="14_0214"/>
      <sheetName val="15_0214"/>
      <sheetName val="16_0214"/>
      <sheetName val="17_0214"/>
      <sheetName val="18_0214"/>
      <sheetName val="21_0214"/>
      <sheetName val="22_0214"/>
      <sheetName val="24_0214"/>
      <sheetName val="25_0214"/>
      <sheetName val="28_0214"/>
      <sheetName val="за_февраль14"/>
      <sheetName val="1кв_14"/>
      <sheetName val="Форма_4_114"/>
      <sheetName val="Почта_декабрь14"/>
      <sheetName val="2017_уточ_гр-от_ЦЭКР_01_03_2020"/>
      <sheetName val="с_испр9"/>
      <sheetName val="списки_по_кредиторам9"/>
      <sheetName val="Для_списков9"/>
      <sheetName val="Смета_ПДР2"/>
      <sheetName val="Лист2"/>
      <sheetName val="Лист3"/>
      <sheetName val="Лист4"/>
      <sheetName val="лист1"/>
      <sheetName val="A"/>
      <sheetName val="плат_бал15"/>
      <sheetName val="гр_вед15"/>
      <sheetName val="02_0215"/>
      <sheetName val="03_0215"/>
      <sheetName val="04_0215"/>
      <sheetName val="07_0215"/>
      <sheetName val="08_0215"/>
      <sheetName val="09_0215"/>
      <sheetName val="10_0215"/>
      <sheetName val="11_0215"/>
      <sheetName val="14_0215"/>
      <sheetName val="15_0215"/>
      <sheetName val="16_0215"/>
      <sheetName val="17_0215"/>
      <sheetName val="18_0215"/>
      <sheetName val="21_0215"/>
      <sheetName val="22_0215"/>
      <sheetName val="24_0215"/>
      <sheetName val="25_0215"/>
      <sheetName val="28_0215"/>
      <sheetName val="за_февраль15"/>
      <sheetName val="1кв_15"/>
      <sheetName val="Форма_4_115"/>
      <sheetName val="Почта_декабрь15"/>
      <sheetName val="2017_уточ_гр-от_ЦЭКР_01_03_2021"/>
      <sheetName val="с_испр10"/>
      <sheetName val="списки_по_кредиторам10"/>
      <sheetName val="Для_списков10"/>
      <sheetName val="Смета_ПДР3"/>
      <sheetName val="МАТЕР.433,452"/>
      <sheetName val="титул.лист "/>
      <sheetName val="Parameters"/>
      <sheetName val="sheet1"/>
      <sheetName val="плат_бал16"/>
      <sheetName val="гр_вед16"/>
      <sheetName val="02_0216"/>
      <sheetName val="03_0216"/>
      <sheetName val="04_0216"/>
      <sheetName val="07_0216"/>
      <sheetName val="08_0216"/>
      <sheetName val="09_0216"/>
      <sheetName val="10_0216"/>
      <sheetName val="11_0216"/>
      <sheetName val="14_0216"/>
      <sheetName val="15_0216"/>
      <sheetName val="16_0216"/>
      <sheetName val="17_0216"/>
      <sheetName val="18_0216"/>
      <sheetName val="21_0216"/>
      <sheetName val="22_0216"/>
      <sheetName val="24_0216"/>
      <sheetName val="25_0216"/>
      <sheetName val="28_0216"/>
      <sheetName val="за_февраль16"/>
      <sheetName val="1кв_16"/>
      <sheetName val="Форма_4_116"/>
      <sheetName val="Почта_декабрь16"/>
      <sheetName val="2017_уточ_гр-от_ЦЭКР_01_03_2022"/>
      <sheetName val="с_испр11"/>
      <sheetName val="списки_по_кредиторам11"/>
      <sheetName val="Для_списков11"/>
      <sheetName val="Смета_ПДР4"/>
      <sheetName val="МАТЕР_433,452"/>
      <sheetName val="титул_лист_"/>
      <sheetName val="Исх.данные"/>
      <sheetName val="I"/>
      <sheetName val="gd"/>
      <sheetName val="список"/>
      <sheetName val="Исх_данные"/>
      <sheetName val="Параметры"/>
      <sheetName val="Единица"/>
      <sheetName val="плат_бал17"/>
      <sheetName val="гр_вед17"/>
      <sheetName val="02_0217"/>
      <sheetName val="03_0217"/>
      <sheetName val="04_0217"/>
      <sheetName val="07_0217"/>
      <sheetName val="08_0217"/>
      <sheetName val="09_0217"/>
      <sheetName val="10_0217"/>
      <sheetName val="11_0217"/>
      <sheetName val="14_0217"/>
      <sheetName val="15_0217"/>
      <sheetName val="16_0217"/>
      <sheetName val="17_0217"/>
      <sheetName val="18_0217"/>
      <sheetName val="21_0217"/>
      <sheetName val="22_0217"/>
      <sheetName val="24_0217"/>
      <sheetName val="25_0217"/>
      <sheetName val="28_0217"/>
      <sheetName val="за_февраль17"/>
      <sheetName val="1кв_17"/>
      <sheetName val="Форма_4_117"/>
      <sheetName val="Почта_декабрь17"/>
      <sheetName val="2017_уточ_гр-от_ЦЭКР_01_03_2023"/>
      <sheetName val="с_испр12"/>
      <sheetName val="списки_по_кредиторам12"/>
      <sheetName val="Для_списков12"/>
      <sheetName val="Смета_ПДР5"/>
      <sheetName val="МАТЕР_433,4521"/>
      <sheetName val="титул_лист_1"/>
      <sheetName val="Управление"/>
      <sheetName val="Исх_данные1"/>
      <sheetName val="деятельности"/>
      <sheetName val="неэл"/>
      <sheetName val="Расход мат. (пример)"/>
      <sheetName val="7000"/>
      <sheetName val="Расчет себестоимость"/>
      <sheetName val="пла. б .окт"/>
    </sheetNames>
    <sheetDataSet>
      <sheetData sheetId="0">
        <row r="1">
          <cell r="A1" t="str">
            <v>Октябрьской</v>
          </cell>
        </row>
      </sheetData>
      <sheetData sheetId="1">
        <row r="1">
          <cell r="A1" t="str">
            <v>Октябрьской</v>
          </cell>
        </row>
      </sheetData>
      <sheetData sheetId="2">
        <row r="1">
          <cell r="A1" t="str">
            <v>Октябрьской</v>
          </cell>
        </row>
      </sheetData>
      <sheetData sheetId="3">
        <row r="1">
          <cell r="A1" t="str">
            <v>Октябрьской</v>
          </cell>
        </row>
      </sheetData>
      <sheetData sheetId="4">
        <row r="1">
          <cell r="A1" t="str">
            <v>Октябрьской</v>
          </cell>
        </row>
      </sheetData>
      <sheetData sheetId="5">
        <row r="1">
          <cell r="A1" t="str">
            <v>Октябрьской</v>
          </cell>
        </row>
      </sheetData>
      <sheetData sheetId="6">
        <row r="1">
          <cell r="A1" t="str">
            <v>Октябрьской</v>
          </cell>
        </row>
      </sheetData>
      <sheetData sheetId="7" refreshError="1">
        <row r="1">
          <cell r="A1" t="str">
            <v>Октябрьской</v>
          </cell>
          <cell r="C1" t="str">
            <v>январь</v>
          </cell>
          <cell r="D1" t="str">
            <v>1999г.</v>
          </cell>
        </row>
        <row r="2">
          <cell r="A2" t="str">
            <v>Калинингpадской</v>
          </cell>
          <cell r="C2" t="str">
            <v>февраль</v>
          </cell>
          <cell r="D2" t="str">
            <v>2000г.</v>
          </cell>
        </row>
        <row r="3">
          <cell r="A3" t="str">
            <v>Московской</v>
          </cell>
          <cell r="C3" t="str">
            <v>март</v>
          </cell>
          <cell r="D3" t="str">
            <v>2001г.</v>
          </cell>
        </row>
        <row r="4">
          <cell r="A4" t="str">
            <v>Гоpьковской</v>
          </cell>
          <cell r="C4" t="str">
            <v>апрель</v>
          </cell>
        </row>
        <row r="5">
          <cell r="A5" t="str">
            <v>Севеpной</v>
          </cell>
          <cell r="C5" t="str">
            <v>май</v>
          </cell>
        </row>
        <row r="6">
          <cell r="A6" t="str">
            <v>Севеpо-Кавказской</v>
          </cell>
          <cell r="C6" t="str">
            <v>июнь</v>
          </cell>
        </row>
        <row r="7">
          <cell r="A7" t="str">
            <v>Юго-Восточной</v>
          </cell>
          <cell r="C7" t="str">
            <v>июль</v>
          </cell>
        </row>
        <row r="8">
          <cell r="A8" t="str">
            <v>Пpиволжской</v>
          </cell>
          <cell r="C8" t="str">
            <v>август</v>
          </cell>
        </row>
        <row r="9">
          <cell r="A9" t="str">
            <v>Куйбышевской</v>
          </cell>
          <cell r="C9" t="str">
            <v>сентябрь</v>
          </cell>
        </row>
        <row r="10">
          <cell r="A10" t="str">
            <v>Свеpдловской</v>
          </cell>
          <cell r="C10" t="str">
            <v>октябрь</v>
          </cell>
        </row>
        <row r="11">
          <cell r="A11" t="str">
            <v>Южно-Уpальской</v>
          </cell>
          <cell r="C11" t="str">
            <v>ноябрь</v>
          </cell>
        </row>
        <row r="12">
          <cell r="A12" t="str">
            <v>Западно-Сибиpской</v>
          </cell>
          <cell r="C12" t="str">
            <v>декабрь</v>
          </cell>
        </row>
        <row r="13">
          <cell r="A13" t="str">
            <v>Кемеpовской</v>
          </cell>
        </row>
        <row r="14">
          <cell r="A14" t="str">
            <v>Кpаснояpской</v>
          </cell>
        </row>
        <row r="15">
          <cell r="A15" t="str">
            <v>Восточно-Сибиpской</v>
          </cell>
        </row>
        <row r="16">
          <cell r="A16" t="str">
            <v>Забайкальской</v>
          </cell>
        </row>
        <row r="17">
          <cell r="A17" t="str">
            <v>Дальневосточной</v>
          </cell>
        </row>
        <row r="18">
          <cell r="A18" t="str">
            <v>Сахалинской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СПРАВКА О ПОСТУПЛЕНИИ И ИСПОЛЬЗОВАНИИ ДЕНЕЖНЫХ СРЕДСТВ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СПРАВКА О ПОСТУПЛЕНИИ И ИСПОЛЬЗОВАНИИ ДЕНЕЖНЫХ СРЕДСТВ</v>
          </cell>
        </row>
      </sheetData>
      <sheetData sheetId="143">
        <row r="1">
          <cell r="A1" t="str">
            <v>СПРАВКА О ПОСТУПЛЕНИИ И ИСПОЛЬЗОВАНИИ ДЕНЕЖНЫХ СРЕДСТВ</v>
          </cell>
        </row>
      </sheetData>
      <sheetData sheetId="144">
        <row r="1">
          <cell r="A1" t="str">
            <v>СПРАВКА О ПОСТУПЛЕНИИ И ИСПОЛЬЗОВАНИИ ДЕНЕЖНЫХ СРЕДСТВ</v>
          </cell>
        </row>
      </sheetData>
      <sheetData sheetId="145">
        <row r="1">
          <cell r="A1" t="str">
            <v>СПРАВКА О ПОСТУПЛЕНИИ И ИСПОЛЬЗОВАНИИ ДЕНЕЖНЫХ СРЕДСТВ</v>
          </cell>
        </row>
      </sheetData>
      <sheetData sheetId="146">
        <row r="1">
          <cell r="A1" t="str">
            <v>СПРАВКА О ПОСТУПЛЕНИИ И ИСПОЛЬЗОВАНИИ ДЕНЕЖНЫХ СРЕДСТВ</v>
          </cell>
        </row>
      </sheetData>
      <sheetData sheetId="147">
        <row r="1">
          <cell r="A1" t="str">
            <v>СПРАВКА О ПОСТУПЛЕНИИ И ИСПОЛЬЗОВАНИИ ДЕНЕЖНЫХ СРЕДСТВ</v>
          </cell>
        </row>
      </sheetData>
      <sheetData sheetId="148">
        <row r="1">
          <cell r="A1" t="str">
            <v>СПРАВКА О ПОСТУПЛЕНИИ И ИСПОЛЬЗОВАНИИ ДЕНЕЖНЫХ СРЕДСТВ</v>
          </cell>
        </row>
      </sheetData>
      <sheetData sheetId="149">
        <row r="1">
          <cell r="A1" t="str">
            <v>СПРАВКА О ПОСТУПЛЕНИИ И ИСПОЛЬЗОВАНИИ ДЕНЕЖНЫХ СРЕДСТВ</v>
          </cell>
        </row>
      </sheetData>
      <sheetData sheetId="150">
        <row r="1">
          <cell r="A1" t="str">
            <v>СПРАВКА О ПОСТУПЛЕНИИ И ИСПОЛЬЗОВАНИИ ДЕНЕЖНЫХ СРЕДСТВ</v>
          </cell>
        </row>
      </sheetData>
      <sheetData sheetId="151">
        <row r="1">
          <cell r="A1" t="str">
            <v>СПРАВКА О ПОСТУПЛЕНИИ И ИСПОЛЬЗОВАНИИ ДЕНЕЖНЫХ СРЕДСТВ</v>
          </cell>
        </row>
      </sheetData>
      <sheetData sheetId="152">
        <row r="1">
          <cell r="A1" t="str">
            <v>СПРАВКА О ПОСТУПЛЕНИИ И ИСПОЛЬЗОВАНИИ ДЕНЕЖНЫХ СРЕДСТВ</v>
          </cell>
        </row>
      </sheetData>
      <sheetData sheetId="153">
        <row r="1">
          <cell r="A1" t="str">
            <v>СПРАВКА О ПОСТУПЛЕНИИ И ИСПОЛЬЗОВАНИИ ДЕНЕЖНЫХ СРЕДСТВ</v>
          </cell>
        </row>
      </sheetData>
      <sheetData sheetId="154">
        <row r="1">
          <cell r="A1" t="str">
            <v>СПРАВКА О ПОСТУПЛЕНИИ И ИСПОЛЬЗОВАНИИ ДЕНЕЖНЫХ СРЕДСТВ</v>
          </cell>
        </row>
      </sheetData>
      <sheetData sheetId="155">
        <row r="1">
          <cell r="A1" t="str">
            <v>СПРАВКА О ПОСТУПЛЕНИИ И ИСПОЛЬЗОВАНИИ ДЕНЕЖНЫХ СРЕДСТВ</v>
          </cell>
        </row>
      </sheetData>
      <sheetData sheetId="156">
        <row r="1">
          <cell r="A1" t="str">
            <v>СПРАВКА О ПОСТУПЛЕНИИ И ИСПОЛЬЗОВАНИИ ДЕНЕЖНЫХ СРЕДСТВ</v>
          </cell>
        </row>
      </sheetData>
      <sheetData sheetId="157">
        <row r="1">
          <cell r="A1" t="str">
            <v>СПРАВКА О ПОСТУПЛЕНИИ И ИСПОЛЬЗОВАНИИ ДЕНЕЖНЫХ СРЕДСТВ</v>
          </cell>
        </row>
      </sheetData>
      <sheetData sheetId="158">
        <row r="1">
          <cell r="A1" t="str">
            <v>СПРАВКА О ПОСТУПЛЕНИИ И ИСПОЛЬЗОВАНИИ ДЕНЕЖНЫХ СРЕДСТВ</v>
          </cell>
        </row>
      </sheetData>
      <sheetData sheetId="159">
        <row r="1">
          <cell r="A1" t="str">
            <v>СПРАВКА О ПОСТУПЛЕНИИ И ИСПОЛЬЗОВАНИИ ДЕНЕЖНЫХ СРЕДСТВ</v>
          </cell>
        </row>
      </sheetData>
      <sheetData sheetId="160">
        <row r="1">
          <cell r="A1" t="str">
            <v>СПРАВКА О ПОСТУПЛЕНИИ И ИСПОЛЬЗОВАНИИ ДЕНЕЖНЫХ СРЕДСТВ</v>
          </cell>
        </row>
      </sheetData>
      <sheetData sheetId="161">
        <row r="1">
          <cell r="A1" t="str">
            <v>СПРАВКА О ПОСТУПЛЕНИИ И ИСПОЛЬЗОВАНИИ ДЕНЕЖНЫХ СРЕДСТВ</v>
          </cell>
        </row>
      </sheetData>
      <sheetData sheetId="162">
        <row r="1">
          <cell r="A1" t="str">
            <v>СПРАВКА О ПОСТУПЛЕНИИ И ИСПОЛЬЗОВАНИИ ДЕНЕЖНЫХ СРЕДСТВ</v>
          </cell>
        </row>
      </sheetData>
      <sheetData sheetId="163">
        <row r="1">
          <cell r="A1" t="str">
            <v>СПРАВКА О ПОСТУПЛЕНИИ И ИСПОЛЬЗОВАНИИ ДЕНЕЖНЫХ СРЕДСТВ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. б .окт"/>
      <sheetName val="пла_ б _окт"/>
      <sheetName val="эксплуатация"/>
      <sheetName val="ПВД"/>
      <sheetName val="ЖКХ"/>
      <sheetName val="ИТОГО"/>
      <sheetName val="ПВД 1"/>
      <sheetName val="ИТОГО)"/>
      <sheetName val="Лист1"/>
      <sheetName val="Лист2"/>
      <sheetName val="Лист3"/>
      <sheetName val="Tier1"/>
      <sheetName val="Client"/>
      <sheetName val="списки по кредиторам"/>
      <sheetName val="справочники "/>
      <sheetName val="Макро"/>
      <sheetName val="пла__б__окт"/>
      <sheetName val="пла__б__окт1"/>
      <sheetName val="ПВД_1"/>
      <sheetName val="списки_по_кредиторам"/>
      <sheetName val="справочники_"/>
      <sheetName val=""/>
      <sheetName val="апрель"/>
      <sheetName val="май"/>
      <sheetName val="июнь"/>
      <sheetName val="2кв."/>
      <sheetName val="2кв_"/>
      <sheetName val="пла__б__окт2"/>
      <sheetName val="пла__б__окт3"/>
      <sheetName val="ПВД_11"/>
      <sheetName val="списки_по_кредиторам1"/>
      <sheetName val="справочники_1"/>
      <sheetName val="2кв_1"/>
      <sheetName val="Спр"/>
      <sheetName val="налоги"/>
      <sheetName val="УПРАВЛЕНИЕ11"/>
      <sheetName val="пла__б__окт4"/>
      <sheetName val="пла__б__окт5"/>
      <sheetName val="ПВД_12"/>
      <sheetName val="списки_по_кредиторам2"/>
      <sheetName val="справочники_2"/>
      <sheetName val="2кв_2"/>
      <sheetName val="прогноз_1"/>
      <sheetName val="vec"/>
      <sheetName val="ìàêðî"/>
      <sheetName val="ПиУгод1"/>
      <sheetName val="Данные"/>
      <sheetName val="путей"/>
      <sheetName val="OMS"/>
      <sheetName val="SENS"/>
      <sheetName val="НП"/>
      <sheetName val="аренда"/>
      <sheetName val="Расходы реклама"/>
      <sheetName val="Дин. Выр."/>
      <sheetName val="ФОТ"/>
      <sheetName val="охрана"/>
      <sheetName val="Хоз.расх."/>
      <sheetName val="&quot;Чистая вода&quot;"/>
      <sheetName val="Тов.бал9"/>
      <sheetName val="СЗ"/>
      <sheetName val="деятельности"/>
      <sheetName val="with project"/>
      <sheetName val="SENSITIVITY"/>
      <sheetName val="Архив по выручке"/>
    </sheetNames>
    <sheetDataSet>
      <sheetData sheetId="0" refreshError="1">
        <row r="13">
          <cell r="A13" t="str">
            <v>1.2.</v>
          </cell>
          <cell r="B13" t="str">
            <v>Выручка за перевозки пассажиров</v>
          </cell>
          <cell r="C13">
            <v>126</v>
          </cell>
          <cell r="D13">
            <v>126</v>
          </cell>
          <cell r="E13">
            <v>0</v>
          </cell>
          <cell r="F13">
            <v>126.1</v>
          </cell>
          <cell r="G13">
            <v>126.1</v>
          </cell>
          <cell r="H13">
            <v>0</v>
          </cell>
          <cell r="I13">
            <v>308.39999999999998</v>
          </cell>
          <cell r="J13">
            <v>112</v>
          </cell>
          <cell r="K13">
            <v>196.4</v>
          </cell>
        </row>
        <row r="14">
          <cell r="B14" t="str">
            <v>из них :</v>
          </cell>
        </row>
        <row r="15">
          <cell r="A15" t="str">
            <v>1.2.1.</v>
          </cell>
          <cell r="B15" t="str">
            <v>дальнее следование</v>
          </cell>
          <cell r="C15">
            <v>96</v>
          </cell>
          <cell r="D15">
            <v>96</v>
          </cell>
          <cell r="E15">
            <v>0</v>
          </cell>
          <cell r="F15">
            <v>96</v>
          </cell>
          <cell r="G15">
            <v>96</v>
          </cell>
          <cell r="H15">
            <v>0</v>
          </cell>
          <cell r="I15">
            <v>93.7</v>
          </cell>
          <cell r="J15">
            <v>93.3</v>
          </cell>
          <cell r="K15">
            <v>0.40000000000000568</v>
          </cell>
        </row>
        <row r="16">
          <cell r="A16" t="str">
            <v>1.2.2.</v>
          </cell>
          <cell r="B16" t="str">
            <v>пригородное сообщение</v>
          </cell>
          <cell r="C16">
            <v>30</v>
          </cell>
          <cell r="D16">
            <v>30</v>
          </cell>
          <cell r="E16">
            <v>0</v>
          </cell>
          <cell r="F16">
            <v>30.1</v>
          </cell>
          <cell r="G16">
            <v>30.1</v>
          </cell>
          <cell r="H16">
            <v>0</v>
          </cell>
          <cell r="I16">
            <v>18.7</v>
          </cell>
          <cell r="J16">
            <v>18.7</v>
          </cell>
          <cell r="K16">
            <v>0</v>
          </cell>
        </row>
        <row r="17">
          <cell r="A17" t="str">
            <v>1.2.3.</v>
          </cell>
          <cell r="B17" t="str">
            <v>воинские перевозки</v>
          </cell>
          <cell r="E17">
            <v>0</v>
          </cell>
          <cell r="H17">
            <v>0</v>
          </cell>
          <cell r="I17">
            <v>196</v>
          </cell>
          <cell r="K17">
            <v>196</v>
          </cell>
        </row>
      </sheetData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0.604140972224" createdVersion="3" refreshedVersion="8" minRefreshableVersion="3" recordCount="24" xr:uid="{00000000-000A-0000-FFFF-FFFF10000000}">
  <cacheSource type="worksheet">
    <worksheetSource ref="C3:AT27" sheet="Уголь_эластика_экспорт"/>
  </cacheSource>
  <cacheFields count="45">
    <cacheField name="Группа груза" numFmtId="0">
      <sharedItems/>
    </cacheField>
    <cacheField name="Код груза" numFmtId="0">
      <sharedItems containsSemiMixedTypes="0" containsString="0" containsNumber="1" containsInteger="1" minValue="16101" maxValue="16122"/>
    </cacheField>
    <cacheField name="Наим груза" numFmtId="0">
      <sharedItems/>
    </cacheField>
    <cacheField name="Вид груза" numFmtId="0">
      <sharedItems count="3">
        <s v="уголь энергетический (кроме антрацита)"/>
        <s v="уголь для коксования"/>
        <s v="антрацит (энергетический уголь)"/>
      </sharedItems>
    </cacheField>
    <cacheField name="Дор отпр" numFmtId="0">
      <sharedItems/>
    </cacheField>
    <cacheField name="Дор наз" numFmtId="0">
      <sharedItems/>
    </cacheField>
    <cacheField name="Станц отпр РФ" numFmtId="0">
      <sharedItems containsMixedTypes="1" containsNumber="1" containsInteger="1" minValue="0" maxValue="0"/>
    </cacheField>
    <cacheField name="Станц назн РФ" numFmtId="0">
      <sharedItems/>
    </cacheField>
    <cacheField name="Средняя дальность(км)" numFmtId="0">
      <sharedItems containsSemiMixedTypes="0" containsString="0" containsNumber="1" containsInteger="1" minValue="971" maxValue="6064"/>
    </cacheField>
    <cacheField name="Род вагона" numFmtId="0">
      <sharedItems/>
    </cacheField>
    <cacheField name="Вид перевозки" numFmtId="0">
      <sharedItems/>
    </cacheField>
    <cacheField name="Признак контейнерной отправки" numFmtId="0">
      <sharedItems/>
    </cacheField>
    <cacheField name="Направление" numFmtId="0">
      <sharedItems count="3">
        <s v="Восточное"/>
        <s v="Северо-Западное"/>
        <s v="Южное"/>
      </sharedItems>
    </cacheField>
    <cacheField name="ОКПО компании" numFmtId="0">
      <sharedItems containsSemiMixedTypes="0" containsString="0" containsNumber="1" containsInteger="1" minValue="160212" maxValue="87470970"/>
    </cacheField>
    <cacheField name="Компания отправителя" numFmtId="0">
      <sharedItems/>
    </cacheField>
    <cacheField name="Холдинг отправителя" numFmtId="0">
      <sharedItems/>
    </cacheField>
    <cacheField name="Объем перевозок (тн)" numFmtId="3">
      <sharedItems containsSemiMixedTypes="0" containsString="0" containsNumber="1" containsInteger="1" minValue="37568" maxValue="4534534"/>
    </cacheField>
    <cacheField name="Грузооборот, ткм" numFmtId="3">
      <sharedItems containsSemiMixedTypes="0" containsString="0" containsNumber="1" containsInteger="1" minValue="168392405" maxValue="16151426937"/>
    </cacheField>
    <cacheField name="Кол-во вагонов" numFmtId="3">
      <sharedItems containsSemiMixedTypes="0" containsString="0" containsNumber="1" containsInteger="1" minValue="543" maxValue="60744"/>
    </cacheField>
    <cacheField name="Кол-во контейнеров" numFmtId="3">
      <sharedItems containsNonDate="0" containsString="0" containsBlank="1"/>
    </cacheField>
    <cacheField name="Провозная плата, руб" numFmtId="3">
      <sharedItems containsSemiMixedTypes="0" containsString="0" containsNumber="1" containsInteger="1" minValue="74433738" maxValue="6992355439"/>
    </cacheField>
    <cacheField name="Загрузка вагона" numFmtId="0">
      <sharedItems containsSemiMixedTypes="0" containsString="0" containsNumber="1" containsInteger="1" minValue="69" maxValue="75"/>
    </cacheField>
    <cacheField name="Категория отправки" numFmtId="0">
      <sharedItems/>
    </cacheField>
    <cacheField name="Груженый рейс, дней" numFmtId="0">
      <sharedItems containsSemiMixedTypes="0" containsString="0" containsNumber="1" containsInteger="1" minValue="6" maxValue="14"/>
    </cacheField>
    <cacheField name="Порожний рейс, дней" numFmtId="0">
      <sharedItems containsSemiMixedTypes="0" containsString="0" containsNumber="1" containsInteger="1" minValue="6" maxValue="14"/>
    </cacheField>
    <cacheField name="Погрузка-разгрузка, дней" numFmtId="0">
      <sharedItems containsSemiMixedTypes="0" containsString="0" containsNumber="1" containsInteger="1" minValue="4" maxValue="4"/>
    </cacheField>
    <cacheField name="Расходы по оплате услуг ОАО 'РЖД', руб. за тонну гружёный рейс" numFmtId="3">
      <sharedItems containsSemiMixedTypes="0" containsString="0" containsNumber="1" minValue="808.81" maxValue="2564.59"/>
    </cacheField>
    <cacheField name="Расходы по оплате услуг ОАО 'РЖД', руб. за тонну порожний рейс" numFmtId="3">
      <sharedItems containsSemiMixedTypes="0" containsString="0" containsNumber="1" minValue="406.26" maxValue="1120.5700000000002"/>
    </cacheField>
    <cacheField name="Расходы по оплате услуг ОАО 'РЖД', руб. за тонну общая стоимость (тарифные условия 2026 года)" numFmtId="3">
      <sharedItems containsSemiMixedTypes="0" containsString="0" containsNumber="1" minValue="1215.07" maxValue="3685.16"/>
    </cacheField>
    <cacheField name="Расходы по оплате услуг операторов, руб. за тонну" numFmtId="3">
      <sharedItems containsSemiMixedTypes="0" containsString="0" containsNumber="1" minValue="213.33333333333334" maxValue="413.33333333333331"/>
    </cacheField>
    <cacheField name="Расходы на перевалку, руб. за тонну" numFmtId="3">
      <sharedItems containsString="0" containsBlank="1" containsNumber="1" minValue="610.44399999999996" maxValue="991.97149999999988"/>
    </cacheField>
    <cacheField name="Акциз/пошлина" numFmtId="3">
      <sharedItems containsNonDate="0" containsString="0" containsBlank="1"/>
    </cacheField>
    <cacheField name="Себестоимость добычи/производства, руб. т." numFmtId="3">
      <sharedItems containsSemiMixedTypes="0" containsString="0" containsNumber="1" containsInteger="1" minValue="586" maxValue="5018"/>
    </cacheField>
    <cacheField name="Стоимость 1 тонны на рынке, руб./т." numFmtId="3">
      <sharedItems containsSemiMixedTypes="0" containsString="0" containsNumber="1" minValue="6485.9674999999997" maxValue="10911.6865"/>
    </cacheField>
    <cacheField name="Стоимость 1 тонны на рынке, $/т." numFmtId="3">
      <sharedItems containsSemiMixedTypes="0" containsString="0" containsNumber="1" minValue="85" maxValue="143"/>
    </cacheField>
    <cacheField name="Общие транспортные расходы, руб. за тонну " numFmtId="3">
      <sharedItems containsSemiMixedTypes="0" containsString="0" containsNumber="1" minValue="2218.125" maxValue="4848.2150000000001"/>
    </cacheField>
    <cacheField name="Нетбэк, руб. за тонну " numFmtId="3">
      <sharedItems containsSemiMixedTypes="0" containsString="0" containsNumber="1" minValue="2323.9255289855073" maxValue="6328.0910000000003"/>
    </cacheField>
    <cacheField name="Общие расходы, руб. за тонну" numFmtId="3">
      <sharedItems containsSemiMixedTypes="0" containsString="0" containsNumber="1" minValue="4118.5076811594199" maxValue="9133.0716666666667"/>
    </cacheField>
    <cacheField name="Маржинальность в текущих условиях" numFmtId="170">
      <sharedItems containsSemiMixedTypes="0" containsString="0" containsNumber="1" minValue="-0.31846389917926654" maxValue="0.51808991474596244"/>
    </cacheField>
    <cacheField name="Транспортная составляющая в цене %" numFmtId="170">
      <sharedItems containsSemiMixedTypes="0" containsString="0" containsNumber="1" minValue="0.25954469206020536" maxValue="0.64798108586564507"/>
    </cacheField>
    <cacheField name="Инфраструктурная составляющая в цене %" numFmtId="170">
      <sharedItems containsSemiMixedTypes="0" containsString="0" containsNumber="1" minValue="0.14217637373078329" maxValue="0.50378605813242205"/>
    </cacheField>
    <cacheField name="Инфраструктурная составляющая в транспортных затратах" numFmtId="170">
      <sharedItems containsSemiMixedTypes="0" containsString="0" containsNumber="1" minValue="0.54779149056072129" maxValue="0.90809993623202268"/>
    </cacheField>
    <cacheField name="Коэффициент сохранения базы В РАСЧЕТ" numFmtId="167">
      <sharedItems containsSemiMixedTypes="0" containsString="0" containsNumber="1" minValue="0.80100000000000005" maxValue="1"/>
    </cacheField>
    <cacheField name="объем*_x000a_коэфф" numFmtId="3">
      <sharedItems containsSemiMixedTypes="0" containsString="0" containsNumber="1" minValue="31857.664000000001" maxValue="4534534"/>
    </cacheField>
    <cacheField name="Средний коэфф сохранения базы" numFmtId="0" formula="'объем*_x000a_коэфф'/'Объем перевозок (тн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Уголь каменный"/>
    <n v="16111"/>
    <s v="УГОЛЬ Г"/>
    <x v="0"/>
    <s v="ДВС"/>
    <s v="ДВС"/>
    <s v="ЧЕГДОМЫН"/>
    <s v="ВАНИНО-ЭКСП"/>
    <n v="971"/>
    <s v="полувагон"/>
    <s v="Экспорт"/>
    <s v="неконтейнерная"/>
    <x v="0"/>
    <n v="54657469"/>
    <s v="ООО &quot;КАРБОНПРО&quot;"/>
    <s v="АО &quot;СУЭК&quot;"/>
    <n v="4534534"/>
    <n v="4403034520"/>
    <n v="60744"/>
    <m/>
    <n v="3250215610"/>
    <n v="75"/>
    <s v="группа вагонов"/>
    <n v="7"/>
    <n v="7"/>
    <n v="4"/>
    <n v="808.81"/>
    <n v="406.26"/>
    <n v="1215.07"/>
    <n v="240"/>
    <n v="763.05499999999995"/>
    <m/>
    <n v="5018"/>
    <n v="8546.2160000000003"/>
    <n v="112.00000000000001"/>
    <n v="2218.125"/>
    <n v="6328.0910000000003"/>
    <n v="7236.125"/>
    <n v="0.15329486172593815"/>
    <n v="0.25954469206020536"/>
    <n v="0.14217637373078329"/>
    <n v="0.54779149056072129"/>
    <n v="1"/>
    <n v="4534534"/>
  </r>
  <r>
    <s v="Уголь каменный"/>
    <n v="16112"/>
    <s v="УГОЛЬ Д"/>
    <x v="0"/>
    <s v="КРС"/>
    <s v="ОКТ"/>
    <s v="ЧЕРНОГ.КОПИ"/>
    <s v="МУРМАНСК-ЭКС"/>
    <n v="5356"/>
    <s v="полувагон"/>
    <s v="Экспорт"/>
    <s v="неконтейнерная"/>
    <x v="1"/>
    <n v="54657469"/>
    <s v="ООО &quot;КАРБОНПРО&quot;"/>
    <s v="АО &quot;СУЭК&quot;"/>
    <n v="2180783"/>
    <n v="11680408007"/>
    <n v="29661"/>
    <m/>
    <n v="4360383957"/>
    <n v="75"/>
    <s v="маршрутная"/>
    <n v="12"/>
    <n v="12"/>
    <n v="4"/>
    <n v="2152.64"/>
    <n v="1013.71"/>
    <n v="3166.35"/>
    <n v="373.33333333333331"/>
    <n v="610.44399999999996"/>
    <m/>
    <n v="2020"/>
    <n v="6485.9674999999997"/>
    <n v="85"/>
    <n v="4150.1273333333338"/>
    <n v="2335.8401666666659"/>
    <n v="6170.1273333333338"/>
    <n v="4.8695921875443554E-2"/>
    <n v="0.63986249288688757"/>
    <n v="0.48818468486004596"/>
    <n v="0.76295249414837218"/>
    <n v="1"/>
    <n v="2180783"/>
  </r>
  <r>
    <s v="Уголь каменный"/>
    <n v="16112"/>
    <s v="УГОЛЬ Д"/>
    <x v="0"/>
    <s v="КРС"/>
    <s v="СКВ"/>
    <s v="ЧЕРНОГ.КОПИ"/>
    <s v="АЗОВ-ЭКСПОРТ"/>
    <n v="4832"/>
    <s v="полувагон"/>
    <s v="Экспорт"/>
    <s v="неконтейнерная"/>
    <x v="2"/>
    <n v="54657469"/>
    <s v="ООО &quot;КАРБОНПРО&quot;"/>
    <s v="АО &quot;СУЭК&quot;"/>
    <n v="399916"/>
    <n v="1932276609"/>
    <n v="5484"/>
    <m/>
    <n v="750324310"/>
    <n v="75"/>
    <s v="маршрутная"/>
    <n v="11"/>
    <n v="11"/>
    <n v="4"/>
    <n v="1990.61"/>
    <n v="928.22"/>
    <n v="2918.83"/>
    <n v="346.66666666666669"/>
    <n v="991.97149999999988"/>
    <m/>
    <n v="2020"/>
    <n v="7249.0224999999991"/>
    <n v="95"/>
    <n v="4257.4681666666665"/>
    <n v="2991.5543333333326"/>
    <n v="6277.4681666666656"/>
    <n v="0.13402556459623813"/>
    <n v="0.58731617492795296"/>
    <n v="0.4026515299131711"/>
    <n v="0.68557881955586353"/>
    <n v="1"/>
    <n v="399916"/>
  </r>
  <r>
    <s v="Уголь каменный"/>
    <n v="16112"/>
    <s v="УГОЛЬ Д"/>
    <x v="0"/>
    <s v="КРС"/>
    <s v="ИФР"/>
    <s v="КАМЫШТА"/>
    <s v="МИХ-СЕМ-Э"/>
    <n v="4678"/>
    <s v="полувагон"/>
    <s v="Экспорт"/>
    <s v="неконтейнерная"/>
    <x v="0"/>
    <n v="1869326"/>
    <s v="ООО &quot;УГОЛЬ ПЛЮС&quot;"/>
    <s v="АО &quot;Русский уголь&quot;"/>
    <n v="200545"/>
    <n v="938250119"/>
    <n v="2877"/>
    <m/>
    <n v="485116824"/>
    <n v="69"/>
    <s v="маршрутная"/>
    <n v="14"/>
    <n v="14"/>
    <n v="4"/>
    <n v="2198.94"/>
    <n v="1008.9299999999998"/>
    <n v="3207.87"/>
    <n v="324.63768115942031"/>
    <m/>
    <m/>
    <n v="586"/>
    <n v="8546.2160000000003"/>
    <n v="112.00000000000001"/>
    <n v="3532.5076811594204"/>
    <n v="5013.7083188405795"/>
    <n v="4118.5076811594199"/>
    <n v="0.51808991474596244"/>
    <n v="0.41334172704731781"/>
    <n v="0.37535559597370344"/>
    <n v="0.90809993623202268"/>
    <n v="1"/>
    <n v="200545"/>
  </r>
  <r>
    <s v="Уголь каменный"/>
    <n v="16111"/>
    <s v="УГОЛЬ Г"/>
    <x v="0"/>
    <s v="КРС"/>
    <s v="ОКТ"/>
    <s v="КРАВЧЕНКО"/>
    <s v="ЛУЖСКАЯ-ЭКСП"/>
    <n v="4972"/>
    <s v="полувагон"/>
    <s v="Экспорт"/>
    <s v="неконтейнерная"/>
    <x v="1"/>
    <n v="78465421"/>
    <s v="АО &quot;РУССКИЙ УГОЛЬ&quot;"/>
    <s v="АО &quot;Русский уголь&quot;"/>
    <n v="55119"/>
    <n v="274033646"/>
    <n v="786"/>
    <m/>
    <n v="109968398"/>
    <n v="69"/>
    <s v="маршрутная"/>
    <n v="12"/>
    <n v="12"/>
    <n v="4"/>
    <n v="2243.1"/>
    <n v="1024.44"/>
    <n v="3267.54"/>
    <n v="284.05797101449275"/>
    <n v="610.44399999999996"/>
    <m/>
    <n v="586"/>
    <n v="6485.9674999999997"/>
    <n v="85"/>
    <n v="4162.0419710144924"/>
    <n v="2323.9255289855073"/>
    <n v="4748.0419710144924"/>
    <n v="0.26795162463973299"/>
    <n v="0.64169947984082443"/>
    <n v="0.50378605813242205"/>
    <n v="0.78508098254558001"/>
    <n v="1"/>
    <n v="55119"/>
  </r>
  <r>
    <s v="Уголь каменный"/>
    <n v="16111"/>
    <s v="УГОЛЬ Г"/>
    <x v="0"/>
    <s v="КРС"/>
    <s v="СКВ"/>
    <s v="КРАВЧЕНКО"/>
    <s v="ВЫШСТБЛ-ЭКС"/>
    <n v="5362"/>
    <s v="полувагон"/>
    <s v="Экспорт"/>
    <s v="неконтейнерная"/>
    <x v="2"/>
    <n v="78465421"/>
    <s v="АО &quot;РУССКИЙ УГОЛЬ&quot;"/>
    <s v="АО &quot;Русский уголь&quot;"/>
    <n v="744502"/>
    <n v="3991785157"/>
    <n v="10404"/>
    <m/>
    <n v="1516719886"/>
    <n v="69"/>
    <s v="маршрутная"/>
    <n v="12"/>
    <n v="12"/>
    <n v="4"/>
    <n v="2334.86"/>
    <n v="1086.3399999999997"/>
    <n v="3421.2"/>
    <n v="284.05797101449275"/>
    <n v="991.97149999999988"/>
    <m/>
    <n v="586"/>
    <n v="7249.0224999999991"/>
    <n v="95"/>
    <n v="4697.2294710144924"/>
    <n v="2551.7930289855067"/>
    <n v="5283.2294710144924"/>
    <n v="0.27118042866959052"/>
    <n v="0.64798108586564507"/>
    <n v="0.47195328749496918"/>
    <n v="0.72834423378960456"/>
    <n v="1"/>
    <n v="744502"/>
  </r>
  <r>
    <s v="Уголь каменный"/>
    <n v="16118"/>
    <s v="УГОЛЬ Т"/>
    <x v="0"/>
    <s v="ЗСБ"/>
    <s v="ДВС"/>
    <s v="САРБАЛА"/>
    <s v="НАХОДКА-В-ЭК"/>
    <n v="5976"/>
    <s v="полувагон"/>
    <s v="Экспорт"/>
    <s v="неконтейнерная"/>
    <x v="0"/>
    <n v="82365518"/>
    <s v="АО &quot;АТРИУМ&quot;"/>
    <s v="ООО &quot;УГМК-Холдинг&quot;"/>
    <n v="1782028"/>
    <n v="10648684516"/>
    <n v="23883"/>
    <m/>
    <n v="3937998980"/>
    <n v="75"/>
    <s v="маршрутная"/>
    <n v="13"/>
    <n v="14"/>
    <n v="4"/>
    <n v="2442.4699999999998"/>
    <n v="1120.5700000000002"/>
    <n v="3563.04"/>
    <n v="413.33333333333331"/>
    <n v="763.05499999999995"/>
    <m/>
    <n v="2736"/>
    <n v="8546.2160000000003"/>
    <n v="112.00000000000001"/>
    <n v="4739.4283333333333"/>
    <n v="3806.7876666666671"/>
    <n v="7475.4283333333333"/>
    <n v="0.12529377524119062"/>
    <n v="0.5545645386605409"/>
    <n v="0.41691433963288543"/>
    <n v="0.75178687162340607"/>
    <n v="1"/>
    <n v="1782028"/>
  </r>
  <r>
    <s v="Уголь каменный"/>
    <n v="16117"/>
    <s v="УГОЛЬ СС"/>
    <x v="0"/>
    <s v="ЗСБ"/>
    <s v="ОКТ"/>
    <s v="БОЧАТЫ"/>
    <s v="ЛУЖСКАЯ-ЭКСП"/>
    <n v="4156"/>
    <s v="полувагон"/>
    <s v="Экспорт"/>
    <s v="неконтейнерная"/>
    <x v="1"/>
    <n v="82365518"/>
    <s v="АО &quot;АТРИУМ&quot;"/>
    <s v="ООО &quot;УГМК-Холдинг&quot;"/>
    <n v="1822456"/>
    <n v="7574874184"/>
    <n v="25338"/>
    <m/>
    <n v="3281208376"/>
    <n v="69"/>
    <s v="маршрутная"/>
    <n v="11"/>
    <n v="12"/>
    <n v="4"/>
    <n v="2082.23"/>
    <n v="928.75999999999976"/>
    <n v="3010.99"/>
    <n v="273.91304347826087"/>
    <n v="610.44399999999996"/>
    <m/>
    <n v="2736"/>
    <n v="6485.9674999999997"/>
    <n v="85"/>
    <n v="3895.3470434782607"/>
    <n v="2590.620456521739"/>
    <n v="6631.3470434782612"/>
    <n v="-2.2414473010890272E-2"/>
    <n v="0.60058072191670109"/>
    <n v="0.46423143501721215"/>
    <n v="0.77297092310199023"/>
    <n v="0.97499999999999998"/>
    <n v="1776894.5999999999"/>
  </r>
  <r>
    <s v="Уголь каменный"/>
    <n v="16112"/>
    <s v="УГОЛЬ Д"/>
    <x v="0"/>
    <s v="ЗСБ"/>
    <s v="СКВ"/>
    <s v="ЕРУНАКОВО"/>
    <s v="ТУАПСЕ-СОР-Э"/>
    <n v="4637"/>
    <s v="полувагон"/>
    <s v="Экспорт"/>
    <s v="неконтейнерная"/>
    <x v="2"/>
    <n v="82365518"/>
    <s v="АО &quot;АТРИУМ&quot;"/>
    <s v="ООО &quot;УГМК-Холдинг&quot;"/>
    <n v="1389317"/>
    <n v="6442749019"/>
    <n v="19610"/>
    <m/>
    <n v="2689139106"/>
    <n v="69"/>
    <s v="маршрутная"/>
    <n v="11"/>
    <n v="12"/>
    <n v="4"/>
    <n v="2198.94"/>
    <n v="1008.9299999999998"/>
    <n v="3207.87"/>
    <n v="273.91304347826087"/>
    <n v="991.97149999999988"/>
    <m/>
    <n v="2736"/>
    <n v="7249.0224999999991"/>
    <n v="95"/>
    <n v="4473.7545434782605"/>
    <n v="2775.2679565217386"/>
    <n v="7209.7545434782605"/>
    <n v="5.4170002261323654E-3"/>
    <n v="0.61715280142643525"/>
    <n v="0.44252449209531358"/>
    <n v="0.71704202115343163"/>
    <n v="0.99"/>
    <n v="1375423.83"/>
  </r>
  <r>
    <s v="Уголь каменный"/>
    <n v="16111"/>
    <s v="УГОЛЬ Г"/>
    <x v="0"/>
    <s v="ДВС"/>
    <s v="ДВС"/>
    <s v="УЛАК"/>
    <s v="СТРЕЛКОВАЯ-Э"/>
    <n v="2421"/>
    <s v="полувагон"/>
    <s v="Экспорт"/>
    <s v="неконтейнерная"/>
    <x v="0"/>
    <n v="50029397"/>
    <s v="АО &quot;НОВЫЙ МИР&quot;"/>
    <s v="ООО &quot;УК &quot;Эльга&quot;"/>
    <n v="3770445"/>
    <n v="9130041724"/>
    <n v="50798"/>
    <m/>
    <n v="4501908298"/>
    <n v="75"/>
    <s v="маршрутная"/>
    <n v="6"/>
    <n v="6"/>
    <n v="4"/>
    <n v="1199.8699999999999"/>
    <n v="560.68000000000006"/>
    <n v="1760.55"/>
    <n v="213.33333333333334"/>
    <n v="763.05499999999995"/>
    <m/>
    <n v="3240"/>
    <n v="8546.2160000000003"/>
    <n v="112.00000000000001"/>
    <n v="2736.938333333333"/>
    <n v="5809.2776666666668"/>
    <n v="5976.9383333333335"/>
    <n v="0.30063336413058911"/>
    <n v="0.32025148127935604"/>
    <n v="0.20600345228812375"/>
    <n v="0.64325526759523877"/>
    <n v="1"/>
    <n v="3770445"/>
  </r>
  <r>
    <s v="Уголь каменный"/>
    <n v="16104"/>
    <s v="КОНЦЕНТР УГОЛЬН"/>
    <x v="1"/>
    <s v="ЗСБ"/>
    <s v="ДВС"/>
    <n v="0"/>
    <s v="НАХОДКА-ЭКС"/>
    <n v="5820"/>
    <s v="полувагон"/>
    <s v="Экспорт"/>
    <s v="неконтейнерная"/>
    <x v="0"/>
    <n v="57775656"/>
    <s v="ООО &quot;КУБЕЙРА ТРЕЙДИНГ&quot;"/>
    <s v="ООО &quot;ЕвразХолдинг&quot;"/>
    <n v="1434447"/>
    <n v="8349124223"/>
    <n v="19225"/>
    <m/>
    <n v="3205086675"/>
    <n v="75"/>
    <s v="маршрутная"/>
    <n v="13"/>
    <n v="14"/>
    <n v="4"/>
    <n v="2483.44"/>
    <n v="1092.0900000000001"/>
    <n v="3575.53"/>
    <n v="413.33333333333331"/>
    <n v="763.05499999999995"/>
    <m/>
    <n v="3876"/>
    <n v="10911.6865"/>
    <n v="143"/>
    <n v="4751.918333333334"/>
    <n v="6159.7681666666658"/>
    <n v="8627.9183333333331"/>
    <n v="0.20929561774586053"/>
    <n v="0.43548889837820526"/>
    <n v="0.32767895228661492"/>
    <n v="0.75243927803192456"/>
    <n v="1"/>
    <n v="1434447"/>
  </r>
  <r>
    <s v="Уголь каменный"/>
    <n v="16104"/>
    <s v="КОНЦЕНТР УГОЛЬН"/>
    <x v="1"/>
    <s v="ЗСБ"/>
    <s v="ОКТ"/>
    <s v="ОБНОРСКАЯ"/>
    <s v="ЛУЖСКАЯ-ЭКСП"/>
    <n v="4245"/>
    <s v="полувагон"/>
    <s v="Экспорт"/>
    <s v="неконтейнерная"/>
    <x v="1"/>
    <n v="57775656"/>
    <s v="ООО &quot;КУБЕЙРА ТРЕЙДИНГ&quot;"/>
    <s v="ООО &quot;ЕвразХолдинг&quot;"/>
    <n v="51530"/>
    <n v="218745519"/>
    <n v="725"/>
    <m/>
    <n v="99074483"/>
    <n v="69"/>
    <s v="маршрутная"/>
    <n v="11"/>
    <n v="12"/>
    <n v="4"/>
    <n v="2093.25"/>
    <n v="945.01000000000022"/>
    <n v="3038.26"/>
    <n v="273.91304347826087"/>
    <n v="610.44399999999996"/>
    <m/>
    <n v="3876"/>
    <n v="8431.7577499999989"/>
    <n v="110.49999999999999"/>
    <n v="3922.6170434782612"/>
    <n v="4509.1407065217372"/>
    <n v="7798.6170434782607"/>
    <n v="7.5090002024991553E-2"/>
    <n v="0.46521937178262285"/>
    <n v="0.36033530493686217"/>
    <n v="0.77454922729492748"/>
    <n v="1"/>
    <n v="51530"/>
  </r>
  <r>
    <s v="Уголь каменный"/>
    <n v="16104"/>
    <s v="КОНЦЕНТР УГОЛЬН"/>
    <x v="1"/>
    <s v="ЗСБ"/>
    <s v="СКВ"/>
    <s v="МЕЖДУРЕЧЕНСК"/>
    <s v="ВЫШСТБЛ-ЭКС"/>
    <n v="4677"/>
    <s v="полувагон"/>
    <s v="Экспорт"/>
    <s v="неконтейнерная"/>
    <x v="2"/>
    <n v="57775656"/>
    <s v="ООО &quot;КУБЕЙРА ТРЕЙДИНГ&quot;"/>
    <s v="ООО &quot;ЕвразХолдинг&quot;"/>
    <n v="595825"/>
    <n v="2786924496"/>
    <n v="8202"/>
    <m/>
    <n v="1167689593"/>
    <n v="75"/>
    <s v="маршрутная"/>
    <n v="11"/>
    <n v="12"/>
    <n v="4"/>
    <n v="2090.15"/>
    <n v="928.21"/>
    <n v="3018.36"/>
    <n v="360"/>
    <n v="991.97149999999988"/>
    <m/>
    <n v="3876"/>
    <n v="9080.3544999999995"/>
    <n v="119"/>
    <n v="4370.3315000000002"/>
    <n v="4710.0229999999992"/>
    <n v="8246.3315000000002"/>
    <n v="9.184916734253043E-2"/>
    <n v="0.48129525119311151"/>
    <n v="0.33240552447594424"/>
    <n v="0.69064783758394532"/>
    <n v="1"/>
    <n v="595825"/>
  </r>
  <r>
    <s v="Уголь каменный"/>
    <n v="16101"/>
    <s v="АНТРАЦИТ"/>
    <x v="2"/>
    <s v="ЗСБ"/>
    <s v="ДВС"/>
    <s v="ЕВСИНО"/>
    <s v="СМОЛЯНИНОВ-Э"/>
    <n v="6011"/>
    <s v="полувагон"/>
    <s v="Экспорт"/>
    <s v="неконтейнерная"/>
    <x v="0"/>
    <n v="53037061"/>
    <s v="ООО &quot;СИБСЛК&quot;"/>
    <s v="ООО &quot;Башкирский промышленный холдинг&quot;"/>
    <n v="2022773"/>
    <n v="12158690787"/>
    <n v="27327"/>
    <m/>
    <n v="4731039707"/>
    <n v="75"/>
    <s v="маршрутная"/>
    <n v="13"/>
    <n v="13"/>
    <n v="4"/>
    <n v="2564.59"/>
    <n v="1120.5699999999997"/>
    <n v="3685.16"/>
    <n v="400"/>
    <n v="763.05499999999995"/>
    <m/>
    <n v="2771"/>
    <n v="10072.325999999999"/>
    <n v="132"/>
    <n v="4848.2150000000001"/>
    <n v="5224.110999999999"/>
    <n v="7619.2150000000001"/>
    <n v="0.2435496031403272"/>
    <n v="0.48134015916482453"/>
    <n v="0.36586981001210644"/>
    <n v="0.76010655468043387"/>
    <n v="1"/>
    <n v="2022773"/>
  </r>
  <r>
    <s v="Уголь каменный"/>
    <n v="16118"/>
    <s v="УГОЛЬ Т"/>
    <x v="0"/>
    <s v="ЗСБ"/>
    <s v="ОКТ"/>
    <s v="МЫСКИ"/>
    <s v="ЛУЖСКАЯ-ЭКСП"/>
    <n v="4305"/>
    <s v="полувагон"/>
    <s v="Экспорт"/>
    <s v="неконтейнерная"/>
    <x v="1"/>
    <n v="53037061"/>
    <s v="ООО &quot;СИБСЛК&quot;"/>
    <s v="ООО &quot;Башкирский промышленный холдинг&quot;"/>
    <n v="1764884"/>
    <n v="7596988312"/>
    <n v="25207"/>
    <m/>
    <n v="3294467080"/>
    <n v="69"/>
    <s v="маршрутная"/>
    <n v="11"/>
    <n v="12"/>
    <n v="4"/>
    <n v="2093.25"/>
    <n v="945.01000000000022"/>
    <n v="3038.26"/>
    <n v="273.91304347826087"/>
    <n v="610.44399999999996"/>
    <m/>
    <n v="2800"/>
    <n v="6485.9674999999997"/>
    <n v="85"/>
    <n v="3922.6170434782612"/>
    <n v="2563.3504565217386"/>
    <n v="6722.6170434782616"/>
    <n v="-3.6486390577544811E-2"/>
    <n v="0.60478518331740971"/>
    <n v="0.46843589641792072"/>
    <n v="0.77454922729492748"/>
    <n v="0.96499999999999997"/>
    <n v="1703113.06"/>
  </r>
  <r>
    <s v="Уголь каменный"/>
    <n v="16118"/>
    <s v="УГОЛЬ Т"/>
    <x v="0"/>
    <s v="ЗСБ"/>
    <s v="СКВ"/>
    <s v="МЫСКИ"/>
    <s v="ВЕСЕЛОЕ-ЭКСП"/>
    <n v="4838"/>
    <s v="полувагон"/>
    <s v="Экспорт"/>
    <s v="неконтейнерная"/>
    <x v="2"/>
    <n v="53037061"/>
    <s v="ООО &quot;СИБСЛК&quot;"/>
    <s v="ООО &quot;Башкирский промышленный холдинг&quot;"/>
    <n v="76356"/>
    <n v="369416028"/>
    <n v="1098"/>
    <m/>
    <n v="153835830"/>
    <n v="69"/>
    <s v="маршрутная"/>
    <n v="11"/>
    <n v="12"/>
    <n v="4"/>
    <n v="2247.13"/>
    <n v="1039.8800000000001"/>
    <n v="3287.01"/>
    <n v="273.91304347826087"/>
    <n v="991.97149999999988"/>
    <m/>
    <n v="2800"/>
    <n v="7249.0224999999991"/>
    <n v="95"/>
    <n v="4552.8945434782609"/>
    <n v="2696.1279565217383"/>
    <n v="7352.8945434782609"/>
    <n v="-1.4329110370158424E-2"/>
    <n v="0.62807013545319545"/>
    <n v="0.45344182612207379"/>
    <n v="0.72196049537506601"/>
    <n v="0.98"/>
    <n v="74828.88"/>
  </r>
  <r>
    <s v="Уголь каменный"/>
    <n v="16112"/>
    <s v="УГОЛЬ Д"/>
    <x v="0"/>
    <s v="ВСБ"/>
    <s v="ИФР"/>
    <s v="КАСЬЯНОВКА"/>
    <s v="МИХ-СЕМ-Э"/>
    <n v="3414"/>
    <s v="полувагон"/>
    <s v="Экспорт"/>
    <s v="неконтейнерная"/>
    <x v="0"/>
    <n v="55565060"/>
    <s v="ООО &quot;ЭН+ УГОЛЬ&quot;"/>
    <s v="ООО &quot;Компания &quot;Востсибуголь&quot;"/>
    <n v="49324"/>
    <n v="168392405"/>
    <n v="709"/>
    <m/>
    <n v="108707726"/>
    <n v="69"/>
    <s v="группа вагонов"/>
    <n v="14"/>
    <n v="14"/>
    <n v="4"/>
    <n v="1941.75"/>
    <n v="866.40999999999985"/>
    <n v="2808.16"/>
    <n v="324.63768115942031"/>
    <m/>
    <m/>
    <n v="1637"/>
    <n v="8546.2160000000003"/>
    <n v="112.00000000000001"/>
    <n v="3132.7976811594203"/>
    <n v="5413.4183188405805"/>
    <n v="4769.7976811594199"/>
    <n v="0.44188191813085231"/>
    <n v="0.36657132012102434"/>
    <n v="0.32858518904740996"/>
    <n v="0.8963745143480587"/>
    <n v="1"/>
    <n v="49324"/>
  </r>
  <r>
    <s v="Уголь каменный"/>
    <n v="16118"/>
    <s v="УГОЛЬ Т"/>
    <x v="0"/>
    <s v="ЗСБ"/>
    <s v="ДВС"/>
    <s v="СПИЧЕНКОВО"/>
    <s v="ДЮАНКА-Э"/>
    <n v="5804"/>
    <s v="полувагон"/>
    <s v="Экспорт"/>
    <s v="неконтейнерная"/>
    <x v="0"/>
    <n v="160212"/>
    <s v="АО &quot;ЦЕНТРАЛЬНОЕ&quot;"/>
    <s v="АО &quot;Стройсервис&quot;"/>
    <n v="1133165"/>
    <n v="6576368768"/>
    <n v="15452"/>
    <m/>
    <n v="2258203125"/>
    <n v="75"/>
    <s v="маршрутная"/>
    <n v="12"/>
    <n v="13"/>
    <n v="4"/>
    <n v="2152.64"/>
    <n v="1013.71"/>
    <n v="3166.35"/>
    <n v="386.66666666666669"/>
    <n v="763.05499999999995"/>
    <m/>
    <n v="4817"/>
    <n v="8546.2160000000003"/>
    <n v="112.00000000000001"/>
    <n v="4316.0716666666667"/>
    <n v="4230.1443333333336"/>
    <n v="9133.0716666666667"/>
    <n v="-6.8668480490858913E-2"/>
    <n v="0.50502721516360771"/>
    <n v="0.370497305474142"/>
    <n v="0.73361849490450992"/>
    <n v="0.95499999999999996"/>
    <n v="1082172.575"/>
  </r>
  <r>
    <s v="Уголь каменный"/>
    <n v="16118"/>
    <s v="УГОЛЬ Т"/>
    <x v="0"/>
    <s v="ЗСБ"/>
    <s v="ОКТ"/>
    <s v="СПИЧЕНКОВО"/>
    <s v="ЛУЖСКАЯ-ЭКСП"/>
    <n v="4233"/>
    <s v="полувагон"/>
    <s v="Экспорт"/>
    <s v="неконтейнерная"/>
    <x v="1"/>
    <n v="160212"/>
    <s v="АО &quot;ЦЕНТРАЛЬНОЕ&quot;"/>
    <s v="АО &quot;Стройсервис&quot;"/>
    <n v="593128"/>
    <n v="2511003743"/>
    <n v="8372"/>
    <m/>
    <n v="1086193757"/>
    <n v="75"/>
    <s v="маршрутная"/>
    <n v="11"/>
    <n v="12"/>
    <n v="4"/>
    <n v="1894.65"/>
    <n v="869.42000000000007"/>
    <n v="2764.07"/>
    <n v="360"/>
    <n v="610.44399999999996"/>
    <m/>
    <n v="4817"/>
    <n v="6485.9674999999997"/>
    <n v="85"/>
    <n v="3734.5140000000001"/>
    <n v="2751.4534999999996"/>
    <n v="8551.5139999999992"/>
    <n v="-0.31846389917926654"/>
    <n v="0.57578364368924151"/>
    <n v="0.42616155569697201"/>
    <n v="0.74014182300561737"/>
    <n v="0.80100000000000005"/>
    <n v="475095.52800000005"/>
  </r>
  <r>
    <s v="Уголь каменный"/>
    <n v="16118"/>
    <s v="УГОЛЬ Т"/>
    <x v="0"/>
    <s v="ЗСБ"/>
    <s v="СКВ"/>
    <s v="СПИЧЕНКОВО"/>
    <s v="КАВКАЗ-ЭКСП"/>
    <n v="4645"/>
    <s v="полувагон"/>
    <s v="Экспорт"/>
    <s v="неконтейнерная"/>
    <x v="2"/>
    <n v="160212"/>
    <s v="АО &quot;ЦЕНТРАЛЬНОЕ&quot;"/>
    <s v="АО &quot;Стройсервис&quot;"/>
    <n v="37568"/>
    <n v="174501639"/>
    <n v="543"/>
    <m/>
    <n v="74433738"/>
    <n v="75"/>
    <s v="маршрутная"/>
    <n v="11"/>
    <n v="12"/>
    <n v="4"/>
    <n v="1990.61"/>
    <n v="928.22"/>
    <n v="2918.83"/>
    <n v="360"/>
    <n v="991.97149999999988"/>
    <m/>
    <n v="4817"/>
    <n v="7249.0224999999991"/>
    <n v="95"/>
    <n v="4270.8014999999996"/>
    <n v="2978.2209999999995"/>
    <n v="9087.8014999999996"/>
    <n v="-0.25365888987101376"/>
    <n v="0.58915550337993849"/>
    <n v="0.4026515299131711"/>
    <n v="0.68343845997056996"/>
    <n v="0.84799999999999998"/>
    <n v="31857.664000000001"/>
  </r>
  <r>
    <s v="Уголь каменный"/>
    <n v="16111"/>
    <s v="УГОЛЬ Г"/>
    <x v="0"/>
    <s v="ЗСБ"/>
    <s v="ДВС"/>
    <s v="ЕРУНАКОВО"/>
    <s v="НАХОДКА-В-ЭК"/>
    <n v="6064"/>
    <s v="полувагон"/>
    <s v="Экспорт"/>
    <s v="неконтейнерная"/>
    <x v="0"/>
    <n v="54998897"/>
    <s v="ООО &quot;ПРОМУГОЛЬСЕРВИС&quot;"/>
    <s v="ООО &quot;Промугольсервис&quot;"/>
    <n v="756416"/>
    <n v="4586950336"/>
    <n v="10137"/>
    <m/>
    <n v="1667958938"/>
    <n v="75"/>
    <s v="маршрутная"/>
    <n v="13"/>
    <n v="14"/>
    <n v="4"/>
    <n v="2442.4699999999998"/>
    <n v="1120.5700000000002"/>
    <n v="3563.04"/>
    <n v="413.33333333333331"/>
    <n v="763.05499999999995"/>
    <m/>
    <n v="2338"/>
    <n v="8546.2160000000003"/>
    <n v="112.00000000000001"/>
    <n v="4739.4283333333333"/>
    <n v="3806.7876666666671"/>
    <n v="7077.4283333333333"/>
    <n v="0.17186409361367264"/>
    <n v="0.5545645386605409"/>
    <n v="0.41691433963288543"/>
    <n v="0.75178687162340607"/>
    <n v="1"/>
    <n v="756416"/>
  </r>
  <r>
    <s v="Уголь каменный"/>
    <n v="16112"/>
    <s v="УГОЛЬ Д"/>
    <x v="0"/>
    <s v="ЗСБ"/>
    <s v="ОКТ"/>
    <s v="ЕРУНАКОВО"/>
    <s v="ЛУЖСКАЯ-ЭКСП"/>
    <n v="4229"/>
    <s v="полувагон"/>
    <s v="Экспорт"/>
    <s v="неконтейнерная"/>
    <x v="1"/>
    <n v="87470970"/>
    <s v="ООО &quot;РЕСУРС&quot;"/>
    <s v="ООО &quot;Промугольсервис&quot;"/>
    <n v="3819419"/>
    <n v="16151426937"/>
    <n v="53944"/>
    <m/>
    <n v="6992355439"/>
    <n v="69"/>
    <s v="маршрутная"/>
    <n v="11"/>
    <n v="12"/>
    <n v="4"/>
    <n v="2082.23"/>
    <n v="928.75999999999976"/>
    <n v="3010.99"/>
    <n v="273.91304347826087"/>
    <n v="610.44399999999996"/>
    <m/>
    <n v="2338"/>
    <n v="6485.9674999999997"/>
    <n v="85"/>
    <n v="3895.3470434782607"/>
    <n v="2590.620456521739"/>
    <n v="6233.3470434782612"/>
    <n v="3.8948770021086071E-2"/>
    <n v="0.60058072191670109"/>
    <n v="0.46423143501721215"/>
    <n v="0.77297092310199023"/>
    <n v="1"/>
    <n v="3819419"/>
  </r>
  <r>
    <s v="Уголь каменный"/>
    <n v="16112"/>
    <s v="УГОЛЬ Д"/>
    <x v="0"/>
    <s v="ЗСБ"/>
    <s v="СКВ"/>
    <s v="ЕРУНАКОВО"/>
    <s v="ВЫШСТБЛ-ЭКС"/>
    <n v="4598"/>
    <s v="полувагон"/>
    <s v="Экспорт"/>
    <s v="неконтейнерная"/>
    <x v="2"/>
    <n v="87470970"/>
    <s v="ООО &quot;РЕСУРС&quot;"/>
    <s v="ООО &quot;Промугольсервис&quot;"/>
    <n v="505459"/>
    <n v="2324319541"/>
    <n v="6990"/>
    <m/>
    <n v="965306586"/>
    <n v="69"/>
    <s v="маршрутная"/>
    <n v="11"/>
    <n v="12"/>
    <n v="4"/>
    <n v="2192.58"/>
    <n v="993.42000000000007"/>
    <n v="3186"/>
    <n v="273.91304347826087"/>
    <n v="991.97149999999988"/>
    <m/>
    <n v="2338"/>
    <n v="7249.0224999999991"/>
    <n v="95"/>
    <n v="4451.8845434782606"/>
    <n v="2797.1379565217385"/>
    <n v="6789.8845434782606"/>
    <n v="6.3337913011269939E-2"/>
    <n v="0.614135842933066"/>
    <n v="0.43950753360194433"/>
    <n v="0.71565198263447682"/>
    <n v="1"/>
    <n v="505459"/>
  </r>
  <r>
    <s v="Уголь каменный"/>
    <n v="16122"/>
    <s v="ШИХТА УГОЛЬН"/>
    <x v="0"/>
    <s v="ДВС"/>
    <s v="ДВС"/>
    <s v="НЕРЮНГРИ-ГР"/>
    <s v="ПОСЬЕТ-ЭКСП"/>
    <n v="2546"/>
    <s v="полувагон"/>
    <s v="Экспорт"/>
    <s v="неконтейнерная"/>
    <x v="0"/>
    <n v="161878"/>
    <s v="АО ХК &quot;ЯКУТУГОЛЬ&quot;"/>
    <s v="ПАО &quot;Мечел&quot;"/>
    <n v="1252273"/>
    <n v="3188538444"/>
    <n v="18092"/>
    <m/>
    <n v="1753178025"/>
    <n v="69"/>
    <s v="маршрутная"/>
    <n v="11"/>
    <n v="11"/>
    <n v="4"/>
    <n v="1537.42"/>
    <n v="682.23"/>
    <n v="2219.65"/>
    <n v="263.768115942029"/>
    <n v="763.05499999999995"/>
    <m/>
    <n v="4037"/>
    <n v="8546.2160000000003"/>
    <n v="112.00000000000001"/>
    <n v="3246.4731159420289"/>
    <n v="5299.7428840579714"/>
    <n v="7283.4731159420298"/>
    <n v="0.14775461842503987"/>
    <n v="0.37987257938975905"/>
    <n v="0.2597231336067331"/>
    <n v="0.68371119079971943"/>
    <n v="1"/>
    <n v="1252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СводнаяТаблица3" cacheId="0" applyNumberFormats="0" applyBorderFormats="0" applyFontFormats="0" applyPatternFormats="0" applyAlignmentFormats="0" applyWidthHeightFormats="1" dataCaption="Значения" updatedVersion="8" minRefreshableVersion="3" showCalcMbrs="0" useAutoFormatting="1" itemPrintTitles="1" createdVersion="3" indent="0" outline="1" outlineData="1" multipleFieldFilters="0">
  <location ref="G3:J8" firstHeaderRow="1" firstDataRow="2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 defaultSubtotal="0"/>
    <pivotField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70" showAll="0" defaultSubtotal="0"/>
    <pivotField numFmtId="170" showAll="0"/>
    <pivotField numFmtId="170" showAll="0"/>
    <pivotField numFmtId="170" showAll="0"/>
    <pivotField numFmtId="167" showAll="0" defaultSubtotal="0"/>
    <pivotField dataField="1" numFmtId="3" showAll="0" defaultSubtotal="0"/>
    <pivotField dataField="1"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Объем перевозок (тн)" fld="16" baseField="0" baseItem="0"/>
    <dataField name="Сумма по полю объем*_x000a_коэфф" fld="43" baseField="0" baseItem="0"/>
    <dataField name="Сумма по полю Средний коэфф сохранения базы" fld="44" baseField="0" baseItem="0" numFmtId="173"/>
  </dataFields>
  <formats count="9">
    <format dxfId="8">
      <pivotArea outline="0" collapsedLevelsAreSubtotals="1" fieldPosition="0"/>
    </format>
    <format dxfId="7">
      <pivotArea field="1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СводнаяТаблица1" cacheId="0" applyNumberFormats="0" applyBorderFormats="0" applyFontFormats="0" applyPatternFormats="0" applyAlignmentFormats="0" applyWidthHeightFormats="1" dataCaption="Значения" updatedVersion="8" minRefreshableVersion="3" showCalcMbrs="0" useAutoFormatting="1" itemPrintTitles="1" createdVersion="3" indent="0" compact="0" compactData="0" multipleFieldFilters="0">
  <location ref="A3:E15" firstHeaderRow="1" firstDataRow="2" firstDataCol="2"/>
  <pivotFields count="45"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4">
        <item x="0"/>
        <item x="1"/>
        <item x="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  <pivotField compact="0" numFmtId="3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3" outline="0" subtotalTop="0" showAll="0"/>
    <pivotField compact="0" numFmtId="3" outline="0" subtotalTop="0" showAll="0"/>
    <pivotField compact="0" numFmtId="3" outline="0" showAll="0" defaultSubtotal="0"/>
    <pivotField compact="0" numFmtId="3" outline="0" subtotalTop="0" showAll="0"/>
    <pivotField compact="0" outline="0" subtotalTop="0" showAll="0"/>
    <pivotField compact="0" outline="0" subtotalTop="0" showAll="0"/>
    <pivotField compact="0" numFmtId="3" outline="0" subtotalTop="0" showAll="0"/>
    <pivotField compact="0" numFmtId="3" outline="0" subtotalTop="0" showAll="0"/>
    <pivotField compact="0" numFmtId="3" outline="0" subtotalTop="0" showAll="0"/>
    <pivotField compact="0" numFmtId="3" outline="0" subtotalTop="0" showAll="0"/>
    <pivotField compact="0" numFmtId="3" outline="0" subtotalTop="0" showAll="0"/>
    <pivotField compact="0" numFmtId="3" outline="0" subtotalTop="0" showAll="0"/>
    <pivotField compact="0" numFmtId="170" outline="0" showAll="0" defaultSubtotal="0"/>
    <pivotField compact="0" numFmtId="170" outline="0" subtotalTop="0" showAll="0"/>
    <pivotField compact="0" numFmtId="170" outline="0" subtotalTop="0" showAll="0"/>
    <pivotField compact="0" numFmtId="170" outline="0" subtotalTop="0" showAll="0"/>
    <pivotField compact="0" numFmtId="167" outline="0" showAll="0" defaultSubtotal="0"/>
    <pivotField dataField="1" compact="0" numFmtId="3" outline="0" showAll="0" defaultSubtotal="0"/>
    <pivotField dataField="1" compact="0" outline="0" subtotalTop="0" dragToRow="0" dragToCol="0" dragToPage="0" showAll="0" defaultSubtotal="0"/>
  </pivotFields>
  <rowFields count="2">
    <field x="3"/>
    <field x="12"/>
  </rowFields>
  <rowItems count="11">
    <i>
      <x/>
      <x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Объем перевозок (тн)" fld="16" baseField="0" baseItem="0"/>
    <dataField name="Сумма по полю объем*_x000a_коэфф" fld="43" baseField="0" baseItem="0"/>
    <dataField name="Сумма по полю Средний коэфф сохранения базы" fld="44" baseField="0" baseItem="0" numFmtId="173"/>
  </dataFields>
  <formats count="18">
    <format dxfId="26">
      <pivotArea outline="0" collapsedLevelsAreSubtotals="1" fieldPosition="0"/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3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2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1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20">
      <pivotArea outline="0" collapsedLevelsAreSubtotals="1" fieldPosition="0">
        <references count="1">
          <reference field="3" count="1" selected="0" defaultSubtotal="1">
            <x v="2"/>
          </reference>
        </references>
      </pivotArea>
    </format>
    <format dxfId="1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field="3" type="button" dataOnly="0" labelOnly="1" outline="0" axis="axisRow" fieldPosition="0"/>
    </format>
    <format dxfId="16">
      <pivotArea field="12" type="button" dataOnly="0" labelOnly="1" outline="0" axis="axisRow" fieldPosition="1"/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outline="0" collapsedLevelsAreSubtotals="1" fieldPosition="0">
        <references count="3">
          <reference field="4294967294" count="1" selected="0">
            <x v="2"/>
          </reference>
          <reference field="3" count="1" selected="0">
            <x v="2"/>
          </reference>
          <reference field="12" count="0" selected="0"/>
        </references>
      </pivotArea>
    </format>
    <format dxfId="10">
      <pivotArea outline="0" collapsedLevelsAreSubtotals="1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12" count="0" selected="0"/>
        </references>
      </pivotArea>
    </format>
    <format dxfId="9">
      <pivotArea outline="0" collapsedLevelsAreSubtotals="1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1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u.myfin.by/currency/cb-rf-archive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X51"/>
  <sheetViews>
    <sheetView topLeftCell="A9" zoomScale="85" zoomScaleNormal="85" workbookViewId="0">
      <selection activeCell="E27" sqref="E27"/>
    </sheetView>
  </sheetViews>
  <sheetFormatPr defaultRowHeight="14.6"/>
  <cols>
    <col min="1" max="1" width="40.07421875" bestFit="1" customWidth="1"/>
    <col min="2" max="2" width="15.921875" customWidth="1"/>
    <col min="3" max="3" width="16.4609375" customWidth="1"/>
    <col min="4" max="4" width="12.921875" bestFit="1" customWidth="1"/>
    <col min="5" max="5" width="15.84375" customWidth="1"/>
    <col min="6" max="6" width="11" customWidth="1"/>
    <col min="7" max="7" width="17" bestFit="1" customWidth="1"/>
    <col min="8" max="8" width="16.4609375" customWidth="1"/>
    <col min="9" max="9" width="12.921875" bestFit="1" customWidth="1"/>
    <col min="10" max="10" width="15.84375" customWidth="1"/>
  </cols>
  <sheetData>
    <row r="2" spans="1:14" ht="18.45">
      <c r="A2" s="177" t="s">
        <v>260</v>
      </c>
      <c r="G2" t="s">
        <v>321</v>
      </c>
    </row>
    <row r="3" spans="1:14">
      <c r="C3" s="171" t="s">
        <v>254</v>
      </c>
      <c r="H3" s="171" t="s">
        <v>254</v>
      </c>
      <c r="M3" s="174"/>
    </row>
    <row r="4" spans="1:14" ht="43.75">
      <c r="A4" s="178" t="s">
        <v>4</v>
      </c>
      <c r="B4" s="178" t="s">
        <v>12</v>
      </c>
      <c r="C4" s="179" t="s">
        <v>316</v>
      </c>
      <c r="D4" s="33" t="s">
        <v>318</v>
      </c>
      <c r="E4" s="179" t="s">
        <v>255</v>
      </c>
      <c r="G4" s="348" t="s">
        <v>252</v>
      </c>
      <c r="H4" s="179" t="s">
        <v>316</v>
      </c>
      <c r="I4" s="179" t="s">
        <v>318</v>
      </c>
      <c r="J4" s="179" t="s">
        <v>255</v>
      </c>
    </row>
    <row r="5" spans="1:14">
      <c r="A5" t="s">
        <v>99</v>
      </c>
      <c r="B5" t="s">
        <v>25</v>
      </c>
      <c r="C5" s="18">
        <v>2022773</v>
      </c>
      <c r="D5" s="18">
        <v>2022773</v>
      </c>
      <c r="E5" s="395">
        <v>1</v>
      </c>
      <c r="G5" s="59" t="s">
        <v>25</v>
      </c>
      <c r="H5" s="18">
        <v>16935950</v>
      </c>
      <c r="I5" s="18">
        <v>16884957.574999999</v>
      </c>
      <c r="J5" s="174">
        <v>0.9969891015856801</v>
      </c>
    </row>
    <row r="6" spans="1:14">
      <c r="A6" s="28" t="s">
        <v>257</v>
      </c>
      <c r="B6" s="28"/>
      <c r="C6" s="175">
        <v>2022773</v>
      </c>
      <c r="D6" s="175">
        <v>2022773</v>
      </c>
      <c r="E6" s="176">
        <v>1</v>
      </c>
      <c r="G6" s="59" t="s">
        <v>33</v>
      </c>
      <c r="H6" s="18">
        <v>10287319</v>
      </c>
      <c r="I6" s="18">
        <v>10061954.188000001</v>
      </c>
      <c r="J6" s="174">
        <v>0.97809294997073593</v>
      </c>
      <c r="N6" s="399"/>
    </row>
    <row r="7" spans="1:14">
      <c r="A7" t="s">
        <v>78</v>
      </c>
      <c r="B7" t="s">
        <v>25</v>
      </c>
      <c r="C7" s="18">
        <v>1434447</v>
      </c>
      <c r="D7" s="18">
        <v>1434447</v>
      </c>
      <c r="E7" s="395">
        <v>1</v>
      </c>
      <c r="G7" s="59" t="s">
        <v>36</v>
      </c>
      <c r="H7" s="18">
        <v>3748943</v>
      </c>
      <c r="I7" s="18">
        <v>3727812.3739999998</v>
      </c>
      <c r="J7" s="174">
        <v>0.99436357768042882</v>
      </c>
    </row>
    <row r="8" spans="1:14">
      <c r="B8" t="s">
        <v>33</v>
      </c>
      <c r="C8" s="18">
        <v>51530</v>
      </c>
      <c r="D8" s="18">
        <v>51530</v>
      </c>
      <c r="E8" s="395">
        <v>1</v>
      </c>
      <c r="G8" s="59" t="s">
        <v>253</v>
      </c>
      <c r="H8" s="18">
        <v>30972212</v>
      </c>
      <c r="I8" s="18">
        <v>30674724.137000002</v>
      </c>
      <c r="J8" s="174">
        <v>0.99039500753126708</v>
      </c>
    </row>
    <row r="9" spans="1:14">
      <c r="B9" t="s">
        <v>36</v>
      </c>
      <c r="C9" s="18">
        <v>595825</v>
      </c>
      <c r="D9" s="18">
        <v>595825</v>
      </c>
      <c r="E9" s="395">
        <v>1</v>
      </c>
    </row>
    <row r="10" spans="1:14">
      <c r="A10" s="28" t="s">
        <v>258</v>
      </c>
      <c r="B10" s="28"/>
      <c r="C10" s="175">
        <v>2081802</v>
      </c>
      <c r="D10" s="175">
        <v>2081802</v>
      </c>
      <c r="E10" s="176">
        <v>1</v>
      </c>
      <c r="G10" s="409" t="s">
        <v>328</v>
      </c>
      <c r="H10" s="410"/>
      <c r="I10" s="410"/>
      <c r="J10" s="411"/>
    </row>
    <row r="11" spans="1:14">
      <c r="A11" t="s">
        <v>18</v>
      </c>
      <c r="B11" t="s">
        <v>25</v>
      </c>
      <c r="C11" s="18">
        <v>13478730</v>
      </c>
      <c r="D11" s="18">
        <v>13427737.574999999</v>
      </c>
      <c r="E11" s="395">
        <v>0.99621682272736367</v>
      </c>
      <c r="G11" s="392" t="b">
        <v>1</v>
      </c>
      <c r="H11" s="401" t="b">
        <v>1</v>
      </c>
      <c r="I11" s="390"/>
      <c r="J11" s="393" t="b">
        <v>0</v>
      </c>
    </row>
    <row r="12" spans="1:14">
      <c r="B12" t="s">
        <v>33</v>
      </c>
      <c r="C12" s="18">
        <v>10235789</v>
      </c>
      <c r="D12" s="18">
        <v>10010424.188000001</v>
      </c>
      <c r="E12" s="395">
        <v>0.97798266337846562</v>
      </c>
      <c r="G12" s="412" t="s">
        <v>330</v>
      </c>
      <c r="H12" s="413"/>
      <c r="I12" s="414" t="s">
        <v>331</v>
      </c>
      <c r="J12" s="415"/>
      <c r="M12" s="400"/>
    </row>
    <row r="13" spans="1:14">
      <c r="B13" t="s">
        <v>36</v>
      </c>
      <c r="C13" s="18">
        <v>3153118</v>
      </c>
      <c r="D13" s="18">
        <v>3131987.3739999998</v>
      </c>
      <c r="E13" s="395">
        <v>0.99329849818497118</v>
      </c>
      <c r="G13" s="406" t="s">
        <v>326</v>
      </c>
      <c r="H13" s="407"/>
      <c r="I13" s="407"/>
      <c r="J13" s="408"/>
    </row>
    <row r="14" spans="1:14">
      <c r="A14" s="28" t="s">
        <v>259</v>
      </c>
      <c r="B14" s="28"/>
      <c r="C14" s="175">
        <v>26867637</v>
      </c>
      <c r="D14" s="175">
        <v>26570149.137000002</v>
      </c>
      <c r="E14" s="176">
        <v>0.98892765065271659</v>
      </c>
      <c r="G14" s="382"/>
      <c r="H14" s="165"/>
      <c r="I14" s="391">
        <v>45</v>
      </c>
      <c r="J14" s="402">
        <v>0.1</v>
      </c>
    </row>
    <row r="15" spans="1:14">
      <c r="A15" t="s">
        <v>253</v>
      </c>
      <c r="C15" s="18">
        <v>30972212</v>
      </c>
      <c r="D15" s="18">
        <v>30674724.137000002</v>
      </c>
      <c r="E15" s="174">
        <v>0.99039500753126708</v>
      </c>
      <c r="G15" s="406"/>
      <c r="H15" s="407"/>
      <c r="I15" s="407"/>
      <c r="J15" s="408"/>
    </row>
    <row r="16" spans="1:14">
      <c r="G16" s="406" t="s">
        <v>327</v>
      </c>
      <c r="H16" s="407"/>
      <c r="I16" s="407"/>
      <c r="J16" s="408"/>
    </row>
    <row r="17" spans="1:24">
      <c r="G17" s="382"/>
      <c r="H17" s="165"/>
      <c r="I17" s="165">
        <v>0</v>
      </c>
      <c r="J17" s="394">
        <f>-(I17/1000)</f>
        <v>0</v>
      </c>
    </row>
    <row r="18" spans="1:24">
      <c r="G18" s="406"/>
      <c r="H18" s="407"/>
      <c r="I18" s="407"/>
      <c r="J18" s="408"/>
    </row>
    <row r="19" spans="1:24">
      <c r="G19" s="406"/>
      <c r="H19" s="407"/>
      <c r="I19" s="407"/>
      <c r="J19" s="408"/>
    </row>
    <row r="20" spans="1:24">
      <c r="G20" s="406"/>
      <c r="H20" s="407"/>
      <c r="I20" s="407"/>
      <c r="J20" s="408"/>
    </row>
    <row r="21" spans="1:24">
      <c r="G21" s="165"/>
      <c r="H21" s="165"/>
      <c r="I21" s="165"/>
      <c r="J21" s="165"/>
    </row>
    <row r="23" spans="1:24" s="70" customFormat="1"/>
    <row r="24" spans="1:24">
      <c r="A24" s="372" t="s">
        <v>310</v>
      </c>
      <c r="B24" s="418">
        <v>2025</v>
      </c>
      <c r="C24" s="419"/>
      <c r="D24" s="416">
        <v>2026</v>
      </c>
      <c r="E24" s="417"/>
      <c r="F24" s="417"/>
      <c r="G24" s="420"/>
      <c r="H24" s="418">
        <v>2027</v>
      </c>
      <c r="I24" s="421"/>
      <c r="J24" s="421"/>
      <c r="K24" s="419"/>
      <c r="L24" s="416">
        <v>2028</v>
      </c>
      <c r="M24" s="417"/>
      <c r="N24" s="417"/>
      <c r="O24" s="420"/>
      <c r="P24" s="418">
        <v>2029</v>
      </c>
      <c r="Q24" s="421"/>
      <c r="R24" s="421"/>
      <c r="S24" s="421"/>
      <c r="T24" s="416">
        <v>2030</v>
      </c>
      <c r="U24" s="417"/>
      <c r="V24" s="417"/>
      <c r="W24" s="417"/>
      <c r="X24" s="382"/>
    </row>
    <row r="25" spans="1:24" ht="43.75">
      <c r="A25" s="373"/>
      <c r="B25" s="374" t="s">
        <v>309</v>
      </c>
      <c r="C25" s="375" t="s">
        <v>308</v>
      </c>
      <c r="D25" s="380" t="s">
        <v>263</v>
      </c>
      <c r="E25" s="381" t="s">
        <v>264</v>
      </c>
      <c r="F25" s="378" t="s">
        <v>265</v>
      </c>
      <c r="G25" s="379" t="s">
        <v>266</v>
      </c>
      <c r="H25" s="376" t="s">
        <v>263</v>
      </c>
      <c r="I25" s="377" t="s">
        <v>264</v>
      </c>
      <c r="J25" s="378" t="s">
        <v>265</v>
      </c>
      <c r="K25" s="379" t="s">
        <v>266</v>
      </c>
      <c r="L25" s="376" t="s">
        <v>263</v>
      </c>
      <c r="M25" s="377" t="s">
        <v>264</v>
      </c>
      <c r="N25" s="378" t="s">
        <v>265</v>
      </c>
      <c r="O25" s="379" t="s">
        <v>266</v>
      </c>
      <c r="P25" s="376" t="s">
        <v>263</v>
      </c>
      <c r="Q25" s="377" t="s">
        <v>264</v>
      </c>
      <c r="R25" s="378" t="s">
        <v>265</v>
      </c>
      <c r="S25" s="379" t="s">
        <v>266</v>
      </c>
      <c r="T25" s="376" t="s">
        <v>263</v>
      </c>
      <c r="U25" s="377" t="s">
        <v>264</v>
      </c>
      <c r="V25" s="378" t="s">
        <v>265</v>
      </c>
      <c r="W25" s="379" t="s">
        <v>266</v>
      </c>
    </row>
    <row r="26" spans="1:24">
      <c r="A26" s="180" t="s">
        <v>261</v>
      </c>
      <c r="B26" s="361">
        <f>B27+B28</f>
        <v>327.53616799999998</v>
      </c>
      <c r="C26" s="354">
        <f>C27+C28</f>
        <v>324.46634000000006</v>
      </c>
      <c r="D26" s="366">
        <f>D27+D28</f>
        <v>328.24059</v>
      </c>
      <c r="E26" s="367">
        <f>E27+E28</f>
        <v>327.05762163049781</v>
      </c>
      <c r="F26" s="383">
        <f>E26-D26</f>
        <v>-1.1829683695021913</v>
      </c>
      <c r="G26" s="368">
        <f>F26/D26</f>
        <v>-3.6039673506015552E-3</v>
      </c>
      <c r="H26" s="366">
        <f>H27+H28</f>
        <v>326.22648272962857</v>
      </c>
      <c r="I26" s="367">
        <f>I27+I28</f>
        <v>325.04865611216525</v>
      </c>
      <c r="J26" s="367">
        <f>I26-H26</f>
        <v>-1.1778266174633245</v>
      </c>
      <c r="K26" s="368">
        <f>J26/H26</f>
        <v>-3.6104567833001124E-3</v>
      </c>
      <c r="L26" s="366">
        <f>L27+L28</f>
        <v>326.72499999999997</v>
      </c>
      <c r="M26" s="367">
        <f>M27+M28</f>
        <v>325.54049697746359</v>
      </c>
      <c r="N26" s="367">
        <f>M26-L26</f>
        <v>-1.1845030225363757</v>
      </c>
      <c r="O26" s="368">
        <f>N26/L26</f>
        <v>-3.6253822711343666E-3</v>
      </c>
      <c r="P26" s="366">
        <f>P27+P28</f>
        <v>327.51099999999997</v>
      </c>
      <c r="Q26" s="367">
        <f>Q27+Q28</f>
        <v>326.29488996111297</v>
      </c>
      <c r="R26" s="367">
        <f>Q26-P26</f>
        <v>-1.2161100388869954</v>
      </c>
      <c r="S26" s="368">
        <f>R26/P26</f>
        <v>-3.7131883780605708E-3</v>
      </c>
      <c r="T26" s="366">
        <f>T27+T28</f>
        <v>328.9</v>
      </c>
      <c r="U26" s="367">
        <f>U27+U28</f>
        <v>327.64686475223255</v>
      </c>
      <c r="V26" s="367">
        <f>U26-T26</f>
        <v>-1.2531352477674318</v>
      </c>
      <c r="W26" s="368">
        <f>V26/T26</f>
        <v>-3.8100798047048705E-3</v>
      </c>
    </row>
    <row r="27" spans="1:24">
      <c r="A27" t="s">
        <v>262</v>
      </c>
      <c r="B27" s="362">
        <v>148.39864499999999</v>
      </c>
      <c r="C27" s="355">
        <f>'План погрузки'!G20</f>
        <v>147.43839200000002</v>
      </c>
      <c r="D27" s="364">
        <f>'План погрузки'!H20</f>
        <v>143.42277100000001</v>
      </c>
      <c r="E27" s="358">
        <f>D27</f>
        <v>143.42277100000001</v>
      </c>
      <c r="F27" s="358"/>
      <c r="G27" s="369"/>
      <c r="H27" s="364">
        <f>'План погрузки'!I20</f>
        <v>143.53899999999999</v>
      </c>
      <c r="I27" s="358">
        <f>H27</f>
        <v>143.53899999999999</v>
      </c>
      <c r="J27" s="358"/>
      <c r="K27" s="369"/>
      <c r="L27" s="364">
        <f>'План погрузки'!J20</f>
        <v>143.52499999999998</v>
      </c>
      <c r="M27" s="358">
        <f>L27</f>
        <v>143.52499999999998</v>
      </c>
      <c r="N27" s="358"/>
      <c r="O27" s="369"/>
      <c r="P27" s="172">
        <f>'План погрузки'!K20</f>
        <v>143.81100000000001</v>
      </c>
      <c r="Q27" s="358">
        <f>P27</f>
        <v>143.81100000000001</v>
      </c>
      <c r="R27" s="358"/>
      <c r="S27" s="369"/>
      <c r="T27" s="172">
        <f>'План погрузки'!L20</f>
        <v>144.4</v>
      </c>
      <c r="U27" s="358">
        <f>T27</f>
        <v>144.4</v>
      </c>
      <c r="V27" s="358"/>
      <c r="W27" s="369"/>
    </row>
    <row r="28" spans="1:24">
      <c r="A28" s="352" t="s">
        <v>23</v>
      </c>
      <c r="B28" s="363">
        <f>B33+B37+B41</f>
        <v>179.13752300000002</v>
      </c>
      <c r="C28" s="357">
        <f>SUM(C29:C31)</f>
        <v>177.02794800000001</v>
      </c>
      <c r="D28" s="363">
        <f t="shared" ref="D28" si="0">SUM(D29:D31)</f>
        <v>184.81781899999999</v>
      </c>
      <c r="E28" s="356">
        <f>E33+E37+E41</f>
        <v>183.63485063049779</v>
      </c>
      <c r="F28" s="356">
        <f t="shared" ref="F28:F44" si="1">E28-D28</f>
        <v>-1.1829683695021913</v>
      </c>
      <c r="G28" s="370">
        <f t="shared" ref="G28:G44" si="2">F28/D28</f>
        <v>-6.400726812506057E-3</v>
      </c>
      <c r="H28" s="363">
        <f>SUM(H29:H31)</f>
        <v>182.68748272962858</v>
      </c>
      <c r="I28" s="356">
        <f>I33+I37+I41</f>
        <v>181.50965611216526</v>
      </c>
      <c r="J28" s="356">
        <f t="shared" ref="J28:J31" si="3">I28-H28</f>
        <v>-1.1778266174633245</v>
      </c>
      <c r="K28" s="370">
        <f t="shared" ref="K28:K31" si="4">J28/H28</f>
        <v>-6.4472212319355718E-3</v>
      </c>
      <c r="L28" s="363">
        <f>SUM(L29:L31)</f>
        <v>183.2</v>
      </c>
      <c r="M28" s="356">
        <f>M33+M37+M41</f>
        <v>182.01549697746358</v>
      </c>
      <c r="N28" s="356">
        <f t="shared" ref="N28:N31" si="5">M28-L28</f>
        <v>-1.1845030225364042</v>
      </c>
      <c r="O28" s="370">
        <f t="shared" ref="O28:O31" si="6">N28/L28</f>
        <v>-6.4656278522729491E-3</v>
      </c>
      <c r="P28" s="353">
        <f>SUM(P29:P31)</f>
        <v>183.7</v>
      </c>
      <c r="Q28" s="356">
        <f>Q33+Q37+Q41</f>
        <v>182.48388996111299</v>
      </c>
      <c r="R28" s="356">
        <f t="shared" ref="R28:R31" si="7">Q28-P28</f>
        <v>-1.2161100388869954</v>
      </c>
      <c r="S28" s="370">
        <f t="shared" ref="S28:S31" si="8">R28/P28</f>
        <v>-6.6200873102177215E-3</v>
      </c>
      <c r="T28" s="353">
        <f>SUM(T29:T31)</f>
        <v>184.5</v>
      </c>
      <c r="U28" s="356">
        <f>U33+U37+U41</f>
        <v>183.24686475223254</v>
      </c>
      <c r="V28" s="356">
        <f t="shared" ref="V28:V31" si="9">U28-T28</f>
        <v>-1.2531352477674602</v>
      </c>
      <c r="W28" s="370">
        <f t="shared" ref="W28:W31" si="10">V28/T28</f>
        <v>-6.7920609635092697E-3</v>
      </c>
    </row>
    <row r="29" spans="1:24">
      <c r="A29" s="349" t="s">
        <v>25</v>
      </c>
      <c r="B29" s="364">
        <f>B34+B38+B42</f>
        <v>118.718935</v>
      </c>
      <c r="C29" s="355">
        <f>'План погрузки'!G72</f>
        <v>118.196771</v>
      </c>
      <c r="D29" s="364">
        <f>'План погрузки'!H72</f>
        <v>119.965789</v>
      </c>
      <c r="E29" s="358">
        <f>E34+E38+E42</f>
        <v>119.65577727149625</v>
      </c>
      <c r="F29" s="358">
        <f t="shared" si="1"/>
        <v>-0.31001172850375269</v>
      </c>
      <c r="G29" s="369">
        <f t="shared" si="2"/>
        <v>-2.5841677955683907E-3</v>
      </c>
      <c r="H29" s="364">
        <f>'План погрузки'!I72</f>
        <v>117.70699999999999</v>
      </c>
      <c r="I29" s="358">
        <f>I34+I38+I42</f>
        <v>117.40282536128701</v>
      </c>
      <c r="J29" s="358">
        <f t="shared" si="3"/>
        <v>-0.30417463871297912</v>
      </c>
      <c r="K29" s="369">
        <f t="shared" si="4"/>
        <v>-2.5841677955684805E-3</v>
      </c>
      <c r="L29" s="364">
        <f>'План погрузки'!J72</f>
        <v>117.70699999999999</v>
      </c>
      <c r="M29" s="358">
        <f>M34+M38+M42</f>
        <v>117.40282536128701</v>
      </c>
      <c r="N29" s="358">
        <f t="shared" si="5"/>
        <v>-0.30417463871297912</v>
      </c>
      <c r="O29" s="369">
        <f t="shared" si="6"/>
        <v>-2.5841677955684805E-3</v>
      </c>
      <c r="P29" s="172">
        <f>'План погрузки'!K72</f>
        <v>116.197</v>
      </c>
      <c r="Q29" s="358">
        <f>Q34+Q38+Q42</f>
        <v>115.89672745465836</v>
      </c>
      <c r="R29" s="358">
        <f t="shared" si="7"/>
        <v>-0.30027254534164172</v>
      </c>
      <c r="S29" s="369">
        <f t="shared" si="8"/>
        <v>-2.5841677955682307E-3</v>
      </c>
      <c r="T29" s="172">
        <f>'План погрузки'!L72</f>
        <v>114.70699999999999</v>
      </c>
      <c r="U29" s="358">
        <f>U34+U38+U42</f>
        <v>114.41057786467375</v>
      </c>
      <c r="V29" s="358">
        <f t="shared" si="9"/>
        <v>-0.29642213532623884</v>
      </c>
      <c r="W29" s="369">
        <f t="shared" si="10"/>
        <v>-2.5841677955681769E-3</v>
      </c>
    </row>
    <row r="30" spans="1:24">
      <c r="A30" s="349" t="s">
        <v>33</v>
      </c>
      <c r="B30" s="364">
        <f t="shared" ref="B30:B31" si="11">B35+B39+B43</f>
        <v>39.259006999999997</v>
      </c>
      <c r="C30" s="355">
        <f>'План погрузки'!G46</f>
        <v>38.307818000000005</v>
      </c>
      <c r="D30" s="364">
        <f>'План погрузки'!H46</f>
        <v>37.677301</v>
      </c>
      <c r="E30" s="358">
        <f t="shared" ref="E30:E31" si="12">E35+E39+E43</f>
        <v>36.951446059583546</v>
      </c>
      <c r="F30" s="358">
        <f t="shared" si="1"/>
        <v>-0.72585494041645404</v>
      </c>
      <c r="G30" s="369">
        <f t="shared" si="2"/>
        <v>-1.9265046092777561E-2</v>
      </c>
      <c r="H30" s="364">
        <f>'План погрузки'!I46</f>
        <v>37.677301</v>
      </c>
      <c r="I30" s="358">
        <f t="shared" ref="I30:I31" si="13">I35+I39+I43</f>
        <v>36.951446059583546</v>
      </c>
      <c r="J30" s="358">
        <f t="shared" si="3"/>
        <v>-0.72585494041645404</v>
      </c>
      <c r="K30" s="369">
        <f t="shared" si="4"/>
        <v>-1.9265046092777561E-2</v>
      </c>
      <c r="L30" s="364">
        <f>'План погрузки'!J46</f>
        <v>37.958999999999996</v>
      </c>
      <c r="M30" s="358">
        <f t="shared" ref="M30:M31" si="14">M35+M39+M43</f>
        <v>37.227718115364254</v>
      </c>
      <c r="N30" s="358">
        <f t="shared" si="5"/>
        <v>-0.73128188463574162</v>
      </c>
      <c r="O30" s="369">
        <f t="shared" si="6"/>
        <v>-1.9265046092777516E-2</v>
      </c>
      <c r="P30" s="172">
        <f>'План погрузки'!K46</f>
        <v>39.737000000000002</v>
      </c>
      <c r="Q30" s="358">
        <f t="shared" ref="Q30:Q31" si="15">Q35+Q39+Q43</f>
        <v>38.971464863411299</v>
      </c>
      <c r="R30" s="358">
        <f t="shared" si="7"/>
        <v>-0.76553513658870287</v>
      </c>
      <c r="S30" s="369">
        <f t="shared" si="8"/>
        <v>-1.9265046092777582E-2</v>
      </c>
      <c r="T30" s="172">
        <f>'План погрузки'!L46</f>
        <v>41.792999999999999</v>
      </c>
      <c r="U30" s="358">
        <f t="shared" ref="U30:U31" si="16">U35+U39+U43</f>
        <v>40.987855928644542</v>
      </c>
      <c r="V30" s="358">
        <f t="shared" si="9"/>
        <v>-0.80514407135545696</v>
      </c>
      <c r="W30" s="369">
        <f t="shared" si="10"/>
        <v>-1.9265046092777665E-2</v>
      </c>
    </row>
    <row r="31" spans="1:24">
      <c r="A31" s="349" t="s">
        <v>36</v>
      </c>
      <c r="B31" s="364">
        <f t="shared" si="11"/>
        <v>21.159581000000003</v>
      </c>
      <c r="C31" s="355">
        <f>'План погрузки'!G59</f>
        <v>20.523358999999999</v>
      </c>
      <c r="D31" s="364">
        <f>'План погрузки'!H59</f>
        <v>27.174728999999999</v>
      </c>
      <c r="E31" s="358">
        <f t="shared" si="12"/>
        <v>27.027627299418025</v>
      </c>
      <c r="F31" s="358">
        <f t="shared" si="1"/>
        <v>-0.14710170058197392</v>
      </c>
      <c r="G31" s="369">
        <f t="shared" si="2"/>
        <v>-5.41318003877698E-3</v>
      </c>
      <c r="H31" s="364">
        <f>'План погрузки'!I59</f>
        <v>27.303181729628601</v>
      </c>
      <c r="I31" s="358">
        <f t="shared" si="13"/>
        <v>27.155384691294678</v>
      </c>
      <c r="J31" s="358">
        <f t="shared" si="3"/>
        <v>-0.14779703833392333</v>
      </c>
      <c r="K31" s="369">
        <f t="shared" si="4"/>
        <v>-5.4131800387768863E-3</v>
      </c>
      <c r="L31" s="364">
        <f>'План погрузки'!J59</f>
        <v>27.533999999999999</v>
      </c>
      <c r="M31" s="358">
        <f t="shared" si="14"/>
        <v>27.384953500812315</v>
      </c>
      <c r="N31" s="358">
        <f t="shared" si="5"/>
        <v>-0.14904649918768342</v>
      </c>
      <c r="O31" s="369">
        <f t="shared" si="6"/>
        <v>-5.4131800387769097E-3</v>
      </c>
      <c r="P31" s="172">
        <f>'План погрузки'!K59</f>
        <v>27.765999999999998</v>
      </c>
      <c r="Q31" s="358">
        <f t="shared" si="15"/>
        <v>27.615697643043319</v>
      </c>
      <c r="R31" s="358">
        <f t="shared" si="7"/>
        <v>-0.15030235695667926</v>
      </c>
      <c r="S31" s="369">
        <f t="shared" si="8"/>
        <v>-5.413180038776895E-3</v>
      </c>
      <c r="T31" s="172">
        <f>'План погрузки'!L59</f>
        <v>28</v>
      </c>
      <c r="U31" s="358">
        <f t="shared" si="16"/>
        <v>27.848430958914246</v>
      </c>
      <c r="V31" s="358">
        <f t="shared" si="9"/>
        <v>-0.15156904108575375</v>
      </c>
      <c r="W31" s="369">
        <f t="shared" si="10"/>
        <v>-5.4131800387769201E-3</v>
      </c>
    </row>
    <row r="32" spans="1:24">
      <c r="A32" s="59" t="s">
        <v>311</v>
      </c>
      <c r="B32" s="364"/>
      <c r="C32" s="355"/>
      <c r="D32" s="364"/>
      <c r="E32" s="358"/>
      <c r="F32" s="358"/>
      <c r="G32" s="369"/>
      <c r="H32" s="364"/>
      <c r="I32" s="358"/>
      <c r="J32" s="358"/>
      <c r="K32" s="369"/>
      <c r="L32" s="364"/>
      <c r="M32" s="358"/>
      <c r="N32" s="358"/>
      <c r="O32" s="369"/>
      <c r="Q32" s="358"/>
      <c r="R32" s="358"/>
      <c r="S32" s="369"/>
      <c r="U32" s="358"/>
      <c r="V32" s="358"/>
      <c r="W32" s="369"/>
    </row>
    <row r="33" spans="1:23">
      <c r="A33" s="350" t="s">
        <v>18</v>
      </c>
      <c r="B33" s="365">
        <f>B34+B35+B36</f>
        <v>132.536315</v>
      </c>
      <c r="C33" s="360"/>
      <c r="D33" s="365">
        <f>SUM(D34:D36)</f>
        <v>136.86279078754535</v>
      </c>
      <c r="E33" s="359">
        <f>SUM(E34:E36)</f>
        <v>135.67982241804316</v>
      </c>
      <c r="F33" s="359">
        <f t="shared" si="1"/>
        <v>-1.1829683695021913</v>
      </c>
      <c r="G33" s="371">
        <f t="shared" si="2"/>
        <v>-8.6434622784985812E-3</v>
      </c>
      <c r="H33" s="365">
        <f>SUM(H34:H36)</f>
        <v>135.42364252327036</v>
      </c>
      <c r="I33" s="359">
        <f>SUM(I34:I36)</f>
        <v>134.24581590580704</v>
      </c>
      <c r="J33" s="359">
        <f t="shared" ref="J33:J44" si="17">I33-H33</f>
        <v>-1.1778266174633245</v>
      </c>
      <c r="K33" s="371">
        <f t="shared" ref="K33:K44" si="18">J33/H33</f>
        <v>-8.6973485243607603E-3</v>
      </c>
      <c r="L33" s="365">
        <f>SUM(L34:L36)</f>
        <v>135.85657247147282</v>
      </c>
      <c r="M33" s="359">
        <f>SUM(M34:M36)</f>
        <v>134.67206944893644</v>
      </c>
      <c r="N33" s="359">
        <f t="shared" ref="N33:N44" si="19">M33-L33</f>
        <v>-1.1845030225363757</v>
      </c>
      <c r="O33" s="371">
        <f t="shared" ref="O33:O44" si="20">N33/L33</f>
        <v>-8.7187759928589233E-3</v>
      </c>
      <c r="P33" s="365">
        <f>SUM(P34:P36)</f>
        <v>136.56827908990812</v>
      </c>
      <c r="Q33" s="359">
        <f>SUM(Q34:Q36)</f>
        <v>135.35216905102109</v>
      </c>
      <c r="R33" s="359">
        <f t="shared" ref="R33:R44" si="21">Q33-P33</f>
        <v>-1.2161100388870238</v>
      </c>
      <c r="S33" s="371">
        <f t="shared" ref="S33:S44" si="22">R33/P33</f>
        <v>-8.9047767680107623E-3</v>
      </c>
      <c r="T33" s="365">
        <f>SUM(T34:T36)</f>
        <v>137.53851102456207</v>
      </c>
      <c r="U33" s="359">
        <f>SUM(U34:U36)</f>
        <v>136.28537577679461</v>
      </c>
      <c r="V33" s="359">
        <f t="shared" ref="V33:V44" si="23">U33-T33</f>
        <v>-1.2531352477674602</v>
      </c>
      <c r="W33" s="371">
        <f t="shared" ref="W33:W44" si="24">V33/T33</f>
        <v>-9.111159037803393E-3</v>
      </c>
    </row>
    <row r="34" spans="1:23">
      <c r="A34" s="349" t="s">
        <v>25</v>
      </c>
      <c r="B34" s="364">
        <v>81.093119999999999</v>
      </c>
      <c r="C34" s="355"/>
      <c r="D34" s="364">
        <f>$D$29*$B$34/$B$29</f>
        <v>81.944806220437201</v>
      </c>
      <c r="E34" s="358">
        <f>$E$11*D34</f>
        <v>81.634794491933448</v>
      </c>
      <c r="F34" s="358">
        <f t="shared" si="1"/>
        <v>-0.31001172850375269</v>
      </c>
      <c r="G34" s="369">
        <f t="shared" si="2"/>
        <v>-3.7831772726364095E-3</v>
      </c>
      <c r="H34" s="364">
        <f>$H$29*$B$34/$B$29</f>
        <v>80.401899459761822</v>
      </c>
      <c r="I34" s="358">
        <f>$E$11*H34</f>
        <v>80.097724821048857</v>
      </c>
      <c r="J34" s="358">
        <f t="shared" si="17"/>
        <v>-0.30417463871296491</v>
      </c>
      <c r="K34" s="369">
        <f t="shared" si="18"/>
        <v>-3.7831772726363644E-3</v>
      </c>
      <c r="L34" s="364">
        <f>$L$29*$B$34/$B$29</f>
        <v>80.401899459761822</v>
      </c>
      <c r="M34" s="358">
        <f>$E$11*L34</f>
        <v>80.097724821048857</v>
      </c>
      <c r="N34" s="358">
        <f t="shared" si="19"/>
        <v>-0.30417463871296491</v>
      </c>
      <c r="O34" s="369">
        <f t="shared" si="20"/>
        <v>-3.7831772726363644E-3</v>
      </c>
      <c r="P34" s="364">
        <f>$P$29*$B$34/$B$29</f>
        <v>79.370466595240273</v>
      </c>
      <c r="Q34" s="358">
        <f>$E$11*P34</f>
        <v>79.070194049898618</v>
      </c>
      <c r="R34" s="358">
        <f t="shared" si="21"/>
        <v>-0.30027254534165593</v>
      </c>
      <c r="S34" s="369">
        <f t="shared" si="22"/>
        <v>-3.783177272636354E-3</v>
      </c>
      <c r="T34" s="364">
        <f>$T$29*$B$34/$B$29</f>
        <v>78.352695093162694</v>
      </c>
      <c r="U34" s="358">
        <f>$E$11*T34</f>
        <v>78.056272957836441</v>
      </c>
      <c r="V34" s="358">
        <f t="shared" si="23"/>
        <v>-0.29642213532625306</v>
      </c>
      <c r="W34" s="369">
        <f t="shared" si="24"/>
        <v>-3.7831772726362773E-3</v>
      </c>
    </row>
    <row r="35" spans="1:23">
      <c r="A35" s="349" t="s">
        <v>33</v>
      </c>
      <c r="B35" s="364">
        <v>34.351410999999999</v>
      </c>
      <c r="C35" s="355"/>
      <c r="D35" s="364">
        <f>$D$30*$B$35/$B$30</f>
        <v>32.967427118615383</v>
      </c>
      <c r="E35" s="358">
        <f>$E$12*D35</f>
        <v>32.241572178198929</v>
      </c>
      <c r="F35" s="358">
        <f t="shared" si="1"/>
        <v>-0.72585494041645404</v>
      </c>
      <c r="G35" s="369">
        <f t="shared" si="2"/>
        <v>-2.2017336621534316E-2</v>
      </c>
      <c r="H35" s="364">
        <f>$H$30*$B$35/$B$30</f>
        <v>32.967427118615383</v>
      </c>
      <c r="I35" s="358">
        <f>$E$12*H35</f>
        <v>32.241572178198929</v>
      </c>
      <c r="J35" s="358">
        <f t="shared" si="17"/>
        <v>-0.72585494041645404</v>
      </c>
      <c r="K35" s="369">
        <f t="shared" si="18"/>
        <v>-2.2017336621534316E-2</v>
      </c>
      <c r="L35" s="364">
        <f>$L$30*$B$35/$B$30</f>
        <v>33.213912164130896</v>
      </c>
      <c r="M35" s="358">
        <f>$E$12*L35</f>
        <v>32.482630279495147</v>
      </c>
      <c r="N35" s="358">
        <f t="shared" si="19"/>
        <v>-0.73128188463574872</v>
      </c>
      <c r="O35" s="369">
        <f t="shared" si="20"/>
        <v>-2.2017336621534482E-2</v>
      </c>
      <c r="P35" s="364">
        <f>$P$30*$B$35/$B$30</f>
        <v>34.769652194896324</v>
      </c>
      <c r="Q35" s="358">
        <f>$E$12*P35</f>
        <v>34.004117058307621</v>
      </c>
      <c r="R35" s="358">
        <f t="shared" si="21"/>
        <v>-0.76553513658870287</v>
      </c>
      <c r="S35" s="369">
        <f t="shared" si="22"/>
        <v>-2.2017336621534347E-2</v>
      </c>
      <c r="T35" s="364">
        <f>$T$30*$B$35/$B$30</f>
        <v>36.568640666917531</v>
      </c>
      <c r="U35" s="358">
        <f>$E$12*T35</f>
        <v>35.763496595562074</v>
      </c>
      <c r="V35" s="358">
        <f t="shared" si="23"/>
        <v>-0.80514407135545696</v>
      </c>
      <c r="W35" s="369">
        <f t="shared" si="24"/>
        <v>-2.201733662153444E-2</v>
      </c>
    </row>
    <row r="36" spans="1:23">
      <c r="A36" s="349" t="s">
        <v>36</v>
      </c>
      <c r="B36" s="364">
        <v>17.091784000000001</v>
      </c>
      <c r="C36" s="355"/>
      <c r="D36" s="364">
        <f>$D$31*$B$36/$B$31</f>
        <v>21.950557448492763</v>
      </c>
      <c r="E36" s="358">
        <f>$E$13*D36</f>
        <v>21.803455747910792</v>
      </c>
      <c r="F36" s="358">
        <f t="shared" si="1"/>
        <v>-0.14710170058197036</v>
      </c>
      <c r="G36" s="369">
        <f t="shared" si="2"/>
        <v>-6.7015018150288989E-3</v>
      </c>
      <c r="H36" s="364">
        <f>$H$31*$B$36/$B$31</f>
        <v>22.054315944893162</v>
      </c>
      <c r="I36" s="358">
        <f>$E$13*H36</f>
        <v>21.906518906559242</v>
      </c>
      <c r="J36" s="358">
        <f t="shared" si="17"/>
        <v>-0.14779703833391977</v>
      </c>
      <c r="K36" s="369">
        <f t="shared" si="18"/>
        <v>-6.7015018150287835E-3</v>
      </c>
      <c r="L36" s="364">
        <f>$L$31*$B$36/$B$31</f>
        <v>22.240760847580109</v>
      </c>
      <c r="M36" s="358">
        <f>$E$13*L36</f>
        <v>22.091714348392429</v>
      </c>
      <c r="N36" s="358">
        <f t="shared" si="19"/>
        <v>-0.14904649918767987</v>
      </c>
      <c r="O36" s="369">
        <f t="shared" si="20"/>
        <v>-6.701501815028813E-3</v>
      </c>
      <c r="P36" s="364">
        <f>$P$31*$B$36/$B$31</f>
        <v>22.428160299771527</v>
      </c>
      <c r="Q36" s="358">
        <f>$E$13*P36</f>
        <v>22.277857942814851</v>
      </c>
      <c r="R36" s="358">
        <f t="shared" si="21"/>
        <v>-0.15030235695667571</v>
      </c>
      <c r="S36" s="369">
        <f t="shared" si="22"/>
        <v>-6.7015018150287974E-3</v>
      </c>
      <c r="T36" s="364">
        <f>$T$31*$B$36/$B$31</f>
        <v>22.61717526448184</v>
      </c>
      <c r="U36" s="358">
        <f>$E$13*T36</f>
        <v>22.46560622339609</v>
      </c>
      <c r="V36" s="358">
        <f t="shared" si="23"/>
        <v>-0.1515690410857502</v>
      </c>
      <c r="W36" s="369">
        <f t="shared" si="24"/>
        <v>-6.7015018150288295E-3</v>
      </c>
    </row>
    <row r="37" spans="1:23">
      <c r="A37" s="350" t="s">
        <v>78</v>
      </c>
      <c r="B37" s="365">
        <f>B38+B39+B40</f>
        <v>32.077955000000003</v>
      </c>
      <c r="C37" s="360"/>
      <c r="D37" s="365">
        <f>SUM(D38:D40)</f>
        <v>32.896365023144952</v>
      </c>
      <c r="E37" s="359">
        <f>SUM(E38:E40)</f>
        <v>32.896365023144952</v>
      </c>
      <c r="F37" s="359">
        <f t="shared" si="1"/>
        <v>0</v>
      </c>
      <c r="G37" s="371">
        <f t="shared" si="2"/>
        <v>0</v>
      </c>
      <c r="H37" s="365">
        <f>SUM(H38:H40)</f>
        <v>32.38570847535302</v>
      </c>
      <c r="I37" s="359">
        <f>SUM(I38:I40)</f>
        <v>32.38570847535302</v>
      </c>
      <c r="J37" s="359">
        <f t="shared" si="17"/>
        <v>0</v>
      </c>
      <c r="K37" s="371">
        <f t="shared" si="18"/>
        <v>0</v>
      </c>
      <c r="L37" s="365">
        <f>SUM(L38:L40)</f>
        <v>32.426464034112158</v>
      </c>
      <c r="M37" s="359">
        <f>SUM(M38:M40)</f>
        <v>32.426464034112158</v>
      </c>
      <c r="N37" s="359">
        <f t="shared" si="19"/>
        <v>0</v>
      </c>
      <c r="O37" s="371">
        <f t="shared" si="20"/>
        <v>0</v>
      </c>
      <c r="P37" s="365">
        <f>SUM(P38:P40)</f>
        <v>32.206432524182674</v>
      </c>
      <c r="Q37" s="359">
        <f>SUM(Q38:Q40)</f>
        <v>32.206432524182674</v>
      </c>
      <c r="R37" s="359">
        <f t="shared" si="21"/>
        <v>0</v>
      </c>
      <c r="S37" s="371">
        <f t="shared" si="22"/>
        <v>0</v>
      </c>
      <c r="T37" s="365">
        <f>SUM(T38:T40)</f>
        <v>32.007851461283025</v>
      </c>
      <c r="U37" s="359">
        <f>SUM(U38:U40)</f>
        <v>32.007851461283025</v>
      </c>
      <c r="V37" s="359">
        <f t="shared" si="23"/>
        <v>0</v>
      </c>
      <c r="W37" s="371">
        <f t="shared" si="24"/>
        <v>0</v>
      </c>
    </row>
    <row r="38" spans="1:23">
      <c r="A38" s="349" t="s">
        <v>25</v>
      </c>
      <c r="B38" s="364">
        <v>27.539394000000001</v>
      </c>
      <c r="C38" s="355"/>
      <c r="D38" s="364">
        <f>$D$29*$B$38/$B$29</f>
        <v>27.828628430602631</v>
      </c>
      <c r="E38" s="358">
        <f>$E$7*D38</f>
        <v>27.828628430602631</v>
      </c>
      <c r="F38" s="358">
        <f t="shared" si="1"/>
        <v>0</v>
      </c>
      <c r="G38" s="369">
        <f t="shared" si="2"/>
        <v>0</v>
      </c>
      <c r="H38" s="364">
        <f>$H$29*$B$38/$B$29</f>
        <v>27.304654051672546</v>
      </c>
      <c r="I38" s="358">
        <f>$E$7*H38</f>
        <v>27.304654051672546</v>
      </c>
      <c r="J38" s="358">
        <f t="shared" si="17"/>
        <v>0</v>
      </c>
      <c r="K38" s="369">
        <f t="shared" si="18"/>
        <v>0</v>
      </c>
      <c r="L38" s="364">
        <f>$L$29*$B$38/$B$29</f>
        <v>27.304654051672546</v>
      </c>
      <c r="M38" s="358">
        <f>$E$7*L38</f>
        <v>27.304654051672546</v>
      </c>
      <c r="N38" s="358">
        <f t="shared" si="19"/>
        <v>0</v>
      </c>
      <c r="O38" s="369">
        <f t="shared" si="20"/>
        <v>0</v>
      </c>
      <c r="P38" s="364">
        <f>$P$29*$B$38/$B$29</f>
        <v>26.954377282933006</v>
      </c>
      <c r="Q38" s="358">
        <f>$E$7*P38</f>
        <v>26.954377282933006</v>
      </c>
      <c r="R38" s="358">
        <f t="shared" si="21"/>
        <v>0</v>
      </c>
      <c r="S38" s="369">
        <f t="shared" si="22"/>
        <v>0</v>
      </c>
      <c r="T38" s="364">
        <f>$T$29*$B$38/$B$29</f>
        <v>26.608739941593985</v>
      </c>
      <c r="U38" s="358">
        <f>$E$7*T38</f>
        <v>26.608739941593985</v>
      </c>
      <c r="V38" s="358">
        <f t="shared" si="23"/>
        <v>0</v>
      </c>
      <c r="W38" s="369">
        <f t="shared" si="24"/>
        <v>0</v>
      </c>
    </row>
    <row r="39" spans="1:23">
      <c r="A39" s="349" t="s">
        <v>33</v>
      </c>
      <c r="B39" s="364">
        <v>2.34476</v>
      </c>
      <c r="C39" s="355"/>
      <c r="D39" s="364">
        <f>$D$30*$B$39/$B$30</f>
        <v>2.2502919723048525</v>
      </c>
      <c r="E39" s="358">
        <f>$E$8*D39</f>
        <v>2.2502919723048525</v>
      </c>
      <c r="F39" s="358">
        <f t="shared" si="1"/>
        <v>0</v>
      </c>
      <c r="G39" s="369">
        <f t="shared" si="2"/>
        <v>0</v>
      </c>
      <c r="H39" s="364">
        <f>$H$30*$B$39/$B$30</f>
        <v>2.2502919723048525</v>
      </c>
      <c r="I39" s="358">
        <f>$E$8*H39</f>
        <v>2.2502919723048525</v>
      </c>
      <c r="J39" s="358">
        <f t="shared" si="17"/>
        <v>0</v>
      </c>
      <c r="K39" s="369">
        <f t="shared" si="18"/>
        <v>0</v>
      </c>
      <c r="L39" s="364">
        <f>$L$30*$B$39/$B$30</f>
        <v>2.2671165585008302</v>
      </c>
      <c r="M39" s="358">
        <f>$E$8*L39</f>
        <v>2.2671165585008302</v>
      </c>
      <c r="N39" s="358">
        <f t="shared" si="19"/>
        <v>0</v>
      </c>
      <c r="O39" s="369">
        <f t="shared" si="20"/>
        <v>0</v>
      </c>
      <c r="P39" s="364">
        <f>$P$30*$B$39/$B$30</f>
        <v>2.3733083243801865</v>
      </c>
      <c r="Q39" s="358">
        <f>$E$8*P39</f>
        <v>2.3733083243801865</v>
      </c>
      <c r="R39" s="358">
        <f t="shared" si="21"/>
        <v>0</v>
      </c>
      <c r="S39" s="369">
        <f t="shared" si="22"/>
        <v>0</v>
      </c>
      <c r="T39" s="364">
        <f>$T$30*$B$39/$B$30</f>
        <v>2.4961037521911851</v>
      </c>
      <c r="U39" s="358">
        <f>$E$8*T39</f>
        <v>2.4961037521911851</v>
      </c>
      <c r="V39" s="358">
        <f t="shared" si="23"/>
        <v>0</v>
      </c>
      <c r="W39" s="369">
        <f t="shared" si="24"/>
        <v>0</v>
      </c>
    </row>
    <row r="40" spans="1:23">
      <c r="A40" s="349" t="s">
        <v>36</v>
      </c>
      <c r="B40" s="364">
        <v>2.1938010000000001</v>
      </c>
      <c r="C40" s="355"/>
      <c r="D40" s="364">
        <f>$D$31*$B$40/$B$31</f>
        <v>2.8174446202374703</v>
      </c>
      <c r="E40" s="358">
        <f>$E$9*D40</f>
        <v>2.8174446202374703</v>
      </c>
      <c r="F40" s="358">
        <f t="shared" si="1"/>
        <v>0</v>
      </c>
      <c r="G40" s="369">
        <f t="shared" si="2"/>
        <v>0</v>
      </c>
      <c r="H40" s="364">
        <f>$H$31*$B$40/$B$31</f>
        <v>2.8307624513756182</v>
      </c>
      <c r="I40" s="358">
        <f>$E$9*H40</f>
        <v>2.8307624513756182</v>
      </c>
      <c r="J40" s="358">
        <f t="shared" si="17"/>
        <v>0</v>
      </c>
      <c r="K40" s="369">
        <f t="shared" si="18"/>
        <v>0</v>
      </c>
      <c r="L40" s="364">
        <f>$L$31*$B$40/$B$31</f>
        <v>2.8546934239387816</v>
      </c>
      <c r="M40" s="358">
        <f>$E$9*L40</f>
        <v>2.8546934239387816</v>
      </c>
      <c r="N40" s="358">
        <f t="shared" si="19"/>
        <v>0</v>
      </c>
      <c r="O40" s="369">
        <f t="shared" si="20"/>
        <v>0</v>
      </c>
      <c r="P40" s="364">
        <f>$P$31*$B$40/$B$31</f>
        <v>2.8787469168694781</v>
      </c>
      <c r="Q40" s="358">
        <f>$E$9*P40</f>
        <v>2.8787469168694781</v>
      </c>
      <c r="R40" s="358">
        <f t="shared" si="21"/>
        <v>0</v>
      </c>
      <c r="S40" s="369">
        <f t="shared" si="22"/>
        <v>0</v>
      </c>
      <c r="T40" s="364">
        <f>$T$31*$B$40/$B$31</f>
        <v>2.9030077674978534</v>
      </c>
      <c r="U40" s="358">
        <f>$E$9*T40</f>
        <v>2.9030077674978534</v>
      </c>
      <c r="V40" s="358">
        <f t="shared" si="23"/>
        <v>0</v>
      </c>
      <c r="W40" s="369">
        <f t="shared" si="24"/>
        <v>0</v>
      </c>
    </row>
    <row r="41" spans="1:23">
      <c r="A41" s="351" t="s">
        <v>99</v>
      </c>
      <c r="B41" s="365">
        <f>B42+B43+B44</f>
        <v>14.523252999999999</v>
      </c>
      <c r="C41" s="360"/>
      <c r="D41" s="365">
        <f>SUM(D42:D44)</f>
        <v>15.058663189309694</v>
      </c>
      <c r="E41" s="359">
        <f>SUM(E42:E44)</f>
        <v>15.058663189309694</v>
      </c>
      <c r="F41" s="359">
        <f t="shared" si="1"/>
        <v>0</v>
      </c>
      <c r="G41" s="371">
        <f t="shared" si="2"/>
        <v>0</v>
      </c>
      <c r="H41" s="365">
        <f>SUM(H42:H44)</f>
        <v>14.878131731005206</v>
      </c>
      <c r="I41" s="359">
        <f>SUM(I42:I44)</f>
        <v>14.878131731005206</v>
      </c>
      <c r="J41" s="359">
        <f t="shared" si="17"/>
        <v>0</v>
      </c>
      <c r="K41" s="371">
        <f t="shared" si="18"/>
        <v>0</v>
      </c>
      <c r="L41" s="365">
        <f>SUM(L42:L44)</f>
        <v>14.916963494415</v>
      </c>
      <c r="M41" s="359">
        <f>SUM(M42:M44)</f>
        <v>14.916963494415</v>
      </c>
      <c r="N41" s="359">
        <f t="shared" si="19"/>
        <v>0</v>
      </c>
      <c r="O41" s="371">
        <f t="shared" si="20"/>
        <v>0</v>
      </c>
      <c r="P41" s="365">
        <f>SUM(P42:P44)</f>
        <v>14.925288385909216</v>
      </c>
      <c r="Q41" s="359">
        <f>SUM(Q42:Q44)</f>
        <v>14.925288385909216</v>
      </c>
      <c r="R41" s="359">
        <f t="shared" si="21"/>
        <v>0</v>
      </c>
      <c r="S41" s="371">
        <f t="shared" si="22"/>
        <v>0</v>
      </c>
      <c r="T41" s="365">
        <f>SUM(T42:T44)</f>
        <v>14.953637514154913</v>
      </c>
      <c r="U41" s="359">
        <f>SUM(U42:U44)</f>
        <v>14.953637514154913</v>
      </c>
      <c r="V41" s="359">
        <f t="shared" si="23"/>
        <v>0</v>
      </c>
      <c r="W41" s="371">
        <f t="shared" si="24"/>
        <v>0</v>
      </c>
    </row>
    <row r="42" spans="1:23">
      <c r="A42" s="349" t="s">
        <v>25</v>
      </c>
      <c r="B42" s="364">
        <v>10.086421</v>
      </c>
      <c r="C42" s="355"/>
      <c r="D42" s="364">
        <f>$D$29*$B$42/$B$29</f>
        <v>10.192354348960162</v>
      </c>
      <c r="E42" s="358">
        <f>$E$5*D42</f>
        <v>10.192354348960162</v>
      </c>
      <c r="F42" s="358">
        <f t="shared" si="1"/>
        <v>0</v>
      </c>
      <c r="G42" s="369">
        <f t="shared" si="2"/>
        <v>0</v>
      </c>
      <c r="H42" s="364">
        <f>$H$29*$B$42/$B$29</f>
        <v>10.000446488565618</v>
      </c>
      <c r="I42" s="358">
        <f>$E$5*H42</f>
        <v>10.000446488565618</v>
      </c>
      <c r="J42" s="358">
        <f t="shared" si="17"/>
        <v>0</v>
      </c>
      <c r="K42" s="369">
        <f t="shared" si="18"/>
        <v>0</v>
      </c>
      <c r="L42" s="364">
        <f>$L$29*$B$42/$B$29</f>
        <v>10.000446488565618</v>
      </c>
      <c r="M42" s="358">
        <f>$E$5*L42</f>
        <v>10.000446488565618</v>
      </c>
      <c r="N42" s="358">
        <f t="shared" si="19"/>
        <v>0</v>
      </c>
      <c r="O42" s="369">
        <f t="shared" si="20"/>
        <v>0</v>
      </c>
      <c r="P42" s="364">
        <f>$P$29*$B$42/$B$29</f>
        <v>9.8721561218267322</v>
      </c>
      <c r="Q42" s="358">
        <f>$E$5*P42</f>
        <v>9.8721561218267322</v>
      </c>
      <c r="R42" s="358">
        <f t="shared" si="21"/>
        <v>0</v>
      </c>
      <c r="S42" s="369">
        <f t="shared" si="22"/>
        <v>0</v>
      </c>
      <c r="T42" s="364">
        <f>$T$29*$B$42/$B$29</f>
        <v>9.7455649652433269</v>
      </c>
      <c r="U42" s="358">
        <f>$E$5*T42</f>
        <v>9.7455649652433269</v>
      </c>
      <c r="V42" s="358">
        <f t="shared" si="23"/>
        <v>0</v>
      </c>
      <c r="W42" s="369">
        <f t="shared" si="24"/>
        <v>0</v>
      </c>
    </row>
    <row r="43" spans="1:23">
      <c r="A43" s="349" t="s">
        <v>33</v>
      </c>
      <c r="B43" s="364">
        <v>2.5628359999999999</v>
      </c>
      <c r="C43" s="355"/>
      <c r="D43" s="364">
        <f>$D$30*$B$43/$B$30</f>
        <v>2.4595819090797688</v>
      </c>
      <c r="E43" s="358">
        <f t="shared" ref="E43:E44" si="25">$E$5*D43</f>
        <v>2.4595819090797688</v>
      </c>
      <c r="F43" s="358">
        <f t="shared" si="1"/>
        <v>0</v>
      </c>
      <c r="G43" s="369">
        <f t="shared" si="2"/>
        <v>0</v>
      </c>
      <c r="H43" s="364">
        <f>$H$30*$B$43/$B$30</f>
        <v>2.4595819090797688</v>
      </c>
      <c r="I43" s="358">
        <f t="shared" ref="I43:I44" si="26">$E$5*H43</f>
        <v>2.4595819090797688</v>
      </c>
      <c r="J43" s="358">
        <f t="shared" si="17"/>
        <v>0</v>
      </c>
      <c r="K43" s="369">
        <f t="shared" si="18"/>
        <v>0</v>
      </c>
      <c r="L43" s="364">
        <f>$L$30*$B$43/$B$30</f>
        <v>2.4779712773682738</v>
      </c>
      <c r="M43" s="358">
        <f>$E$5*L43</f>
        <v>2.4779712773682738</v>
      </c>
      <c r="N43" s="358">
        <f t="shared" si="19"/>
        <v>0</v>
      </c>
      <c r="O43" s="369">
        <f t="shared" si="20"/>
        <v>0</v>
      </c>
      <c r="P43" s="364">
        <f>$P$30*$B$43/$B$30</f>
        <v>2.5940394807234939</v>
      </c>
      <c r="Q43" s="358">
        <f>$E$5*P43</f>
        <v>2.5940394807234939</v>
      </c>
      <c r="R43" s="358">
        <f t="shared" si="21"/>
        <v>0</v>
      </c>
      <c r="S43" s="369">
        <f t="shared" si="22"/>
        <v>0</v>
      </c>
      <c r="T43" s="364">
        <f>$T$30*$B$43/$B$30</f>
        <v>2.7282555808912843</v>
      </c>
      <c r="U43" s="358">
        <f>$E$5*T43</f>
        <v>2.7282555808912843</v>
      </c>
      <c r="V43" s="358">
        <f t="shared" si="23"/>
        <v>0</v>
      </c>
      <c r="W43" s="369">
        <f t="shared" si="24"/>
        <v>0</v>
      </c>
    </row>
    <row r="44" spans="1:23">
      <c r="A44" s="349" t="s">
        <v>36</v>
      </c>
      <c r="B44" s="362">
        <v>1.873996</v>
      </c>
      <c r="C44" s="355"/>
      <c r="D44" s="364">
        <f>$D$31*$B$44/$B$31</f>
        <v>2.4067269312697634</v>
      </c>
      <c r="E44" s="358">
        <f t="shared" si="25"/>
        <v>2.4067269312697634</v>
      </c>
      <c r="F44" s="358">
        <f t="shared" si="1"/>
        <v>0</v>
      </c>
      <c r="G44" s="369">
        <f t="shared" si="2"/>
        <v>0</v>
      </c>
      <c r="H44" s="364">
        <f>$H$31*$B$44/$B$31</f>
        <v>2.4181033333598183</v>
      </c>
      <c r="I44" s="358">
        <f t="shared" si="26"/>
        <v>2.4181033333598183</v>
      </c>
      <c r="J44" s="358">
        <f t="shared" si="17"/>
        <v>0</v>
      </c>
      <c r="K44" s="369">
        <f t="shared" si="18"/>
        <v>0</v>
      </c>
      <c r="L44" s="364">
        <f>$L$31*$B$44/$B$31</f>
        <v>2.438545728481107</v>
      </c>
      <c r="M44" s="358">
        <f>$E$5*L44</f>
        <v>2.438545728481107</v>
      </c>
      <c r="N44" s="358">
        <f t="shared" si="19"/>
        <v>0</v>
      </c>
      <c r="O44" s="369">
        <f t="shared" si="20"/>
        <v>0</v>
      </c>
      <c r="P44" s="364">
        <f>$P$31*$B$44/$B$31</f>
        <v>2.4590927833589897</v>
      </c>
      <c r="Q44" s="358">
        <f>$E$5*P44</f>
        <v>2.4590927833589897</v>
      </c>
      <c r="R44" s="358">
        <f t="shared" si="21"/>
        <v>0</v>
      </c>
      <c r="S44" s="369">
        <f t="shared" si="22"/>
        <v>0</v>
      </c>
      <c r="T44" s="364">
        <f>$T$31*$B$44/$B$31</f>
        <v>2.4798169680203022</v>
      </c>
      <c r="U44" s="358">
        <f>$E$5*T44</f>
        <v>2.4798169680203022</v>
      </c>
      <c r="V44" s="358">
        <f t="shared" si="23"/>
        <v>0</v>
      </c>
      <c r="W44" s="369">
        <f t="shared" si="24"/>
        <v>0</v>
      </c>
    </row>
    <row r="45" spans="1:23">
      <c r="D45" s="174"/>
      <c r="E45" s="172"/>
      <c r="I45" s="172"/>
      <c r="N45" s="172"/>
    </row>
    <row r="46" spans="1:23">
      <c r="D46" s="174"/>
      <c r="E46" s="172"/>
      <c r="I46" s="172"/>
      <c r="N46" s="172"/>
    </row>
    <row r="47" spans="1:23">
      <c r="D47" s="174"/>
      <c r="E47" s="172"/>
      <c r="I47" s="172"/>
      <c r="N47" s="172"/>
    </row>
    <row r="48" spans="1:23">
      <c r="D48" s="174"/>
      <c r="E48" s="172"/>
      <c r="I48" s="172"/>
      <c r="N48" s="172"/>
    </row>
    <row r="49" spans="9:14">
      <c r="I49" s="172"/>
      <c r="N49" s="172"/>
    </row>
    <row r="50" spans="9:14">
      <c r="N50" s="172"/>
    </row>
    <row r="51" spans="9:14">
      <c r="N51" s="172"/>
    </row>
  </sheetData>
  <mergeCells count="13">
    <mergeCell ref="T24:W24"/>
    <mergeCell ref="B24:C24"/>
    <mergeCell ref="D24:G24"/>
    <mergeCell ref="H24:K24"/>
    <mergeCell ref="L24:O24"/>
    <mergeCell ref="P24:S24"/>
    <mergeCell ref="G18:J20"/>
    <mergeCell ref="G13:J13"/>
    <mergeCell ref="G16:J16"/>
    <mergeCell ref="G15:J15"/>
    <mergeCell ref="G10:J10"/>
    <mergeCell ref="G12:H12"/>
    <mergeCell ref="I12:J12"/>
  </mergeCells>
  <pageMargins left="0.7" right="0.7" top="0.75" bottom="0.75" header="0.3" footer="0.3"/>
  <pageSetup paperSize="9" orientation="portrait" horizontalDpi="300" verticalDpi="3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6" name="Scroll Bar 1">
              <controlPr defaultSize="0" autoPict="0" altText="">
                <anchor moveWithCells="1">
                  <from>
                    <xdr:col>6</xdr:col>
                    <xdr:colOff>10886</xdr:colOff>
                    <xdr:row>12</xdr:row>
                    <xdr:rowOff>179614</xdr:rowOff>
                  </from>
                  <to>
                    <xdr:col>9</xdr:col>
                    <xdr:colOff>152400</xdr:colOff>
                    <xdr:row>13</xdr:row>
                    <xdr:rowOff>174171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Scroll Bar 10">
              <controlPr defaultSize="0" autoPict="0" altText="">
                <anchor moveWithCells="1">
                  <from>
                    <xdr:col>6</xdr:col>
                    <xdr:colOff>10886</xdr:colOff>
                    <xdr:row>15</xdr:row>
                    <xdr:rowOff>179614</xdr:rowOff>
                  </from>
                  <to>
                    <xdr:col>9</xdr:col>
                    <xdr:colOff>174171</xdr:colOff>
                    <xdr:row>16</xdr:row>
                    <xdr:rowOff>174171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6</xdr:col>
                    <xdr:colOff>767443</xdr:colOff>
                    <xdr:row>9</xdr:row>
                    <xdr:rowOff>179614</xdr:rowOff>
                  </from>
                  <to>
                    <xdr:col>7</xdr:col>
                    <xdr:colOff>713014</xdr:colOff>
                    <xdr:row>11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" name="Check Box 12">
              <controlPr defaultSize="0" autoFill="0" autoLine="0" autoPict="0">
                <anchor moveWithCells="1">
                  <from>
                    <xdr:col>8</xdr:col>
                    <xdr:colOff>794657</xdr:colOff>
                    <xdr:row>9</xdr:row>
                    <xdr:rowOff>174171</xdr:rowOff>
                  </from>
                  <to>
                    <xdr:col>9</xdr:col>
                    <xdr:colOff>1028700</xdr:colOff>
                    <xdr:row>11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Button 13">
              <controlPr defaultSize="0" print="0" autoFill="0" autoPict="0" macro="[0]!ObnovlenieSvodnuh">
                <anchor moveWithCells="1" sizeWithCells="1">
                  <from>
                    <xdr:col>6</xdr:col>
                    <xdr:colOff>5443</xdr:colOff>
                    <xdr:row>17</xdr:row>
                    <xdr:rowOff>168729</xdr:rowOff>
                  </from>
                  <to>
                    <xdr:col>9</xdr:col>
                    <xdr:colOff>1121229</xdr:colOff>
                    <xdr:row>20</xdr:row>
                    <xdr:rowOff>16329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JF39"/>
  <sheetViews>
    <sheetView tabSelected="1" zoomScale="55" zoomScaleNormal="55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I14" sqref="I14"/>
    </sheetView>
  </sheetViews>
  <sheetFormatPr defaultRowHeight="14.6" outlineLevelCol="1"/>
  <cols>
    <col min="1" max="1" width="49.53515625" hidden="1" customWidth="1" outlineLevel="1"/>
    <col min="2" max="2" width="8.84375" customWidth="1" collapsed="1"/>
    <col min="3" max="3" width="20.69140625" customWidth="1"/>
    <col min="4" max="4" width="10.3828125" customWidth="1"/>
    <col min="5" max="5" width="19" customWidth="1"/>
    <col min="6" max="6" width="38.84375" customWidth="1"/>
    <col min="7" max="7" width="11.921875" customWidth="1"/>
    <col min="8" max="8" width="9.15234375" customWidth="1"/>
    <col min="9" max="10" width="24.3828125" customWidth="1"/>
    <col min="11" max="11" width="16.3046875" customWidth="1"/>
    <col min="12" max="12" width="11.3046875" customWidth="1"/>
    <col min="13" max="13" width="11.3828125" customWidth="1"/>
    <col min="14" max="14" width="18.53515625" customWidth="1"/>
    <col min="15" max="15" width="17.69140625" customWidth="1"/>
    <col min="16" max="16" width="15.3828125" style="6" customWidth="1"/>
    <col min="17" max="17" width="30.15234375" customWidth="1"/>
    <col min="18" max="23" width="27.3046875" customWidth="1"/>
    <col min="24" max="24" width="16.3828125" customWidth="1"/>
    <col min="25" max="28" width="20.53515625" customWidth="1"/>
    <col min="29" max="29" width="28.53515625" customWidth="1"/>
    <col min="30" max="30" width="16.15234375" customWidth="1"/>
    <col min="31" max="31" width="23.53515625" customWidth="1"/>
    <col min="32" max="32" width="16.3828125" customWidth="1"/>
    <col min="33" max="33" width="14.69140625" customWidth="1"/>
    <col min="34" max="34" width="12.84375" customWidth="1"/>
    <col min="35" max="35" width="19.15234375" customWidth="1"/>
    <col min="36" max="37" width="22" customWidth="1"/>
    <col min="38" max="38" width="25.84375" customWidth="1"/>
    <col min="39" max="39" width="18.84375" customWidth="1"/>
    <col min="40" max="40" width="22.3046875" customWidth="1"/>
    <col min="41" max="41" width="21.15234375" customWidth="1"/>
    <col min="42" max="42" width="19.3828125" customWidth="1"/>
    <col min="43" max="43" width="19.69140625" customWidth="1"/>
    <col min="44" max="44" width="21.69140625" customWidth="1"/>
    <col min="45" max="45" width="14.53515625" customWidth="1"/>
    <col min="46" max="46" width="14.4609375" style="33" customWidth="1"/>
    <col min="47" max="51" width="18.53515625" customWidth="1"/>
    <col min="52" max="101" width="9.23046875" customWidth="1"/>
    <col min="102" max="252" width="9.23046875" customWidth="1" outlineLevel="1"/>
    <col min="253" max="253" width="22.3828125" customWidth="1"/>
    <col min="254" max="254" width="22.69140625" customWidth="1"/>
    <col min="255" max="255" width="18.61328125" customWidth="1"/>
    <col min="256" max="256" width="16.23046875" customWidth="1"/>
    <col min="257" max="257" width="54" customWidth="1"/>
  </cols>
  <sheetData>
    <row r="1" spans="1:266" ht="35.6" customHeight="1">
      <c r="AO1" s="109"/>
      <c r="IS1" s="422" t="s">
        <v>251</v>
      </c>
      <c r="IT1" s="422"/>
      <c r="IU1" s="404" t="s">
        <v>333</v>
      </c>
      <c r="IV1" s="387">
        <f>1+(IX1/1000)</f>
        <v>1</v>
      </c>
      <c r="IW1" s="389" t="s">
        <v>315</v>
      </c>
      <c r="IX1" s="403">
        <v>0</v>
      </c>
      <c r="IY1" s="384"/>
      <c r="IZ1" s="384"/>
      <c r="JA1" s="384"/>
      <c r="JB1" s="384"/>
      <c r="JC1" s="384"/>
      <c r="JD1" s="384"/>
      <c r="JE1" s="384"/>
      <c r="JF1" s="384"/>
    </row>
    <row r="2" spans="1:266" ht="34" customHeight="1">
      <c r="B2" s="425" t="s">
        <v>159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7"/>
      <c r="X2" s="428" t="s">
        <v>205</v>
      </c>
      <c r="Y2" s="429"/>
      <c r="Z2" s="429"/>
      <c r="AA2" s="429"/>
      <c r="AB2" s="430"/>
      <c r="AC2" s="431" t="s">
        <v>323</v>
      </c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3"/>
      <c r="AT2" s="168" t="s">
        <v>250</v>
      </c>
      <c r="AU2" s="423" t="s">
        <v>201</v>
      </c>
      <c r="AV2" s="434" t="s">
        <v>322</v>
      </c>
      <c r="AW2" s="435"/>
      <c r="AX2" s="435"/>
      <c r="AY2" s="436"/>
      <c r="AZ2" s="437" t="s">
        <v>186</v>
      </c>
      <c r="BA2" s="438"/>
      <c r="BB2" s="438"/>
      <c r="BC2" s="438"/>
      <c r="BD2" s="438"/>
      <c r="BE2" s="438"/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  <c r="BV2" s="438"/>
      <c r="BW2" s="438"/>
      <c r="BX2" s="438"/>
      <c r="BY2" s="438"/>
      <c r="BZ2" s="438"/>
      <c r="CA2" s="438"/>
      <c r="CB2" s="438"/>
      <c r="CC2" s="438"/>
      <c r="CD2" s="438"/>
      <c r="CE2" s="438"/>
      <c r="CF2" s="438"/>
      <c r="CG2" s="438"/>
      <c r="CH2" s="438"/>
      <c r="CI2" s="438"/>
      <c r="CJ2" s="438"/>
      <c r="CK2" s="438"/>
      <c r="CL2" s="438"/>
      <c r="CM2" s="438"/>
      <c r="CN2" s="438"/>
      <c r="CO2" s="438"/>
      <c r="CP2" s="438"/>
      <c r="CQ2" s="438"/>
      <c r="CR2" s="438"/>
      <c r="CS2" s="438"/>
      <c r="CT2" s="438"/>
      <c r="CU2" s="438"/>
      <c r="CV2" s="438"/>
      <c r="CW2" s="438"/>
      <c r="CX2" s="438"/>
      <c r="CY2" s="438"/>
      <c r="CZ2" s="438"/>
      <c r="DA2" s="438"/>
      <c r="DB2" s="438"/>
      <c r="DC2" s="438"/>
      <c r="DD2" s="438"/>
      <c r="DE2" s="438"/>
      <c r="DF2" s="438"/>
      <c r="DG2" s="438"/>
      <c r="DH2" s="438"/>
      <c r="DI2" s="438"/>
      <c r="DJ2" s="438"/>
      <c r="DK2" s="438"/>
      <c r="DL2" s="438"/>
      <c r="DM2" s="438"/>
      <c r="DN2" s="438"/>
      <c r="DO2" s="438"/>
      <c r="DP2" s="438"/>
      <c r="DQ2" s="438"/>
      <c r="DR2" s="438"/>
      <c r="DS2" s="438"/>
      <c r="DT2" s="438"/>
      <c r="DU2" s="438"/>
      <c r="DV2" s="438"/>
      <c r="DW2" s="438"/>
      <c r="DX2" s="438"/>
      <c r="DY2" s="438"/>
      <c r="DZ2" s="438"/>
      <c r="EA2" s="438"/>
      <c r="EB2" s="438"/>
      <c r="EC2" s="438"/>
      <c r="ED2" s="438"/>
      <c r="EE2" s="438"/>
      <c r="EF2" s="438"/>
      <c r="EG2" s="438"/>
      <c r="EH2" s="438"/>
      <c r="EI2" s="438"/>
      <c r="EJ2" s="438"/>
      <c r="EK2" s="438"/>
      <c r="EL2" s="438"/>
      <c r="EM2" s="438"/>
      <c r="EN2" s="438"/>
      <c r="EO2" s="438"/>
      <c r="EP2" s="438"/>
      <c r="EQ2" s="438"/>
      <c r="ER2" s="438"/>
      <c r="ES2" s="438"/>
      <c r="ET2" s="438"/>
      <c r="EU2" s="438"/>
      <c r="EV2" s="438"/>
      <c r="EW2" s="438"/>
      <c r="EX2" s="438"/>
      <c r="EY2" s="438"/>
      <c r="EZ2" s="438"/>
      <c r="FA2" s="438"/>
      <c r="FB2" s="438"/>
      <c r="FC2" s="438"/>
      <c r="FD2" s="438"/>
      <c r="FE2" s="438"/>
      <c r="FF2" s="438"/>
      <c r="FG2" s="438"/>
      <c r="FH2" s="438"/>
      <c r="FI2" s="438"/>
      <c r="FJ2" s="438"/>
      <c r="FK2" s="438"/>
      <c r="FL2" s="438"/>
      <c r="FM2" s="438"/>
      <c r="FN2" s="438"/>
      <c r="FO2" s="438"/>
      <c r="FP2" s="438"/>
      <c r="FQ2" s="438"/>
      <c r="FR2" s="438"/>
      <c r="FS2" s="438"/>
      <c r="FT2" s="438"/>
      <c r="FU2" s="438"/>
      <c r="FV2" s="438"/>
      <c r="FW2" s="438"/>
      <c r="FX2" s="438"/>
      <c r="FY2" s="438"/>
      <c r="FZ2" s="438"/>
      <c r="GA2" s="438"/>
      <c r="GB2" s="438"/>
      <c r="GC2" s="438"/>
      <c r="GD2" s="438"/>
      <c r="GE2" s="438"/>
      <c r="GF2" s="438"/>
      <c r="GG2" s="438"/>
      <c r="GH2" s="438"/>
      <c r="GI2" s="438"/>
      <c r="GJ2" s="438"/>
      <c r="GK2" s="438"/>
      <c r="GL2" s="438"/>
      <c r="GM2" s="438"/>
      <c r="GN2" s="438"/>
      <c r="GO2" s="438"/>
      <c r="GP2" s="438"/>
      <c r="GQ2" s="438"/>
      <c r="GR2" s="438"/>
      <c r="GS2" s="438"/>
      <c r="GT2" s="438"/>
      <c r="GU2" s="438"/>
      <c r="GV2" s="438"/>
      <c r="GW2" s="438"/>
      <c r="GX2" s="438"/>
      <c r="GY2" s="438"/>
      <c r="GZ2" s="438"/>
      <c r="HA2" s="438"/>
      <c r="HB2" s="438"/>
      <c r="HC2" s="438"/>
      <c r="HD2" s="438"/>
      <c r="HE2" s="438"/>
      <c r="HF2" s="438"/>
      <c r="HG2" s="438"/>
      <c r="HH2" s="438"/>
      <c r="HI2" s="438"/>
      <c r="HJ2" s="438"/>
      <c r="HK2" s="438"/>
      <c r="HL2" s="438"/>
      <c r="HM2" s="438"/>
      <c r="HN2" s="438"/>
      <c r="HO2" s="438"/>
      <c r="HP2" s="438"/>
      <c r="HQ2" s="438"/>
      <c r="HR2" s="438"/>
      <c r="HS2" s="438"/>
      <c r="HT2" s="438"/>
      <c r="HU2" s="438"/>
      <c r="HV2" s="438"/>
      <c r="HW2" s="438"/>
      <c r="HX2" s="438"/>
      <c r="HY2" s="438"/>
      <c r="HZ2" s="438"/>
      <c r="IA2" s="438"/>
      <c r="IB2" s="438"/>
      <c r="IC2" s="438"/>
      <c r="ID2" s="438"/>
      <c r="IE2" s="438"/>
      <c r="IF2" s="438"/>
      <c r="IG2" s="438"/>
      <c r="IH2" s="438"/>
      <c r="II2" s="438"/>
      <c r="IJ2" s="438"/>
      <c r="IK2" s="438"/>
      <c r="IL2" s="438"/>
      <c r="IM2" s="438"/>
      <c r="IN2" s="438"/>
      <c r="IO2" s="438"/>
      <c r="IP2" s="438"/>
      <c r="IQ2" s="438"/>
      <c r="IR2" s="439"/>
      <c r="IS2" s="166">
        <f>ROUND(IU2,2)</f>
        <v>0.1</v>
      </c>
      <c r="IT2" s="386" t="str">
        <f>IF(IS2&lt;0,"скидка","индексация")</f>
        <v>индексация</v>
      </c>
      <c r="IU2" s="396">
        <f>IF(AND('Выпадение всего'!G11=TRUE,'Выпадение всего'!J11=FALSE),'Выпадение всего'!J14,IF(AND('Выпадение всего'!G11=FALSE,'Выпадение всего'!J11=TRUE),'Выпадение всего'!J17))</f>
        <v>0.1</v>
      </c>
      <c r="IV2" s="388">
        <v>1</v>
      </c>
      <c r="IW2" s="385" t="s">
        <v>319</v>
      </c>
    </row>
    <row r="3" spans="1:266" ht="116.7" customHeight="1">
      <c r="A3" t="s">
        <v>236</v>
      </c>
      <c r="B3" s="30" t="s">
        <v>0</v>
      </c>
      <c r="C3" s="31" t="s">
        <v>1</v>
      </c>
      <c r="D3" s="31" t="s">
        <v>2</v>
      </c>
      <c r="E3" s="31" t="s">
        <v>3</v>
      </c>
      <c r="F3" s="31" t="s">
        <v>4</v>
      </c>
      <c r="G3" s="31" t="s">
        <v>5</v>
      </c>
      <c r="H3" s="31" t="s">
        <v>6</v>
      </c>
      <c r="I3" s="31" t="s">
        <v>7</v>
      </c>
      <c r="J3" s="31" t="s">
        <v>8</v>
      </c>
      <c r="K3" s="31" t="s">
        <v>142</v>
      </c>
      <c r="L3" s="31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48" t="s">
        <v>15</v>
      </c>
      <c r="S3" s="52" t="s">
        <v>209</v>
      </c>
      <c r="T3" s="53" t="s">
        <v>210</v>
      </c>
      <c r="U3" s="52" t="s">
        <v>211</v>
      </c>
      <c r="V3" s="54" t="s">
        <v>212</v>
      </c>
      <c r="W3" s="53" t="s">
        <v>213</v>
      </c>
      <c r="X3" s="37" t="s">
        <v>160</v>
      </c>
      <c r="Y3" s="37" t="s">
        <v>162</v>
      </c>
      <c r="Z3" s="38" t="s">
        <v>164</v>
      </c>
      <c r="AA3" s="38" t="s">
        <v>165</v>
      </c>
      <c r="AB3" s="38" t="s">
        <v>206</v>
      </c>
      <c r="AC3" s="39" t="s">
        <v>143</v>
      </c>
      <c r="AD3" s="39" t="s">
        <v>144</v>
      </c>
      <c r="AE3" s="39" t="s">
        <v>332</v>
      </c>
      <c r="AF3" s="40" t="s">
        <v>146</v>
      </c>
      <c r="AG3" s="41" t="s">
        <v>147</v>
      </c>
      <c r="AH3" s="32" t="s">
        <v>148</v>
      </c>
      <c r="AI3" s="43" t="s">
        <v>149</v>
      </c>
      <c r="AJ3" s="42" t="s">
        <v>150</v>
      </c>
      <c r="AK3" s="32" t="s">
        <v>151</v>
      </c>
      <c r="AL3" s="32" t="s">
        <v>152</v>
      </c>
      <c r="AM3" s="32" t="s">
        <v>153</v>
      </c>
      <c r="AN3" s="32" t="s">
        <v>154</v>
      </c>
      <c r="AO3" s="44" t="s">
        <v>325</v>
      </c>
      <c r="AP3" s="32" t="s">
        <v>156</v>
      </c>
      <c r="AQ3" s="32" t="s">
        <v>157</v>
      </c>
      <c r="AR3" s="32" t="s">
        <v>158</v>
      </c>
      <c r="AS3" s="169" t="s">
        <v>314</v>
      </c>
      <c r="AT3" s="170" t="s">
        <v>317</v>
      </c>
      <c r="AU3" s="423"/>
      <c r="AV3" s="44" t="s">
        <v>324</v>
      </c>
      <c r="AW3" s="32" t="s">
        <v>156</v>
      </c>
      <c r="AX3" s="32" t="s">
        <v>157</v>
      </c>
      <c r="AY3" s="32" t="s">
        <v>158</v>
      </c>
      <c r="AZ3" s="398">
        <f t="shared" ref="AZ3" si="0">ROUND(BA3-0.5%,3)</f>
        <v>-0.5</v>
      </c>
      <c r="BA3" s="398">
        <f t="shared" ref="BA3" si="1">ROUND(BB3-0.5%,3)</f>
        <v>-0.495</v>
      </c>
      <c r="BB3" s="398">
        <f t="shared" ref="BB3:BM3" si="2">ROUND(BC3-0.5%,3)</f>
        <v>-0.49</v>
      </c>
      <c r="BC3" s="398">
        <f t="shared" si="2"/>
        <v>-0.48499999999999999</v>
      </c>
      <c r="BD3" s="398">
        <f t="shared" si="2"/>
        <v>-0.48</v>
      </c>
      <c r="BE3" s="398">
        <f t="shared" si="2"/>
        <v>-0.47499999999999998</v>
      </c>
      <c r="BF3" s="398">
        <f t="shared" si="2"/>
        <v>-0.47</v>
      </c>
      <c r="BG3" s="398">
        <f t="shared" si="2"/>
        <v>-0.46500000000000002</v>
      </c>
      <c r="BH3" s="398">
        <f t="shared" si="2"/>
        <v>-0.46</v>
      </c>
      <c r="BI3" s="398">
        <f t="shared" si="2"/>
        <v>-0.45500000000000002</v>
      </c>
      <c r="BJ3" s="398">
        <f t="shared" si="2"/>
        <v>-0.45</v>
      </c>
      <c r="BK3" s="398">
        <f t="shared" si="2"/>
        <v>-0.44500000000000001</v>
      </c>
      <c r="BL3" s="398">
        <f t="shared" si="2"/>
        <v>-0.44</v>
      </c>
      <c r="BM3" s="398">
        <f t="shared" si="2"/>
        <v>-0.435</v>
      </c>
      <c r="BN3" s="398">
        <f t="shared" ref="BN3:CD3" si="3">ROUND(BO3-0.5%,3)</f>
        <v>-0.43</v>
      </c>
      <c r="BO3" s="398">
        <f t="shared" si="3"/>
        <v>-0.42499999999999999</v>
      </c>
      <c r="BP3" s="398">
        <f t="shared" si="3"/>
        <v>-0.42</v>
      </c>
      <c r="BQ3" s="398">
        <f t="shared" si="3"/>
        <v>-0.41499999999999998</v>
      </c>
      <c r="BR3" s="398">
        <f t="shared" si="3"/>
        <v>-0.41</v>
      </c>
      <c r="BS3" s="398">
        <f t="shared" si="3"/>
        <v>-0.40500000000000003</v>
      </c>
      <c r="BT3" s="398">
        <f t="shared" si="3"/>
        <v>-0.4</v>
      </c>
      <c r="BU3" s="398">
        <f t="shared" si="3"/>
        <v>-0.39500000000000002</v>
      </c>
      <c r="BV3" s="398">
        <f t="shared" si="3"/>
        <v>-0.39</v>
      </c>
      <c r="BW3" s="398">
        <f t="shared" si="3"/>
        <v>-0.38500000000000001</v>
      </c>
      <c r="BX3" s="398">
        <f t="shared" si="3"/>
        <v>-0.38</v>
      </c>
      <c r="BY3" s="398">
        <f t="shared" si="3"/>
        <v>-0.375</v>
      </c>
      <c r="BZ3" s="398">
        <f t="shared" si="3"/>
        <v>-0.37</v>
      </c>
      <c r="CA3" s="398">
        <f t="shared" si="3"/>
        <v>-0.36499999999999999</v>
      </c>
      <c r="CB3" s="398">
        <f t="shared" si="3"/>
        <v>-0.36</v>
      </c>
      <c r="CC3" s="398">
        <f t="shared" si="3"/>
        <v>-0.35499999999999998</v>
      </c>
      <c r="CD3" s="398">
        <f t="shared" si="3"/>
        <v>-0.35</v>
      </c>
      <c r="CE3" s="398">
        <f t="shared" ref="CE3:CT3" si="4">ROUND(CF3-0.5%,3)</f>
        <v>-0.34499999999999997</v>
      </c>
      <c r="CF3" s="398">
        <f t="shared" si="4"/>
        <v>-0.34</v>
      </c>
      <c r="CG3" s="398">
        <f t="shared" si="4"/>
        <v>-0.33500000000000002</v>
      </c>
      <c r="CH3" s="398">
        <f t="shared" si="4"/>
        <v>-0.33</v>
      </c>
      <c r="CI3" s="398">
        <f t="shared" si="4"/>
        <v>-0.32500000000000001</v>
      </c>
      <c r="CJ3" s="398">
        <f t="shared" si="4"/>
        <v>-0.32</v>
      </c>
      <c r="CK3" s="398">
        <f t="shared" si="4"/>
        <v>-0.315</v>
      </c>
      <c r="CL3" s="398">
        <f t="shared" si="4"/>
        <v>-0.31</v>
      </c>
      <c r="CM3" s="398">
        <f t="shared" si="4"/>
        <v>-0.30499999999999999</v>
      </c>
      <c r="CN3" s="398">
        <f t="shared" si="4"/>
        <v>-0.3</v>
      </c>
      <c r="CO3" s="398">
        <f t="shared" si="4"/>
        <v>-0.29499999999999998</v>
      </c>
      <c r="CP3" s="398">
        <f t="shared" si="4"/>
        <v>-0.28999999999999998</v>
      </c>
      <c r="CQ3" s="398">
        <f t="shared" si="4"/>
        <v>-0.28499999999999998</v>
      </c>
      <c r="CR3" s="398">
        <f t="shared" si="4"/>
        <v>-0.28000000000000003</v>
      </c>
      <c r="CS3" s="398">
        <f t="shared" si="4"/>
        <v>-0.27500000000000002</v>
      </c>
      <c r="CT3" s="398">
        <f t="shared" si="4"/>
        <v>-0.27</v>
      </c>
      <c r="CU3" s="398">
        <f>ROUND(CV3-0.5%,3)</f>
        <v>-0.26500000000000001</v>
      </c>
      <c r="CV3" s="398">
        <f>ROUND(CW3-0.5%,3)</f>
        <v>-0.26</v>
      </c>
      <c r="CW3" s="398">
        <f>ROUND(CX3-0.5%,3)</f>
        <v>-0.255</v>
      </c>
      <c r="CX3" s="17">
        <v>-0.25</v>
      </c>
      <c r="CY3" s="17">
        <v>-0.245</v>
      </c>
      <c r="CZ3" s="17">
        <v>-0.24</v>
      </c>
      <c r="DA3" s="17">
        <v>-0.23499999999999999</v>
      </c>
      <c r="DB3" s="17">
        <v>-0.23</v>
      </c>
      <c r="DC3" s="17">
        <v>-0.22500000000000001</v>
      </c>
      <c r="DD3" s="17">
        <v>-0.22</v>
      </c>
      <c r="DE3" s="17">
        <v>-0.215</v>
      </c>
      <c r="DF3" s="17">
        <v>-0.21</v>
      </c>
      <c r="DG3" s="17">
        <v>-0.20499999999999999</v>
      </c>
      <c r="DH3" s="17">
        <v>-0.2</v>
      </c>
      <c r="DI3" s="17">
        <v>-0.19500000000000001</v>
      </c>
      <c r="DJ3" s="17">
        <v>-0.19</v>
      </c>
      <c r="DK3" s="17">
        <v>-0.185</v>
      </c>
      <c r="DL3" s="17">
        <v>-0.18</v>
      </c>
      <c r="DM3" s="17">
        <v>-0.17499999999999999</v>
      </c>
      <c r="DN3" s="17">
        <v>-0.17</v>
      </c>
      <c r="DO3" s="17">
        <v>-0.16500000000000001</v>
      </c>
      <c r="DP3" s="17">
        <v>-0.16</v>
      </c>
      <c r="DQ3" s="17">
        <v>-0.155</v>
      </c>
      <c r="DR3" s="17">
        <v>-0.15</v>
      </c>
      <c r="DS3" s="17">
        <v>-0.14499999999999999</v>
      </c>
      <c r="DT3" s="17">
        <v>-0.14000000000000001</v>
      </c>
      <c r="DU3" s="17">
        <v>-0.13500000000000001</v>
      </c>
      <c r="DV3" s="17">
        <v>-0.13</v>
      </c>
      <c r="DW3" s="17">
        <v>-0.125</v>
      </c>
      <c r="DX3" s="17">
        <v>-0.12</v>
      </c>
      <c r="DY3" s="17">
        <v>-0.115</v>
      </c>
      <c r="DZ3" s="17">
        <v>-0.11</v>
      </c>
      <c r="EA3" s="17">
        <v>-0.105</v>
      </c>
      <c r="EB3" s="17">
        <v>-0.1</v>
      </c>
      <c r="EC3" s="17">
        <v>-9.5000000000000001E-2</v>
      </c>
      <c r="ED3" s="17">
        <v>-0.09</v>
      </c>
      <c r="EE3" s="17">
        <v>-8.5000000000000006E-2</v>
      </c>
      <c r="EF3" s="17">
        <v>-0.08</v>
      </c>
      <c r="EG3" s="17">
        <v>-7.4999999999999997E-2</v>
      </c>
      <c r="EH3" s="17">
        <v>-7.0000000000000007E-2</v>
      </c>
      <c r="EI3" s="17">
        <v>-6.5000000000000002E-2</v>
      </c>
      <c r="EJ3" s="17">
        <v>-0.06</v>
      </c>
      <c r="EK3" s="17">
        <v>-5.5E-2</v>
      </c>
      <c r="EL3" s="17">
        <v>-0.05</v>
      </c>
      <c r="EM3" s="17">
        <v>-4.4999999999999998E-2</v>
      </c>
      <c r="EN3" s="17">
        <v>-0.04</v>
      </c>
      <c r="EO3" s="17">
        <v>-3.5000000000000003E-2</v>
      </c>
      <c r="EP3" s="17">
        <v>-0.03</v>
      </c>
      <c r="EQ3" s="17">
        <v>-2.5000000000000001E-2</v>
      </c>
      <c r="ER3" s="17">
        <v>-0.02</v>
      </c>
      <c r="ES3" s="17">
        <v>-1.4999999999999999E-2</v>
      </c>
      <c r="ET3" s="17">
        <v>-0.01</v>
      </c>
      <c r="EU3" s="17">
        <v>-5.0000000000000001E-3</v>
      </c>
      <c r="EV3" s="21">
        <v>0</v>
      </c>
      <c r="EW3" s="17">
        <v>5.0000000000000001E-3</v>
      </c>
      <c r="EX3" s="17">
        <v>0.01</v>
      </c>
      <c r="EY3" s="17">
        <v>1.4999999999999999E-2</v>
      </c>
      <c r="EZ3" s="17">
        <v>0.02</v>
      </c>
      <c r="FA3" s="17">
        <v>2.5000000000000001E-2</v>
      </c>
      <c r="FB3" s="17">
        <v>0.03</v>
      </c>
      <c r="FC3" s="17">
        <v>3.5000000000000003E-2</v>
      </c>
      <c r="FD3" s="17">
        <v>0.04</v>
      </c>
      <c r="FE3" s="17">
        <v>4.4999999999999998E-2</v>
      </c>
      <c r="FF3" s="17">
        <v>0.05</v>
      </c>
      <c r="FG3" s="17">
        <v>5.5E-2</v>
      </c>
      <c r="FH3" s="17">
        <v>0.06</v>
      </c>
      <c r="FI3" s="17">
        <v>6.5000000000000002E-2</v>
      </c>
      <c r="FJ3" s="17">
        <v>7.0000000000000007E-2</v>
      </c>
      <c r="FK3" s="17">
        <v>7.4999999999999997E-2</v>
      </c>
      <c r="FL3" s="17">
        <v>0.08</v>
      </c>
      <c r="FM3" s="17">
        <v>8.5000000000000006E-2</v>
      </c>
      <c r="FN3" s="17">
        <v>0.09</v>
      </c>
      <c r="FO3" s="17">
        <v>9.5000000000000001E-2</v>
      </c>
      <c r="FP3" s="17">
        <v>0.1</v>
      </c>
      <c r="FQ3" s="17">
        <v>0.105</v>
      </c>
      <c r="FR3" s="17">
        <v>0.11</v>
      </c>
      <c r="FS3" s="17">
        <v>0.115</v>
      </c>
      <c r="FT3" s="17">
        <v>0.12</v>
      </c>
      <c r="FU3" s="17">
        <v>0.125</v>
      </c>
      <c r="FV3" s="17">
        <v>0.13</v>
      </c>
      <c r="FW3" s="17">
        <v>0.13500000000000001</v>
      </c>
      <c r="FX3" s="17">
        <v>0.14000000000000001</v>
      </c>
      <c r="FY3" s="17">
        <v>0.14499999999999999</v>
      </c>
      <c r="FZ3" s="17">
        <v>0.15</v>
      </c>
      <c r="GA3" s="17">
        <v>0.155</v>
      </c>
      <c r="GB3" s="17">
        <v>0.16</v>
      </c>
      <c r="GC3" s="17">
        <v>0.16500000000000001</v>
      </c>
      <c r="GD3" s="17">
        <v>0.17</v>
      </c>
      <c r="GE3" s="17">
        <v>0.17499999999999999</v>
      </c>
      <c r="GF3" s="17">
        <v>0.18</v>
      </c>
      <c r="GG3" s="17">
        <v>0.185</v>
      </c>
      <c r="GH3" s="17">
        <v>0.19</v>
      </c>
      <c r="GI3" s="17">
        <v>0.19500000000000001</v>
      </c>
      <c r="GJ3" s="17">
        <v>0.2</v>
      </c>
      <c r="GK3" s="17">
        <v>0.20499999999999999</v>
      </c>
      <c r="GL3" s="17">
        <v>0.21</v>
      </c>
      <c r="GM3" s="17">
        <v>0.215</v>
      </c>
      <c r="GN3" s="17">
        <v>0.22</v>
      </c>
      <c r="GO3" s="17">
        <v>0.22500000000000001</v>
      </c>
      <c r="GP3" s="17">
        <v>0.23</v>
      </c>
      <c r="GQ3" s="17">
        <v>0.23499999999999999</v>
      </c>
      <c r="GR3" s="17">
        <v>0.24</v>
      </c>
      <c r="GS3" s="17">
        <v>0.245</v>
      </c>
      <c r="GT3" s="17">
        <v>0.25</v>
      </c>
      <c r="GU3" s="17">
        <v>0.255</v>
      </c>
      <c r="GV3" s="17">
        <v>0.26</v>
      </c>
      <c r="GW3" s="17">
        <v>0.26500000000000001</v>
      </c>
      <c r="GX3" s="17">
        <v>0.27</v>
      </c>
      <c r="GY3" s="17">
        <v>0.27500000000000002</v>
      </c>
      <c r="GZ3" s="17">
        <v>0.28000000000000003</v>
      </c>
      <c r="HA3" s="17">
        <v>0.28499999999999998</v>
      </c>
      <c r="HB3" s="17">
        <v>0.28999999999999998</v>
      </c>
      <c r="HC3" s="17">
        <v>0.29499999999999998</v>
      </c>
      <c r="HD3" s="17">
        <v>0.3</v>
      </c>
      <c r="HE3" s="17">
        <v>0.30499999999999999</v>
      </c>
      <c r="HF3" s="17">
        <v>0.31</v>
      </c>
      <c r="HG3" s="17">
        <v>0.315</v>
      </c>
      <c r="HH3" s="17">
        <v>0.32</v>
      </c>
      <c r="HI3" s="17">
        <v>0.32500000000000001</v>
      </c>
      <c r="HJ3" s="17">
        <v>0.33</v>
      </c>
      <c r="HK3" s="17">
        <v>0.33500000000000002</v>
      </c>
      <c r="HL3" s="17">
        <v>0.34</v>
      </c>
      <c r="HM3" s="17">
        <v>0.34499999999999997</v>
      </c>
      <c r="HN3" s="17">
        <v>0.35</v>
      </c>
      <c r="HO3" s="17">
        <v>0.35499999999999998</v>
      </c>
      <c r="HP3" s="17">
        <v>0.36</v>
      </c>
      <c r="HQ3" s="17">
        <v>0.36499999999999999</v>
      </c>
      <c r="HR3" s="17">
        <v>0.37</v>
      </c>
      <c r="HS3" s="17">
        <v>0.375</v>
      </c>
      <c r="HT3" s="17">
        <v>0.38</v>
      </c>
      <c r="HU3" s="17">
        <v>0.38500000000000001</v>
      </c>
      <c r="HV3" s="17">
        <v>0.39</v>
      </c>
      <c r="HW3" s="17">
        <v>0.39500000000000002</v>
      </c>
      <c r="HX3" s="17">
        <v>0.4</v>
      </c>
      <c r="HY3" s="17">
        <v>0.40500000000000003</v>
      </c>
      <c r="HZ3" s="17">
        <v>0.41</v>
      </c>
      <c r="IA3" s="17">
        <v>0.41499999999999998</v>
      </c>
      <c r="IB3" s="17">
        <v>0.42</v>
      </c>
      <c r="IC3" s="17">
        <v>0.42499999999999999</v>
      </c>
      <c r="ID3" s="17">
        <v>0.43</v>
      </c>
      <c r="IE3" s="17">
        <v>0.435</v>
      </c>
      <c r="IF3" s="17">
        <v>0.44</v>
      </c>
      <c r="IG3" s="17">
        <v>0.44500000000000001</v>
      </c>
      <c r="IH3" s="17">
        <v>0.45</v>
      </c>
      <c r="II3" s="17">
        <v>0.45500000000000002</v>
      </c>
      <c r="IJ3" s="17">
        <v>0.46</v>
      </c>
      <c r="IK3" s="17">
        <v>0.46500000000000002</v>
      </c>
      <c r="IL3" s="17">
        <v>0.47</v>
      </c>
      <c r="IM3" s="17">
        <v>0.47499999999999998</v>
      </c>
      <c r="IN3" s="17">
        <v>0.48</v>
      </c>
      <c r="IO3" s="17">
        <v>0.48499999999999999</v>
      </c>
      <c r="IP3" s="17">
        <v>0.49</v>
      </c>
      <c r="IQ3" s="17">
        <v>0.495</v>
      </c>
      <c r="IR3" s="17">
        <v>0.5</v>
      </c>
      <c r="IS3" s="169" t="s">
        <v>312</v>
      </c>
      <c r="IT3" s="169" t="s">
        <v>313</v>
      </c>
      <c r="IU3" s="397"/>
      <c r="IV3" s="405"/>
      <c r="IW3" s="385" t="s">
        <v>320</v>
      </c>
    </row>
    <row r="4" spans="1:266" ht="14.6" customHeight="1">
      <c r="A4" s="60" t="s">
        <v>239</v>
      </c>
      <c r="B4" s="111">
        <v>1</v>
      </c>
      <c r="C4" s="112" t="s">
        <v>16</v>
      </c>
      <c r="D4" s="113">
        <v>16111</v>
      </c>
      <c r="E4" s="113" t="s">
        <v>17</v>
      </c>
      <c r="F4" s="112" t="s">
        <v>18</v>
      </c>
      <c r="G4" s="113" t="s">
        <v>19</v>
      </c>
      <c r="H4" s="113" t="s">
        <v>19</v>
      </c>
      <c r="I4" s="113" t="s">
        <v>20</v>
      </c>
      <c r="J4" s="113" t="s">
        <v>21</v>
      </c>
      <c r="K4" s="113">
        <v>971</v>
      </c>
      <c r="L4" s="113" t="s">
        <v>22</v>
      </c>
      <c r="M4" s="113" t="s">
        <v>23</v>
      </c>
      <c r="N4" s="113" t="s">
        <v>24</v>
      </c>
      <c r="O4" s="113" t="s">
        <v>25</v>
      </c>
      <c r="P4" s="114">
        <v>54657469</v>
      </c>
      <c r="Q4" s="114" t="s">
        <v>26</v>
      </c>
      <c r="R4" s="113" t="s">
        <v>27</v>
      </c>
      <c r="S4" s="115">
        <v>4534534</v>
      </c>
      <c r="T4" s="115">
        <v>4403034520</v>
      </c>
      <c r="U4" s="115">
        <v>60744</v>
      </c>
      <c r="V4" s="115"/>
      <c r="W4" s="115">
        <v>3250215610</v>
      </c>
      <c r="X4" s="104">
        <v>75</v>
      </c>
      <c r="Y4" s="104" t="s">
        <v>161</v>
      </c>
      <c r="Z4" s="107">
        <v>7</v>
      </c>
      <c r="AA4" s="107">
        <v>7</v>
      </c>
      <c r="AB4" s="107">
        <v>4</v>
      </c>
      <c r="AC4" s="88">
        <v>808.81</v>
      </c>
      <c r="AD4" s="88">
        <v>406.26</v>
      </c>
      <c r="AE4" s="88">
        <f>AC4+AD4</f>
        <v>1215.07</v>
      </c>
      <c r="AF4" s="89">
        <f>'Цены,перевалка,аренда'!$C$26*SUM(Уголь_эластика_экспорт!Z4+Уголь_эластика_экспорт!AA4+Уголь_эластика_экспорт!AB4)/Уголь_эластика_экспорт!X4</f>
        <v>240</v>
      </c>
      <c r="AG4" s="90">
        <f>SUMIF('Цены,перевалка,аренда'!$A$20:$A$22,Уголь_эластика_экспорт!$O4,'Цены,перевалка,аренда'!$D$20:$D$22)</f>
        <v>763.05499999999995</v>
      </c>
      <c r="AH4" s="47"/>
      <c r="AI4" s="91">
        <v>5018</v>
      </c>
      <c r="AJ4" s="92">
        <f>SUMIF('Цены,перевалка,аренда'!$A$5:$A$17,Уголь_эластика_экспорт!A4,'Цены,перевалка,аренда'!$D$5:$D$17)</f>
        <v>8546.2160000000003</v>
      </c>
      <c r="AK4" s="47">
        <f>AJ4/'Цены,перевалка,аренда'!$C$1</f>
        <v>112.00000000000001</v>
      </c>
      <c r="AL4" s="47">
        <f>AE4+AF4+AG4</f>
        <v>2218.125</v>
      </c>
      <c r="AM4" s="47">
        <f>AJ4-AL4</f>
        <v>6328.0910000000003</v>
      </c>
      <c r="AN4" s="47">
        <f>AI4+AH4+AG4+AF4+AE4</f>
        <v>7236.125</v>
      </c>
      <c r="AO4" s="93">
        <f>(AJ4-AN4)/AJ4</f>
        <v>0.15329486172593815</v>
      </c>
      <c r="AP4" s="94">
        <f>AL4/AJ4</f>
        <v>0.25954469206020536</v>
      </c>
      <c r="AQ4" s="94">
        <f t="shared" ref="AQ4:AQ27" si="5">AE4/AJ4</f>
        <v>0.14217637373078329</v>
      </c>
      <c r="AR4" s="94">
        <f t="shared" ref="AR4:AR27" si="6">AE4/AL4</f>
        <v>0.54779149056072129</v>
      </c>
      <c r="AS4" s="167">
        <f>IT4</f>
        <v>1</v>
      </c>
      <c r="AT4" s="173">
        <f>S4*AS4</f>
        <v>4534534</v>
      </c>
      <c r="AU4" s="96">
        <v>1</v>
      </c>
      <c r="AV4" s="93">
        <f>(AJ4-(AE4*(1+$IS$2)+AF4+AG4+AH4+AI4))/AJ4</f>
        <v>0.13907722435285988</v>
      </c>
      <c r="AW4" s="94">
        <f>(AE4*(1+$IS$2)+AF4+AG4)/AJ4</f>
        <v>0.27376232943328371</v>
      </c>
      <c r="AX4" s="94">
        <f>(AE4*(1+$IS$2))/AJ4</f>
        <v>0.15639401110386164</v>
      </c>
      <c r="AY4" s="94">
        <f>(AE4*(1+$IS$2))/(AE4*(1+$IS$2)+AF4+AG4)</f>
        <v>0.57127659392588237</v>
      </c>
      <c r="AZ4" s="102">
        <f>MIN(IF($AU4=100%,1,1+VLOOKUP(($AJ4-$AI4-$AH4-$AG4-$AF4-$AE4*(1+AZ$3))/$AJ4,Уголь_коэфф!$A:$B,2,1)-VLOOKUP($AO4,Уголь_коэфф!$A:$B,2,1)),1+(1-$AU4))</f>
        <v>1</v>
      </c>
      <c r="BA4" s="102">
        <f>MIN(IF($AU4=100%,1,1+VLOOKUP(($AJ4-$AI4-$AH4-$AG4-$AF4-$AE4*(1+BA$3))/$AJ4,Уголь_коэфф!$A:$B,2,1)-VLOOKUP($AO4,Уголь_коэфф!$A:$B,2,1)),1+(1-$AU4))</f>
        <v>1</v>
      </c>
      <c r="BB4" s="102">
        <f>MIN(IF($AU4=100%,1,1+VLOOKUP(($AJ4-$AI4-$AH4-$AG4-$AF4-$AE4*(1+BB$3))/$AJ4,Уголь_коэфф!$A:$B,2,1)-VLOOKUP($AO4,Уголь_коэфф!$A:$B,2,1)),1+(1-$AU4))</f>
        <v>1</v>
      </c>
      <c r="BC4" s="102">
        <f>MIN(IF($AU4=100%,1,1+VLOOKUP(($AJ4-$AI4-$AH4-$AG4-$AF4-$AE4*(1+BC$3))/$AJ4,Уголь_коэфф!$A:$B,2,1)-VLOOKUP($AO4,Уголь_коэфф!$A:$B,2,1)),1+(1-$AU4))</f>
        <v>1</v>
      </c>
      <c r="BD4" s="102">
        <f>MIN(IF($AU4=100%,1,1+VLOOKUP(($AJ4-$AI4-$AH4-$AG4-$AF4-$AE4*(1+BD$3))/$AJ4,Уголь_коэфф!$A:$B,2,1)-VLOOKUP($AO4,Уголь_коэфф!$A:$B,2,1)),1+(1-$AU4))</f>
        <v>1</v>
      </c>
      <c r="BE4" s="102">
        <f>MIN(IF($AU4=100%,1,1+VLOOKUP(($AJ4-$AI4-$AH4-$AG4-$AF4-$AE4*(1+BE$3))/$AJ4,Уголь_коэфф!$A:$B,2,1)-VLOOKUP($AO4,Уголь_коэфф!$A:$B,2,1)),1+(1-$AU4))</f>
        <v>1</v>
      </c>
      <c r="BF4" s="102">
        <f>MIN(IF($AU4=100%,1,1+VLOOKUP(($AJ4-$AI4-$AH4-$AG4-$AF4-$AE4*(1+BF$3))/$AJ4,Уголь_коэфф!$A:$B,2,1)-VLOOKUP($AO4,Уголь_коэфф!$A:$B,2,1)),1+(1-$AU4))</f>
        <v>1</v>
      </c>
      <c r="BG4" s="102">
        <f>MIN(IF($AU4=100%,1,1+VLOOKUP(($AJ4-$AI4-$AH4-$AG4-$AF4-$AE4*(1+BG$3))/$AJ4,Уголь_коэфф!$A:$B,2,1)-VLOOKUP($AO4,Уголь_коэфф!$A:$B,2,1)),1+(1-$AU4))</f>
        <v>1</v>
      </c>
      <c r="BH4" s="102">
        <f>MIN(IF($AU4=100%,1,1+VLOOKUP(($AJ4-$AI4-$AH4-$AG4-$AF4-$AE4*(1+BH$3))/$AJ4,Уголь_коэфф!$A:$B,2,1)-VLOOKUP($AO4,Уголь_коэфф!$A:$B,2,1)),1+(1-$AU4))</f>
        <v>1</v>
      </c>
      <c r="BI4" s="102">
        <f>MIN(IF($AU4=100%,1,1+VLOOKUP(($AJ4-$AI4-$AH4-$AG4-$AF4-$AE4*(1+BI$3))/$AJ4,Уголь_коэфф!$A:$B,2,1)-VLOOKUP($AO4,Уголь_коэфф!$A:$B,2,1)),1+(1-$AU4))</f>
        <v>1</v>
      </c>
      <c r="BJ4" s="102">
        <f>MIN(IF($AU4=100%,1,1+VLOOKUP(($AJ4-$AI4-$AH4-$AG4-$AF4-$AE4*(1+BJ$3))/$AJ4,Уголь_коэфф!$A:$B,2,1)-VLOOKUP($AO4,Уголь_коэфф!$A:$B,2,1)),1+(1-$AU4))</f>
        <v>1</v>
      </c>
      <c r="BK4" s="102">
        <f>MIN(IF($AU4=100%,1,1+VLOOKUP(($AJ4-$AI4-$AH4-$AG4-$AF4-$AE4*(1+BK$3))/$AJ4,Уголь_коэфф!$A:$B,2,1)-VLOOKUP($AO4,Уголь_коэфф!$A:$B,2,1)),1+(1-$AU4))</f>
        <v>1</v>
      </c>
      <c r="BL4" s="102">
        <f>MIN(IF($AU4=100%,1,1+VLOOKUP(($AJ4-$AI4-$AH4-$AG4-$AF4-$AE4*(1+BL$3))/$AJ4,Уголь_коэфф!$A:$B,2,1)-VLOOKUP($AO4,Уголь_коэфф!$A:$B,2,1)),1+(1-$AU4))</f>
        <v>1</v>
      </c>
      <c r="BM4" s="102">
        <f>MIN(IF($AU4=100%,1,1+VLOOKUP(($AJ4-$AI4-$AH4-$AG4-$AF4-$AE4*(1+BM$3))/$AJ4,Уголь_коэфф!$A:$B,2,1)-VLOOKUP($AO4,Уголь_коэфф!$A:$B,2,1)),1+(1-$AU4))</f>
        <v>1</v>
      </c>
      <c r="BN4" s="102">
        <f>MIN(IF($AU4=100%,1,1+VLOOKUP(($AJ4-$AI4-$AH4-$AG4-$AF4-$AE4*(1+BN$3))/$AJ4,Уголь_коэфф!$A:$B,2,1)-VLOOKUP($AO4,Уголь_коэфф!$A:$B,2,1)),1+(1-$AU4))</f>
        <v>1</v>
      </c>
      <c r="BO4" s="102">
        <f>MIN(IF($AU4=100%,1,1+VLOOKUP(($AJ4-$AI4-$AH4-$AG4-$AF4-$AE4*(1+BO$3))/$AJ4,Уголь_коэфф!$A:$B,2,1)-VLOOKUP($AO4,Уголь_коэфф!$A:$B,2,1)),1+(1-$AU4))</f>
        <v>1</v>
      </c>
      <c r="BP4" s="102">
        <f>MIN(IF($AU4=100%,1,1+VLOOKUP(($AJ4-$AI4-$AH4-$AG4-$AF4-$AE4*(1+BP$3))/$AJ4,Уголь_коэфф!$A:$B,2,1)-VLOOKUP($AO4,Уголь_коэфф!$A:$B,2,1)),1+(1-$AU4))</f>
        <v>1</v>
      </c>
      <c r="BQ4" s="102">
        <f>MIN(IF($AU4=100%,1,1+VLOOKUP(($AJ4-$AI4-$AH4-$AG4-$AF4-$AE4*(1+BQ$3))/$AJ4,Уголь_коэфф!$A:$B,2,1)-VLOOKUP($AO4,Уголь_коэфф!$A:$B,2,1)),1+(1-$AU4))</f>
        <v>1</v>
      </c>
      <c r="BR4" s="102">
        <f>MIN(IF($AU4=100%,1,1+VLOOKUP(($AJ4-$AI4-$AH4-$AG4-$AF4-$AE4*(1+BR$3))/$AJ4,Уголь_коэфф!$A:$B,2,1)-VLOOKUP($AO4,Уголь_коэфф!$A:$B,2,1)),1+(1-$AU4))</f>
        <v>1</v>
      </c>
      <c r="BS4" s="102">
        <f>MIN(IF($AU4=100%,1,1+VLOOKUP(($AJ4-$AI4-$AH4-$AG4-$AF4-$AE4*(1+BS$3))/$AJ4,Уголь_коэфф!$A:$B,2,1)-VLOOKUP($AO4,Уголь_коэфф!$A:$B,2,1)),1+(1-$AU4))</f>
        <v>1</v>
      </c>
      <c r="BT4" s="102">
        <f>MIN(IF($AU4=100%,1,1+VLOOKUP(($AJ4-$AI4-$AH4-$AG4-$AF4-$AE4*(1+BT$3))/$AJ4,Уголь_коэфф!$A:$B,2,1)-VLOOKUP($AO4,Уголь_коэфф!$A:$B,2,1)),1+(1-$AU4))</f>
        <v>1</v>
      </c>
      <c r="BU4" s="102">
        <f>MIN(IF($AU4=100%,1,1+VLOOKUP(($AJ4-$AI4-$AH4-$AG4-$AF4-$AE4*(1+BU$3))/$AJ4,Уголь_коэфф!$A:$B,2,1)-VLOOKUP($AO4,Уголь_коэфф!$A:$B,2,1)),1+(1-$AU4))</f>
        <v>1</v>
      </c>
      <c r="BV4" s="102">
        <f>MIN(IF($AU4=100%,1,1+VLOOKUP(($AJ4-$AI4-$AH4-$AG4-$AF4-$AE4*(1+BV$3))/$AJ4,Уголь_коэфф!$A:$B,2,1)-VLOOKUP($AO4,Уголь_коэфф!$A:$B,2,1)),1+(1-$AU4))</f>
        <v>1</v>
      </c>
      <c r="BW4" s="102">
        <f>MIN(IF($AU4=100%,1,1+VLOOKUP(($AJ4-$AI4-$AH4-$AG4-$AF4-$AE4*(1+BW$3))/$AJ4,Уголь_коэфф!$A:$B,2,1)-VLOOKUP($AO4,Уголь_коэфф!$A:$B,2,1)),1+(1-$AU4))</f>
        <v>1</v>
      </c>
      <c r="BX4" s="102">
        <f>MIN(IF($AU4=100%,1,1+VLOOKUP(($AJ4-$AI4-$AH4-$AG4-$AF4-$AE4*(1+BX$3))/$AJ4,Уголь_коэфф!$A:$B,2,1)-VLOOKUP($AO4,Уголь_коэфф!$A:$B,2,1)),1+(1-$AU4))</f>
        <v>1</v>
      </c>
      <c r="BY4" s="102">
        <f>MIN(IF($AU4=100%,1,1+VLOOKUP(($AJ4-$AI4-$AH4-$AG4-$AF4-$AE4*(1+BY$3))/$AJ4,Уголь_коэфф!$A:$B,2,1)-VLOOKUP($AO4,Уголь_коэфф!$A:$B,2,1)),1+(1-$AU4))</f>
        <v>1</v>
      </c>
      <c r="BZ4" s="102">
        <f>MIN(IF($AU4=100%,1,1+VLOOKUP(($AJ4-$AI4-$AH4-$AG4-$AF4-$AE4*(1+BZ$3))/$AJ4,Уголь_коэфф!$A:$B,2,1)-VLOOKUP($AO4,Уголь_коэфф!$A:$B,2,1)),1+(1-$AU4))</f>
        <v>1</v>
      </c>
      <c r="CA4" s="102">
        <f>MIN(IF($AU4=100%,1,1+VLOOKUP(($AJ4-$AI4-$AH4-$AG4-$AF4-$AE4*(1+CA$3))/$AJ4,Уголь_коэфф!$A:$B,2,1)-VLOOKUP($AO4,Уголь_коэфф!$A:$B,2,1)),1+(1-$AU4))</f>
        <v>1</v>
      </c>
      <c r="CB4" s="102">
        <f>MIN(IF($AU4=100%,1,1+VLOOKUP(($AJ4-$AI4-$AH4-$AG4-$AF4-$AE4*(1+CB$3))/$AJ4,Уголь_коэфф!$A:$B,2,1)-VLOOKUP($AO4,Уголь_коэфф!$A:$B,2,1)),1+(1-$AU4))</f>
        <v>1</v>
      </c>
      <c r="CC4" s="102">
        <f>MIN(IF($AU4=100%,1,1+VLOOKUP(($AJ4-$AI4-$AH4-$AG4-$AF4-$AE4*(1+CC$3))/$AJ4,Уголь_коэфф!$A:$B,2,1)-VLOOKUP($AO4,Уголь_коэфф!$A:$B,2,1)),1+(1-$AU4))</f>
        <v>1</v>
      </c>
      <c r="CD4" s="102">
        <f>MIN(IF($AU4=100%,1,1+VLOOKUP(($AJ4-$AI4-$AH4-$AG4-$AF4-$AE4*(1+CD$3))/$AJ4,Уголь_коэфф!$A:$B,2,1)-VLOOKUP($AO4,Уголь_коэфф!$A:$B,2,1)),1+(1-$AU4))</f>
        <v>1</v>
      </c>
      <c r="CE4" s="102">
        <f>MIN(IF($AU4=100%,1,1+VLOOKUP(($AJ4-$AI4-$AH4-$AG4-$AF4-$AE4*(1+CE$3))/$AJ4,Уголь_коэфф!$A:$B,2,1)-VLOOKUP($AO4,Уголь_коэфф!$A:$B,2,1)),1+(1-$AU4))</f>
        <v>1</v>
      </c>
      <c r="CF4" s="102">
        <f>MIN(IF($AU4=100%,1,1+VLOOKUP(($AJ4-$AI4-$AH4-$AG4-$AF4-$AE4*(1+CF$3))/$AJ4,Уголь_коэфф!$A:$B,2,1)-VLOOKUP($AO4,Уголь_коэфф!$A:$B,2,1)),1+(1-$AU4))</f>
        <v>1</v>
      </c>
      <c r="CG4" s="102">
        <f>MIN(IF($AU4=100%,1,1+VLOOKUP(($AJ4-$AI4-$AH4-$AG4-$AF4-$AE4*(1+CG$3))/$AJ4,Уголь_коэфф!$A:$B,2,1)-VLOOKUP($AO4,Уголь_коэфф!$A:$B,2,1)),1+(1-$AU4))</f>
        <v>1</v>
      </c>
      <c r="CH4" s="102">
        <f>MIN(IF($AU4=100%,1,1+VLOOKUP(($AJ4-$AI4-$AH4-$AG4-$AF4-$AE4*(1+CH$3))/$AJ4,Уголь_коэфф!$A:$B,2,1)-VLOOKUP($AO4,Уголь_коэфф!$A:$B,2,1)),1+(1-$AU4))</f>
        <v>1</v>
      </c>
      <c r="CI4" s="102">
        <f>MIN(IF($AU4=100%,1,1+VLOOKUP(($AJ4-$AI4-$AH4-$AG4-$AF4-$AE4*(1+CI$3))/$AJ4,Уголь_коэфф!$A:$B,2,1)-VLOOKUP($AO4,Уголь_коэфф!$A:$B,2,1)),1+(1-$AU4))</f>
        <v>1</v>
      </c>
      <c r="CJ4" s="102">
        <f>MIN(IF($AU4=100%,1,1+VLOOKUP(($AJ4-$AI4-$AH4-$AG4-$AF4-$AE4*(1+CJ$3))/$AJ4,Уголь_коэфф!$A:$B,2,1)-VLOOKUP($AO4,Уголь_коэфф!$A:$B,2,1)),1+(1-$AU4))</f>
        <v>1</v>
      </c>
      <c r="CK4" s="102">
        <f>MIN(IF($AU4=100%,1,1+VLOOKUP(($AJ4-$AI4-$AH4-$AG4-$AF4-$AE4*(1+CK$3))/$AJ4,Уголь_коэфф!$A:$B,2,1)-VLOOKUP($AO4,Уголь_коэфф!$A:$B,2,1)),1+(1-$AU4))</f>
        <v>1</v>
      </c>
      <c r="CL4" s="102">
        <f>MIN(IF($AU4=100%,1,1+VLOOKUP(($AJ4-$AI4-$AH4-$AG4-$AF4-$AE4*(1+CL$3))/$AJ4,Уголь_коэфф!$A:$B,2,1)-VLOOKUP($AO4,Уголь_коэфф!$A:$B,2,1)),1+(1-$AU4))</f>
        <v>1</v>
      </c>
      <c r="CM4" s="102">
        <f>MIN(IF($AU4=100%,1,1+VLOOKUP(($AJ4-$AI4-$AH4-$AG4-$AF4-$AE4*(1+CM$3))/$AJ4,Уголь_коэфф!$A:$B,2,1)-VLOOKUP($AO4,Уголь_коэфф!$A:$B,2,1)),1+(1-$AU4))</f>
        <v>1</v>
      </c>
      <c r="CN4" s="102">
        <f>MIN(IF($AU4=100%,1,1+VLOOKUP(($AJ4-$AI4-$AH4-$AG4-$AF4-$AE4*(1+CN$3))/$AJ4,Уголь_коэфф!$A:$B,2,1)-VLOOKUP($AO4,Уголь_коэфф!$A:$B,2,1)),1+(1-$AU4))</f>
        <v>1</v>
      </c>
      <c r="CO4" s="102">
        <f>MIN(IF($AU4=100%,1,1+VLOOKUP(($AJ4-$AI4-$AH4-$AG4-$AF4-$AE4*(1+CO$3))/$AJ4,Уголь_коэфф!$A:$B,2,1)-VLOOKUP($AO4,Уголь_коэфф!$A:$B,2,1)),1+(1-$AU4))</f>
        <v>1</v>
      </c>
      <c r="CP4" s="102">
        <f>MIN(IF($AU4=100%,1,1+VLOOKUP(($AJ4-$AI4-$AH4-$AG4-$AF4-$AE4*(1+CP$3))/$AJ4,Уголь_коэфф!$A:$B,2,1)-VLOOKUP($AO4,Уголь_коэфф!$A:$B,2,1)),1+(1-$AU4))</f>
        <v>1</v>
      </c>
      <c r="CQ4" s="102">
        <f>MIN(IF($AU4=100%,1,1+VLOOKUP(($AJ4-$AI4-$AH4-$AG4-$AF4-$AE4*(1+CQ$3))/$AJ4,Уголь_коэфф!$A:$B,2,1)-VLOOKUP($AO4,Уголь_коэфф!$A:$B,2,1)),1+(1-$AU4))</f>
        <v>1</v>
      </c>
      <c r="CR4" s="102">
        <f>MIN(IF($AU4=100%,1,1+VLOOKUP(($AJ4-$AI4-$AH4-$AG4-$AF4-$AE4*(1+CR$3))/$AJ4,Уголь_коэфф!$A:$B,2,1)-VLOOKUP($AO4,Уголь_коэфф!$A:$B,2,1)),1+(1-$AU4))</f>
        <v>1</v>
      </c>
      <c r="CS4" s="102">
        <f>MIN(IF($AU4=100%,1,1+VLOOKUP(($AJ4-$AI4-$AH4-$AG4-$AF4-$AE4*(1+CS$3))/$AJ4,Уголь_коэфф!$A:$B,2,1)-VLOOKUP($AO4,Уголь_коэфф!$A:$B,2,1)),1+(1-$AU4))</f>
        <v>1</v>
      </c>
      <c r="CT4" s="102">
        <f>MIN(IF($AU4=100%,1,1+VLOOKUP(($AJ4-$AI4-$AH4-$AG4-$AF4-$AE4*(1+CT$3))/$AJ4,Уголь_коэфф!$A:$B,2,1)-VLOOKUP($AO4,Уголь_коэфф!$A:$B,2,1)),1+(1-$AU4))</f>
        <v>1</v>
      </c>
      <c r="CU4" s="102">
        <f>MIN(IF($AU4=100%,1,1+VLOOKUP(($AJ4-$AI4-$AH4-$AG4-$AF4-$AE4*(1+CU$3))/$AJ4,Уголь_коэфф!$A:$B,2,1)-VLOOKUP($AO4,Уголь_коэфф!$A:$B,2,1)),1+(1-$AU4))</f>
        <v>1</v>
      </c>
      <c r="CV4" s="102">
        <f>MIN(IF($AU4=100%,1,1+VLOOKUP(($AJ4-$AI4-$AH4-$AG4-$AF4-$AE4*(1+CV$3))/$AJ4,Уголь_коэфф!$A:$B,2,1)-VLOOKUP($AO4,Уголь_коэфф!$A:$B,2,1)),1+(1-$AU4))</f>
        <v>1</v>
      </c>
      <c r="CW4" s="102">
        <f>MIN(IF($AU4=100%,1,1+VLOOKUP(($AJ4-$AI4-$AH4-$AG4-$AF4-$AE4*(1+CW$3))/$AJ4,Уголь_коэфф!$A:$B,2,1)-VLOOKUP($AO4,Уголь_коэфф!$A:$B,2,1)),1+(1-$AU4))</f>
        <v>1</v>
      </c>
      <c r="CX4" s="102">
        <f>MIN(IF($AU4=100%,1,1+VLOOKUP(($AJ4-$AI4-$AH4-$AG4-$AF4-$AE4*(1+CX$3))/$AJ4,Уголь_коэфф!$A:$B,2,1)-VLOOKUP($AO4,Уголь_коэфф!$A:$B,2,1)),1+(1-$AU4))</f>
        <v>1</v>
      </c>
      <c r="CY4" s="102">
        <f>MIN(IF($AU4=100%,1,1+VLOOKUP(($AJ4-$AI4-$AH4-$AG4-$AF4-$AE4*(1+CY$3))/$AJ4,Уголь_коэфф!$A:$B,2,1)-VLOOKUP($AO4,Уголь_коэфф!$A:$B,2,1)),1+(1-$AU4))</f>
        <v>1</v>
      </c>
      <c r="CZ4" s="102">
        <f>MIN(IF($AU4=100%,1,1+VLOOKUP(($AJ4-$AI4-$AH4-$AG4-$AF4-$AE4*(1+CZ$3))/$AJ4,Уголь_коэфф!$A:$B,2,1)-VLOOKUP($AO4,Уголь_коэфф!$A:$B,2,1)),1+(1-$AU4))</f>
        <v>1</v>
      </c>
      <c r="DA4" s="102">
        <f>MIN(IF($AU4=100%,1,1+VLOOKUP(($AJ4-$AI4-$AH4-$AG4-$AF4-$AE4*(1+DA$3))/$AJ4,Уголь_коэфф!$A:$B,2,1)-VLOOKUP($AO4,Уголь_коэфф!$A:$B,2,1)),1+(1-$AU4))</f>
        <v>1</v>
      </c>
      <c r="DB4" s="102">
        <f>MIN(IF($AU4=100%,1,1+VLOOKUP(($AJ4-$AI4-$AH4-$AG4-$AF4-$AE4*(1+DB$3))/$AJ4,Уголь_коэфф!$A:$B,2,1)-VLOOKUP($AO4,Уголь_коэфф!$A:$B,2,1)),1+(1-$AU4))</f>
        <v>1</v>
      </c>
      <c r="DC4" s="102">
        <f>MIN(IF($AU4=100%,1,1+VLOOKUP(($AJ4-$AI4-$AH4-$AG4-$AF4-$AE4*(1+DC$3))/$AJ4,Уголь_коэфф!$A:$B,2,1)-VLOOKUP($AO4,Уголь_коэфф!$A:$B,2,1)),1+(1-$AU4))</f>
        <v>1</v>
      </c>
      <c r="DD4" s="102">
        <f>MIN(IF($AU4=100%,1,1+VLOOKUP(($AJ4-$AI4-$AH4-$AG4-$AF4-$AE4*(1+DD$3))/$AJ4,Уголь_коэфф!$A:$B,2,1)-VLOOKUP($AO4,Уголь_коэфф!$A:$B,2,1)),1+(1-$AU4))</f>
        <v>1</v>
      </c>
      <c r="DE4" s="102">
        <f>MIN(IF($AU4=100%,1,1+VLOOKUP(($AJ4-$AI4-$AH4-$AG4-$AF4-$AE4*(1+DE$3))/$AJ4,Уголь_коэфф!$A:$B,2,1)-VLOOKUP($AO4,Уголь_коэфф!$A:$B,2,1)),1+(1-$AU4))</f>
        <v>1</v>
      </c>
      <c r="DF4" s="102">
        <f>MIN(IF($AU4=100%,1,1+VLOOKUP(($AJ4-$AI4-$AH4-$AG4-$AF4-$AE4*(1+DF$3))/$AJ4,Уголь_коэфф!$A:$B,2,1)-VLOOKUP($AO4,Уголь_коэфф!$A:$B,2,1)),1+(1-$AU4))</f>
        <v>1</v>
      </c>
      <c r="DG4" s="102">
        <f>MIN(IF($AU4=100%,1,1+VLOOKUP(($AJ4-$AI4-$AH4-$AG4-$AF4-$AE4*(1+DG$3))/$AJ4,Уголь_коэфф!$A:$B,2,1)-VLOOKUP($AO4,Уголь_коэфф!$A:$B,2,1)),1+(1-$AU4))</f>
        <v>1</v>
      </c>
      <c r="DH4" s="102">
        <f>MIN(IF($AU4=100%,1,1+VLOOKUP(($AJ4-$AI4-$AH4-$AG4-$AF4-$AE4*(1+DH$3))/$AJ4,Уголь_коэфф!$A:$B,2,1)-VLOOKUP($AO4,Уголь_коэфф!$A:$B,2,1)),1+(1-$AU4))</f>
        <v>1</v>
      </c>
      <c r="DI4" s="102">
        <f>MIN(IF($AU4=100%,1,1+VLOOKUP(($AJ4-$AI4-$AH4-$AG4-$AF4-$AE4*(1+DI$3))/$AJ4,Уголь_коэфф!$A:$B,2,1)-VLOOKUP($AO4,Уголь_коэфф!$A:$B,2,1)),1+(1-$AU4))</f>
        <v>1</v>
      </c>
      <c r="DJ4" s="102">
        <f>MIN(IF($AU4=100%,1,1+VLOOKUP(($AJ4-$AI4-$AH4-$AG4-$AF4-$AE4*(1+DJ$3))/$AJ4,Уголь_коэфф!$A:$B,2,1)-VLOOKUP($AO4,Уголь_коэфф!$A:$B,2,1)),1+(1-$AU4))</f>
        <v>1</v>
      </c>
      <c r="DK4" s="102">
        <f>MIN(IF($AU4=100%,1,1+VLOOKUP(($AJ4-$AI4-$AH4-$AG4-$AF4-$AE4*(1+DK$3))/$AJ4,Уголь_коэфф!$A:$B,2,1)-VLOOKUP($AO4,Уголь_коэфф!$A:$B,2,1)),1+(1-$AU4))</f>
        <v>1</v>
      </c>
      <c r="DL4" s="102">
        <f>MIN(IF($AU4=100%,1,1+VLOOKUP(($AJ4-$AI4-$AH4-$AG4-$AF4-$AE4*(1+DL$3))/$AJ4,Уголь_коэфф!$A:$B,2,1)-VLOOKUP($AO4,Уголь_коэфф!$A:$B,2,1)),1+(1-$AU4))</f>
        <v>1</v>
      </c>
      <c r="DM4" s="102">
        <f>MIN(IF($AU4=100%,1,1+VLOOKUP(($AJ4-$AI4-$AH4-$AG4-$AF4-$AE4*(1+DM$3))/$AJ4,Уголь_коэфф!$A:$B,2,1)-VLOOKUP($AO4,Уголь_коэфф!$A:$B,2,1)),1+(1-$AU4))</f>
        <v>1</v>
      </c>
      <c r="DN4" s="102">
        <f>MIN(IF($AU4=100%,1,1+VLOOKUP(($AJ4-$AI4-$AH4-$AG4-$AF4-$AE4*(1+DN$3))/$AJ4,Уголь_коэфф!$A:$B,2,1)-VLOOKUP($AO4,Уголь_коэфф!$A:$B,2,1)),1+(1-$AU4))</f>
        <v>1</v>
      </c>
      <c r="DO4" s="102">
        <f>MIN(IF($AU4=100%,1,1+VLOOKUP(($AJ4-$AI4-$AH4-$AG4-$AF4-$AE4*(1+DO$3))/$AJ4,Уголь_коэфф!$A:$B,2,1)-VLOOKUP($AO4,Уголь_коэфф!$A:$B,2,1)),1+(1-$AU4))</f>
        <v>1</v>
      </c>
      <c r="DP4" s="102">
        <f>MIN(IF($AU4=100%,1,1+VLOOKUP(($AJ4-$AI4-$AH4-$AG4-$AF4-$AE4*(1+DP$3))/$AJ4,Уголь_коэфф!$A:$B,2,1)-VLOOKUP($AO4,Уголь_коэфф!$A:$B,2,1)),1+(1-$AU4))</f>
        <v>1</v>
      </c>
      <c r="DQ4" s="102">
        <f>MIN(IF($AU4=100%,1,1+VLOOKUP(($AJ4-$AI4-$AH4-$AG4-$AF4-$AE4*(1+DQ$3))/$AJ4,Уголь_коэфф!$A:$B,2,1)-VLOOKUP($AO4,Уголь_коэфф!$A:$B,2,1)),1+(1-$AU4))</f>
        <v>1</v>
      </c>
      <c r="DR4" s="102">
        <f>MIN(IF($AU4=100%,1,1+VLOOKUP(($AJ4-$AI4-$AH4-$AG4-$AF4-$AE4*(1+DR$3))/$AJ4,Уголь_коэфф!$A:$B,2,1)-VLOOKUP($AO4,Уголь_коэфф!$A:$B,2,1)),1+(1-$AU4))</f>
        <v>1</v>
      </c>
      <c r="DS4" s="102">
        <f>MIN(IF($AU4=100%,1,1+VLOOKUP(($AJ4-$AI4-$AH4-$AG4-$AF4-$AE4*(1+DS$3))/$AJ4,Уголь_коэфф!$A:$B,2,1)-VLOOKUP($AO4,Уголь_коэфф!$A:$B,2,1)),1+(1-$AU4))</f>
        <v>1</v>
      </c>
      <c r="DT4" s="102">
        <f>MIN(IF($AU4=100%,1,1+VLOOKUP(($AJ4-$AI4-$AH4-$AG4-$AF4-$AE4*(1+DT$3))/$AJ4,Уголь_коэфф!$A:$B,2,1)-VLOOKUP($AO4,Уголь_коэфф!$A:$B,2,1)),1+(1-$AU4))</f>
        <v>1</v>
      </c>
      <c r="DU4" s="102">
        <f>MIN(IF($AU4=100%,1,1+VLOOKUP(($AJ4-$AI4-$AH4-$AG4-$AF4-$AE4*(1+DU$3))/$AJ4,Уголь_коэфф!$A:$B,2,1)-VLOOKUP($AO4,Уголь_коэфф!$A:$B,2,1)),1+(1-$AU4))</f>
        <v>1</v>
      </c>
      <c r="DV4" s="102">
        <f>MIN(IF($AU4=100%,1,1+VLOOKUP(($AJ4-$AI4-$AH4-$AG4-$AF4-$AE4*(1+DV$3))/$AJ4,Уголь_коэфф!$A:$B,2,1)-VLOOKUP($AO4,Уголь_коэфф!$A:$B,2,1)),1+(1-$AU4))</f>
        <v>1</v>
      </c>
      <c r="DW4" s="102">
        <f>MIN(IF($AU4=100%,1,1+VLOOKUP(($AJ4-$AI4-$AH4-$AG4-$AF4-$AE4*(1+DW$3))/$AJ4,Уголь_коэфф!$A:$B,2,1)-VLOOKUP($AO4,Уголь_коэфф!$A:$B,2,1)),1+(1-$AU4))</f>
        <v>1</v>
      </c>
      <c r="DX4" s="102">
        <f>MIN(IF($AU4=100%,1,1+VLOOKUP(($AJ4-$AI4-$AH4-$AG4-$AF4-$AE4*(1+DX$3))/$AJ4,Уголь_коэфф!$A:$B,2,1)-VLOOKUP($AO4,Уголь_коэфф!$A:$B,2,1)),1+(1-$AU4))</f>
        <v>1</v>
      </c>
      <c r="DY4" s="102">
        <f>MIN(IF($AU4=100%,1,1+VLOOKUP(($AJ4-$AI4-$AH4-$AG4-$AF4-$AE4*(1+DY$3))/$AJ4,Уголь_коэфф!$A:$B,2,1)-VLOOKUP($AO4,Уголь_коэфф!$A:$B,2,1)),1+(1-$AU4))</f>
        <v>1</v>
      </c>
      <c r="DZ4" s="102">
        <f>MIN(IF($AU4=100%,1,1+VLOOKUP(($AJ4-$AI4-$AH4-$AG4-$AF4-$AE4*(1+DZ$3))/$AJ4,Уголь_коэфф!$A:$B,2,1)-VLOOKUP($AO4,Уголь_коэфф!$A:$B,2,1)),1+(1-$AU4))</f>
        <v>1</v>
      </c>
      <c r="EA4" s="102">
        <f>MIN(IF($AU4=100%,1,1+VLOOKUP(($AJ4-$AI4-$AH4-$AG4-$AF4-$AE4*(1+EA$3))/$AJ4,Уголь_коэфф!$A:$B,2,1)-VLOOKUP($AO4,Уголь_коэфф!$A:$B,2,1)),1+(1-$AU4))</f>
        <v>1</v>
      </c>
      <c r="EB4" s="102">
        <f>MIN(IF($AU4=100%,1,1+VLOOKUP(($AJ4-$AI4-$AH4-$AG4-$AF4-$AE4*(1+EB$3))/$AJ4,Уголь_коэфф!$A:$B,2,1)-VLOOKUP($AO4,Уголь_коэфф!$A:$B,2,1)),1+(1-$AU4))</f>
        <v>1</v>
      </c>
      <c r="EC4" s="102">
        <f>MIN(IF($AU4=100%,1,1+VLOOKUP(($AJ4-$AI4-$AH4-$AG4-$AF4-$AE4*(1+EC$3))/$AJ4,Уголь_коэфф!$A:$B,2,1)-VLOOKUP($AO4,Уголь_коэфф!$A:$B,2,1)),1+(1-$AU4))</f>
        <v>1</v>
      </c>
      <c r="ED4" s="102">
        <f>MIN(IF($AU4=100%,1,1+VLOOKUP(($AJ4-$AI4-$AH4-$AG4-$AF4-$AE4*(1+ED$3))/$AJ4,Уголь_коэфф!$A:$B,2,1)-VLOOKUP($AO4,Уголь_коэфф!$A:$B,2,1)),1+(1-$AU4))</f>
        <v>1</v>
      </c>
      <c r="EE4" s="102">
        <f>MIN(IF($AU4=100%,1,1+VLOOKUP(($AJ4-$AI4-$AH4-$AG4-$AF4-$AE4*(1+EE$3))/$AJ4,Уголь_коэфф!$A:$B,2,1)-VLOOKUP($AO4,Уголь_коэфф!$A:$B,2,1)),1+(1-$AU4))</f>
        <v>1</v>
      </c>
      <c r="EF4" s="102">
        <f>MIN(IF($AU4=100%,1,1+VLOOKUP(($AJ4-$AI4-$AH4-$AG4-$AF4-$AE4*(1+EF$3))/$AJ4,Уголь_коэфф!$A:$B,2,1)-VLOOKUP($AO4,Уголь_коэфф!$A:$B,2,1)),1+(1-$AU4))</f>
        <v>1</v>
      </c>
      <c r="EG4" s="102">
        <f>MIN(IF($AU4=100%,1,1+VLOOKUP(($AJ4-$AI4-$AH4-$AG4-$AF4-$AE4*(1+EG$3))/$AJ4,Уголь_коэфф!$A:$B,2,1)-VLOOKUP($AO4,Уголь_коэфф!$A:$B,2,1)),1+(1-$AU4))</f>
        <v>1</v>
      </c>
      <c r="EH4" s="102">
        <f>MIN(IF($AU4=100%,1,1+VLOOKUP(($AJ4-$AI4-$AH4-$AG4-$AF4-$AE4*(1+EH$3))/$AJ4,Уголь_коэфф!$A:$B,2,1)-VLOOKUP($AO4,Уголь_коэфф!$A:$B,2,1)),1+(1-$AU4))</f>
        <v>1</v>
      </c>
      <c r="EI4" s="102">
        <f>MIN(IF($AU4=100%,1,1+VLOOKUP(($AJ4-$AI4-$AH4-$AG4-$AF4-$AE4*(1+EI$3))/$AJ4,Уголь_коэфф!$A:$B,2,1)-VLOOKUP($AO4,Уголь_коэфф!$A:$B,2,1)),1+(1-$AU4))</f>
        <v>1</v>
      </c>
      <c r="EJ4" s="102">
        <f>MIN(IF($AU4=100%,1,1+VLOOKUP(($AJ4-$AI4-$AH4-$AG4-$AF4-$AE4*(1+EJ$3))/$AJ4,Уголь_коэфф!$A:$B,2,1)-VLOOKUP($AO4,Уголь_коэфф!$A:$B,2,1)),1+(1-$AU4))</f>
        <v>1</v>
      </c>
      <c r="EK4" s="102">
        <f>MIN(IF($AU4=100%,1,1+VLOOKUP(($AJ4-$AI4-$AH4-$AG4-$AF4-$AE4*(1+EK$3))/$AJ4,Уголь_коэфф!$A:$B,2,1)-VLOOKUP($AO4,Уголь_коэфф!$A:$B,2,1)),1+(1-$AU4))</f>
        <v>1</v>
      </c>
      <c r="EL4" s="102">
        <f>MIN(IF($AU4=100%,1,1+VLOOKUP(($AJ4-$AI4-$AH4-$AG4-$AF4-$AE4*(1+EL$3))/$AJ4,Уголь_коэфф!$A:$B,2,1)-VLOOKUP($AO4,Уголь_коэфф!$A:$B,2,1)),1+(1-$AU4))</f>
        <v>1</v>
      </c>
      <c r="EM4" s="102">
        <f>MIN(IF($AU4=100%,1,1+VLOOKUP(($AJ4-$AI4-$AH4-$AG4-$AF4-$AE4*(1+EM$3))/$AJ4,Уголь_коэфф!$A:$B,2,1)-VLOOKUP($AO4,Уголь_коэфф!$A:$B,2,1)),1+(1-$AU4))</f>
        <v>1</v>
      </c>
      <c r="EN4" s="102">
        <f>MIN(IF($AU4=100%,1,1+VLOOKUP(($AJ4-$AI4-$AH4-$AG4-$AF4-$AE4*(1+EN$3))/$AJ4,Уголь_коэфф!$A:$B,2,1)-VLOOKUP($AO4,Уголь_коэфф!$A:$B,2,1)),1+(1-$AU4))</f>
        <v>1</v>
      </c>
      <c r="EO4" s="102">
        <f>MIN(IF($AU4=100%,1,1+VLOOKUP(($AJ4-$AI4-$AH4-$AG4-$AF4-$AE4*(1+EO$3))/$AJ4,Уголь_коэфф!$A:$B,2,1)-VLOOKUP($AO4,Уголь_коэфф!$A:$B,2,1)),1+(1-$AU4))</f>
        <v>1</v>
      </c>
      <c r="EP4" s="102">
        <f>MIN(IF($AU4=100%,1,1+VLOOKUP(($AJ4-$AI4-$AH4-$AG4-$AF4-$AE4*(1+EP$3))/$AJ4,Уголь_коэфф!$A:$B,2,1)-VLOOKUP($AO4,Уголь_коэфф!$A:$B,2,1)),1+(1-$AU4))</f>
        <v>1</v>
      </c>
      <c r="EQ4" s="102">
        <f>MIN(IF($AU4=100%,1,1+VLOOKUP(($AJ4-$AI4-$AH4-$AG4-$AF4-$AE4*(1+EQ$3))/$AJ4,Уголь_коэфф!$A:$B,2,1)-VLOOKUP($AO4,Уголь_коэфф!$A:$B,2,1)),1+(1-$AU4))</f>
        <v>1</v>
      </c>
      <c r="ER4" s="102">
        <f>MIN(IF($AU4=100%,1,1+VLOOKUP(($AJ4-$AI4-$AH4-$AG4-$AF4-$AE4*(1+ER$3))/$AJ4,Уголь_коэфф!$A:$B,2,1)-VLOOKUP($AO4,Уголь_коэфф!$A:$B,2,1)),1+(1-$AU4))</f>
        <v>1</v>
      </c>
      <c r="ES4" s="102">
        <f>MIN(IF($AU4=100%,1,1+VLOOKUP(($AJ4-$AI4-$AH4-$AG4-$AF4-$AE4*(1+ES$3))/$AJ4,Уголь_коэфф!$A:$B,2,1)-VLOOKUP($AO4,Уголь_коэфф!$A:$B,2,1)),1+(1-$AU4))</f>
        <v>1</v>
      </c>
      <c r="ET4" s="102">
        <f>MIN(IF($AU4=100%,1,1+VLOOKUP(($AJ4-$AI4-$AH4-$AG4-$AF4-$AE4*(1+ET$3))/$AJ4,Уголь_коэфф!$A:$B,2,1)-VLOOKUP($AO4,Уголь_коэфф!$A:$B,2,1)),1+(1-$AU4))</f>
        <v>1</v>
      </c>
      <c r="EU4" s="102">
        <f>MIN(IF($AU4=100%,1,1+VLOOKUP(($AJ4-$AI4-$AH4-$AG4-$AF4-$AE4*(1+EU$3))/$AJ4,Уголь_коэфф!$A:$B,2,1)-VLOOKUP($AO4,Уголь_коэфф!$A:$B,2,1)),1+(1-$AU4))</f>
        <v>1</v>
      </c>
      <c r="EV4" s="103">
        <v>1</v>
      </c>
      <c r="EW4" s="102">
        <f>MIN(1,MAX(VLOOKUP(($AJ4-$AI4-$AH4-$AG4-$AF4-$AE4*(1+EW$3))/$AJ4,Уголь_коэфф!$A:$B,2,1),(EV4-0.05)))</f>
        <v>1</v>
      </c>
      <c r="EX4" s="102">
        <f>MIN(1,MAX(VLOOKUP(($AJ4-$AI4-$AH4-$AG4-$AF4-$AE4*(1+EX$3))/$AJ4,Уголь_коэфф!$A:$B,2,1),(EW4-0.05)))</f>
        <v>1</v>
      </c>
      <c r="EY4" s="102">
        <f>MIN(1,MAX(VLOOKUP(($AJ4-$AI4-$AH4-$AG4-$AF4-$AE4*(1+EY$3))/$AJ4,Уголь_коэфф!$A:$B,2,1),(EX4-0.05)))</f>
        <v>1</v>
      </c>
      <c r="EZ4" s="102">
        <f>MIN(1,MAX(VLOOKUP(($AJ4-$AI4-$AH4-$AG4-$AF4-$AE4*(1+EZ$3))/$AJ4,Уголь_коэфф!$A:$B,2,1),(EY4-0.05)))</f>
        <v>1</v>
      </c>
      <c r="FA4" s="102">
        <f>MIN(1,MAX(VLOOKUP(($AJ4-$AI4-$AH4-$AG4-$AF4-$AE4*(1+FA$3))/$AJ4,Уголь_коэфф!$A:$B,2,1),(EZ4-0.05)))</f>
        <v>1</v>
      </c>
      <c r="FB4" s="102">
        <f>MIN(1,MAX(VLOOKUP(($AJ4-$AI4-$AH4-$AG4-$AF4-$AE4*(1+FB$3))/$AJ4,Уголь_коэфф!$A:$B,2,1),(FA4-0.05)))</f>
        <v>1</v>
      </c>
      <c r="FC4" s="102">
        <f>MIN(1,MAX(VLOOKUP(($AJ4-$AI4-$AH4-$AG4-$AF4-$AE4*(1+FC$3))/$AJ4,Уголь_коэфф!$A:$B,2,1),(FB4-0.05)))</f>
        <v>1</v>
      </c>
      <c r="FD4" s="102">
        <f>MIN(1,MAX(VLOOKUP(($AJ4-$AI4-$AH4-$AG4-$AF4-$AE4*(1+FD$3))/$AJ4,Уголь_коэфф!$A:$B,2,1),(FC4-0.05)))</f>
        <v>1</v>
      </c>
      <c r="FE4" s="102">
        <f>MIN(1,MAX(VLOOKUP(($AJ4-$AI4-$AH4-$AG4-$AF4-$AE4*(1+FE$3))/$AJ4,Уголь_коэфф!$A:$B,2,1),(FD4-0.05)))</f>
        <v>1</v>
      </c>
      <c r="FF4" s="102">
        <f>MIN(1,MAX(VLOOKUP(($AJ4-$AI4-$AH4-$AG4-$AF4-$AE4*(1+FF$3))/$AJ4,Уголь_коэфф!$A:$B,2,1),(FE4-0.05)))</f>
        <v>1</v>
      </c>
      <c r="FG4" s="102">
        <f>MIN(1,MAX(VLOOKUP(($AJ4-$AI4-$AH4-$AG4-$AF4-$AE4*(1+FG$3))/$AJ4,Уголь_коэфф!$A:$B,2,1),(FF4-0.05)))</f>
        <v>1</v>
      </c>
      <c r="FH4" s="102">
        <f>MIN(1,MAX(VLOOKUP(($AJ4-$AI4-$AH4-$AG4-$AF4-$AE4*(1+FH$3))/$AJ4,Уголь_коэфф!$A:$B,2,1),(FG4-0.05)))</f>
        <v>1</v>
      </c>
      <c r="FI4" s="102">
        <f>MIN(1,MAX(VLOOKUP(($AJ4-$AI4-$AH4-$AG4-$AF4-$AE4*(1+FI$3))/$AJ4,Уголь_коэфф!$A:$B,2,1),(FH4-0.05)))</f>
        <v>1</v>
      </c>
      <c r="FJ4" s="102">
        <f>MIN(1,MAX(VLOOKUP(($AJ4-$AI4-$AH4-$AG4-$AF4-$AE4*(1+FJ$3))/$AJ4,Уголь_коэфф!$A:$B,2,1),(FI4-0.05)))</f>
        <v>1</v>
      </c>
      <c r="FK4" s="102">
        <f>MIN(1,MAX(VLOOKUP(($AJ4-$AI4-$AH4-$AG4-$AF4-$AE4*(1+FK$3))/$AJ4,Уголь_коэфф!$A:$B,2,1),(FJ4-0.05)))</f>
        <v>1</v>
      </c>
      <c r="FL4" s="102">
        <f>MIN(1,MAX(VLOOKUP(($AJ4-$AI4-$AH4-$AG4-$AF4-$AE4*(1+FL$3))/$AJ4,Уголь_коэфф!$A:$B,2,1),(FK4-0.05)))</f>
        <v>1</v>
      </c>
      <c r="FM4" s="102">
        <f>MIN(1,MAX(VLOOKUP(($AJ4-$AI4-$AH4-$AG4-$AF4-$AE4*(1+FM$3))/$AJ4,Уголь_коэфф!$A:$B,2,1),(FL4-0.05)))</f>
        <v>1</v>
      </c>
      <c r="FN4" s="102">
        <f>MIN(1,MAX(VLOOKUP(($AJ4-$AI4-$AH4-$AG4-$AF4-$AE4*(1+FN$3))/$AJ4,Уголь_коэфф!$A:$B,2,1),(FM4-0.05)))</f>
        <v>1</v>
      </c>
      <c r="FO4" s="102">
        <f>MIN(1,MAX(VLOOKUP(($AJ4-$AI4-$AH4-$AG4-$AF4-$AE4*(1+FO$3))/$AJ4,Уголь_коэфф!$A:$B,2,1),(FN4-0.05)))</f>
        <v>1</v>
      </c>
      <c r="FP4" s="102">
        <f>MIN(1,MAX(VLOOKUP(($AJ4-$AI4-$AH4-$AG4-$AF4-$AE4*(1+FP$3))/$AJ4,Уголь_коэфф!$A:$B,2,1),(FO4-0.05)))</f>
        <v>1</v>
      </c>
      <c r="FQ4" s="102">
        <f>MIN(1,MAX(VLOOKUP(($AJ4-$AI4-$AH4-$AG4-$AF4-$AE4*(1+FQ$3))/$AJ4,Уголь_коэфф!$A:$B,2,1),(FP4-0.05)))</f>
        <v>1</v>
      </c>
      <c r="FR4" s="102">
        <f>MIN(1,MAX(VLOOKUP(($AJ4-$AI4-$AH4-$AG4-$AF4-$AE4*(1+FR$3))/$AJ4,Уголь_коэфф!$A:$B,2,1),(FQ4-0.05)))</f>
        <v>1</v>
      </c>
      <c r="FS4" s="102">
        <f>MIN(1,MAX(VLOOKUP(($AJ4-$AI4-$AH4-$AG4-$AF4-$AE4*(1+FS$3))/$AJ4,Уголь_коэфф!$A:$B,2,1),(FR4-0.05)))</f>
        <v>1</v>
      </c>
      <c r="FT4" s="102">
        <f>MIN(1,MAX(VLOOKUP(($AJ4-$AI4-$AH4-$AG4-$AF4-$AE4*(1+FT$3))/$AJ4,Уголь_коэфф!$A:$B,2,1),(FS4-0.05)))</f>
        <v>1</v>
      </c>
      <c r="FU4" s="102">
        <f>MIN(1,MAX(VLOOKUP(($AJ4-$AI4-$AH4-$AG4-$AF4-$AE4*(1+FU$3))/$AJ4,Уголь_коэфф!$A:$B,2,1),(FT4-0.05)))</f>
        <v>1</v>
      </c>
      <c r="FV4" s="102">
        <f>MIN(1,MAX(VLOOKUP(($AJ4-$AI4-$AH4-$AG4-$AF4-$AE4*(1+FV$3))/$AJ4,Уголь_коэфф!$A:$B,2,1),(FU4-0.05)))</f>
        <v>1</v>
      </c>
      <c r="FW4" s="102">
        <f>MIN(1,MAX(VLOOKUP(($AJ4-$AI4-$AH4-$AG4-$AF4-$AE4*(1+FW$3))/$AJ4,Уголь_коэфф!$A:$B,2,1),(FV4-0.05)))</f>
        <v>1</v>
      </c>
      <c r="FX4" s="102">
        <f>MIN(1,MAX(VLOOKUP(($AJ4-$AI4-$AH4-$AG4-$AF4-$AE4*(1+FX$3))/$AJ4,Уголь_коэфф!$A:$B,2,1),(FW4-0.05)))</f>
        <v>1</v>
      </c>
      <c r="FY4" s="102">
        <f>MIN(1,MAX(VLOOKUP(($AJ4-$AI4-$AH4-$AG4-$AF4-$AE4*(1+FY$3))/$AJ4,Уголь_коэфф!$A:$B,2,1),(FX4-0.05)))</f>
        <v>1</v>
      </c>
      <c r="FZ4" s="102">
        <f>MIN(1,MAX(VLOOKUP(($AJ4-$AI4-$AH4-$AG4-$AF4-$AE4*(1+FZ$3))/$AJ4,Уголь_коэфф!$A:$B,2,1),(FY4-0.05)))</f>
        <v>1</v>
      </c>
      <c r="GA4" s="102">
        <f>MIN(1,MAX(VLOOKUP(($AJ4-$AI4-$AH4-$AG4-$AF4-$AE4*(1+GA$3))/$AJ4,Уголь_коэфф!$A:$B,2,1),(FZ4-0.05)))</f>
        <v>1</v>
      </c>
      <c r="GB4" s="102">
        <f>MIN(1,MAX(VLOOKUP(($AJ4-$AI4-$AH4-$AG4-$AF4-$AE4*(1+GB$3))/$AJ4,Уголь_коэфф!$A:$B,2,1),(GA4-0.05)))</f>
        <v>1</v>
      </c>
      <c r="GC4" s="102">
        <f>MIN(1,MAX(VLOOKUP(($AJ4-$AI4-$AH4-$AG4-$AF4-$AE4*(1+GC$3))/$AJ4,Уголь_коэфф!$A:$B,2,1),(GB4-0.05)))</f>
        <v>1</v>
      </c>
      <c r="GD4" s="102">
        <f>MIN(1,MAX(VLOOKUP(($AJ4-$AI4-$AH4-$AG4-$AF4-$AE4*(1+GD$3))/$AJ4,Уголь_коэфф!$A:$B,2,1),(GC4-0.05)))</f>
        <v>1</v>
      </c>
      <c r="GE4" s="102">
        <f>MIN(1,MAX(VLOOKUP(($AJ4-$AI4-$AH4-$AG4-$AF4-$AE4*(1+GE$3))/$AJ4,Уголь_коэфф!$A:$B,2,1),(GD4-0.05)))</f>
        <v>1</v>
      </c>
      <c r="GF4" s="102">
        <f>MIN(1,MAX(VLOOKUP(($AJ4-$AI4-$AH4-$AG4-$AF4-$AE4*(1+GF$3))/$AJ4,Уголь_коэфф!$A:$B,2,1),(GE4-0.05)))</f>
        <v>1</v>
      </c>
      <c r="GG4" s="102">
        <f>MIN(1,MAX(VLOOKUP(($AJ4-$AI4-$AH4-$AG4-$AF4-$AE4*(1+GG$3))/$AJ4,Уголь_коэфф!$A:$B,2,1),(GF4-0.05)))</f>
        <v>1</v>
      </c>
      <c r="GH4" s="102">
        <f>MIN(1,MAX(VLOOKUP(($AJ4-$AI4-$AH4-$AG4-$AF4-$AE4*(1+GH$3))/$AJ4,Уголь_коэфф!$A:$B,2,1),(GG4-0.05)))</f>
        <v>1</v>
      </c>
      <c r="GI4" s="102">
        <f>MIN(1,MAX(VLOOKUP(($AJ4-$AI4-$AH4-$AG4-$AF4-$AE4*(1+GI$3))/$AJ4,Уголь_коэфф!$A:$B,2,1),(GH4-0.05)))</f>
        <v>1</v>
      </c>
      <c r="GJ4" s="102">
        <f>MIN(1,MAX(VLOOKUP(($AJ4-$AI4-$AH4-$AG4-$AF4-$AE4*(1+GJ$3))/$AJ4,Уголь_коэфф!$A:$B,2,1),(GI4-0.05)))</f>
        <v>1</v>
      </c>
      <c r="GK4" s="102">
        <f>MIN(1,MAX(VLOOKUP(($AJ4-$AI4-$AH4-$AG4-$AF4-$AE4*(1+GK$3))/$AJ4,Уголь_коэфф!$A:$B,2,1),(GJ4-0.05)))</f>
        <v>1</v>
      </c>
      <c r="GL4" s="102">
        <f>MIN(1,MAX(VLOOKUP(($AJ4-$AI4-$AH4-$AG4-$AF4-$AE4*(1+GL$3))/$AJ4,Уголь_коэфф!$A:$B,2,1),(GK4-0.05)))</f>
        <v>1</v>
      </c>
      <c r="GM4" s="102">
        <f>MIN(1,MAX(VLOOKUP(($AJ4-$AI4-$AH4-$AG4-$AF4-$AE4*(1+GM$3))/$AJ4,Уголь_коэфф!$A:$B,2,1),(GL4-0.05)))</f>
        <v>1</v>
      </c>
      <c r="GN4" s="102">
        <f>MIN(1,MAX(VLOOKUP(($AJ4-$AI4-$AH4-$AG4-$AF4-$AE4*(1+GN$3))/$AJ4,Уголь_коэфф!$A:$B,2,1),(GM4-0.05)))</f>
        <v>1</v>
      </c>
      <c r="GO4" s="102">
        <f>MIN(1,MAX(VLOOKUP(($AJ4-$AI4-$AH4-$AG4-$AF4-$AE4*(1+GO$3))/$AJ4,Уголь_коэфф!$A:$B,2,1),(GN4-0.05)))</f>
        <v>1</v>
      </c>
      <c r="GP4" s="102">
        <f>MIN(1,MAX(VLOOKUP(($AJ4-$AI4-$AH4-$AG4-$AF4-$AE4*(1+GP$3))/$AJ4,Уголь_коэфф!$A:$B,2,1),(GO4-0.05)))</f>
        <v>1</v>
      </c>
      <c r="GQ4" s="102">
        <f>MIN(1,MAX(VLOOKUP(($AJ4-$AI4-$AH4-$AG4-$AF4-$AE4*(1+GQ$3))/$AJ4,Уголь_коэфф!$A:$B,2,1),(GP4-0.05)))</f>
        <v>1</v>
      </c>
      <c r="GR4" s="102">
        <f>MIN(1,MAX(VLOOKUP(($AJ4-$AI4-$AH4-$AG4-$AF4-$AE4*(1+GR$3))/$AJ4,Уголь_коэфф!$A:$B,2,1),(GQ4-0.05)))</f>
        <v>1</v>
      </c>
      <c r="GS4" s="102">
        <f>MIN(1,MAX(VLOOKUP(($AJ4-$AI4-$AH4-$AG4-$AF4-$AE4*(1+GS$3))/$AJ4,Уголь_коэфф!$A:$B,2,1),(GR4-0.05)))</f>
        <v>1</v>
      </c>
      <c r="GT4" s="102">
        <f>MIN(1,MAX(VLOOKUP(($AJ4-$AI4-$AH4-$AG4-$AF4-$AE4*(1+GT$3))/$AJ4,Уголь_коэфф!$A:$B,2,1),(GS4-0.05)))</f>
        <v>1</v>
      </c>
      <c r="GU4" s="102">
        <f>MIN(1,MAX(VLOOKUP(($AJ4-$AI4-$AH4-$AG4-$AF4-$AE4*(1+GU$3))/$AJ4,Уголь_коэфф!$A:$B,2,1),(GT4-0.05)))</f>
        <v>1</v>
      </c>
      <c r="GV4" s="102">
        <f>MIN(1,MAX(VLOOKUP(($AJ4-$AI4-$AH4-$AG4-$AF4-$AE4*(1+GV$3))/$AJ4,Уголь_коэфф!$A:$B,2,1),(GU4-0.05)))</f>
        <v>1</v>
      </c>
      <c r="GW4" s="102">
        <f>MIN(1,MAX(VLOOKUP(($AJ4-$AI4-$AH4-$AG4-$AF4-$AE4*(1+GW$3))/$AJ4,Уголь_коэфф!$A:$B,2,1),(GV4-0.05)))</f>
        <v>1</v>
      </c>
      <c r="GX4" s="102">
        <f>MIN(1,MAX(VLOOKUP(($AJ4-$AI4-$AH4-$AG4-$AF4-$AE4*(1+GX$3))/$AJ4,Уголь_коэфф!$A:$B,2,1),(GW4-0.05)))</f>
        <v>1</v>
      </c>
      <c r="GY4" s="102">
        <f>MIN(1,MAX(VLOOKUP(($AJ4-$AI4-$AH4-$AG4-$AF4-$AE4*(1+GY$3))/$AJ4,Уголь_коэфф!$A:$B,2,1),(GX4-0.05)))</f>
        <v>1</v>
      </c>
      <c r="GZ4" s="102">
        <f>MIN(1,MAX(VLOOKUP(($AJ4-$AI4-$AH4-$AG4-$AF4-$AE4*(1+GZ$3))/$AJ4,Уголь_коэфф!$A:$B,2,1),(GY4-0.05)))</f>
        <v>1</v>
      </c>
      <c r="HA4" s="102">
        <f>MIN(1,MAX(VLOOKUP(($AJ4-$AI4-$AH4-$AG4-$AF4-$AE4*(1+HA$3))/$AJ4,Уголь_коэфф!$A:$B,2,1),(GZ4-0.05)))</f>
        <v>1</v>
      </c>
      <c r="HB4" s="102">
        <f>MIN(1,MAX(VLOOKUP(($AJ4-$AI4-$AH4-$AG4-$AF4-$AE4*(1+HB$3))/$AJ4,Уголь_коэфф!$A:$B,2,1),(HA4-0.05)))</f>
        <v>1</v>
      </c>
      <c r="HC4" s="102">
        <f>MIN(1,MAX(VLOOKUP(($AJ4-$AI4-$AH4-$AG4-$AF4-$AE4*(1+HC$3))/$AJ4,Уголь_коэфф!$A:$B,2,1),(HB4-0.05)))</f>
        <v>1</v>
      </c>
      <c r="HD4" s="102">
        <f>MIN(1,MAX(VLOOKUP(($AJ4-$AI4-$AH4-$AG4-$AF4-$AE4*(1+HD$3))/$AJ4,Уголь_коэфф!$A:$B,2,1),(HC4-0.05)))</f>
        <v>1</v>
      </c>
      <c r="HE4" s="102">
        <f>MIN(1,MAX(VLOOKUP(($AJ4-$AI4-$AH4-$AG4-$AF4-$AE4*(1+HE$3))/$AJ4,Уголь_коэфф!$A:$B,2,1),(HD4-0.05)))</f>
        <v>1</v>
      </c>
      <c r="HF4" s="102">
        <f>MIN(1,MAX(VLOOKUP(($AJ4-$AI4-$AH4-$AG4-$AF4-$AE4*(1+HF$3))/$AJ4,Уголь_коэфф!$A:$B,2,1),(HE4-0.05)))</f>
        <v>1</v>
      </c>
      <c r="HG4" s="102">
        <f>MIN(1,MAX(VLOOKUP(($AJ4-$AI4-$AH4-$AG4-$AF4-$AE4*(1+HG$3))/$AJ4,Уголь_коэфф!$A:$B,2,1),(HF4-0.05)))</f>
        <v>1</v>
      </c>
      <c r="HH4" s="102">
        <f>MIN(1,MAX(VLOOKUP(($AJ4-$AI4-$AH4-$AG4-$AF4-$AE4*(1+HH$3))/$AJ4,Уголь_коэфф!$A:$B,2,1),(HG4-0.05)))</f>
        <v>1</v>
      </c>
      <c r="HI4" s="102">
        <f>MIN(1,MAX(VLOOKUP(($AJ4-$AI4-$AH4-$AG4-$AF4-$AE4*(1+HI$3))/$AJ4,Уголь_коэфф!$A:$B,2,1),(HH4-0.05)))</f>
        <v>1</v>
      </c>
      <c r="HJ4" s="102">
        <f>MIN(1,MAX(VLOOKUP(($AJ4-$AI4-$AH4-$AG4-$AF4-$AE4*(1+HJ$3))/$AJ4,Уголь_коэфф!$A:$B,2,1),(HI4-0.05)))</f>
        <v>1</v>
      </c>
      <c r="HK4" s="102">
        <f>MIN(1,MAX(VLOOKUP(($AJ4-$AI4-$AH4-$AG4-$AF4-$AE4*(1+HK$3))/$AJ4,Уголь_коэфф!$A:$B,2,1),(HJ4-0.05)))</f>
        <v>1</v>
      </c>
      <c r="HL4" s="102">
        <f>MIN(1,MAX(VLOOKUP(($AJ4-$AI4-$AH4-$AG4-$AF4-$AE4*(1+HL$3))/$AJ4,Уголь_коэфф!$A:$B,2,1),(HK4-0.05)))</f>
        <v>1</v>
      </c>
      <c r="HM4" s="102">
        <f>MIN(1,MAX(VLOOKUP(($AJ4-$AI4-$AH4-$AG4-$AF4-$AE4*(1+HM$3))/$AJ4,Уголь_коэфф!$A:$B,2,1),(HL4-0.05)))</f>
        <v>1</v>
      </c>
      <c r="HN4" s="102">
        <f>MIN(1,MAX(VLOOKUP(($AJ4-$AI4-$AH4-$AG4-$AF4-$AE4*(1+HN$3))/$AJ4,Уголь_коэфф!$A:$B,2,1),(HM4-0.05)))</f>
        <v>1</v>
      </c>
      <c r="HO4" s="102">
        <f>MIN(1,MAX(VLOOKUP(($AJ4-$AI4-$AH4-$AG4-$AF4-$AE4*(1+HO$3))/$AJ4,Уголь_коэфф!$A:$B,2,1),(HN4-0.05)))</f>
        <v>1</v>
      </c>
      <c r="HP4" s="102">
        <f>MIN(1,MAX(VLOOKUP(($AJ4-$AI4-$AH4-$AG4-$AF4-$AE4*(1+HP$3))/$AJ4,Уголь_коэфф!$A:$B,2,1),(HO4-0.05)))</f>
        <v>1</v>
      </c>
      <c r="HQ4" s="102">
        <f>MIN(1,MAX(VLOOKUP(($AJ4-$AI4-$AH4-$AG4-$AF4-$AE4*(1+HQ$3))/$AJ4,Уголь_коэфф!$A:$B,2,1),(HP4-0.05)))</f>
        <v>1</v>
      </c>
      <c r="HR4" s="102">
        <f>MIN(1,MAX(VLOOKUP(($AJ4-$AI4-$AH4-$AG4-$AF4-$AE4*(1+HR$3))/$AJ4,Уголь_коэфф!$A:$B,2,1),(HQ4-0.05)))</f>
        <v>1</v>
      </c>
      <c r="HS4" s="102">
        <f>MIN(1,MAX(VLOOKUP(($AJ4-$AI4-$AH4-$AG4-$AF4-$AE4*(1+HS$3))/$AJ4,Уголь_коэфф!$A:$B,2,1),(HR4-0.05)))</f>
        <v>1</v>
      </c>
      <c r="HT4" s="102">
        <f>MIN(1,MAX(VLOOKUP(($AJ4-$AI4-$AH4-$AG4-$AF4-$AE4*(1+HT$3))/$AJ4,Уголь_коэфф!$A:$B,2,1),(HS4-0.05)))</f>
        <v>1</v>
      </c>
      <c r="HU4" s="102">
        <f>MIN(1,MAX(VLOOKUP(($AJ4-$AI4-$AH4-$AG4-$AF4-$AE4*(1+HU$3))/$AJ4,Уголь_коэфф!$A:$B,2,1),(HT4-0.05)))</f>
        <v>1</v>
      </c>
      <c r="HV4" s="102">
        <f>MIN(1,MAX(VLOOKUP(($AJ4-$AI4-$AH4-$AG4-$AF4-$AE4*(1+HV$3))/$AJ4,Уголь_коэфф!$A:$B,2,1),(HU4-0.05)))</f>
        <v>1</v>
      </c>
      <c r="HW4" s="102">
        <f>MIN(1,MAX(VLOOKUP(($AJ4-$AI4-$AH4-$AG4-$AF4-$AE4*(1+HW$3))/$AJ4,Уголь_коэфф!$A:$B,2,1),(HV4-0.05)))</f>
        <v>1</v>
      </c>
      <c r="HX4" s="102">
        <f>MIN(1,MAX(VLOOKUP(($AJ4-$AI4-$AH4-$AG4-$AF4-$AE4*(1+HX$3))/$AJ4,Уголь_коэфф!$A:$B,2,1),(HW4-0.05)))</f>
        <v>1</v>
      </c>
      <c r="HY4" s="102">
        <f>MIN(1,MAX(VLOOKUP(($AJ4-$AI4-$AH4-$AG4-$AF4-$AE4*(1+HY$3))/$AJ4,Уголь_коэфф!$A:$B,2,1),(HX4-0.05)))</f>
        <v>1</v>
      </c>
      <c r="HZ4" s="102">
        <f>MIN(1,MAX(VLOOKUP(($AJ4-$AI4-$AH4-$AG4-$AF4-$AE4*(1+HZ$3))/$AJ4,Уголь_коэфф!$A:$B,2,1),(HY4-0.05)))</f>
        <v>1</v>
      </c>
      <c r="IA4" s="102">
        <f>MIN(1,MAX(VLOOKUP(($AJ4-$AI4-$AH4-$AG4-$AF4-$AE4*(1+IA$3))/$AJ4,Уголь_коэфф!$A:$B,2,1),(HZ4-0.05)))</f>
        <v>1</v>
      </c>
      <c r="IB4" s="102">
        <f>MIN(1,MAX(VLOOKUP(($AJ4-$AI4-$AH4-$AG4-$AF4-$AE4*(1+IB$3))/$AJ4,Уголь_коэфф!$A:$B,2,1),(IA4-0.05)))</f>
        <v>1</v>
      </c>
      <c r="IC4" s="102">
        <f>MIN(1,MAX(VLOOKUP(($AJ4-$AI4-$AH4-$AG4-$AF4-$AE4*(1+IC$3))/$AJ4,Уголь_коэфф!$A:$B,2,1),(IB4-0.05)))</f>
        <v>1</v>
      </c>
      <c r="ID4" s="102">
        <f>MIN(1,MAX(VLOOKUP(($AJ4-$AI4-$AH4-$AG4-$AF4-$AE4*(1+ID$3))/$AJ4,Уголь_коэфф!$A:$B,2,1),(IC4-0.05)))</f>
        <v>1</v>
      </c>
      <c r="IE4" s="102">
        <f>MIN(1,MAX(VLOOKUP(($AJ4-$AI4-$AH4-$AG4-$AF4-$AE4*(1+IE$3))/$AJ4,Уголь_коэфф!$A:$B,2,1),(ID4-0.05)))</f>
        <v>1</v>
      </c>
      <c r="IF4" s="102">
        <f>MIN(1,MAX(VLOOKUP(($AJ4-$AI4-$AH4-$AG4-$AF4-$AE4*(1+IF$3))/$AJ4,Уголь_коэфф!$A:$B,2,1),(IE4-0.05)))</f>
        <v>1</v>
      </c>
      <c r="IG4" s="102">
        <f>MIN(1,MAX(VLOOKUP(($AJ4-$AI4-$AH4-$AG4-$AF4-$AE4*(1+IG$3))/$AJ4,Уголь_коэфф!$A:$B,2,1),(IF4-0.05)))</f>
        <v>1</v>
      </c>
      <c r="IH4" s="102">
        <f>MIN(1,MAX(VLOOKUP(($AJ4-$AI4-$AH4-$AG4-$AF4-$AE4*(1+IH$3))/$AJ4,Уголь_коэфф!$A:$B,2,1),(IG4-0.05)))</f>
        <v>1</v>
      </c>
      <c r="II4" s="102">
        <f>MIN(1,MAX(VLOOKUP(($AJ4-$AI4-$AH4-$AG4-$AF4-$AE4*(1+II$3))/$AJ4,Уголь_коэфф!$A:$B,2,1),(IH4-0.05)))</f>
        <v>1</v>
      </c>
      <c r="IJ4" s="102">
        <f>MIN(1,MAX(VLOOKUP(($AJ4-$AI4-$AH4-$AG4-$AF4-$AE4*(1+IJ$3))/$AJ4,Уголь_коэфф!$A:$B,2,1),(II4-0.05)))</f>
        <v>1</v>
      </c>
      <c r="IK4" s="102">
        <f>MIN(1,MAX(VLOOKUP(($AJ4-$AI4-$AH4-$AG4-$AF4-$AE4*(1+IK$3))/$AJ4,Уголь_коэфф!$A:$B,2,1),(IJ4-0.05)))</f>
        <v>1</v>
      </c>
      <c r="IL4" s="102">
        <f>MIN(1,MAX(VLOOKUP(($AJ4-$AI4-$AH4-$AG4-$AF4-$AE4*(1+IL$3))/$AJ4,Уголь_коэфф!$A:$B,2,1),(IK4-0.05)))</f>
        <v>1</v>
      </c>
      <c r="IM4" s="102">
        <f>MIN(1,MAX(VLOOKUP(($AJ4-$AI4-$AH4-$AG4-$AF4-$AE4*(1+IM$3))/$AJ4,Уголь_коэфф!$A:$B,2,1),(IL4-0.05)))</f>
        <v>1</v>
      </c>
      <c r="IN4" s="102">
        <f>MIN(1,MAX(VLOOKUP(($AJ4-$AI4-$AH4-$AG4-$AF4-$AE4*(1+IN$3))/$AJ4,Уголь_коэфф!$A:$B,2,1),(IM4-0.05)))</f>
        <v>1</v>
      </c>
      <c r="IO4" s="102">
        <f>MIN(1,MAX(VLOOKUP(($AJ4-$AI4-$AH4-$AG4-$AF4-$AE4*(1+IO$3))/$AJ4,Уголь_коэфф!$A:$B,2,1),(IN4-0.05)))</f>
        <v>1</v>
      </c>
      <c r="IP4" s="102">
        <f>MIN(1,MAX(VLOOKUP(($AJ4-$AI4-$AH4-$AG4-$AF4-$AE4*(1+IP$3))/$AJ4,Уголь_коэфф!$A:$B,2,1),(IO4-0.05)))</f>
        <v>1</v>
      </c>
      <c r="IQ4" s="102">
        <f>MIN(1,MAX(VLOOKUP(($AJ4-$AI4-$AH4-$AG4-$AF4-$AE4*(1+IQ$3))/$AJ4,Уголь_коэфф!$A:$B,2,1),(IP4-0.05)))</f>
        <v>1</v>
      </c>
      <c r="IR4" s="102">
        <f>MIN(1,MAX(VLOOKUP(($AJ4-$AI4-$AH4-$AG4-$AF4-$AE4*(1+IR$3))/$AJ4,Уголь_коэфф!$A:$B,2,1),(IQ4-0.05)))</f>
        <v>1</v>
      </c>
      <c r="IS4" s="102">
        <f>HLOOKUP($IS$2,$AZ$3:$IR$27,ROW(IR4)-2,FALSE)</f>
        <v>1</v>
      </c>
      <c r="IT4" s="102">
        <f t="shared" ref="IT4:IT27" si="7">IF($IV$2=1,IF(AND($IT$2="индексация",IS4&lt;1,IS4*$IV$1&gt;1),1,IF(AND($IT$2="индексация",IS4=1),1,IF(AND($IT$2="скидка",IS4=1),1,IS4*$IV$1))),IS4*$IV$1)</f>
        <v>1</v>
      </c>
      <c r="IU4" s="110"/>
    </row>
    <row r="5" spans="1:266" ht="14.6" customHeight="1">
      <c r="A5" s="60" t="s">
        <v>240</v>
      </c>
      <c r="B5" s="111">
        <v>1</v>
      </c>
      <c r="C5" s="112" t="s">
        <v>16</v>
      </c>
      <c r="D5" s="113">
        <v>16112</v>
      </c>
      <c r="E5" s="113" t="s">
        <v>28</v>
      </c>
      <c r="F5" s="112" t="s">
        <v>18</v>
      </c>
      <c r="G5" s="113" t="s">
        <v>29</v>
      </c>
      <c r="H5" s="113" t="s">
        <v>30</v>
      </c>
      <c r="I5" s="113" t="s">
        <v>31</v>
      </c>
      <c r="J5" s="113" t="s">
        <v>32</v>
      </c>
      <c r="K5" s="113">
        <v>5356</v>
      </c>
      <c r="L5" s="113" t="s">
        <v>22</v>
      </c>
      <c r="M5" s="113" t="s">
        <v>23</v>
      </c>
      <c r="N5" s="113" t="s">
        <v>24</v>
      </c>
      <c r="O5" s="113" t="s">
        <v>33</v>
      </c>
      <c r="P5" s="116">
        <v>54657469</v>
      </c>
      <c r="Q5" s="114" t="s">
        <v>26</v>
      </c>
      <c r="R5" s="113" t="s">
        <v>27</v>
      </c>
      <c r="S5" s="117">
        <v>2180783</v>
      </c>
      <c r="T5" s="115">
        <v>11680408007</v>
      </c>
      <c r="U5" s="115">
        <v>29661</v>
      </c>
      <c r="V5" s="115"/>
      <c r="W5" s="118">
        <v>4360383957</v>
      </c>
      <c r="X5" s="104">
        <v>75</v>
      </c>
      <c r="Y5" s="104" t="s">
        <v>163</v>
      </c>
      <c r="Z5" s="107">
        <v>12</v>
      </c>
      <c r="AA5" s="107">
        <v>12</v>
      </c>
      <c r="AB5" s="107">
        <v>4</v>
      </c>
      <c r="AC5" s="88">
        <v>2152.64</v>
      </c>
      <c r="AD5" s="88">
        <v>1013.71</v>
      </c>
      <c r="AE5" s="88">
        <f t="shared" ref="AE5:AE6" si="8">AC5+AD5</f>
        <v>3166.35</v>
      </c>
      <c r="AF5" s="89">
        <f>'Цены,перевалка,аренда'!$C$26*SUM(Уголь_эластика_экспорт!Z5+Уголь_эластика_экспорт!AA5+Уголь_эластика_экспорт!AB5)/Уголь_эластика_экспорт!X5</f>
        <v>373.33333333333331</v>
      </c>
      <c r="AG5" s="90">
        <f>SUMIF('Цены,перевалка,аренда'!$A$20:$A$22,Уголь_эластика_экспорт!$O5,'Цены,перевалка,аренда'!$D$20:$D$22)</f>
        <v>610.44399999999996</v>
      </c>
      <c r="AH5" s="47"/>
      <c r="AI5" s="91">
        <v>2020</v>
      </c>
      <c r="AJ5" s="92">
        <f>SUMIF('Цены,перевалка,аренда'!$A$5:$A$17,Уголь_эластика_экспорт!A5,'Цены,перевалка,аренда'!$D$5:$D$17)</f>
        <v>6485.9674999999997</v>
      </c>
      <c r="AK5" s="47">
        <f>AJ5/'Цены,перевалка,аренда'!$C$1</f>
        <v>85</v>
      </c>
      <c r="AL5" s="47">
        <f t="shared" ref="AL5:AL27" si="9">AE5+AF5+AG5</f>
        <v>4150.1273333333338</v>
      </c>
      <c r="AM5" s="47">
        <f t="shared" ref="AM5:AM27" si="10">AJ5-AL5</f>
        <v>2335.8401666666659</v>
      </c>
      <c r="AN5" s="47">
        <f t="shared" ref="AN5:AN27" si="11">AI5+AH5+AG5+AF5+AE5</f>
        <v>6170.1273333333338</v>
      </c>
      <c r="AO5" s="93">
        <f t="shared" ref="AO5:AO27" si="12">(AJ5-AN5)/AJ5</f>
        <v>4.8695921875443554E-2</v>
      </c>
      <c r="AP5" s="94">
        <f t="shared" ref="AP5:AP27" si="13">AL5/AJ5</f>
        <v>0.63986249288688757</v>
      </c>
      <c r="AQ5" s="94">
        <f t="shared" si="5"/>
        <v>0.48818468486004596</v>
      </c>
      <c r="AR5" s="94">
        <f t="shared" si="6"/>
        <v>0.76295249414837218</v>
      </c>
      <c r="AS5" s="167">
        <f t="shared" ref="AS5:AS27" si="14">IT5</f>
        <v>1</v>
      </c>
      <c r="AT5" s="173">
        <f t="shared" ref="AT5:AT27" si="15">S5*AS5</f>
        <v>2180783</v>
      </c>
      <c r="AU5" s="96">
        <v>1</v>
      </c>
      <c r="AV5" s="93">
        <f t="shared" ref="AV5:AV27" si="16">(AJ5-(AE5*(1+$IS$2)+AF5+AG5+AH5+AI5))/AJ5</f>
        <v>-1.2254661056107383E-4</v>
      </c>
      <c r="AW5" s="94">
        <f t="shared" ref="AW5:AW27" si="17">(AE5*(1+$IS$2)+AF5+AG5)/AJ5</f>
        <v>0.68868096137289225</v>
      </c>
      <c r="AX5" s="94">
        <f t="shared" ref="AX5:AX27" si="18">(AE5*(1+$IS$2))/AJ5</f>
        <v>0.53700315334605053</v>
      </c>
      <c r="AY5" s="94">
        <f t="shared" ref="AY5:AY27" si="19">(AE5*(1+$IS$2))/(AE5*(1+$IS$2)+AF5+AG5)</f>
        <v>0.77975606044855594</v>
      </c>
      <c r="AZ5" s="102">
        <f>MIN(IF($AU5=100%,1,1+VLOOKUP(($AJ5-$AI5-$AH5-$AG5-$AF5-$AE5*(1+AZ$3))/$AJ5,Уголь_коэфф!$A:$B,2,1)-VLOOKUP($AO5,Уголь_коэфф!$A:$B,2,1)),1+(1-$AU5))</f>
        <v>1</v>
      </c>
      <c r="BA5" s="102">
        <f>MIN(IF($AU5=100%,1,1+VLOOKUP(($AJ5-$AI5-$AH5-$AG5-$AF5-$AE5*(1+BA$3))/$AJ5,Уголь_коэфф!$A:$B,2,1)-VLOOKUP($AO5,Уголь_коэфф!$A:$B,2,1)),1+(1-$AU5))</f>
        <v>1</v>
      </c>
      <c r="BB5" s="102">
        <f>MIN(IF($AU5=100%,1,1+VLOOKUP(($AJ5-$AI5-$AH5-$AG5-$AF5-$AE5*(1+BB$3))/$AJ5,Уголь_коэфф!$A:$B,2,1)-VLOOKUP($AO5,Уголь_коэфф!$A:$B,2,1)),1+(1-$AU5))</f>
        <v>1</v>
      </c>
      <c r="BC5" s="102">
        <f>MIN(IF($AU5=100%,1,1+VLOOKUP(($AJ5-$AI5-$AH5-$AG5-$AF5-$AE5*(1+BC$3))/$AJ5,Уголь_коэфф!$A:$B,2,1)-VLOOKUP($AO5,Уголь_коэфф!$A:$B,2,1)),1+(1-$AU5))</f>
        <v>1</v>
      </c>
      <c r="BD5" s="102">
        <f>MIN(IF($AU5=100%,1,1+VLOOKUP(($AJ5-$AI5-$AH5-$AG5-$AF5-$AE5*(1+BD$3))/$AJ5,Уголь_коэфф!$A:$B,2,1)-VLOOKUP($AO5,Уголь_коэфф!$A:$B,2,1)),1+(1-$AU5))</f>
        <v>1</v>
      </c>
      <c r="BE5" s="102">
        <f>MIN(IF($AU5=100%,1,1+VLOOKUP(($AJ5-$AI5-$AH5-$AG5-$AF5-$AE5*(1+BE$3))/$AJ5,Уголь_коэфф!$A:$B,2,1)-VLOOKUP($AO5,Уголь_коэфф!$A:$B,2,1)),1+(1-$AU5))</f>
        <v>1</v>
      </c>
      <c r="BF5" s="102">
        <f>MIN(IF($AU5=100%,1,1+VLOOKUP(($AJ5-$AI5-$AH5-$AG5-$AF5-$AE5*(1+BF$3))/$AJ5,Уголь_коэфф!$A:$B,2,1)-VLOOKUP($AO5,Уголь_коэфф!$A:$B,2,1)),1+(1-$AU5))</f>
        <v>1</v>
      </c>
      <c r="BG5" s="102">
        <f>MIN(IF($AU5=100%,1,1+VLOOKUP(($AJ5-$AI5-$AH5-$AG5-$AF5-$AE5*(1+BG$3))/$AJ5,Уголь_коэфф!$A:$B,2,1)-VLOOKUP($AO5,Уголь_коэфф!$A:$B,2,1)),1+(1-$AU5))</f>
        <v>1</v>
      </c>
      <c r="BH5" s="102">
        <f>MIN(IF($AU5=100%,1,1+VLOOKUP(($AJ5-$AI5-$AH5-$AG5-$AF5-$AE5*(1+BH$3))/$AJ5,Уголь_коэфф!$A:$B,2,1)-VLOOKUP($AO5,Уголь_коэфф!$A:$B,2,1)),1+(1-$AU5))</f>
        <v>1</v>
      </c>
      <c r="BI5" s="102">
        <f>MIN(IF($AU5=100%,1,1+VLOOKUP(($AJ5-$AI5-$AH5-$AG5-$AF5-$AE5*(1+BI$3))/$AJ5,Уголь_коэфф!$A:$B,2,1)-VLOOKUP($AO5,Уголь_коэфф!$A:$B,2,1)),1+(1-$AU5))</f>
        <v>1</v>
      </c>
      <c r="BJ5" s="102">
        <f>MIN(IF($AU5=100%,1,1+VLOOKUP(($AJ5-$AI5-$AH5-$AG5-$AF5-$AE5*(1+BJ$3))/$AJ5,Уголь_коэфф!$A:$B,2,1)-VLOOKUP($AO5,Уголь_коэфф!$A:$B,2,1)),1+(1-$AU5))</f>
        <v>1</v>
      </c>
      <c r="BK5" s="102">
        <f>MIN(IF($AU5=100%,1,1+VLOOKUP(($AJ5-$AI5-$AH5-$AG5-$AF5-$AE5*(1+BK$3))/$AJ5,Уголь_коэфф!$A:$B,2,1)-VLOOKUP($AO5,Уголь_коэфф!$A:$B,2,1)),1+(1-$AU5))</f>
        <v>1</v>
      </c>
      <c r="BL5" s="102">
        <f>MIN(IF($AU5=100%,1,1+VLOOKUP(($AJ5-$AI5-$AH5-$AG5-$AF5-$AE5*(1+BL$3))/$AJ5,Уголь_коэфф!$A:$B,2,1)-VLOOKUP($AO5,Уголь_коэфф!$A:$B,2,1)),1+(1-$AU5))</f>
        <v>1</v>
      </c>
      <c r="BM5" s="102">
        <f>MIN(IF($AU5=100%,1,1+VLOOKUP(($AJ5-$AI5-$AH5-$AG5-$AF5-$AE5*(1+BM$3))/$AJ5,Уголь_коэфф!$A:$B,2,1)-VLOOKUP($AO5,Уголь_коэфф!$A:$B,2,1)),1+(1-$AU5))</f>
        <v>1</v>
      </c>
      <c r="BN5" s="102">
        <f>MIN(IF($AU5=100%,1,1+VLOOKUP(($AJ5-$AI5-$AH5-$AG5-$AF5-$AE5*(1+BN$3))/$AJ5,Уголь_коэфф!$A:$B,2,1)-VLOOKUP($AO5,Уголь_коэфф!$A:$B,2,1)),1+(1-$AU5))</f>
        <v>1</v>
      </c>
      <c r="BO5" s="102">
        <f>MIN(IF($AU5=100%,1,1+VLOOKUP(($AJ5-$AI5-$AH5-$AG5-$AF5-$AE5*(1+BO$3))/$AJ5,Уголь_коэфф!$A:$B,2,1)-VLOOKUP($AO5,Уголь_коэфф!$A:$B,2,1)),1+(1-$AU5))</f>
        <v>1</v>
      </c>
      <c r="BP5" s="102">
        <f>MIN(IF($AU5=100%,1,1+VLOOKUP(($AJ5-$AI5-$AH5-$AG5-$AF5-$AE5*(1+BP$3))/$AJ5,Уголь_коэфф!$A:$B,2,1)-VLOOKUP($AO5,Уголь_коэфф!$A:$B,2,1)),1+(1-$AU5))</f>
        <v>1</v>
      </c>
      <c r="BQ5" s="102">
        <f>MIN(IF($AU5=100%,1,1+VLOOKUP(($AJ5-$AI5-$AH5-$AG5-$AF5-$AE5*(1+BQ$3))/$AJ5,Уголь_коэфф!$A:$B,2,1)-VLOOKUP($AO5,Уголь_коэфф!$A:$B,2,1)),1+(1-$AU5))</f>
        <v>1</v>
      </c>
      <c r="BR5" s="102">
        <f>MIN(IF($AU5=100%,1,1+VLOOKUP(($AJ5-$AI5-$AH5-$AG5-$AF5-$AE5*(1+BR$3))/$AJ5,Уголь_коэфф!$A:$B,2,1)-VLOOKUP($AO5,Уголь_коэфф!$A:$B,2,1)),1+(1-$AU5))</f>
        <v>1</v>
      </c>
      <c r="BS5" s="102">
        <f>MIN(IF($AU5=100%,1,1+VLOOKUP(($AJ5-$AI5-$AH5-$AG5-$AF5-$AE5*(1+BS$3))/$AJ5,Уголь_коэфф!$A:$B,2,1)-VLOOKUP($AO5,Уголь_коэфф!$A:$B,2,1)),1+(1-$AU5))</f>
        <v>1</v>
      </c>
      <c r="BT5" s="102">
        <f>MIN(IF($AU5=100%,1,1+VLOOKUP(($AJ5-$AI5-$AH5-$AG5-$AF5-$AE5*(1+BT$3))/$AJ5,Уголь_коэфф!$A:$B,2,1)-VLOOKUP($AO5,Уголь_коэфф!$A:$B,2,1)),1+(1-$AU5))</f>
        <v>1</v>
      </c>
      <c r="BU5" s="102">
        <f>MIN(IF($AU5=100%,1,1+VLOOKUP(($AJ5-$AI5-$AH5-$AG5-$AF5-$AE5*(1+BU$3))/$AJ5,Уголь_коэфф!$A:$B,2,1)-VLOOKUP($AO5,Уголь_коэфф!$A:$B,2,1)),1+(1-$AU5))</f>
        <v>1</v>
      </c>
      <c r="BV5" s="102">
        <f>MIN(IF($AU5=100%,1,1+VLOOKUP(($AJ5-$AI5-$AH5-$AG5-$AF5-$AE5*(1+BV$3))/$AJ5,Уголь_коэфф!$A:$B,2,1)-VLOOKUP($AO5,Уголь_коэфф!$A:$B,2,1)),1+(1-$AU5))</f>
        <v>1</v>
      </c>
      <c r="BW5" s="102">
        <f>MIN(IF($AU5=100%,1,1+VLOOKUP(($AJ5-$AI5-$AH5-$AG5-$AF5-$AE5*(1+BW$3))/$AJ5,Уголь_коэфф!$A:$B,2,1)-VLOOKUP($AO5,Уголь_коэфф!$A:$B,2,1)),1+(1-$AU5))</f>
        <v>1</v>
      </c>
      <c r="BX5" s="102">
        <f>MIN(IF($AU5=100%,1,1+VLOOKUP(($AJ5-$AI5-$AH5-$AG5-$AF5-$AE5*(1+BX$3))/$AJ5,Уголь_коэфф!$A:$B,2,1)-VLOOKUP($AO5,Уголь_коэфф!$A:$B,2,1)),1+(1-$AU5))</f>
        <v>1</v>
      </c>
      <c r="BY5" s="102">
        <f>MIN(IF($AU5=100%,1,1+VLOOKUP(($AJ5-$AI5-$AH5-$AG5-$AF5-$AE5*(1+BY$3))/$AJ5,Уголь_коэфф!$A:$B,2,1)-VLOOKUP($AO5,Уголь_коэфф!$A:$B,2,1)),1+(1-$AU5))</f>
        <v>1</v>
      </c>
      <c r="BZ5" s="102">
        <f>MIN(IF($AU5=100%,1,1+VLOOKUP(($AJ5-$AI5-$AH5-$AG5-$AF5-$AE5*(1+BZ$3))/$AJ5,Уголь_коэфф!$A:$B,2,1)-VLOOKUP($AO5,Уголь_коэфф!$A:$B,2,1)),1+(1-$AU5))</f>
        <v>1</v>
      </c>
      <c r="CA5" s="102">
        <f>MIN(IF($AU5=100%,1,1+VLOOKUP(($AJ5-$AI5-$AH5-$AG5-$AF5-$AE5*(1+CA$3))/$AJ5,Уголь_коэфф!$A:$B,2,1)-VLOOKUP($AO5,Уголь_коэфф!$A:$B,2,1)),1+(1-$AU5))</f>
        <v>1</v>
      </c>
      <c r="CB5" s="102">
        <f>MIN(IF($AU5=100%,1,1+VLOOKUP(($AJ5-$AI5-$AH5-$AG5-$AF5-$AE5*(1+CB$3))/$AJ5,Уголь_коэфф!$A:$B,2,1)-VLOOKUP($AO5,Уголь_коэфф!$A:$B,2,1)),1+(1-$AU5))</f>
        <v>1</v>
      </c>
      <c r="CC5" s="102">
        <f>MIN(IF($AU5=100%,1,1+VLOOKUP(($AJ5-$AI5-$AH5-$AG5-$AF5-$AE5*(1+CC$3))/$AJ5,Уголь_коэфф!$A:$B,2,1)-VLOOKUP($AO5,Уголь_коэфф!$A:$B,2,1)),1+(1-$AU5))</f>
        <v>1</v>
      </c>
      <c r="CD5" s="102">
        <f>MIN(IF($AU5=100%,1,1+VLOOKUP(($AJ5-$AI5-$AH5-$AG5-$AF5-$AE5*(1+CD$3))/$AJ5,Уголь_коэфф!$A:$B,2,1)-VLOOKUP($AO5,Уголь_коэфф!$A:$B,2,1)),1+(1-$AU5))</f>
        <v>1</v>
      </c>
      <c r="CE5" s="102">
        <f>MIN(IF($AU5=100%,1,1+VLOOKUP(($AJ5-$AI5-$AH5-$AG5-$AF5-$AE5*(1+CE$3))/$AJ5,Уголь_коэфф!$A:$B,2,1)-VLOOKUP($AO5,Уголь_коэфф!$A:$B,2,1)),1+(1-$AU5))</f>
        <v>1</v>
      </c>
      <c r="CF5" s="102">
        <f>MIN(IF($AU5=100%,1,1+VLOOKUP(($AJ5-$AI5-$AH5-$AG5-$AF5-$AE5*(1+CF$3))/$AJ5,Уголь_коэфф!$A:$B,2,1)-VLOOKUP($AO5,Уголь_коэфф!$A:$B,2,1)),1+(1-$AU5))</f>
        <v>1</v>
      </c>
      <c r="CG5" s="102">
        <f>MIN(IF($AU5=100%,1,1+VLOOKUP(($AJ5-$AI5-$AH5-$AG5-$AF5-$AE5*(1+CG$3))/$AJ5,Уголь_коэфф!$A:$B,2,1)-VLOOKUP($AO5,Уголь_коэфф!$A:$B,2,1)),1+(1-$AU5))</f>
        <v>1</v>
      </c>
      <c r="CH5" s="102">
        <f>MIN(IF($AU5=100%,1,1+VLOOKUP(($AJ5-$AI5-$AH5-$AG5-$AF5-$AE5*(1+CH$3))/$AJ5,Уголь_коэфф!$A:$B,2,1)-VLOOKUP($AO5,Уголь_коэфф!$A:$B,2,1)),1+(1-$AU5))</f>
        <v>1</v>
      </c>
      <c r="CI5" s="102">
        <f>MIN(IF($AU5=100%,1,1+VLOOKUP(($AJ5-$AI5-$AH5-$AG5-$AF5-$AE5*(1+CI$3))/$AJ5,Уголь_коэфф!$A:$B,2,1)-VLOOKUP($AO5,Уголь_коэфф!$A:$B,2,1)),1+(1-$AU5))</f>
        <v>1</v>
      </c>
      <c r="CJ5" s="102">
        <f>MIN(IF($AU5=100%,1,1+VLOOKUP(($AJ5-$AI5-$AH5-$AG5-$AF5-$AE5*(1+CJ$3))/$AJ5,Уголь_коэфф!$A:$B,2,1)-VLOOKUP($AO5,Уголь_коэфф!$A:$B,2,1)),1+(1-$AU5))</f>
        <v>1</v>
      </c>
      <c r="CK5" s="102">
        <f>MIN(IF($AU5=100%,1,1+VLOOKUP(($AJ5-$AI5-$AH5-$AG5-$AF5-$AE5*(1+CK$3))/$AJ5,Уголь_коэфф!$A:$B,2,1)-VLOOKUP($AO5,Уголь_коэфф!$A:$B,2,1)),1+(1-$AU5))</f>
        <v>1</v>
      </c>
      <c r="CL5" s="102">
        <f>MIN(IF($AU5=100%,1,1+VLOOKUP(($AJ5-$AI5-$AH5-$AG5-$AF5-$AE5*(1+CL$3))/$AJ5,Уголь_коэфф!$A:$B,2,1)-VLOOKUP($AO5,Уголь_коэфф!$A:$B,2,1)),1+(1-$AU5))</f>
        <v>1</v>
      </c>
      <c r="CM5" s="102">
        <f>MIN(IF($AU5=100%,1,1+VLOOKUP(($AJ5-$AI5-$AH5-$AG5-$AF5-$AE5*(1+CM$3))/$AJ5,Уголь_коэфф!$A:$B,2,1)-VLOOKUP($AO5,Уголь_коэфф!$A:$B,2,1)),1+(1-$AU5))</f>
        <v>1</v>
      </c>
      <c r="CN5" s="102">
        <f>MIN(IF($AU5=100%,1,1+VLOOKUP(($AJ5-$AI5-$AH5-$AG5-$AF5-$AE5*(1+CN$3))/$AJ5,Уголь_коэфф!$A:$B,2,1)-VLOOKUP($AO5,Уголь_коэфф!$A:$B,2,1)),1+(1-$AU5))</f>
        <v>1</v>
      </c>
      <c r="CO5" s="102">
        <f>MIN(IF($AU5=100%,1,1+VLOOKUP(($AJ5-$AI5-$AH5-$AG5-$AF5-$AE5*(1+CO$3))/$AJ5,Уголь_коэфф!$A:$B,2,1)-VLOOKUP($AO5,Уголь_коэфф!$A:$B,2,1)),1+(1-$AU5))</f>
        <v>1</v>
      </c>
      <c r="CP5" s="102">
        <f>MIN(IF($AU5=100%,1,1+VLOOKUP(($AJ5-$AI5-$AH5-$AG5-$AF5-$AE5*(1+CP$3))/$AJ5,Уголь_коэфф!$A:$B,2,1)-VLOOKUP($AO5,Уголь_коэфф!$A:$B,2,1)),1+(1-$AU5))</f>
        <v>1</v>
      </c>
      <c r="CQ5" s="102">
        <f>MIN(IF($AU5=100%,1,1+VLOOKUP(($AJ5-$AI5-$AH5-$AG5-$AF5-$AE5*(1+CQ$3))/$AJ5,Уголь_коэфф!$A:$B,2,1)-VLOOKUP($AO5,Уголь_коэфф!$A:$B,2,1)),1+(1-$AU5))</f>
        <v>1</v>
      </c>
      <c r="CR5" s="102">
        <f>MIN(IF($AU5=100%,1,1+VLOOKUP(($AJ5-$AI5-$AH5-$AG5-$AF5-$AE5*(1+CR$3))/$AJ5,Уголь_коэфф!$A:$B,2,1)-VLOOKUP($AO5,Уголь_коэфф!$A:$B,2,1)),1+(1-$AU5))</f>
        <v>1</v>
      </c>
      <c r="CS5" s="102">
        <f>MIN(IF($AU5=100%,1,1+VLOOKUP(($AJ5-$AI5-$AH5-$AG5-$AF5-$AE5*(1+CS$3))/$AJ5,Уголь_коэфф!$A:$B,2,1)-VLOOKUP($AO5,Уголь_коэфф!$A:$B,2,1)),1+(1-$AU5))</f>
        <v>1</v>
      </c>
      <c r="CT5" s="102">
        <f>MIN(IF($AU5=100%,1,1+VLOOKUP(($AJ5-$AI5-$AH5-$AG5-$AF5-$AE5*(1+CT$3))/$AJ5,Уголь_коэфф!$A:$B,2,1)-VLOOKUP($AO5,Уголь_коэфф!$A:$B,2,1)),1+(1-$AU5))</f>
        <v>1</v>
      </c>
      <c r="CU5" s="102">
        <f>MIN(IF($AU5=100%,1,1+VLOOKUP(($AJ5-$AI5-$AH5-$AG5-$AF5-$AE5*(1+CU$3))/$AJ5,Уголь_коэфф!$A:$B,2,1)-VLOOKUP($AO5,Уголь_коэфф!$A:$B,2,1)),1+(1-$AU5))</f>
        <v>1</v>
      </c>
      <c r="CV5" s="102">
        <f>MIN(IF($AU5=100%,1,1+VLOOKUP(($AJ5-$AI5-$AH5-$AG5-$AF5-$AE5*(1+CV$3))/$AJ5,Уголь_коэфф!$A:$B,2,1)-VLOOKUP($AO5,Уголь_коэфф!$A:$B,2,1)),1+(1-$AU5))</f>
        <v>1</v>
      </c>
      <c r="CW5" s="102">
        <f>MIN(IF($AU5=100%,1,1+VLOOKUP(($AJ5-$AI5-$AH5-$AG5-$AF5-$AE5*(1+CW$3))/$AJ5,Уголь_коэфф!$A:$B,2,1)-VLOOKUP($AO5,Уголь_коэфф!$A:$B,2,1)),1+(1-$AU5))</f>
        <v>1</v>
      </c>
      <c r="CX5" s="102">
        <f>MIN(IF($AU5=100%,1,1+VLOOKUP(($AJ5-$AI5-$AH5-$AG5-$AF5-$AE5*(1+CX$3))/$AJ5,Уголь_коэфф!$A:$B,2,1)-VLOOKUP($AO5,Уголь_коэфф!$A:$B,2,1)),1+(1-$AU5))</f>
        <v>1</v>
      </c>
      <c r="CY5" s="102">
        <f>MIN(IF($AU5=100%,1,1+VLOOKUP(($AJ5-$AI5-$AH5-$AG5-$AF5-$AE5*(1+CY$3))/$AJ5,Уголь_коэфф!$A:$B,2,1)-VLOOKUP($AO5,Уголь_коэфф!$A:$B,2,1)),1+(1-$AU5))</f>
        <v>1</v>
      </c>
      <c r="CZ5" s="102">
        <f>MIN(IF($AU5=100%,1,1+VLOOKUP(($AJ5-$AI5-$AH5-$AG5-$AF5-$AE5*(1+CZ$3))/$AJ5,Уголь_коэфф!$A:$B,2,1)-VLOOKUP($AO5,Уголь_коэфф!$A:$B,2,1)),1+(1-$AU5))</f>
        <v>1</v>
      </c>
      <c r="DA5" s="102">
        <f>MIN(IF($AU5=100%,1,1+VLOOKUP(($AJ5-$AI5-$AH5-$AG5-$AF5-$AE5*(1+DA$3))/$AJ5,Уголь_коэфф!$A:$B,2,1)-VLOOKUP($AO5,Уголь_коэфф!$A:$B,2,1)),1+(1-$AU5))</f>
        <v>1</v>
      </c>
      <c r="DB5" s="102">
        <f>MIN(IF($AU5=100%,1,1+VLOOKUP(($AJ5-$AI5-$AH5-$AG5-$AF5-$AE5*(1+DB$3))/$AJ5,Уголь_коэфф!$A:$B,2,1)-VLOOKUP($AO5,Уголь_коэфф!$A:$B,2,1)),1+(1-$AU5))</f>
        <v>1</v>
      </c>
      <c r="DC5" s="102">
        <f>MIN(IF($AU5=100%,1,1+VLOOKUP(($AJ5-$AI5-$AH5-$AG5-$AF5-$AE5*(1+DC$3))/$AJ5,Уголь_коэфф!$A:$B,2,1)-VLOOKUP($AO5,Уголь_коэфф!$A:$B,2,1)),1+(1-$AU5))</f>
        <v>1</v>
      </c>
      <c r="DD5" s="102">
        <f>MIN(IF($AU5=100%,1,1+VLOOKUP(($AJ5-$AI5-$AH5-$AG5-$AF5-$AE5*(1+DD$3))/$AJ5,Уголь_коэфф!$A:$B,2,1)-VLOOKUP($AO5,Уголь_коэфф!$A:$B,2,1)),1+(1-$AU5))</f>
        <v>1</v>
      </c>
      <c r="DE5" s="102">
        <f>MIN(IF($AU5=100%,1,1+VLOOKUP(($AJ5-$AI5-$AH5-$AG5-$AF5-$AE5*(1+DE$3))/$AJ5,Уголь_коэфф!$A:$B,2,1)-VLOOKUP($AO5,Уголь_коэфф!$A:$B,2,1)),1+(1-$AU5))</f>
        <v>1</v>
      </c>
      <c r="DF5" s="102">
        <f>MIN(IF($AU5=100%,1,1+VLOOKUP(($AJ5-$AI5-$AH5-$AG5-$AF5-$AE5*(1+DF$3))/$AJ5,Уголь_коэфф!$A:$B,2,1)-VLOOKUP($AO5,Уголь_коэфф!$A:$B,2,1)),1+(1-$AU5))</f>
        <v>1</v>
      </c>
      <c r="DG5" s="102">
        <f>MIN(IF($AU5=100%,1,1+VLOOKUP(($AJ5-$AI5-$AH5-$AG5-$AF5-$AE5*(1+DG$3))/$AJ5,Уголь_коэфф!$A:$B,2,1)-VLOOKUP($AO5,Уголь_коэфф!$A:$B,2,1)),1+(1-$AU5))</f>
        <v>1</v>
      </c>
      <c r="DH5" s="102">
        <f>MIN(IF($AU5=100%,1,1+VLOOKUP(($AJ5-$AI5-$AH5-$AG5-$AF5-$AE5*(1+DH$3))/$AJ5,Уголь_коэфф!$A:$B,2,1)-VLOOKUP($AO5,Уголь_коэфф!$A:$B,2,1)),1+(1-$AU5))</f>
        <v>1</v>
      </c>
      <c r="DI5" s="102">
        <f>MIN(IF($AU5=100%,1,1+VLOOKUP(($AJ5-$AI5-$AH5-$AG5-$AF5-$AE5*(1+DI$3))/$AJ5,Уголь_коэфф!$A:$B,2,1)-VLOOKUP($AO5,Уголь_коэфф!$A:$B,2,1)),1+(1-$AU5))</f>
        <v>1</v>
      </c>
      <c r="DJ5" s="102">
        <f>MIN(IF($AU5=100%,1,1+VLOOKUP(($AJ5-$AI5-$AH5-$AG5-$AF5-$AE5*(1+DJ$3))/$AJ5,Уголь_коэфф!$A:$B,2,1)-VLOOKUP($AO5,Уголь_коэфф!$A:$B,2,1)),1+(1-$AU5))</f>
        <v>1</v>
      </c>
      <c r="DK5" s="102">
        <f>MIN(IF($AU5=100%,1,1+VLOOKUP(($AJ5-$AI5-$AH5-$AG5-$AF5-$AE5*(1+DK$3))/$AJ5,Уголь_коэфф!$A:$B,2,1)-VLOOKUP($AO5,Уголь_коэфф!$A:$B,2,1)),1+(1-$AU5))</f>
        <v>1</v>
      </c>
      <c r="DL5" s="102">
        <f>MIN(IF($AU5=100%,1,1+VLOOKUP(($AJ5-$AI5-$AH5-$AG5-$AF5-$AE5*(1+DL$3))/$AJ5,Уголь_коэфф!$A:$B,2,1)-VLOOKUP($AO5,Уголь_коэфф!$A:$B,2,1)),1+(1-$AU5))</f>
        <v>1</v>
      </c>
      <c r="DM5" s="102">
        <f>MIN(IF($AU5=100%,1,1+VLOOKUP(($AJ5-$AI5-$AH5-$AG5-$AF5-$AE5*(1+DM$3))/$AJ5,Уголь_коэфф!$A:$B,2,1)-VLOOKUP($AO5,Уголь_коэфф!$A:$B,2,1)),1+(1-$AU5))</f>
        <v>1</v>
      </c>
      <c r="DN5" s="102">
        <f>MIN(IF($AU5=100%,1,1+VLOOKUP(($AJ5-$AI5-$AH5-$AG5-$AF5-$AE5*(1+DN$3))/$AJ5,Уголь_коэфф!$A:$B,2,1)-VLOOKUP($AO5,Уголь_коэфф!$A:$B,2,1)),1+(1-$AU5))</f>
        <v>1</v>
      </c>
      <c r="DO5" s="102">
        <f>MIN(IF($AU5=100%,1,1+VLOOKUP(($AJ5-$AI5-$AH5-$AG5-$AF5-$AE5*(1+DO$3))/$AJ5,Уголь_коэфф!$A:$B,2,1)-VLOOKUP($AO5,Уголь_коэфф!$A:$B,2,1)),1+(1-$AU5))</f>
        <v>1</v>
      </c>
      <c r="DP5" s="102">
        <f>MIN(IF($AU5=100%,1,1+VLOOKUP(($AJ5-$AI5-$AH5-$AG5-$AF5-$AE5*(1+DP$3))/$AJ5,Уголь_коэфф!$A:$B,2,1)-VLOOKUP($AO5,Уголь_коэфф!$A:$B,2,1)),1+(1-$AU5))</f>
        <v>1</v>
      </c>
      <c r="DQ5" s="102">
        <f>MIN(IF($AU5=100%,1,1+VLOOKUP(($AJ5-$AI5-$AH5-$AG5-$AF5-$AE5*(1+DQ$3))/$AJ5,Уголь_коэфф!$A:$B,2,1)-VLOOKUP($AO5,Уголь_коэфф!$A:$B,2,1)),1+(1-$AU5))</f>
        <v>1</v>
      </c>
      <c r="DR5" s="102">
        <f>MIN(IF($AU5=100%,1,1+VLOOKUP(($AJ5-$AI5-$AH5-$AG5-$AF5-$AE5*(1+DR$3))/$AJ5,Уголь_коэфф!$A:$B,2,1)-VLOOKUP($AO5,Уголь_коэфф!$A:$B,2,1)),1+(1-$AU5))</f>
        <v>1</v>
      </c>
      <c r="DS5" s="102">
        <f>MIN(IF($AU5=100%,1,1+VLOOKUP(($AJ5-$AI5-$AH5-$AG5-$AF5-$AE5*(1+DS$3))/$AJ5,Уголь_коэфф!$A:$B,2,1)-VLOOKUP($AO5,Уголь_коэфф!$A:$B,2,1)),1+(1-$AU5))</f>
        <v>1</v>
      </c>
      <c r="DT5" s="102">
        <f>MIN(IF($AU5=100%,1,1+VLOOKUP(($AJ5-$AI5-$AH5-$AG5-$AF5-$AE5*(1+DT$3))/$AJ5,Уголь_коэфф!$A:$B,2,1)-VLOOKUP($AO5,Уголь_коэфф!$A:$B,2,1)),1+(1-$AU5))</f>
        <v>1</v>
      </c>
      <c r="DU5" s="102">
        <f>MIN(IF($AU5=100%,1,1+VLOOKUP(($AJ5-$AI5-$AH5-$AG5-$AF5-$AE5*(1+DU$3))/$AJ5,Уголь_коэфф!$A:$B,2,1)-VLOOKUP($AO5,Уголь_коэфф!$A:$B,2,1)),1+(1-$AU5))</f>
        <v>1</v>
      </c>
      <c r="DV5" s="102">
        <f>MIN(IF($AU5=100%,1,1+VLOOKUP(($AJ5-$AI5-$AH5-$AG5-$AF5-$AE5*(1+DV$3))/$AJ5,Уголь_коэфф!$A:$B,2,1)-VLOOKUP($AO5,Уголь_коэфф!$A:$B,2,1)),1+(1-$AU5))</f>
        <v>1</v>
      </c>
      <c r="DW5" s="102">
        <f>MIN(IF($AU5=100%,1,1+VLOOKUP(($AJ5-$AI5-$AH5-$AG5-$AF5-$AE5*(1+DW$3))/$AJ5,Уголь_коэфф!$A:$B,2,1)-VLOOKUP($AO5,Уголь_коэфф!$A:$B,2,1)),1+(1-$AU5))</f>
        <v>1</v>
      </c>
      <c r="DX5" s="102">
        <f>MIN(IF($AU5=100%,1,1+VLOOKUP(($AJ5-$AI5-$AH5-$AG5-$AF5-$AE5*(1+DX$3))/$AJ5,Уголь_коэфф!$A:$B,2,1)-VLOOKUP($AO5,Уголь_коэфф!$A:$B,2,1)),1+(1-$AU5))</f>
        <v>1</v>
      </c>
      <c r="DY5" s="102">
        <f>MIN(IF($AU5=100%,1,1+VLOOKUP(($AJ5-$AI5-$AH5-$AG5-$AF5-$AE5*(1+DY$3))/$AJ5,Уголь_коэфф!$A:$B,2,1)-VLOOKUP($AO5,Уголь_коэфф!$A:$B,2,1)),1+(1-$AU5))</f>
        <v>1</v>
      </c>
      <c r="DZ5" s="102">
        <f>MIN(IF($AU5=100%,1,1+VLOOKUP(($AJ5-$AI5-$AH5-$AG5-$AF5-$AE5*(1+DZ$3))/$AJ5,Уголь_коэфф!$A:$B,2,1)-VLOOKUP($AO5,Уголь_коэфф!$A:$B,2,1)),1+(1-$AU5))</f>
        <v>1</v>
      </c>
      <c r="EA5" s="102">
        <f>MIN(IF($AU5=100%,1,1+VLOOKUP(($AJ5-$AI5-$AH5-$AG5-$AF5-$AE5*(1+EA$3))/$AJ5,Уголь_коэфф!$A:$B,2,1)-VLOOKUP($AO5,Уголь_коэфф!$A:$B,2,1)),1+(1-$AU5))</f>
        <v>1</v>
      </c>
      <c r="EB5" s="102">
        <f>MIN(IF($AU5=100%,1,1+VLOOKUP(($AJ5-$AI5-$AH5-$AG5-$AF5-$AE5*(1+EB$3))/$AJ5,Уголь_коэфф!$A:$B,2,1)-VLOOKUP($AO5,Уголь_коэфф!$A:$B,2,1)),1+(1-$AU5))</f>
        <v>1</v>
      </c>
      <c r="EC5" s="102">
        <f>MIN(IF($AU5=100%,1,1+VLOOKUP(($AJ5-$AI5-$AH5-$AG5-$AF5-$AE5*(1+EC$3))/$AJ5,Уголь_коэфф!$A:$B,2,1)-VLOOKUP($AO5,Уголь_коэфф!$A:$B,2,1)),1+(1-$AU5))</f>
        <v>1</v>
      </c>
      <c r="ED5" s="102">
        <f>MIN(IF($AU5=100%,1,1+VLOOKUP(($AJ5-$AI5-$AH5-$AG5-$AF5-$AE5*(1+ED$3))/$AJ5,Уголь_коэфф!$A:$B,2,1)-VLOOKUP($AO5,Уголь_коэфф!$A:$B,2,1)),1+(1-$AU5))</f>
        <v>1</v>
      </c>
      <c r="EE5" s="102">
        <f>MIN(IF($AU5=100%,1,1+VLOOKUP(($AJ5-$AI5-$AH5-$AG5-$AF5-$AE5*(1+EE$3))/$AJ5,Уголь_коэфф!$A:$B,2,1)-VLOOKUP($AO5,Уголь_коэфф!$A:$B,2,1)),1+(1-$AU5))</f>
        <v>1</v>
      </c>
      <c r="EF5" s="102">
        <f>MIN(IF($AU5=100%,1,1+VLOOKUP(($AJ5-$AI5-$AH5-$AG5-$AF5-$AE5*(1+EF$3))/$AJ5,Уголь_коэфф!$A:$B,2,1)-VLOOKUP($AO5,Уголь_коэфф!$A:$B,2,1)),1+(1-$AU5))</f>
        <v>1</v>
      </c>
      <c r="EG5" s="102">
        <f>MIN(IF($AU5=100%,1,1+VLOOKUP(($AJ5-$AI5-$AH5-$AG5-$AF5-$AE5*(1+EG$3))/$AJ5,Уголь_коэфф!$A:$B,2,1)-VLOOKUP($AO5,Уголь_коэфф!$A:$B,2,1)),1+(1-$AU5))</f>
        <v>1</v>
      </c>
      <c r="EH5" s="102">
        <f>MIN(IF($AU5=100%,1,1+VLOOKUP(($AJ5-$AI5-$AH5-$AG5-$AF5-$AE5*(1+EH$3))/$AJ5,Уголь_коэфф!$A:$B,2,1)-VLOOKUP($AO5,Уголь_коэфф!$A:$B,2,1)),1+(1-$AU5))</f>
        <v>1</v>
      </c>
      <c r="EI5" s="102">
        <f>MIN(IF($AU5=100%,1,1+VLOOKUP(($AJ5-$AI5-$AH5-$AG5-$AF5-$AE5*(1+EI$3))/$AJ5,Уголь_коэфф!$A:$B,2,1)-VLOOKUP($AO5,Уголь_коэфф!$A:$B,2,1)),1+(1-$AU5))</f>
        <v>1</v>
      </c>
      <c r="EJ5" s="102">
        <f>MIN(IF($AU5=100%,1,1+VLOOKUP(($AJ5-$AI5-$AH5-$AG5-$AF5-$AE5*(1+EJ$3))/$AJ5,Уголь_коэфф!$A:$B,2,1)-VLOOKUP($AO5,Уголь_коэфф!$A:$B,2,1)),1+(1-$AU5))</f>
        <v>1</v>
      </c>
      <c r="EK5" s="102">
        <f>MIN(IF($AU5=100%,1,1+VLOOKUP(($AJ5-$AI5-$AH5-$AG5-$AF5-$AE5*(1+EK$3))/$AJ5,Уголь_коэфф!$A:$B,2,1)-VLOOKUP($AO5,Уголь_коэфф!$A:$B,2,1)),1+(1-$AU5))</f>
        <v>1</v>
      </c>
      <c r="EL5" s="102">
        <f>MIN(IF($AU5=100%,1,1+VLOOKUP(($AJ5-$AI5-$AH5-$AG5-$AF5-$AE5*(1+EL$3))/$AJ5,Уголь_коэфф!$A:$B,2,1)-VLOOKUP($AO5,Уголь_коэфф!$A:$B,2,1)),1+(1-$AU5))</f>
        <v>1</v>
      </c>
      <c r="EM5" s="102">
        <f>MIN(IF($AU5=100%,1,1+VLOOKUP(($AJ5-$AI5-$AH5-$AG5-$AF5-$AE5*(1+EM$3))/$AJ5,Уголь_коэфф!$A:$B,2,1)-VLOOKUP($AO5,Уголь_коэфф!$A:$B,2,1)),1+(1-$AU5))</f>
        <v>1</v>
      </c>
      <c r="EN5" s="102">
        <f>MIN(IF($AU5=100%,1,1+VLOOKUP(($AJ5-$AI5-$AH5-$AG5-$AF5-$AE5*(1+EN$3))/$AJ5,Уголь_коэфф!$A:$B,2,1)-VLOOKUP($AO5,Уголь_коэфф!$A:$B,2,1)),1+(1-$AU5))</f>
        <v>1</v>
      </c>
      <c r="EO5" s="102">
        <f>MIN(IF($AU5=100%,1,1+VLOOKUP(($AJ5-$AI5-$AH5-$AG5-$AF5-$AE5*(1+EO$3))/$AJ5,Уголь_коэфф!$A:$B,2,1)-VLOOKUP($AO5,Уголь_коэфф!$A:$B,2,1)),1+(1-$AU5))</f>
        <v>1</v>
      </c>
      <c r="EP5" s="102">
        <f>MIN(IF($AU5=100%,1,1+VLOOKUP(($AJ5-$AI5-$AH5-$AG5-$AF5-$AE5*(1+EP$3))/$AJ5,Уголь_коэфф!$A:$B,2,1)-VLOOKUP($AO5,Уголь_коэфф!$A:$B,2,1)),1+(1-$AU5))</f>
        <v>1</v>
      </c>
      <c r="EQ5" s="102">
        <f>MIN(IF($AU5=100%,1,1+VLOOKUP(($AJ5-$AI5-$AH5-$AG5-$AF5-$AE5*(1+EQ$3))/$AJ5,Уголь_коэфф!$A:$B,2,1)-VLOOKUP($AO5,Уголь_коэфф!$A:$B,2,1)),1+(1-$AU5))</f>
        <v>1</v>
      </c>
      <c r="ER5" s="102">
        <f>MIN(IF($AU5=100%,1,1+VLOOKUP(($AJ5-$AI5-$AH5-$AG5-$AF5-$AE5*(1+ER$3))/$AJ5,Уголь_коэфф!$A:$B,2,1)-VLOOKUP($AO5,Уголь_коэфф!$A:$B,2,1)),1+(1-$AU5))</f>
        <v>1</v>
      </c>
      <c r="ES5" s="102">
        <f>MIN(IF($AU5=100%,1,1+VLOOKUP(($AJ5-$AI5-$AH5-$AG5-$AF5-$AE5*(1+ES$3))/$AJ5,Уголь_коэфф!$A:$B,2,1)-VLOOKUP($AO5,Уголь_коэфф!$A:$B,2,1)),1+(1-$AU5))</f>
        <v>1</v>
      </c>
      <c r="ET5" s="102">
        <f>MIN(IF($AU5=100%,1,1+VLOOKUP(($AJ5-$AI5-$AH5-$AG5-$AF5-$AE5*(1+ET$3))/$AJ5,Уголь_коэфф!$A:$B,2,1)-VLOOKUP($AO5,Уголь_коэфф!$A:$B,2,1)),1+(1-$AU5))</f>
        <v>1</v>
      </c>
      <c r="EU5" s="102">
        <f>MIN(IF($AU5=100%,1,1+VLOOKUP(($AJ5-$AI5-$AH5-$AG5-$AF5-$AE5*(1+EU$3))/$AJ5,Уголь_коэфф!$A:$B,2,1)-VLOOKUP($AO5,Уголь_коэфф!$A:$B,2,1)),1+(1-$AU5))</f>
        <v>1</v>
      </c>
      <c r="EV5" s="103">
        <v>1</v>
      </c>
      <c r="EW5" s="102">
        <f>MIN(1,MAX(VLOOKUP(($AJ5-$AI5-$AH5-$AG5-$AF5-$AE5*(1+EW$3))/$AJ5,Уголь_коэфф!$A:$B,2,1),(EV5-0.05)))</f>
        <v>1</v>
      </c>
      <c r="EX5" s="102">
        <f>MIN(1,MAX(VLOOKUP(($AJ5-$AI5-$AH5-$AG5-$AF5-$AE5*(1+EX$3))/$AJ5,Уголь_коэфф!$A:$B,2,1),(EW5-0.05)))</f>
        <v>1</v>
      </c>
      <c r="EY5" s="102">
        <f>MIN(1,MAX(VLOOKUP(($AJ5-$AI5-$AH5-$AG5-$AF5-$AE5*(1+EY$3))/$AJ5,Уголь_коэфф!$A:$B,2,1),(EX5-0.05)))</f>
        <v>1</v>
      </c>
      <c r="EZ5" s="102">
        <f>MIN(1,MAX(VLOOKUP(($AJ5-$AI5-$AH5-$AG5-$AF5-$AE5*(1+EZ$3))/$AJ5,Уголь_коэфф!$A:$B,2,1),(EY5-0.05)))</f>
        <v>1</v>
      </c>
      <c r="FA5" s="102">
        <f>MIN(1,MAX(VLOOKUP(($AJ5-$AI5-$AH5-$AG5-$AF5-$AE5*(1+FA$3))/$AJ5,Уголь_коэфф!$A:$B,2,1),(EZ5-0.05)))</f>
        <v>1</v>
      </c>
      <c r="FB5" s="102">
        <f>MIN(1,MAX(VLOOKUP(($AJ5-$AI5-$AH5-$AG5-$AF5-$AE5*(1+FB$3))/$AJ5,Уголь_коэфф!$A:$B,2,1),(FA5-0.05)))</f>
        <v>1</v>
      </c>
      <c r="FC5" s="102">
        <f>MIN(1,MAX(VLOOKUP(($AJ5-$AI5-$AH5-$AG5-$AF5-$AE5*(1+FC$3))/$AJ5,Уголь_коэфф!$A:$B,2,1),(FB5-0.05)))</f>
        <v>1</v>
      </c>
      <c r="FD5" s="102">
        <f>MIN(1,MAX(VLOOKUP(($AJ5-$AI5-$AH5-$AG5-$AF5-$AE5*(1+FD$3))/$AJ5,Уголь_коэфф!$A:$B,2,1),(FC5-0.05)))</f>
        <v>1</v>
      </c>
      <c r="FE5" s="102">
        <f>MIN(1,MAX(VLOOKUP(($AJ5-$AI5-$AH5-$AG5-$AF5-$AE5*(1+FE$3))/$AJ5,Уголь_коэфф!$A:$B,2,1),(FD5-0.05)))</f>
        <v>1</v>
      </c>
      <c r="FF5" s="102">
        <f>MIN(1,MAX(VLOOKUP(($AJ5-$AI5-$AH5-$AG5-$AF5-$AE5*(1+FF$3))/$AJ5,Уголь_коэфф!$A:$B,2,1),(FE5-0.05)))</f>
        <v>1</v>
      </c>
      <c r="FG5" s="102">
        <f>MIN(1,MAX(VLOOKUP(($AJ5-$AI5-$AH5-$AG5-$AF5-$AE5*(1+FG$3))/$AJ5,Уголь_коэфф!$A:$B,2,1),(FF5-0.05)))</f>
        <v>1</v>
      </c>
      <c r="FH5" s="102">
        <f>MIN(1,MAX(VLOOKUP(($AJ5-$AI5-$AH5-$AG5-$AF5-$AE5*(1+FH$3))/$AJ5,Уголь_коэфф!$A:$B,2,1),(FG5-0.05)))</f>
        <v>1</v>
      </c>
      <c r="FI5" s="102">
        <f>MIN(1,MAX(VLOOKUP(($AJ5-$AI5-$AH5-$AG5-$AF5-$AE5*(1+FI$3))/$AJ5,Уголь_коэфф!$A:$B,2,1),(FH5-0.05)))</f>
        <v>1</v>
      </c>
      <c r="FJ5" s="102">
        <f>MIN(1,MAX(VLOOKUP(($AJ5-$AI5-$AH5-$AG5-$AF5-$AE5*(1+FJ$3))/$AJ5,Уголь_коэфф!$A:$B,2,1),(FI5-0.05)))</f>
        <v>1</v>
      </c>
      <c r="FK5" s="102">
        <f>MIN(1,MAX(VLOOKUP(($AJ5-$AI5-$AH5-$AG5-$AF5-$AE5*(1+FK$3))/$AJ5,Уголь_коэфф!$A:$B,2,1),(FJ5-0.05)))</f>
        <v>1</v>
      </c>
      <c r="FL5" s="102">
        <f>MIN(1,MAX(VLOOKUP(($AJ5-$AI5-$AH5-$AG5-$AF5-$AE5*(1+FL$3))/$AJ5,Уголь_коэфф!$A:$B,2,1),(FK5-0.05)))</f>
        <v>1</v>
      </c>
      <c r="FM5" s="102">
        <f>MIN(1,MAX(VLOOKUP(($AJ5-$AI5-$AH5-$AG5-$AF5-$AE5*(1+FM$3))/$AJ5,Уголь_коэфф!$A:$B,2,1),(FL5-0.05)))</f>
        <v>1</v>
      </c>
      <c r="FN5" s="102">
        <f>MIN(1,MAX(VLOOKUP(($AJ5-$AI5-$AH5-$AG5-$AF5-$AE5*(1+FN$3))/$AJ5,Уголь_коэфф!$A:$B,2,1),(FM5-0.05)))</f>
        <v>1</v>
      </c>
      <c r="FO5" s="102">
        <f>MIN(1,MAX(VLOOKUP(($AJ5-$AI5-$AH5-$AG5-$AF5-$AE5*(1+FO$3))/$AJ5,Уголь_коэфф!$A:$B,2,1),(FN5-0.05)))</f>
        <v>1</v>
      </c>
      <c r="FP5" s="102">
        <f>MIN(1,MAX(VLOOKUP(($AJ5-$AI5-$AH5-$AG5-$AF5-$AE5*(1+FP$3))/$AJ5,Уголь_коэфф!$A:$B,2,1),(FO5-0.05)))</f>
        <v>1</v>
      </c>
      <c r="FQ5" s="102">
        <f>MIN(1,MAX(VLOOKUP(($AJ5-$AI5-$AH5-$AG5-$AF5-$AE5*(1+FQ$3))/$AJ5,Уголь_коэфф!$A:$B,2,1),(FP5-0.05)))</f>
        <v>1</v>
      </c>
      <c r="FR5" s="102">
        <f>MIN(1,MAX(VLOOKUP(($AJ5-$AI5-$AH5-$AG5-$AF5-$AE5*(1+FR$3))/$AJ5,Уголь_коэфф!$A:$B,2,1),(FQ5-0.05)))</f>
        <v>1</v>
      </c>
      <c r="FS5" s="102">
        <f>MIN(1,MAX(VLOOKUP(($AJ5-$AI5-$AH5-$AG5-$AF5-$AE5*(1+FS$3))/$AJ5,Уголь_коэфф!$A:$B,2,1),(FR5-0.05)))</f>
        <v>1</v>
      </c>
      <c r="FT5" s="102">
        <f>MIN(1,MAX(VLOOKUP(($AJ5-$AI5-$AH5-$AG5-$AF5-$AE5*(1+FT$3))/$AJ5,Уголь_коэфф!$A:$B,2,1),(FS5-0.05)))</f>
        <v>1</v>
      </c>
      <c r="FU5" s="102">
        <f>MIN(1,MAX(VLOOKUP(($AJ5-$AI5-$AH5-$AG5-$AF5-$AE5*(1+FU$3))/$AJ5,Уголь_коэфф!$A:$B,2,1),(FT5-0.05)))</f>
        <v>1</v>
      </c>
      <c r="FV5" s="102">
        <f>MIN(1,MAX(VLOOKUP(($AJ5-$AI5-$AH5-$AG5-$AF5-$AE5*(1+FV$3))/$AJ5,Уголь_коэфф!$A:$B,2,1),(FU5-0.05)))</f>
        <v>1</v>
      </c>
      <c r="FW5" s="102">
        <f>MIN(1,MAX(VLOOKUP(($AJ5-$AI5-$AH5-$AG5-$AF5-$AE5*(1+FW$3))/$AJ5,Уголь_коэфф!$A:$B,2,1),(FV5-0.05)))</f>
        <v>1</v>
      </c>
      <c r="FX5" s="102">
        <f>MIN(1,MAX(VLOOKUP(($AJ5-$AI5-$AH5-$AG5-$AF5-$AE5*(1+FX$3))/$AJ5,Уголь_коэфф!$A:$B,2,1),(FW5-0.05)))</f>
        <v>1</v>
      </c>
      <c r="FY5" s="102">
        <f>MIN(1,MAX(VLOOKUP(($AJ5-$AI5-$AH5-$AG5-$AF5-$AE5*(1+FY$3))/$AJ5,Уголь_коэфф!$A:$B,2,1),(FX5-0.05)))</f>
        <v>0.995</v>
      </c>
      <c r="FZ5" s="102">
        <f>MIN(1,MAX(VLOOKUP(($AJ5-$AI5-$AH5-$AG5-$AF5-$AE5*(1+FZ$3))/$AJ5,Уголь_коэфф!$A:$B,2,1),(FY5-0.05)))</f>
        <v>0.995</v>
      </c>
      <c r="GA5" s="102">
        <f>MIN(1,MAX(VLOOKUP(($AJ5-$AI5-$AH5-$AG5-$AF5-$AE5*(1+GA$3))/$AJ5,Уголь_коэфф!$A:$B,2,1),(FZ5-0.05)))</f>
        <v>0.995</v>
      </c>
      <c r="GB5" s="102">
        <f>MIN(1,MAX(VLOOKUP(($AJ5-$AI5-$AH5-$AG5-$AF5-$AE5*(1+GB$3))/$AJ5,Уголь_коэфф!$A:$B,2,1),(GA5-0.05)))</f>
        <v>0.995</v>
      </c>
      <c r="GC5" s="102">
        <f>MIN(1,MAX(VLOOKUP(($AJ5-$AI5-$AH5-$AG5-$AF5-$AE5*(1+GC$3))/$AJ5,Уголь_коэфф!$A:$B,2,1),(GB5-0.05)))</f>
        <v>0.99</v>
      </c>
      <c r="GD5" s="102">
        <f>MIN(1,MAX(VLOOKUP(($AJ5-$AI5-$AH5-$AG5-$AF5-$AE5*(1+GD$3))/$AJ5,Уголь_коэфф!$A:$B,2,1),(GC5-0.05)))</f>
        <v>0.99</v>
      </c>
      <c r="GE5" s="102">
        <f>MIN(1,MAX(VLOOKUP(($AJ5-$AI5-$AH5-$AG5-$AF5-$AE5*(1+GE$3))/$AJ5,Уголь_коэфф!$A:$B,2,1),(GD5-0.05)))</f>
        <v>0.99</v>
      </c>
      <c r="GF5" s="102">
        <f>MIN(1,MAX(VLOOKUP(($AJ5-$AI5-$AH5-$AG5-$AF5-$AE5*(1+GF$3))/$AJ5,Уголь_коэфф!$A:$B,2,1),(GE5-0.05)))</f>
        <v>0.99</v>
      </c>
      <c r="GG5" s="102">
        <f>MIN(1,MAX(VLOOKUP(($AJ5-$AI5-$AH5-$AG5-$AF5-$AE5*(1+GG$3))/$AJ5,Уголь_коэфф!$A:$B,2,1),(GF5-0.05)))</f>
        <v>0.98499999999999999</v>
      </c>
      <c r="GH5" s="102">
        <f>MIN(1,MAX(VLOOKUP(($AJ5-$AI5-$AH5-$AG5-$AF5-$AE5*(1+GH$3))/$AJ5,Уголь_коэфф!$A:$B,2,1),(GG5-0.05)))</f>
        <v>0.98499999999999999</v>
      </c>
      <c r="GI5" s="102">
        <f>MIN(1,MAX(VLOOKUP(($AJ5-$AI5-$AH5-$AG5-$AF5-$AE5*(1+GI$3))/$AJ5,Уголь_коэфф!$A:$B,2,1),(GH5-0.05)))</f>
        <v>0.98499999999999999</v>
      </c>
      <c r="GJ5" s="102">
        <f>MIN(1,MAX(VLOOKUP(($AJ5-$AI5-$AH5-$AG5-$AF5-$AE5*(1+GJ$3))/$AJ5,Уголь_коэфф!$A:$B,2,1),(GI5-0.05)))</f>
        <v>0.98499999999999999</v>
      </c>
      <c r="GK5" s="102">
        <f>MIN(1,MAX(VLOOKUP(($AJ5-$AI5-$AH5-$AG5-$AF5-$AE5*(1+GK$3))/$AJ5,Уголь_коэфф!$A:$B,2,1),(GJ5-0.05)))</f>
        <v>0.98</v>
      </c>
      <c r="GL5" s="102">
        <f>MIN(1,MAX(VLOOKUP(($AJ5-$AI5-$AH5-$AG5-$AF5-$AE5*(1+GL$3))/$AJ5,Уголь_коэфф!$A:$B,2,1),(GK5-0.05)))</f>
        <v>0.98</v>
      </c>
      <c r="GM5" s="102">
        <f>MIN(1,MAX(VLOOKUP(($AJ5-$AI5-$AH5-$AG5-$AF5-$AE5*(1+GM$3))/$AJ5,Уголь_коэфф!$A:$B,2,1),(GL5-0.05)))</f>
        <v>0.98</v>
      </c>
      <c r="GN5" s="102">
        <f>MIN(1,MAX(VLOOKUP(($AJ5-$AI5-$AH5-$AG5-$AF5-$AE5*(1+GN$3))/$AJ5,Уголь_коэфф!$A:$B,2,1),(GM5-0.05)))</f>
        <v>0.98</v>
      </c>
      <c r="GO5" s="102">
        <f>MIN(1,MAX(VLOOKUP(($AJ5-$AI5-$AH5-$AG5-$AF5-$AE5*(1+GO$3))/$AJ5,Уголь_коэфф!$A:$B,2,1),(GN5-0.05)))</f>
        <v>0.97499999999999998</v>
      </c>
      <c r="GP5" s="102">
        <f>MIN(1,MAX(VLOOKUP(($AJ5-$AI5-$AH5-$AG5-$AF5-$AE5*(1+GP$3))/$AJ5,Уголь_коэфф!$A:$B,2,1),(GO5-0.05)))</f>
        <v>0.97499999999999998</v>
      </c>
      <c r="GQ5" s="102">
        <f>MIN(1,MAX(VLOOKUP(($AJ5-$AI5-$AH5-$AG5-$AF5-$AE5*(1+GQ$3))/$AJ5,Уголь_коэфф!$A:$B,2,1),(GP5-0.05)))</f>
        <v>0.97499999999999998</v>
      </c>
      <c r="GR5" s="102">
        <f>MIN(1,MAX(VLOOKUP(($AJ5-$AI5-$AH5-$AG5-$AF5-$AE5*(1+GR$3))/$AJ5,Уголь_коэфф!$A:$B,2,1),(GQ5-0.05)))</f>
        <v>0.97499999999999998</v>
      </c>
      <c r="GS5" s="102">
        <f>MIN(1,MAX(VLOOKUP(($AJ5-$AI5-$AH5-$AG5-$AF5-$AE5*(1+GS$3))/$AJ5,Уголь_коэфф!$A:$B,2,1),(GR5-0.05)))</f>
        <v>0.97</v>
      </c>
      <c r="GT5" s="102">
        <f>MIN(1,MAX(VLOOKUP(($AJ5-$AI5-$AH5-$AG5-$AF5-$AE5*(1+GT$3))/$AJ5,Уголь_коэфф!$A:$B,2,1),(GS5-0.05)))</f>
        <v>0.97</v>
      </c>
      <c r="GU5" s="102">
        <f>MIN(1,MAX(VLOOKUP(($AJ5-$AI5-$AH5-$AG5-$AF5-$AE5*(1+GU$3))/$AJ5,Уголь_коэфф!$A:$B,2,1),(GT5-0.05)))</f>
        <v>0.97</v>
      </c>
      <c r="GV5" s="102">
        <f>MIN(1,MAX(VLOOKUP(($AJ5-$AI5-$AH5-$AG5-$AF5-$AE5*(1+GV$3))/$AJ5,Уголь_коэфф!$A:$B,2,1),(GU5-0.05)))</f>
        <v>0.97</v>
      </c>
      <c r="GW5" s="102">
        <f>MIN(1,MAX(VLOOKUP(($AJ5-$AI5-$AH5-$AG5-$AF5-$AE5*(1+GW$3))/$AJ5,Уголь_коэфф!$A:$B,2,1),(GV5-0.05)))</f>
        <v>0.96499999999999997</v>
      </c>
      <c r="GX5" s="102">
        <f>MIN(1,MAX(VLOOKUP(($AJ5-$AI5-$AH5-$AG5-$AF5-$AE5*(1+GX$3))/$AJ5,Уголь_коэфф!$A:$B,2,1),(GW5-0.05)))</f>
        <v>0.96499999999999997</v>
      </c>
      <c r="GY5" s="102">
        <f>MIN(1,MAX(VLOOKUP(($AJ5-$AI5-$AH5-$AG5-$AF5-$AE5*(1+GY$3))/$AJ5,Уголь_коэфф!$A:$B,2,1),(GX5-0.05)))</f>
        <v>0.96499999999999997</v>
      </c>
      <c r="GZ5" s="102">
        <f>MIN(1,MAX(VLOOKUP(($AJ5-$AI5-$AH5-$AG5-$AF5-$AE5*(1+GZ$3))/$AJ5,Уголь_коэфф!$A:$B,2,1),(GY5-0.05)))</f>
        <v>0.96499999999999997</v>
      </c>
      <c r="HA5" s="102">
        <f>MIN(1,MAX(VLOOKUP(($AJ5-$AI5-$AH5-$AG5-$AF5-$AE5*(1+HA$3))/$AJ5,Уголь_коэфф!$A:$B,2,1),(GZ5-0.05)))</f>
        <v>0.96</v>
      </c>
      <c r="HB5" s="102">
        <f>MIN(1,MAX(VLOOKUP(($AJ5-$AI5-$AH5-$AG5-$AF5-$AE5*(1+HB$3))/$AJ5,Уголь_коэфф!$A:$B,2,1),(HA5-0.05)))</f>
        <v>0.96</v>
      </c>
      <c r="HC5" s="102">
        <f>MIN(1,MAX(VLOOKUP(($AJ5-$AI5-$AH5-$AG5-$AF5-$AE5*(1+HC$3))/$AJ5,Уголь_коэфф!$A:$B,2,1),(HB5-0.05)))</f>
        <v>0.96</v>
      </c>
      <c r="HD5" s="102">
        <f>MIN(1,MAX(VLOOKUP(($AJ5-$AI5-$AH5-$AG5-$AF5-$AE5*(1+HD$3))/$AJ5,Уголь_коэфф!$A:$B,2,1),(HC5-0.05)))</f>
        <v>0.96</v>
      </c>
      <c r="HE5" s="102">
        <f>MIN(1,MAX(VLOOKUP(($AJ5-$AI5-$AH5-$AG5-$AF5-$AE5*(1+HE$3))/$AJ5,Уголь_коэфф!$A:$B,2,1),(HD5-0.05)))</f>
        <v>0.95499999999999996</v>
      </c>
      <c r="HF5" s="102">
        <f>MIN(1,MAX(VLOOKUP(($AJ5-$AI5-$AH5-$AG5-$AF5-$AE5*(1+HF$3))/$AJ5,Уголь_коэфф!$A:$B,2,1),(HE5-0.05)))</f>
        <v>0.95499999999999996</v>
      </c>
      <c r="HG5" s="102">
        <f>MIN(1,MAX(VLOOKUP(($AJ5-$AI5-$AH5-$AG5-$AF5-$AE5*(1+HG$3))/$AJ5,Уголь_коэфф!$A:$B,2,1),(HF5-0.05)))</f>
        <v>0.95499999999999996</v>
      </c>
      <c r="HH5" s="102">
        <f>MIN(1,MAX(VLOOKUP(($AJ5-$AI5-$AH5-$AG5-$AF5-$AE5*(1+HH$3))/$AJ5,Уголь_коэфф!$A:$B,2,1),(HG5-0.05)))</f>
        <v>0.95499999999999996</v>
      </c>
      <c r="HI5" s="102">
        <f>MIN(1,MAX(VLOOKUP(($AJ5-$AI5-$AH5-$AG5-$AF5-$AE5*(1+HI$3))/$AJ5,Уголь_коэфф!$A:$B,2,1),(HH5-0.05)))</f>
        <v>0.95499999999999996</v>
      </c>
      <c r="HJ5" s="102">
        <f>MIN(1,MAX(VLOOKUP(($AJ5-$AI5-$AH5-$AG5-$AF5-$AE5*(1+HJ$3))/$AJ5,Уголь_коэфф!$A:$B,2,1),(HI5-0.05)))</f>
        <v>0.95</v>
      </c>
      <c r="HK5" s="102">
        <f>MIN(1,MAX(VLOOKUP(($AJ5-$AI5-$AH5-$AG5-$AF5-$AE5*(1+HK$3))/$AJ5,Уголь_коэфф!$A:$B,2,1),(HJ5-0.05)))</f>
        <v>0.95</v>
      </c>
      <c r="HL5" s="102">
        <f>MIN(1,MAX(VLOOKUP(($AJ5-$AI5-$AH5-$AG5-$AF5-$AE5*(1+HL$3))/$AJ5,Уголь_коэфф!$A:$B,2,1),(HK5-0.05)))</f>
        <v>0.95</v>
      </c>
      <c r="HM5" s="102">
        <f>MIN(1,MAX(VLOOKUP(($AJ5-$AI5-$AH5-$AG5-$AF5-$AE5*(1+HM$3))/$AJ5,Уголь_коэфф!$A:$B,2,1),(HL5-0.05)))</f>
        <v>0.95</v>
      </c>
      <c r="HN5" s="102">
        <f>MIN(1,MAX(VLOOKUP(($AJ5-$AI5-$AH5-$AG5-$AF5-$AE5*(1+HN$3))/$AJ5,Уголь_коэфф!$A:$B,2,1),(HM5-0.05)))</f>
        <v>0.94499999999999995</v>
      </c>
      <c r="HO5" s="102">
        <f>MIN(1,MAX(VLOOKUP(($AJ5-$AI5-$AH5-$AG5-$AF5-$AE5*(1+HO$3))/$AJ5,Уголь_коэфф!$A:$B,2,1),(HN5-0.05)))</f>
        <v>0.94499999999999995</v>
      </c>
      <c r="HP5" s="102">
        <f>MIN(1,MAX(VLOOKUP(($AJ5-$AI5-$AH5-$AG5-$AF5-$AE5*(1+HP$3))/$AJ5,Уголь_коэфф!$A:$B,2,1),(HO5-0.05)))</f>
        <v>0.94499999999999995</v>
      </c>
      <c r="HQ5" s="102">
        <f>MIN(1,MAX(VLOOKUP(($AJ5-$AI5-$AH5-$AG5-$AF5-$AE5*(1+HQ$3))/$AJ5,Уголь_коэфф!$A:$B,2,1),(HP5-0.05)))</f>
        <v>0.94499999999999995</v>
      </c>
      <c r="HR5" s="102">
        <f>MIN(1,MAX(VLOOKUP(($AJ5-$AI5-$AH5-$AG5-$AF5-$AE5*(1+HR$3))/$AJ5,Уголь_коэфф!$A:$B,2,1),(HQ5-0.05)))</f>
        <v>0.94</v>
      </c>
      <c r="HS5" s="102">
        <f>MIN(1,MAX(VLOOKUP(($AJ5-$AI5-$AH5-$AG5-$AF5-$AE5*(1+HS$3))/$AJ5,Уголь_коэфф!$A:$B,2,1),(HR5-0.05)))</f>
        <v>0.94</v>
      </c>
      <c r="HT5" s="102">
        <f>MIN(1,MAX(VLOOKUP(($AJ5-$AI5-$AH5-$AG5-$AF5-$AE5*(1+HT$3))/$AJ5,Уголь_коэфф!$A:$B,2,1),(HS5-0.05)))</f>
        <v>0.94</v>
      </c>
      <c r="HU5" s="102">
        <f>MIN(1,MAX(VLOOKUP(($AJ5-$AI5-$AH5-$AG5-$AF5-$AE5*(1+HU$3))/$AJ5,Уголь_коэфф!$A:$B,2,1),(HT5-0.05)))</f>
        <v>0.94</v>
      </c>
      <c r="HV5" s="102">
        <f>MIN(1,MAX(VLOOKUP(($AJ5-$AI5-$AH5-$AG5-$AF5-$AE5*(1+HV$3))/$AJ5,Уголь_коэфф!$A:$B,2,1),(HU5-0.05)))</f>
        <v>0.93500000000000005</v>
      </c>
      <c r="HW5" s="102">
        <f>MIN(1,MAX(VLOOKUP(($AJ5-$AI5-$AH5-$AG5-$AF5-$AE5*(1+HW$3))/$AJ5,Уголь_коэфф!$A:$B,2,1),(HV5-0.05)))</f>
        <v>0.93500000000000005</v>
      </c>
      <c r="HX5" s="102">
        <f>MIN(1,MAX(VLOOKUP(($AJ5-$AI5-$AH5-$AG5-$AF5-$AE5*(1+HX$3))/$AJ5,Уголь_коэфф!$A:$B,2,1),(HW5-0.05)))</f>
        <v>0.93500000000000005</v>
      </c>
      <c r="HY5" s="102">
        <f>MIN(1,MAX(VLOOKUP(($AJ5-$AI5-$AH5-$AG5-$AF5-$AE5*(1+HY$3))/$AJ5,Уголь_коэфф!$A:$B,2,1),(HX5-0.05)))</f>
        <v>0.93500000000000005</v>
      </c>
      <c r="HZ5" s="102">
        <f>MIN(1,MAX(VLOOKUP(($AJ5-$AI5-$AH5-$AG5-$AF5-$AE5*(1+HZ$3))/$AJ5,Уголь_коэфф!$A:$B,2,1),(HY5-0.05)))</f>
        <v>0.93</v>
      </c>
      <c r="IA5" s="102">
        <f>MIN(1,MAX(VLOOKUP(($AJ5-$AI5-$AH5-$AG5-$AF5-$AE5*(1+IA$3))/$AJ5,Уголь_коэфф!$A:$B,2,1),(HZ5-0.05)))</f>
        <v>0.93</v>
      </c>
      <c r="IB5" s="102">
        <f>MIN(1,MAX(VLOOKUP(($AJ5-$AI5-$AH5-$AG5-$AF5-$AE5*(1+IB$3))/$AJ5,Уголь_коэфф!$A:$B,2,1),(IA5-0.05)))</f>
        <v>0.93</v>
      </c>
      <c r="IC5" s="102">
        <f>MIN(1,MAX(VLOOKUP(($AJ5-$AI5-$AH5-$AG5-$AF5-$AE5*(1+IC$3))/$AJ5,Уголь_коэфф!$A:$B,2,1),(IB5-0.05)))</f>
        <v>0.93</v>
      </c>
      <c r="ID5" s="102">
        <f>MIN(1,MAX(VLOOKUP(($AJ5-$AI5-$AH5-$AG5-$AF5-$AE5*(1+ID$3))/$AJ5,Уголь_коэфф!$A:$B,2,1),(IC5-0.05)))</f>
        <v>0.92500000000000004</v>
      </c>
      <c r="IE5" s="102">
        <f>MIN(1,MAX(VLOOKUP(($AJ5-$AI5-$AH5-$AG5-$AF5-$AE5*(1+IE$3))/$AJ5,Уголь_коэфф!$A:$B,2,1),(ID5-0.05)))</f>
        <v>0.92500000000000004</v>
      </c>
      <c r="IF5" s="102">
        <f>MIN(1,MAX(VLOOKUP(($AJ5-$AI5-$AH5-$AG5-$AF5-$AE5*(1+IF$3))/$AJ5,Уголь_коэфф!$A:$B,2,1),(IE5-0.05)))</f>
        <v>0.92500000000000004</v>
      </c>
      <c r="IG5" s="102">
        <f>MIN(1,MAX(VLOOKUP(($AJ5-$AI5-$AH5-$AG5-$AF5-$AE5*(1+IG$3))/$AJ5,Уголь_коэфф!$A:$B,2,1),(IF5-0.05)))</f>
        <v>0.92500000000000004</v>
      </c>
      <c r="IH5" s="102">
        <f>MIN(1,MAX(VLOOKUP(($AJ5-$AI5-$AH5-$AG5-$AF5-$AE5*(1+IH$3))/$AJ5,Уголь_коэфф!$A:$B,2,1),(IG5-0.05)))</f>
        <v>0.92</v>
      </c>
      <c r="II5" s="102">
        <f>MIN(1,MAX(VLOOKUP(($AJ5-$AI5-$AH5-$AG5-$AF5-$AE5*(1+II$3))/$AJ5,Уголь_коэфф!$A:$B,2,1),(IH5-0.05)))</f>
        <v>0.92</v>
      </c>
      <c r="IJ5" s="102">
        <f>MIN(1,MAX(VLOOKUP(($AJ5-$AI5-$AH5-$AG5-$AF5-$AE5*(1+IJ$3))/$AJ5,Уголь_коэфф!$A:$B,2,1),(II5-0.05)))</f>
        <v>0.92</v>
      </c>
      <c r="IK5" s="102">
        <f>MIN(1,MAX(VLOOKUP(($AJ5-$AI5-$AH5-$AG5-$AF5-$AE5*(1+IK$3))/$AJ5,Уголь_коэфф!$A:$B,2,1),(IJ5-0.05)))</f>
        <v>0.92</v>
      </c>
      <c r="IL5" s="102">
        <f>MIN(1,MAX(VLOOKUP(($AJ5-$AI5-$AH5-$AG5-$AF5-$AE5*(1+IL$3))/$AJ5,Уголь_коэфф!$A:$B,2,1),(IK5-0.05)))</f>
        <v>0.91400000000000003</v>
      </c>
      <c r="IM5" s="102">
        <f>MIN(1,MAX(VLOOKUP(($AJ5-$AI5-$AH5-$AG5-$AF5-$AE5*(1+IM$3))/$AJ5,Уголь_коэфф!$A:$B,2,1),(IL5-0.05)))</f>
        <v>0.91400000000000003</v>
      </c>
      <c r="IN5" s="102">
        <f>MIN(1,MAX(VLOOKUP(($AJ5-$AI5-$AH5-$AG5-$AF5-$AE5*(1+IN$3))/$AJ5,Уголь_коэфф!$A:$B,2,1),(IM5-0.05)))</f>
        <v>0.91400000000000003</v>
      </c>
      <c r="IO5" s="102">
        <f>MIN(1,MAX(VLOOKUP(($AJ5-$AI5-$AH5-$AG5-$AF5-$AE5*(1+IO$3))/$AJ5,Уголь_коэфф!$A:$B,2,1),(IN5-0.05)))</f>
        <v>0.91400000000000003</v>
      </c>
      <c r="IP5" s="102">
        <f>MIN(1,MAX(VLOOKUP(($AJ5-$AI5-$AH5-$AG5-$AF5-$AE5*(1+IP$3))/$AJ5,Уголь_коэфф!$A:$B,2,1),(IO5-0.05)))</f>
        <v>0.90800000000000003</v>
      </c>
      <c r="IQ5" s="102">
        <f>MIN(1,MAX(VLOOKUP(($AJ5-$AI5-$AH5-$AG5-$AF5-$AE5*(1+IQ$3))/$AJ5,Уголь_коэфф!$A:$B,2,1),(IP5-0.05)))</f>
        <v>0.90800000000000003</v>
      </c>
      <c r="IR5" s="102">
        <f>MIN(1,MAX(VLOOKUP(($AJ5-$AI5-$AH5-$AG5-$AF5-$AE5*(1+IR$3))/$AJ5,Уголь_коэфф!$A:$B,2,1),(IQ5-0.05)))</f>
        <v>0.90800000000000003</v>
      </c>
      <c r="IS5" s="102">
        <f t="shared" ref="IS5:IS27" si="20">HLOOKUP($IS$2,$AZ$3:$IR$27,ROW(IR5)-2,FALSE)</f>
        <v>1</v>
      </c>
      <c r="IT5" s="102">
        <f t="shared" si="7"/>
        <v>1</v>
      </c>
      <c r="IU5" s="110"/>
    </row>
    <row r="6" spans="1:266" ht="14.6" customHeight="1">
      <c r="A6" s="60" t="s">
        <v>241</v>
      </c>
      <c r="B6" s="111">
        <v>1</v>
      </c>
      <c r="C6" s="112" t="s">
        <v>16</v>
      </c>
      <c r="D6" s="113">
        <v>16112</v>
      </c>
      <c r="E6" s="113" t="s">
        <v>28</v>
      </c>
      <c r="F6" s="112" t="s">
        <v>18</v>
      </c>
      <c r="G6" s="112" t="s">
        <v>29</v>
      </c>
      <c r="H6" s="113" t="s">
        <v>34</v>
      </c>
      <c r="I6" s="112" t="s">
        <v>31</v>
      </c>
      <c r="J6" s="113" t="s">
        <v>35</v>
      </c>
      <c r="K6" s="113">
        <v>4832</v>
      </c>
      <c r="L6" s="113" t="s">
        <v>22</v>
      </c>
      <c r="M6" s="113" t="s">
        <v>23</v>
      </c>
      <c r="N6" s="113" t="s">
        <v>24</v>
      </c>
      <c r="O6" s="113" t="s">
        <v>36</v>
      </c>
      <c r="P6" s="116">
        <v>54657469</v>
      </c>
      <c r="Q6" s="114" t="s">
        <v>26</v>
      </c>
      <c r="R6" s="113" t="s">
        <v>27</v>
      </c>
      <c r="S6" s="117">
        <v>399916</v>
      </c>
      <c r="T6" s="115">
        <v>1932276609</v>
      </c>
      <c r="U6" s="115">
        <v>5484</v>
      </c>
      <c r="V6" s="115"/>
      <c r="W6" s="118">
        <v>750324310</v>
      </c>
      <c r="X6" s="104">
        <v>75</v>
      </c>
      <c r="Y6" s="104" t="s">
        <v>163</v>
      </c>
      <c r="Z6" s="107">
        <v>11</v>
      </c>
      <c r="AA6" s="107">
        <v>11</v>
      </c>
      <c r="AB6" s="107">
        <v>4</v>
      </c>
      <c r="AC6" s="88">
        <v>1990.61</v>
      </c>
      <c r="AD6" s="88">
        <v>928.22</v>
      </c>
      <c r="AE6" s="88">
        <f t="shared" si="8"/>
        <v>2918.83</v>
      </c>
      <c r="AF6" s="89">
        <f>'Цены,перевалка,аренда'!$C$26*SUM(Уголь_эластика_экспорт!Z6+Уголь_эластика_экспорт!AA6+Уголь_эластика_экспорт!AB6)/Уголь_эластика_экспорт!X6</f>
        <v>346.66666666666669</v>
      </c>
      <c r="AG6" s="90">
        <f>SUMIF('Цены,перевалка,аренда'!$A$20:$A$22,Уголь_эластика_экспорт!$O6,'Цены,перевалка,аренда'!$D$20:$D$22)</f>
        <v>991.97149999999988</v>
      </c>
      <c r="AH6" s="47"/>
      <c r="AI6" s="91">
        <v>2020</v>
      </c>
      <c r="AJ6" s="92">
        <f>SUMIF('Цены,перевалка,аренда'!$A$5:$A$17,Уголь_эластика_экспорт!A6,'Цены,перевалка,аренда'!$D$5:$D$17)</f>
        <v>7249.0224999999991</v>
      </c>
      <c r="AK6" s="47">
        <f>AJ6/'Цены,перевалка,аренда'!$C$1</f>
        <v>95</v>
      </c>
      <c r="AL6" s="47">
        <f t="shared" si="9"/>
        <v>4257.4681666666665</v>
      </c>
      <c r="AM6" s="47">
        <f t="shared" si="10"/>
        <v>2991.5543333333326</v>
      </c>
      <c r="AN6" s="47">
        <f t="shared" si="11"/>
        <v>6277.4681666666656</v>
      </c>
      <c r="AO6" s="93">
        <f t="shared" si="12"/>
        <v>0.13402556459623813</v>
      </c>
      <c r="AP6" s="94">
        <f t="shared" si="13"/>
        <v>0.58731617492795296</v>
      </c>
      <c r="AQ6" s="94">
        <f t="shared" si="5"/>
        <v>0.4026515299131711</v>
      </c>
      <c r="AR6" s="94">
        <f t="shared" si="6"/>
        <v>0.68557881955586353</v>
      </c>
      <c r="AS6" s="167">
        <f t="shared" si="14"/>
        <v>1</v>
      </c>
      <c r="AT6" s="173">
        <f t="shared" si="15"/>
        <v>399916</v>
      </c>
      <c r="AU6" s="96">
        <v>1</v>
      </c>
      <c r="AV6" s="93">
        <f t="shared" si="16"/>
        <v>9.3760411604920921E-2</v>
      </c>
      <c r="AW6" s="94">
        <f t="shared" si="17"/>
        <v>0.62758132791927002</v>
      </c>
      <c r="AX6" s="94">
        <f t="shared" si="18"/>
        <v>0.44291668290448821</v>
      </c>
      <c r="AY6" s="94">
        <f t="shared" si="19"/>
        <v>0.705751849521985</v>
      </c>
      <c r="AZ6" s="102">
        <f>MIN(IF($AU6=100%,1,1+VLOOKUP(($AJ6-$AI6-$AH6-$AG6-$AF6-$AE6*(1+AZ$3))/$AJ6,Уголь_коэфф!$A:$B,2,1)-VLOOKUP($AO6,Уголь_коэфф!$A:$B,2,1)),1+(1-$AU6))</f>
        <v>1</v>
      </c>
      <c r="BA6" s="102">
        <f>MIN(IF($AU6=100%,1,1+VLOOKUP(($AJ6-$AI6-$AH6-$AG6-$AF6-$AE6*(1+BA$3))/$AJ6,Уголь_коэфф!$A:$B,2,1)-VLOOKUP($AO6,Уголь_коэфф!$A:$B,2,1)),1+(1-$AU6))</f>
        <v>1</v>
      </c>
      <c r="BB6" s="102">
        <f>MIN(IF($AU6=100%,1,1+VLOOKUP(($AJ6-$AI6-$AH6-$AG6-$AF6-$AE6*(1+BB$3))/$AJ6,Уголь_коэфф!$A:$B,2,1)-VLOOKUP($AO6,Уголь_коэфф!$A:$B,2,1)),1+(1-$AU6))</f>
        <v>1</v>
      </c>
      <c r="BC6" s="102">
        <f>MIN(IF($AU6=100%,1,1+VLOOKUP(($AJ6-$AI6-$AH6-$AG6-$AF6-$AE6*(1+BC$3))/$AJ6,Уголь_коэфф!$A:$B,2,1)-VLOOKUP($AO6,Уголь_коэфф!$A:$B,2,1)),1+(1-$AU6))</f>
        <v>1</v>
      </c>
      <c r="BD6" s="102">
        <f>MIN(IF($AU6=100%,1,1+VLOOKUP(($AJ6-$AI6-$AH6-$AG6-$AF6-$AE6*(1+BD$3))/$AJ6,Уголь_коэфф!$A:$B,2,1)-VLOOKUP($AO6,Уголь_коэфф!$A:$B,2,1)),1+(1-$AU6))</f>
        <v>1</v>
      </c>
      <c r="BE6" s="102">
        <f>MIN(IF($AU6=100%,1,1+VLOOKUP(($AJ6-$AI6-$AH6-$AG6-$AF6-$AE6*(1+BE$3))/$AJ6,Уголь_коэфф!$A:$B,2,1)-VLOOKUP($AO6,Уголь_коэфф!$A:$B,2,1)),1+(1-$AU6))</f>
        <v>1</v>
      </c>
      <c r="BF6" s="102">
        <f>MIN(IF($AU6=100%,1,1+VLOOKUP(($AJ6-$AI6-$AH6-$AG6-$AF6-$AE6*(1+BF$3))/$AJ6,Уголь_коэфф!$A:$B,2,1)-VLOOKUP($AO6,Уголь_коэфф!$A:$B,2,1)),1+(1-$AU6))</f>
        <v>1</v>
      </c>
      <c r="BG6" s="102">
        <f>MIN(IF($AU6=100%,1,1+VLOOKUP(($AJ6-$AI6-$AH6-$AG6-$AF6-$AE6*(1+BG$3))/$AJ6,Уголь_коэфф!$A:$B,2,1)-VLOOKUP($AO6,Уголь_коэфф!$A:$B,2,1)),1+(1-$AU6))</f>
        <v>1</v>
      </c>
      <c r="BH6" s="102">
        <f>MIN(IF($AU6=100%,1,1+VLOOKUP(($AJ6-$AI6-$AH6-$AG6-$AF6-$AE6*(1+BH$3))/$AJ6,Уголь_коэфф!$A:$B,2,1)-VLOOKUP($AO6,Уголь_коэфф!$A:$B,2,1)),1+(1-$AU6))</f>
        <v>1</v>
      </c>
      <c r="BI6" s="102">
        <f>MIN(IF($AU6=100%,1,1+VLOOKUP(($AJ6-$AI6-$AH6-$AG6-$AF6-$AE6*(1+BI$3))/$AJ6,Уголь_коэфф!$A:$B,2,1)-VLOOKUP($AO6,Уголь_коэфф!$A:$B,2,1)),1+(1-$AU6))</f>
        <v>1</v>
      </c>
      <c r="BJ6" s="102">
        <f>MIN(IF($AU6=100%,1,1+VLOOKUP(($AJ6-$AI6-$AH6-$AG6-$AF6-$AE6*(1+BJ$3))/$AJ6,Уголь_коэфф!$A:$B,2,1)-VLOOKUP($AO6,Уголь_коэфф!$A:$B,2,1)),1+(1-$AU6))</f>
        <v>1</v>
      </c>
      <c r="BK6" s="102">
        <f>MIN(IF($AU6=100%,1,1+VLOOKUP(($AJ6-$AI6-$AH6-$AG6-$AF6-$AE6*(1+BK$3))/$AJ6,Уголь_коэфф!$A:$B,2,1)-VLOOKUP($AO6,Уголь_коэфф!$A:$B,2,1)),1+(1-$AU6))</f>
        <v>1</v>
      </c>
      <c r="BL6" s="102">
        <f>MIN(IF($AU6=100%,1,1+VLOOKUP(($AJ6-$AI6-$AH6-$AG6-$AF6-$AE6*(1+BL$3))/$AJ6,Уголь_коэфф!$A:$B,2,1)-VLOOKUP($AO6,Уголь_коэфф!$A:$B,2,1)),1+(1-$AU6))</f>
        <v>1</v>
      </c>
      <c r="BM6" s="102">
        <f>MIN(IF($AU6=100%,1,1+VLOOKUP(($AJ6-$AI6-$AH6-$AG6-$AF6-$AE6*(1+BM$3))/$AJ6,Уголь_коэфф!$A:$B,2,1)-VLOOKUP($AO6,Уголь_коэфф!$A:$B,2,1)),1+(1-$AU6))</f>
        <v>1</v>
      </c>
      <c r="BN6" s="102">
        <f>MIN(IF($AU6=100%,1,1+VLOOKUP(($AJ6-$AI6-$AH6-$AG6-$AF6-$AE6*(1+BN$3))/$AJ6,Уголь_коэфф!$A:$B,2,1)-VLOOKUP($AO6,Уголь_коэфф!$A:$B,2,1)),1+(1-$AU6))</f>
        <v>1</v>
      </c>
      <c r="BO6" s="102">
        <f>MIN(IF($AU6=100%,1,1+VLOOKUP(($AJ6-$AI6-$AH6-$AG6-$AF6-$AE6*(1+BO$3))/$AJ6,Уголь_коэфф!$A:$B,2,1)-VLOOKUP($AO6,Уголь_коэфф!$A:$B,2,1)),1+(1-$AU6))</f>
        <v>1</v>
      </c>
      <c r="BP6" s="102">
        <f>MIN(IF($AU6=100%,1,1+VLOOKUP(($AJ6-$AI6-$AH6-$AG6-$AF6-$AE6*(1+BP$3))/$AJ6,Уголь_коэфф!$A:$B,2,1)-VLOOKUP($AO6,Уголь_коэфф!$A:$B,2,1)),1+(1-$AU6))</f>
        <v>1</v>
      </c>
      <c r="BQ6" s="102">
        <f>MIN(IF($AU6=100%,1,1+VLOOKUP(($AJ6-$AI6-$AH6-$AG6-$AF6-$AE6*(1+BQ$3))/$AJ6,Уголь_коэфф!$A:$B,2,1)-VLOOKUP($AO6,Уголь_коэфф!$A:$B,2,1)),1+(1-$AU6))</f>
        <v>1</v>
      </c>
      <c r="BR6" s="102">
        <f>MIN(IF($AU6=100%,1,1+VLOOKUP(($AJ6-$AI6-$AH6-$AG6-$AF6-$AE6*(1+BR$3))/$AJ6,Уголь_коэфф!$A:$B,2,1)-VLOOKUP($AO6,Уголь_коэфф!$A:$B,2,1)),1+(1-$AU6))</f>
        <v>1</v>
      </c>
      <c r="BS6" s="102">
        <f>MIN(IF($AU6=100%,1,1+VLOOKUP(($AJ6-$AI6-$AH6-$AG6-$AF6-$AE6*(1+BS$3))/$AJ6,Уголь_коэфф!$A:$B,2,1)-VLOOKUP($AO6,Уголь_коэфф!$A:$B,2,1)),1+(1-$AU6))</f>
        <v>1</v>
      </c>
      <c r="BT6" s="102">
        <f>MIN(IF($AU6=100%,1,1+VLOOKUP(($AJ6-$AI6-$AH6-$AG6-$AF6-$AE6*(1+BT$3))/$AJ6,Уголь_коэфф!$A:$B,2,1)-VLOOKUP($AO6,Уголь_коэфф!$A:$B,2,1)),1+(1-$AU6))</f>
        <v>1</v>
      </c>
      <c r="BU6" s="102">
        <f>MIN(IF($AU6=100%,1,1+VLOOKUP(($AJ6-$AI6-$AH6-$AG6-$AF6-$AE6*(1+BU$3))/$AJ6,Уголь_коэфф!$A:$B,2,1)-VLOOKUP($AO6,Уголь_коэфф!$A:$B,2,1)),1+(1-$AU6))</f>
        <v>1</v>
      </c>
      <c r="BV6" s="102">
        <f>MIN(IF($AU6=100%,1,1+VLOOKUP(($AJ6-$AI6-$AH6-$AG6-$AF6-$AE6*(1+BV$3))/$AJ6,Уголь_коэфф!$A:$B,2,1)-VLOOKUP($AO6,Уголь_коэфф!$A:$B,2,1)),1+(1-$AU6))</f>
        <v>1</v>
      </c>
      <c r="BW6" s="102">
        <f>MIN(IF($AU6=100%,1,1+VLOOKUP(($AJ6-$AI6-$AH6-$AG6-$AF6-$AE6*(1+BW$3))/$AJ6,Уголь_коэфф!$A:$B,2,1)-VLOOKUP($AO6,Уголь_коэфф!$A:$B,2,1)),1+(1-$AU6))</f>
        <v>1</v>
      </c>
      <c r="BX6" s="102">
        <f>MIN(IF($AU6=100%,1,1+VLOOKUP(($AJ6-$AI6-$AH6-$AG6-$AF6-$AE6*(1+BX$3))/$AJ6,Уголь_коэфф!$A:$B,2,1)-VLOOKUP($AO6,Уголь_коэфф!$A:$B,2,1)),1+(1-$AU6))</f>
        <v>1</v>
      </c>
      <c r="BY6" s="102">
        <f>MIN(IF($AU6=100%,1,1+VLOOKUP(($AJ6-$AI6-$AH6-$AG6-$AF6-$AE6*(1+BY$3))/$AJ6,Уголь_коэфф!$A:$B,2,1)-VLOOKUP($AO6,Уголь_коэфф!$A:$B,2,1)),1+(1-$AU6))</f>
        <v>1</v>
      </c>
      <c r="BZ6" s="102">
        <f>MIN(IF($AU6=100%,1,1+VLOOKUP(($AJ6-$AI6-$AH6-$AG6-$AF6-$AE6*(1+BZ$3))/$AJ6,Уголь_коэфф!$A:$B,2,1)-VLOOKUP($AO6,Уголь_коэфф!$A:$B,2,1)),1+(1-$AU6))</f>
        <v>1</v>
      </c>
      <c r="CA6" s="102">
        <f>MIN(IF($AU6=100%,1,1+VLOOKUP(($AJ6-$AI6-$AH6-$AG6-$AF6-$AE6*(1+CA$3))/$AJ6,Уголь_коэфф!$A:$B,2,1)-VLOOKUP($AO6,Уголь_коэфф!$A:$B,2,1)),1+(1-$AU6))</f>
        <v>1</v>
      </c>
      <c r="CB6" s="102">
        <f>MIN(IF($AU6=100%,1,1+VLOOKUP(($AJ6-$AI6-$AH6-$AG6-$AF6-$AE6*(1+CB$3))/$AJ6,Уголь_коэфф!$A:$B,2,1)-VLOOKUP($AO6,Уголь_коэфф!$A:$B,2,1)),1+(1-$AU6))</f>
        <v>1</v>
      </c>
      <c r="CC6" s="102">
        <f>MIN(IF($AU6=100%,1,1+VLOOKUP(($AJ6-$AI6-$AH6-$AG6-$AF6-$AE6*(1+CC$3))/$AJ6,Уголь_коэфф!$A:$B,2,1)-VLOOKUP($AO6,Уголь_коэфф!$A:$B,2,1)),1+(1-$AU6))</f>
        <v>1</v>
      </c>
      <c r="CD6" s="102">
        <f>MIN(IF($AU6=100%,1,1+VLOOKUP(($AJ6-$AI6-$AH6-$AG6-$AF6-$AE6*(1+CD$3))/$AJ6,Уголь_коэфф!$A:$B,2,1)-VLOOKUP($AO6,Уголь_коэфф!$A:$B,2,1)),1+(1-$AU6))</f>
        <v>1</v>
      </c>
      <c r="CE6" s="102">
        <f>MIN(IF($AU6=100%,1,1+VLOOKUP(($AJ6-$AI6-$AH6-$AG6-$AF6-$AE6*(1+CE$3))/$AJ6,Уголь_коэфф!$A:$B,2,1)-VLOOKUP($AO6,Уголь_коэфф!$A:$B,2,1)),1+(1-$AU6))</f>
        <v>1</v>
      </c>
      <c r="CF6" s="102">
        <f>MIN(IF($AU6=100%,1,1+VLOOKUP(($AJ6-$AI6-$AH6-$AG6-$AF6-$AE6*(1+CF$3))/$AJ6,Уголь_коэфф!$A:$B,2,1)-VLOOKUP($AO6,Уголь_коэфф!$A:$B,2,1)),1+(1-$AU6))</f>
        <v>1</v>
      </c>
      <c r="CG6" s="102">
        <f>MIN(IF($AU6=100%,1,1+VLOOKUP(($AJ6-$AI6-$AH6-$AG6-$AF6-$AE6*(1+CG$3))/$AJ6,Уголь_коэфф!$A:$B,2,1)-VLOOKUP($AO6,Уголь_коэфф!$A:$B,2,1)),1+(1-$AU6))</f>
        <v>1</v>
      </c>
      <c r="CH6" s="102">
        <f>MIN(IF($AU6=100%,1,1+VLOOKUP(($AJ6-$AI6-$AH6-$AG6-$AF6-$AE6*(1+CH$3))/$AJ6,Уголь_коэфф!$A:$B,2,1)-VLOOKUP($AO6,Уголь_коэфф!$A:$B,2,1)),1+(1-$AU6))</f>
        <v>1</v>
      </c>
      <c r="CI6" s="102">
        <f>MIN(IF($AU6=100%,1,1+VLOOKUP(($AJ6-$AI6-$AH6-$AG6-$AF6-$AE6*(1+CI$3))/$AJ6,Уголь_коэфф!$A:$B,2,1)-VLOOKUP($AO6,Уголь_коэфф!$A:$B,2,1)),1+(1-$AU6))</f>
        <v>1</v>
      </c>
      <c r="CJ6" s="102">
        <f>MIN(IF($AU6=100%,1,1+VLOOKUP(($AJ6-$AI6-$AH6-$AG6-$AF6-$AE6*(1+CJ$3))/$AJ6,Уголь_коэфф!$A:$B,2,1)-VLOOKUP($AO6,Уголь_коэфф!$A:$B,2,1)),1+(1-$AU6))</f>
        <v>1</v>
      </c>
      <c r="CK6" s="102">
        <f>MIN(IF($AU6=100%,1,1+VLOOKUP(($AJ6-$AI6-$AH6-$AG6-$AF6-$AE6*(1+CK$3))/$AJ6,Уголь_коэфф!$A:$B,2,1)-VLOOKUP($AO6,Уголь_коэфф!$A:$B,2,1)),1+(1-$AU6))</f>
        <v>1</v>
      </c>
      <c r="CL6" s="102">
        <f>MIN(IF($AU6=100%,1,1+VLOOKUP(($AJ6-$AI6-$AH6-$AG6-$AF6-$AE6*(1+CL$3))/$AJ6,Уголь_коэфф!$A:$B,2,1)-VLOOKUP($AO6,Уголь_коэфф!$A:$B,2,1)),1+(1-$AU6))</f>
        <v>1</v>
      </c>
      <c r="CM6" s="102">
        <f>MIN(IF($AU6=100%,1,1+VLOOKUP(($AJ6-$AI6-$AH6-$AG6-$AF6-$AE6*(1+CM$3))/$AJ6,Уголь_коэфф!$A:$B,2,1)-VLOOKUP($AO6,Уголь_коэфф!$A:$B,2,1)),1+(1-$AU6))</f>
        <v>1</v>
      </c>
      <c r="CN6" s="102">
        <f>MIN(IF($AU6=100%,1,1+VLOOKUP(($AJ6-$AI6-$AH6-$AG6-$AF6-$AE6*(1+CN$3))/$AJ6,Уголь_коэфф!$A:$B,2,1)-VLOOKUP($AO6,Уголь_коэфф!$A:$B,2,1)),1+(1-$AU6))</f>
        <v>1</v>
      </c>
      <c r="CO6" s="102">
        <f>MIN(IF($AU6=100%,1,1+VLOOKUP(($AJ6-$AI6-$AH6-$AG6-$AF6-$AE6*(1+CO$3))/$AJ6,Уголь_коэфф!$A:$B,2,1)-VLOOKUP($AO6,Уголь_коэфф!$A:$B,2,1)),1+(1-$AU6))</f>
        <v>1</v>
      </c>
      <c r="CP6" s="102">
        <f>MIN(IF($AU6=100%,1,1+VLOOKUP(($AJ6-$AI6-$AH6-$AG6-$AF6-$AE6*(1+CP$3))/$AJ6,Уголь_коэфф!$A:$B,2,1)-VLOOKUP($AO6,Уголь_коэфф!$A:$B,2,1)),1+(1-$AU6))</f>
        <v>1</v>
      </c>
      <c r="CQ6" s="102">
        <f>MIN(IF($AU6=100%,1,1+VLOOKUP(($AJ6-$AI6-$AH6-$AG6-$AF6-$AE6*(1+CQ$3))/$AJ6,Уголь_коэфф!$A:$B,2,1)-VLOOKUP($AO6,Уголь_коэфф!$A:$B,2,1)),1+(1-$AU6))</f>
        <v>1</v>
      </c>
      <c r="CR6" s="102">
        <f>MIN(IF($AU6=100%,1,1+VLOOKUP(($AJ6-$AI6-$AH6-$AG6-$AF6-$AE6*(1+CR$3))/$AJ6,Уголь_коэфф!$A:$B,2,1)-VLOOKUP($AO6,Уголь_коэфф!$A:$B,2,1)),1+(1-$AU6))</f>
        <v>1</v>
      </c>
      <c r="CS6" s="102">
        <f>MIN(IF($AU6=100%,1,1+VLOOKUP(($AJ6-$AI6-$AH6-$AG6-$AF6-$AE6*(1+CS$3))/$AJ6,Уголь_коэфф!$A:$B,2,1)-VLOOKUP($AO6,Уголь_коэфф!$A:$B,2,1)),1+(1-$AU6))</f>
        <v>1</v>
      </c>
      <c r="CT6" s="102">
        <f>MIN(IF($AU6=100%,1,1+VLOOKUP(($AJ6-$AI6-$AH6-$AG6-$AF6-$AE6*(1+CT$3))/$AJ6,Уголь_коэфф!$A:$B,2,1)-VLOOKUP($AO6,Уголь_коэфф!$A:$B,2,1)),1+(1-$AU6))</f>
        <v>1</v>
      </c>
      <c r="CU6" s="102">
        <f>MIN(IF($AU6=100%,1,1+VLOOKUP(($AJ6-$AI6-$AH6-$AG6-$AF6-$AE6*(1+CU$3))/$AJ6,Уголь_коэфф!$A:$B,2,1)-VLOOKUP($AO6,Уголь_коэфф!$A:$B,2,1)),1+(1-$AU6))</f>
        <v>1</v>
      </c>
      <c r="CV6" s="102">
        <f>MIN(IF($AU6=100%,1,1+VLOOKUP(($AJ6-$AI6-$AH6-$AG6-$AF6-$AE6*(1+CV$3))/$AJ6,Уголь_коэфф!$A:$B,2,1)-VLOOKUP($AO6,Уголь_коэфф!$A:$B,2,1)),1+(1-$AU6))</f>
        <v>1</v>
      </c>
      <c r="CW6" s="102">
        <f>MIN(IF($AU6=100%,1,1+VLOOKUP(($AJ6-$AI6-$AH6-$AG6-$AF6-$AE6*(1+CW$3))/$AJ6,Уголь_коэфф!$A:$B,2,1)-VLOOKUP($AO6,Уголь_коэфф!$A:$B,2,1)),1+(1-$AU6))</f>
        <v>1</v>
      </c>
      <c r="CX6" s="102">
        <f>MIN(IF($AU6=100%,1,1+VLOOKUP(($AJ6-$AI6-$AH6-$AG6-$AF6-$AE6*(1+CX$3))/$AJ6,Уголь_коэфф!$A:$B,2,1)-VLOOKUP($AO6,Уголь_коэфф!$A:$B,2,1)),1+(1-$AU6))</f>
        <v>1</v>
      </c>
      <c r="CY6" s="102">
        <f>MIN(IF($AU6=100%,1,1+VLOOKUP(($AJ6-$AI6-$AH6-$AG6-$AF6-$AE6*(1+CY$3))/$AJ6,Уголь_коэфф!$A:$B,2,1)-VLOOKUP($AO6,Уголь_коэфф!$A:$B,2,1)),1+(1-$AU6))</f>
        <v>1</v>
      </c>
      <c r="CZ6" s="102">
        <f>MIN(IF($AU6=100%,1,1+VLOOKUP(($AJ6-$AI6-$AH6-$AG6-$AF6-$AE6*(1+CZ$3))/$AJ6,Уголь_коэфф!$A:$B,2,1)-VLOOKUP($AO6,Уголь_коэфф!$A:$B,2,1)),1+(1-$AU6))</f>
        <v>1</v>
      </c>
      <c r="DA6" s="102">
        <f>MIN(IF($AU6=100%,1,1+VLOOKUP(($AJ6-$AI6-$AH6-$AG6-$AF6-$AE6*(1+DA$3))/$AJ6,Уголь_коэфф!$A:$B,2,1)-VLOOKUP($AO6,Уголь_коэфф!$A:$B,2,1)),1+(1-$AU6))</f>
        <v>1</v>
      </c>
      <c r="DB6" s="102">
        <f>MIN(IF($AU6=100%,1,1+VLOOKUP(($AJ6-$AI6-$AH6-$AG6-$AF6-$AE6*(1+DB$3))/$AJ6,Уголь_коэфф!$A:$B,2,1)-VLOOKUP($AO6,Уголь_коэфф!$A:$B,2,1)),1+(1-$AU6))</f>
        <v>1</v>
      </c>
      <c r="DC6" s="102">
        <f>MIN(IF($AU6=100%,1,1+VLOOKUP(($AJ6-$AI6-$AH6-$AG6-$AF6-$AE6*(1+DC$3))/$AJ6,Уголь_коэфф!$A:$B,2,1)-VLOOKUP($AO6,Уголь_коэфф!$A:$B,2,1)),1+(1-$AU6))</f>
        <v>1</v>
      </c>
      <c r="DD6" s="102">
        <f>MIN(IF($AU6=100%,1,1+VLOOKUP(($AJ6-$AI6-$AH6-$AG6-$AF6-$AE6*(1+DD$3))/$AJ6,Уголь_коэфф!$A:$B,2,1)-VLOOKUP($AO6,Уголь_коэфф!$A:$B,2,1)),1+(1-$AU6))</f>
        <v>1</v>
      </c>
      <c r="DE6" s="102">
        <f>MIN(IF($AU6=100%,1,1+VLOOKUP(($AJ6-$AI6-$AH6-$AG6-$AF6-$AE6*(1+DE$3))/$AJ6,Уголь_коэфф!$A:$B,2,1)-VLOOKUP($AO6,Уголь_коэфф!$A:$B,2,1)),1+(1-$AU6))</f>
        <v>1</v>
      </c>
      <c r="DF6" s="102">
        <f>MIN(IF($AU6=100%,1,1+VLOOKUP(($AJ6-$AI6-$AH6-$AG6-$AF6-$AE6*(1+DF$3))/$AJ6,Уголь_коэфф!$A:$B,2,1)-VLOOKUP($AO6,Уголь_коэфф!$A:$B,2,1)),1+(1-$AU6))</f>
        <v>1</v>
      </c>
      <c r="DG6" s="102">
        <f>MIN(IF($AU6=100%,1,1+VLOOKUP(($AJ6-$AI6-$AH6-$AG6-$AF6-$AE6*(1+DG$3))/$AJ6,Уголь_коэфф!$A:$B,2,1)-VLOOKUP($AO6,Уголь_коэфф!$A:$B,2,1)),1+(1-$AU6))</f>
        <v>1</v>
      </c>
      <c r="DH6" s="102">
        <f>MIN(IF($AU6=100%,1,1+VLOOKUP(($AJ6-$AI6-$AH6-$AG6-$AF6-$AE6*(1+DH$3))/$AJ6,Уголь_коэфф!$A:$B,2,1)-VLOOKUP($AO6,Уголь_коэфф!$A:$B,2,1)),1+(1-$AU6))</f>
        <v>1</v>
      </c>
      <c r="DI6" s="102">
        <f>MIN(IF($AU6=100%,1,1+VLOOKUP(($AJ6-$AI6-$AH6-$AG6-$AF6-$AE6*(1+DI$3))/$AJ6,Уголь_коэфф!$A:$B,2,1)-VLOOKUP($AO6,Уголь_коэфф!$A:$B,2,1)),1+(1-$AU6))</f>
        <v>1</v>
      </c>
      <c r="DJ6" s="102">
        <f>MIN(IF($AU6=100%,1,1+VLOOKUP(($AJ6-$AI6-$AH6-$AG6-$AF6-$AE6*(1+DJ$3))/$AJ6,Уголь_коэфф!$A:$B,2,1)-VLOOKUP($AO6,Уголь_коэфф!$A:$B,2,1)),1+(1-$AU6))</f>
        <v>1</v>
      </c>
      <c r="DK6" s="102">
        <f>MIN(IF($AU6=100%,1,1+VLOOKUP(($AJ6-$AI6-$AH6-$AG6-$AF6-$AE6*(1+DK$3))/$AJ6,Уголь_коэфф!$A:$B,2,1)-VLOOKUP($AO6,Уголь_коэфф!$A:$B,2,1)),1+(1-$AU6))</f>
        <v>1</v>
      </c>
      <c r="DL6" s="102">
        <f>MIN(IF($AU6=100%,1,1+VLOOKUP(($AJ6-$AI6-$AH6-$AG6-$AF6-$AE6*(1+DL$3))/$AJ6,Уголь_коэфф!$A:$B,2,1)-VLOOKUP($AO6,Уголь_коэфф!$A:$B,2,1)),1+(1-$AU6))</f>
        <v>1</v>
      </c>
      <c r="DM6" s="102">
        <f>MIN(IF($AU6=100%,1,1+VLOOKUP(($AJ6-$AI6-$AH6-$AG6-$AF6-$AE6*(1+DM$3))/$AJ6,Уголь_коэфф!$A:$B,2,1)-VLOOKUP($AO6,Уголь_коэфф!$A:$B,2,1)),1+(1-$AU6))</f>
        <v>1</v>
      </c>
      <c r="DN6" s="102">
        <f>MIN(IF($AU6=100%,1,1+VLOOKUP(($AJ6-$AI6-$AH6-$AG6-$AF6-$AE6*(1+DN$3))/$AJ6,Уголь_коэфф!$A:$B,2,1)-VLOOKUP($AO6,Уголь_коэфф!$A:$B,2,1)),1+(1-$AU6))</f>
        <v>1</v>
      </c>
      <c r="DO6" s="102">
        <f>MIN(IF($AU6=100%,1,1+VLOOKUP(($AJ6-$AI6-$AH6-$AG6-$AF6-$AE6*(1+DO$3))/$AJ6,Уголь_коэфф!$A:$B,2,1)-VLOOKUP($AO6,Уголь_коэфф!$A:$B,2,1)),1+(1-$AU6))</f>
        <v>1</v>
      </c>
      <c r="DP6" s="102">
        <f>MIN(IF($AU6=100%,1,1+VLOOKUP(($AJ6-$AI6-$AH6-$AG6-$AF6-$AE6*(1+DP$3))/$AJ6,Уголь_коэфф!$A:$B,2,1)-VLOOKUP($AO6,Уголь_коэфф!$A:$B,2,1)),1+(1-$AU6))</f>
        <v>1</v>
      </c>
      <c r="DQ6" s="102">
        <f>MIN(IF($AU6=100%,1,1+VLOOKUP(($AJ6-$AI6-$AH6-$AG6-$AF6-$AE6*(1+DQ$3))/$AJ6,Уголь_коэфф!$A:$B,2,1)-VLOOKUP($AO6,Уголь_коэфф!$A:$B,2,1)),1+(1-$AU6))</f>
        <v>1</v>
      </c>
      <c r="DR6" s="102">
        <f>MIN(IF($AU6=100%,1,1+VLOOKUP(($AJ6-$AI6-$AH6-$AG6-$AF6-$AE6*(1+DR$3))/$AJ6,Уголь_коэфф!$A:$B,2,1)-VLOOKUP($AO6,Уголь_коэфф!$A:$B,2,1)),1+(1-$AU6))</f>
        <v>1</v>
      </c>
      <c r="DS6" s="102">
        <f>MIN(IF($AU6=100%,1,1+VLOOKUP(($AJ6-$AI6-$AH6-$AG6-$AF6-$AE6*(1+DS$3))/$AJ6,Уголь_коэфф!$A:$B,2,1)-VLOOKUP($AO6,Уголь_коэфф!$A:$B,2,1)),1+(1-$AU6))</f>
        <v>1</v>
      </c>
      <c r="DT6" s="102">
        <f>MIN(IF($AU6=100%,1,1+VLOOKUP(($AJ6-$AI6-$AH6-$AG6-$AF6-$AE6*(1+DT$3))/$AJ6,Уголь_коэфф!$A:$B,2,1)-VLOOKUP($AO6,Уголь_коэфф!$A:$B,2,1)),1+(1-$AU6))</f>
        <v>1</v>
      </c>
      <c r="DU6" s="102">
        <f>MIN(IF($AU6=100%,1,1+VLOOKUP(($AJ6-$AI6-$AH6-$AG6-$AF6-$AE6*(1+DU$3))/$AJ6,Уголь_коэфф!$A:$B,2,1)-VLOOKUP($AO6,Уголь_коэфф!$A:$B,2,1)),1+(1-$AU6))</f>
        <v>1</v>
      </c>
      <c r="DV6" s="102">
        <f>MIN(IF($AU6=100%,1,1+VLOOKUP(($AJ6-$AI6-$AH6-$AG6-$AF6-$AE6*(1+DV$3))/$AJ6,Уголь_коэфф!$A:$B,2,1)-VLOOKUP($AO6,Уголь_коэфф!$A:$B,2,1)),1+(1-$AU6))</f>
        <v>1</v>
      </c>
      <c r="DW6" s="102">
        <f>MIN(IF($AU6=100%,1,1+VLOOKUP(($AJ6-$AI6-$AH6-$AG6-$AF6-$AE6*(1+DW$3))/$AJ6,Уголь_коэфф!$A:$B,2,1)-VLOOKUP($AO6,Уголь_коэфф!$A:$B,2,1)),1+(1-$AU6))</f>
        <v>1</v>
      </c>
      <c r="DX6" s="102">
        <f>MIN(IF($AU6=100%,1,1+VLOOKUP(($AJ6-$AI6-$AH6-$AG6-$AF6-$AE6*(1+DX$3))/$AJ6,Уголь_коэфф!$A:$B,2,1)-VLOOKUP($AO6,Уголь_коэфф!$A:$B,2,1)),1+(1-$AU6))</f>
        <v>1</v>
      </c>
      <c r="DY6" s="102">
        <f>MIN(IF($AU6=100%,1,1+VLOOKUP(($AJ6-$AI6-$AH6-$AG6-$AF6-$AE6*(1+DY$3))/$AJ6,Уголь_коэфф!$A:$B,2,1)-VLOOKUP($AO6,Уголь_коэфф!$A:$B,2,1)),1+(1-$AU6))</f>
        <v>1</v>
      </c>
      <c r="DZ6" s="102">
        <f>MIN(IF($AU6=100%,1,1+VLOOKUP(($AJ6-$AI6-$AH6-$AG6-$AF6-$AE6*(1+DZ$3))/$AJ6,Уголь_коэфф!$A:$B,2,1)-VLOOKUP($AO6,Уголь_коэфф!$A:$B,2,1)),1+(1-$AU6))</f>
        <v>1</v>
      </c>
      <c r="EA6" s="102">
        <f>MIN(IF($AU6=100%,1,1+VLOOKUP(($AJ6-$AI6-$AH6-$AG6-$AF6-$AE6*(1+EA$3))/$AJ6,Уголь_коэфф!$A:$B,2,1)-VLOOKUP($AO6,Уголь_коэфф!$A:$B,2,1)),1+(1-$AU6))</f>
        <v>1</v>
      </c>
      <c r="EB6" s="102">
        <f>MIN(IF($AU6=100%,1,1+VLOOKUP(($AJ6-$AI6-$AH6-$AG6-$AF6-$AE6*(1+EB$3))/$AJ6,Уголь_коэфф!$A:$B,2,1)-VLOOKUP($AO6,Уголь_коэфф!$A:$B,2,1)),1+(1-$AU6))</f>
        <v>1</v>
      </c>
      <c r="EC6" s="102">
        <f>MIN(IF($AU6=100%,1,1+VLOOKUP(($AJ6-$AI6-$AH6-$AG6-$AF6-$AE6*(1+EC$3))/$AJ6,Уголь_коэфф!$A:$B,2,1)-VLOOKUP($AO6,Уголь_коэфф!$A:$B,2,1)),1+(1-$AU6))</f>
        <v>1</v>
      </c>
      <c r="ED6" s="102">
        <f>MIN(IF($AU6=100%,1,1+VLOOKUP(($AJ6-$AI6-$AH6-$AG6-$AF6-$AE6*(1+ED$3))/$AJ6,Уголь_коэфф!$A:$B,2,1)-VLOOKUP($AO6,Уголь_коэфф!$A:$B,2,1)),1+(1-$AU6))</f>
        <v>1</v>
      </c>
      <c r="EE6" s="102">
        <f>MIN(IF($AU6=100%,1,1+VLOOKUP(($AJ6-$AI6-$AH6-$AG6-$AF6-$AE6*(1+EE$3))/$AJ6,Уголь_коэфф!$A:$B,2,1)-VLOOKUP($AO6,Уголь_коэфф!$A:$B,2,1)),1+(1-$AU6))</f>
        <v>1</v>
      </c>
      <c r="EF6" s="102">
        <f>MIN(IF($AU6=100%,1,1+VLOOKUP(($AJ6-$AI6-$AH6-$AG6-$AF6-$AE6*(1+EF$3))/$AJ6,Уголь_коэфф!$A:$B,2,1)-VLOOKUP($AO6,Уголь_коэфф!$A:$B,2,1)),1+(1-$AU6))</f>
        <v>1</v>
      </c>
      <c r="EG6" s="102">
        <f>MIN(IF($AU6=100%,1,1+VLOOKUP(($AJ6-$AI6-$AH6-$AG6-$AF6-$AE6*(1+EG$3))/$AJ6,Уголь_коэфф!$A:$B,2,1)-VLOOKUP($AO6,Уголь_коэфф!$A:$B,2,1)),1+(1-$AU6))</f>
        <v>1</v>
      </c>
      <c r="EH6" s="102">
        <f>MIN(IF($AU6=100%,1,1+VLOOKUP(($AJ6-$AI6-$AH6-$AG6-$AF6-$AE6*(1+EH$3))/$AJ6,Уголь_коэфф!$A:$B,2,1)-VLOOKUP($AO6,Уголь_коэфф!$A:$B,2,1)),1+(1-$AU6))</f>
        <v>1</v>
      </c>
      <c r="EI6" s="102">
        <f>MIN(IF($AU6=100%,1,1+VLOOKUP(($AJ6-$AI6-$AH6-$AG6-$AF6-$AE6*(1+EI$3))/$AJ6,Уголь_коэфф!$A:$B,2,1)-VLOOKUP($AO6,Уголь_коэфф!$A:$B,2,1)),1+(1-$AU6))</f>
        <v>1</v>
      </c>
      <c r="EJ6" s="102">
        <f>MIN(IF($AU6=100%,1,1+VLOOKUP(($AJ6-$AI6-$AH6-$AG6-$AF6-$AE6*(1+EJ$3))/$AJ6,Уголь_коэфф!$A:$B,2,1)-VLOOKUP($AO6,Уголь_коэфф!$A:$B,2,1)),1+(1-$AU6))</f>
        <v>1</v>
      </c>
      <c r="EK6" s="102">
        <f>MIN(IF($AU6=100%,1,1+VLOOKUP(($AJ6-$AI6-$AH6-$AG6-$AF6-$AE6*(1+EK$3))/$AJ6,Уголь_коэфф!$A:$B,2,1)-VLOOKUP($AO6,Уголь_коэфф!$A:$B,2,1)),1+(1-$AU6))</f>
        <v>1</v>
      </c>
      <c r="EL6" s="102">
        <f>MIN(IF($AU6=100%,1,1+VLOOKUP(($AJ6-$AI6-$AH6-$AG6-$AF6-$AE6*(1+EL$3))/$AJ6,Уголь_коэфф!$A:$B,2,1)-VLOOKUP($AO6,Уголь_коэфф!$A:$B,2,1)),1+(1-$AU6))</f>
        <v>1</v>
      </c>
      <c r="EM6" s="102">
        <f>MIN(IF($AU6=100%,1,1+VLOOKUP(($AJ6-$AI6-$AH6-$AG6-$AF6-$AE6*(1+EM$3))/$AJ6,Уголь_коэфф!$A:$B,2,1)-VLOOKUP($AO6,Уголь_коэфф!$A:$B,2,1)),1+(1-$AU6))</f>
        <v>1</v>
      </c>
      <c r="EN6" s="102">
        <f>MIN(IF($AU6=100%,1,1+VLOOKUP(($AJ6-$AI6-$AH6-$AG6-$AF6-$AE6*(1+EN$3))/$AJ6,Уголь_коэфф!$A:$B,2,1)-VLOOKUP($AO6,Уголь_коэфф!$A:$B,2,1)),1+(1-$AU6))</f>
        <v>1</v>
      </c>
      <c r="EO6" s="102">
        <f>MIN(IF($AU6=100%,1,1+VLOOKUP(($AJ6-$AI6-$AH6-$AG6-$AF6-$AE6*(1+EO$3))/$AJ6,Уголь_коэфф!$A:$B,2,1)-VLOOKUP($AO6,Уголь_коэфф!$A:$B,2,1)),1+(1-$AU6))</f>
        <v>1</v>
      </c>
      <c r="EP6" s="102">
        <f>MIN(IF($AU6=100%,1,1+VLOOKUP(($AJ6-$AI6-$AH6-$AG6-$AF6-$AE6*(1+EP$3))/$AJ6,Уголь_коэфф!$A:$B,2,1)-VLOOKUP($AO6,Уголь_коэфф!$A:$B,2,1)),1+(1-$AU6))</f>
        <v>1</v>
      </c>
      <c r="EQ6" s="102">
        <f>MIN(IF($AU6=100%,1,1+VLOOKUP(($AJ6-$AI6-$AH6-$AG6-$AF6-$AE6*(1+EQ$3))/$AJ6,Уголь_коэфф!$A:$B,2,1)-VLOOKUP($AO6,Уголь_коэфф!$A:$B,2,1)),1+(1-$AU6))</f>
        <v>1</v>
      </c>
      <c r="ER6" s="102">
        <f>MIN(IF($AU6=100%,1,1+VLOOKUP(($AJ6-$AI6-$AH6-$AG6-$AF6-$AE6*(1+ER$3))/$AJ6,Уголь_коэфф!$A:$B,2,1)-VLOOKUP($AO6,Уголь_коэфф!$A:$B,2,1)),1+(1-$AU6))</f>
        <v>1</v>
      </c>
      <c r="ES6" s="102">
        <f>MIN(IF($AU6=100%,1,1+VLOOKUP(($AJ6-$AI6-$AH6-$AG6-$AF6-$AE6*(1+ES$3))/$AJ6,Уголь_коэфф!$A:$B,2,1)-VLOOKUP($AO6,Уголь_коэфф!$A:$B,2,1)),1+(1-$AU6))</f>
        <v>1</v>
      </c>
      <c r="ET6" s="102">
        <f>MIN(IF($AU6=100%,1,1+VLOOKUP(($AJ6-$AI6-$AH6-$AG6-$AF6-$AE6*(1+ET$3))/$AJ6,Уголь_коэфф!$A:$B,2,1)-VLOOKUP($AO6,Уголь_коэфф!$A:$B,2,1)),1+(1-$AU6))</f>
        <v>1</v>
      </c>
      <c r="EU6" s="102">
        <f>MIN(IF($AU6=100%,1,1+VLOOKUP(($AJ6-$AI6-$AH6-$AG6-$AF6-$AE6*(1+EU$3))/$AJ6,Уголь_коэфф!$A:$B,2,1)-VLOOKUP($AO6,Уголь_коэфф!$A:$B,2,1)),1+(1-$AU6))</f>
        <v>1</v>
      </c>
      <c r="EV6" s="103">
        <v>1</v>
      </c>
      <c r="EW6" s="102">
        <f>MIN(1,MAX(VLOOKUP(($AJ6-$AI6-$AH6-$AG6-$AF6-$AE6*(1+EW$3))/$AJ6,Уголь_коэфф!$A:$B,2,1),(EV6-0.05)))</f>
        <v>1</v>
      </c>
      <c r="EX6" s="102">
        <f>MIN(1,MAX(VLOOKUP(($AJ6-$AI6-$AH6-$AG6-$AF6-$AE6*(1+EX$3))/$AJ6,Уголь_коэфф!$A:$B,2,1),(EW6-0.05)))</f>
        <v>1</v>
      </c>
      <c r="EY6" s="102">
        <f>MIN(1,MAX(VLOOKUP(($AJ6-$AI6-$AH6-$AG6-$AF6-$AE6*(1+EY$3))/$AJ6,Уголь_коэфф!$A:$B,2,1),(EX6-0.05)))</f>
        <v>1</v>
      </c>
      <c r="EZ6" s="102">
        <f>MIN(1,MAX(VLOOKUP(($AJ6-$AI6-$AH6-$AG6-$AF6-$AE6*(1+EZ$3))/$AJ6,Уголь_коэфф!$A:$B,2,1),(EY6-0.05)))</f>
        <v>1</v>
      </c>
      <c r="FA6" s="102">
        <f>MIN(1,MAX(VLOOKUP(($AJ6-$AI6-$AH6-$AG6-$AF6-$AE6*(1+FA$3))/$AJ6,Уголь_коэфф!$A:$B,2,1),(EZ6-0.05)))</f>
        <v>1</v>
      </c>
      <c r="FB6" s="102">
        <f>MIN(1,MAX(VLOOKUP(($AJ6-$AI6-$AH6-$AG6-$AF6-$AE6*(1+FB$3))/$AJ6,Уголь_коэфф!$A:$B,2,1),(FA6-0.05)))</f>
        <v>1</v>
      </c>
      <c r="FC6" s="102">
        <f>MIN(1,MAX(VLOOKUP(($AJ6-$AI6-$AH6-$AG6-$AF6-$AE6*(1+FC$3))/$AJ6,Уголь_коэфф!$A:$B,2,1),(FB6-0.05)))</f>
        <v>1</v>
      </c>
      <c r="FD6" s="102">
        <f>MIN(1,MAX(VLOOKUP(($AJ6-$AI6-$AH6-$AG6-$AF6-$AE6*(1+FD$3))/$AJ6,Уголь_коэфф!$A:$B,2,1),(FC6-0.05)))</f>
        <v>1</v>
      </c>
      <c r="FE6" s="102">
        <f>MIN(1,MAX(VLOOKUP(($AJ6-$AI6-$AH6-$AG6-$AF6-$AE6*(1+FE$3))/$AJ6,Уголь_коэфф!$A:$B,2,1),(FD6-0.05)))</f>
        <v>1</v>
      </c>
      <c r="FF6" s="102">
        <f>MIN(1,MAX(VLOOKUP(($AJ6-$AI6-$AH6-$AG6-$AF6-$AE6*(1+FF$3))/$AJ6,Уголь_коэфф!$A:$B,2,1),(FE6-0.05)))</f>
        <v>1</v>
      </c>
      <c r="FG6" s="102">
        <f>MIN(1,MAX(VLOOKUP(($AJ6-$AI6-$AH6-$AG6-$AF6-$AE6*(1+FG$3))/$AJ6,Уголь_коэфф!$A:$B,2,1),(FF6-0.05)))</f>
        <v>1</v>
      </c>
      <c r="FH6" s="102">
        <f>MIN(1,MAX(VLOOKUP(($AJ6-$AI6-$AH6-$AG6-$AF6-$AE6*(1+FH$3))/$AJ6,Уголь_коэфф!$A:$B,2,1),(FG6-0.05)))</f>
        <v>1</v>
      </c>
      <c r="FI6" s="102">
        <f>MIN(1,MAX(VLOOKUP(($AJ6-$AI6-$AH6-$AG6-$AF6-$AE6*(1+FI$3))/$AJ6,Уголь_коэфф!$A:$B,2,1),(FH6-0.05)))</f>
        <v>1</v>
      </c>
      <c r="FJ6" s="102">
        <f>MIN(1,MAX(VLOOKUP(($AJ6-$AI6-$AH6-$AG6-$AF6-$AE6*(1+FJ$3))/$AJ6,Уголь_коэфф!$A:$B,2,1),(FI6-0.05)))</f>
        <v>1</v>
      </c>
      <c r="FK6" s="102">
        <f>MIN(1,MAX(VLOOKUP(($AJ6-$AI6-$AH6-$AG6-$AF6-$AE6*(1+FK$3))/$AJ6,Уголь_коэфф!$A:$B,2,1),(FJ6-0.05)))</f>
        <v>1</v>
      </c>
      <c r="FL6" s="102">
        <f>MIN(1,MAX(VLOOKUP(($AJ6-$AI6-$AH6-$AG6-$AF6-$AE6*(1+FL$3))/$AJ6,Уголь_коэфф!$A:$B,2,1),(FK6-0.05)))</f>
        <v>1</v>
      </c>
      <c r="FM6" s="102">
        <f>MIN(1,MAX(VLOOKUP(($AJ6-$AI6-$AH6-$AG6-$AF6-$AE6*(1+FM$3))/$AJ6,Уголь_коэфф!$A:$B,2,1),(FL6-0.05)))</f>
        <v>1</v>
      </c>
      <c r="FN6" s="102">
        <f>MIN(1,MAX(VLOOKUP(($AJ6-$AI6-$AH6-$AG6-$AF6-$AE6*(1+FN$3))/$AJ6,Уголь_коэфф!$A:$B,2,1),(FM6-0.05)))</f>
        <v>1</v>
      </c>
      <c r="FO6" s="102">
        <f>MIN(1,MAX(VLOOKUP(($AJ6-$AI6-$AH6-$AG6-$AF6-$AE6*(1+FO$3))/$AJ6,Уголь_коэфф!$A:$B,2,1),(FN6-0.05)))</f>
        <v>1</v>
      </c>
      <c r="FP6" s="102">
        <f>MIN(1,MAX(VLOOKUP(($AJ6-$AI6-$AH6-$AG6-$AF6-$AE6*(1+FP$3))/$AJ6,Уголь_коэфф!$A:$B,2,1),(FO6-0.05)))</f>
        <v>1</v>
      </c>
      <c r="FQ6" s="102">
        <f>MIN(1,MAX(VLOOKUP(($AJ6-$AI6-$AH6-$AG6-$AF6-$AE6*(1+FQ$3))/$AJ6,Уголь_коэфф!$A:$B,2,1),(FP6-0.05)))</f>
        <v>1</v>
      </c>
      <c r="FR6" s="102">
        <f>MIN(1,MAX(VLOOKUP(($AJ6-$AI6-$AH6-$AG6-$AF6-$AE6*(1+FR$3))/$AJ6,Уголь_коэфф!$A:$B,2,1),(FQ6-0.05)))</f>
        <v>1</v>
      </c>
      <c r="FS6" s="102">
        <f>MIN(1,MAX(VLOOKUP(($AJ6-$AI6-$AH6-$AG6-$AF6-$AE6*(1+FS$3))/$AJ6,Уголь_коэфф!$A:$B,2,1),(FR6-0.05)))</f>
        <v>1</v>
      </c>
      <c r="FT6" s="102">
        <f>MIN(1,MAX(VLOOKUP(($AJ6-$AI6-$AH6-$AG6-$AF6-$AE6*(1+FT$3))/$AJ6,Уголь_коэфф!$A:$B,2,1),(FS6-0.05)))</f>
        <v>1</v>
      </c>
      <c r="FU6" s="102">
        <f>MIN(1,MAX(VLOOKUP(($AJ6-$AI6-$AH6-$AG6-$AF6-$AE6*(1+FU$3))/$AJ6,Уголь_коэфф!$A:$B,2,1),(FT6-0.05)))</f>
        <v>1</v>
      </c>
      <c r="FV6" s="102">
        <f>MIN(1,MAX(VLOOKUP(($AJ6-$AI6-$AH6-$AG6-$AF6-$AE6*(1+FV$3))/$AJ6,Уголь_коэфф!$A:$B,2,1),(FU6-0.05)))</f>
        <v>1</v>
      </c>
      <c r="FW6" s="102">
        <f>MIN(1,MAX(VLOOKUP(($AJ6-$AI6-$AH6-$AG6-$AF6-$AE6*(1+FW$3))/$AJ6,Уголь_коэфф!$A:$B,2,1),(FV6-0.05)))</f>
        <v>1</v>
      </c>
      <c r="FX6" s="102">
        <f>MIN(1,MAX(VLOOKUP(($AJ6-$AI6-$AH6-$AG6-$AF6-$AE6*(1+FX$3))/$AJ6,Уголь_коэфф!$A:$B,2,1),(FW6-0.05)))</f>
        <v>1</v>
      </c>
      <c r="FY6" s="102">
        <f>MIN(1,MAX(VLOOKUP(($AJ6-$AI6-$AH6-$AG6-$AF6-$AE6*(1+FY$3))/$AJ6,Уголь_коэфф!$A:$B,2,1),(FX6-0.05)))</f>
        <v>1</v>
      </c>
      <c r="FZ6" s="102">
        <f>MIN(1,MAX(VLOOKUP(($AJ6-$AI6-$AH6-$AG6-$AF6-$AE6*(1+FZ$3))/$AJ6,Уголь_коэфф!$A:$B,2,1),(FY6-0.05)))</f>
        <v>1</v>
      </c>
      <c r="GA6" s="102">
        <f>MIN(1,MAX(VLOOKUP(($AJ6-$AI6-$AH6-$AG6-$AF6-$AE6*(1+GA$3))/$AJ6,Уголь_коэфф!$A:$B,2,1),(FZ6-0.05)))</f>
        <v>1</v>
      </c>
      <c r="GB6" s="102">
        <f>MIN(1,MAX(VLOOKUP(($AJ6-$AI6-$AH6-$AG6-$AF6-$AE6*(1+GB$3))/$AJ6,Уголь_коэфф!$A:$B,2,1),(GA6-0.05)))</f>
        <v>1</v>
      </c>
      <c r="GC6" s="102">
        <f>MIN(1,MAX(VLOOKUP(($AJ6-$AI6-$AH6-$AG6-$AF6-$AE6*(1+GC$3))/$AJ6,Уголь_коэфф!$A:$B,2,1),(GB6-0.05)))</f>
        <v>1</v>
      </c>
      <c r="GD6" s="102">
        <f>MIN(1,MAX(VLOOKUP(($AJ6-$AI6-$AH6-$AG6-$AF6-$AE6*(1+GD$3))/$AJ6,Уголь_коэфф!$A:$B,2,1),(GC6-0.05)))</f>
        <v>1</v>
      </c>
      <c r="GE6" s="102">
        <f>MIN(1,MAX(VLOOKUP(($AJ6-$AI6-$AH6-$AG6-$AF6-$AE6*(1+GE$3))/$AJ6,Уголь_коэфф!$A:$B,2,1),(GD6-0.05)))</f>
        <v>1</v>
      </c>
      <c r="GF6" s="102">
        <f>MIN(1,MAX(VLOOKUP(($AJ6-$AI6-$AH6-$AG6-$AF6-$AE6*(1+GF$3))/$AJ6,Уголь_коэфф!$A:$B,2,1),(GE6-0.05)))</f>
        <v>1</v>
      </c>
      <c r="GG6" s="102">
        <f>MIN(1,MAX(VLOOKUP(($AJ6-$AI6-$AH6-$AG6-$AF6-$AE6*(1+GG$3))/$AJ6,Уголь_коэфф!$A:$B,2,1),(GF6-0.05)))</f>
        <v>1</v>
      </c>
      <c r="GH6" s="102">
        <f>MIN(1,MAX(VLOOKUP(($AJ6-$AI6-$AH6-$AG6-$AF6-$AE6*(1+GH$3))/$AJ6,Уголь_коэфф!$A:$B,2,1),(GG6-0.05)))</f>
        <v>1</v>
      </c>
      <c r="GI6" s="102">
        <f>MIN(1,MAX(VLOOKUP(($AJ6-$AI6-$AH6-$AG6-$AF6-$AE6*(1+GI$3))/$AJ6,Уголь_коэфф!$A:$B,2,1),(GH6-0.05)))</f>
        <v>1</v>
      </c>
      <c r="GJ6" s="102">
        <f>MIN(1,MAX(VLOOKUP(($AJ6-$AI6-$AH6-$AG6-$AF6-$AE6*(1+GJ$3))/$AJ6,Уголь_коэфф!$A:$B,2,1),(GI6-0.05)))</f>
        <v>1</v>
      </c>
      <c r="GK6" s="102">
        <f>MIN(1,MAX(VLOOKUP(($AJ6-$AI6-$AH6-$AG6-$AF6-$AE6*(1+GK$3))/$AJ6,Уголь_коэфф!$A:$B,2,1),(GJ6-0.05)))</f>
        <v>1</v>
      </c>
      <c r="GL6" s="102">
        <f>MIN(1,MAX(VLOOKUP(($AJ6-$AI6-$AH6-$AG6-$AF6-$AE6*(1+GL$3))/$AJ6,Уголь_коэфф!$A:$B,2,1),(GK6-0.05)))</f>
        <v>1</v>
      </c>
      <c r="GM6" s="102">
        <f>MIN(1,MAX(VLOOKUP(($AJ6-$AI6-$AH6-$AG6-$AF6-$AE6*(1+GM$3))/$AJ6,Уголь_коэфф!$A:$B,2,1),(GL6-0.05)))</f>
        <v>1</v>
      </c>
      <c r="GN6" s="102">
        <f>MIN(1,MAX(VLOOKUP(($AJ6-$AI6-$AH6-$AG6-$AF6-$AE6*(1+GN$3))/$AJ6,Уголь_коэфф!$A:$B,2,1),(GM6-0.05)))</f>
        <v>1</v>
      </c>
      <c r="GO6" s="102">
        <f>MIN(1,MAX(VLOOKUP(($AJ6-$AI6-$AH6-$AG6-$AF6-$AE6*(1+GO$3))/$AJ6,Уголь_коэфф!$A:$B,2,1),(GN6-0.05)))</f>
        <v>1</v>
      </c>
      <c r="GP6" s="102">
        <f>MIN(1,MAX(VLOOKUP(($AJ6-$AI6-$AH6-$AG6-$AF6-$AE6*(1+GP$3))/$AJ6,Уголь_коэфф!$A:$B,2,1),(GO6-0.05)))</f>
        <v>1</v>
      </c>
      <c r="GQ6" s="102">
        <f>MIN(1,MAX(VLOOKUP(($AJ6-$AI6-$AH6-$AG6-$AF6-$AE6*(1+GQ$3))/$AJ6,Уголь_коэфф!$A:$B,2,1),(GP6-0.05)))</f>
        <v>1</v>
      </c>
      <c r="GR6" s="102">
        <f>MIN(1,MAX(VLOOKUP(($AJ6-$AI6-$AH6-$AG6-$AF6-$AE6*(1+GR$3))/$AJ6,Уголь_коэфф!$A:$B,2,1),(GQ6-0.05)))</f>
        <v>1</v>
      </c>
      <c r="GS6" s="102">
        <f>MIN(1,MAX(VLOOKUP(($AJ6-$AI6-$AH6-$AG6-$AF6-$AE6*(1+GS$3))/$AJ6,Уголь_коэфф!$A:$B,2,1),(GR6-0.05)))</f>
        <v>1</v>
      </c>
      <c r="GT6" s="102">
        <f>MIN(1,MAX(VLOOKUP(($AJ6-$AI6-$AH6-$AG6-$AF6-$AE6*(1+GT$3))/$AJ6,Уголь_коэфф!$A:$B,2,1),(GS6-0.05)))</f>
        <v>1</v>
      </c>
      <c r="GU6" s="102">
        <f>MIN(1,MAX(VLOOKUP(($AJ6-$AI6-$AH6-$AG6-$AF6-$AE6*(1+GU$3))/$AJ6,Уголь_коэфф!$A:$B,2,1),(GT6-0.05)))</f>
        <v>1</v>
      </c>
      <c r="GV6" s="102">
        <f>MIN(1,MAX(VLOOKUP(($AJ6-$AI6-$AH6-$AG6-$AF6-$AE6*(1+GV$3))/$AJ6,Уголь_коэфф!$A:$B,2,1),(GU6-0.05)))</f>
        <v>1</v>
      </c>
      <c r="GW6" s="102">
        <f>MIN(1,MAX(VLOOKUP(($AJ6-$AI6-$AH6-$AG6-$AF6-$AE6*(1+GW$3))/$AJ6,Уголь_коэфф!$A:$B,2,1),(GV6-0.05)))</f>
        <v>1</v>
      </c>
      <c r="GX6" s="102">
        <f>MIN(1,MAX(VLOOKUP(($AJ6-$AI6-$AH6-$AG6-$AF6-$AE6*(1+GX$3))/$AJ6,Уголь_коэфф!$A:$B,2,1),(GW6-0.05)))</f>
        <v>1</v>
      </c>
      <c r="GY6" s="102">
        <f>MIN(1,MAX(VLOOKUP(($AJ6-$AI6-$AH6-$AG6-$AF6-$AE6*(1+GY$3))/$AJ6,Уголь_коэфф!$A:$B,2,1),(GX6-0.05)))</f>
        <v>1</v>
      </c>
      <c r="GZ6" s="102">
        <f>MIN(1,MAX(VLOOKUP(($AJ6-$AI6-$AH6-$AG6-$AF6-$AE6*(1+GZ$3))/$AJ6,Уголь_коэфф!$A:$B,2,1),(GY6-0.05)))</f>
        <v>1</v>
      </c>
      <c r="HA6" s="102">
        <f>MIN(1,MAX(VLOOKUP(($AJ6-$AI6-$AH6-$AG6-$AF6-$AE6*(1+HA$3))/$AJ6,Уголь_коэфф!$A:$B,2,1),(GZ6-0.05)))</f>
        <v>1</v>
      </c>
      <c r="HB6" s="102">
        <f>MIN(1,MAX(VLOOKUP(($AJ6-$AI6-$AH6-$AG6-$AF6-$AE6*(1+HB$3))/$AJ6,Уголь_коэфф!$A:$B,2,1),(HA6-0.05)))</f>
        <v>1</v>
      </c>
      <c r="HC6" s="102">
        <f>MIN(1,MAX(VLOOKUP(($AJ6-$AI6-$AH6-$AG6-$AF6-$AE6*(1+HC$3))/$AJ6,Уголь_коэфф!$A:$B,2,1),(HB6-0.05)))</f>
        <v>1</v>
      </c>
      <c r="HD6" s="102">
        <f>MIN(1,MAX(VLOOKUP(($AJ6-$AI6-$AH6-$AG6-$AF6-$AE6*(1+HD$3))/$AJ6,Уголь_коэфф!$A:$B,2,1),(HC6-0.05)))</f>
        <v>1</v>
      </c>
      <c r="HE6" s="102">
        <f>MIN(1,MAX(VLOOKUP(($AJ6-$AI6-$AH6-$AG6-$AF6-$AE6*(1+HE$3))/$AJ6,Уголь_коэфф!$A:$B,2,1),(HD6-0.05)))</f>
        <v>1</v>
      </c>
      <c r="HF6" s="102">
        <f>MIN(1,MAX(VLOOKUP(($AJ6-$AI6-$AH6-$AG6-$AF6-$AE6*(1+HF$3))/$AJ6,Уголь_коэфф!$A:$B,2,1),(HE6-0.05)))</f>
        <v>1</v>
      </c>
      <c r="HG6" s="102">
        <f>MIN(1,MAX(VLOOKUP(($AJ6-$AI6-$AH6-$AG6-$AF6-$AE6*(1+HG$3))/$AJ6,Уголь_коэфф!$A:$B,2,1),(HF6-0.05)))</f>
        <v>1</v>
      </c>
      <c r="HH6" s="102">
        <f>MIN(1,MAX(VLOOKUP(($AJ6-$AI6-$AH6-$AG6-$AF6-$AE6*(1+HH$3))/$AJ6,Уголь_коэфф!$A:$B,2,1),(HG6-0.05)))</f>
        <v>1</v>
      </c>
      <c r="HI6" s="102">
        <f>MIN(1,MAX(VLOOKUP(($AJ6-$AI6-$AH6-$AG6-$AF6-$AE6*(1+HI$3))/$AJ6,Уголь_коэфф!$A:$B,2,1),(HH6-0.05)))</f>
        <v>1</v>
      </c>
      <c r="HJ6" s="102">
        <f>MIN(1,MAX(VLOOKUP(($AJ6-$AI6-$AH6-$AG6-$AF6-$AE6*(1+HJ$3))/$AJ6,Уголь_коэфф!$A:$B,2,1),(HI6-0.05)))</f>
        <v>1</v>
      </c>
      <c r="HK6" s="102">
        <f>MIN(1,MAX(VLOOKUP(($AJ6-$AI6-$AH6-$AG6-$AF6-$AE6*(1+HK$3))/$AJ6,Уголь_коэфф!$A:$B,2,1),(HJ6-0.05)))</f>
        <v>1</v>
      </c>
      <c r="HL6" s="102">
        <f>MIN(1,MAX(VLOOKUP(($AJ6-$AI6-$AH6-$AG6-$AF6-$AE6*(1+HL$3))/$AJ6,Уголь_коэфф!$A:$B,2,1),(HK6-0.05)))</f>
        <v>1</v>
      </c>
      <c r="HM6" s="102">
        <f>MIN(1,MAX(VLOOKUP(($AJ6-$AI6-$AH6-$AG6-$AF6-$AE6*(1+HM$3))/$AJ6,Уголь_коэфф!$A:$B,2,1),(HL6-0.05)))</f>
        <v>1</v>
      </c>
      <c r="HN6" s="102">
        <f>MIN(1,MAX(VLOOKUP(($AJ6-$AI6-$AH6-$AG6-$AF6-$AE6*(1+HN$3))/$AJ6,Уголь_коэфф!$A:$B,2,1),(HM6-0.05)))</f>
        <v>1</v>
      </c>
      <c r="HO6" s="102">
        <f>MIN(1,MAX(VLOOKUP(($AJ6-$AI6-$AH6-$AG6-$AF6-$AE6*(1+HO$3))/$AJ6,Уголь_коэфф!$A:$B,2,1),(HN6-0.05)))</f>
        <v>1</v>
      </c>
      <c r="HP6" s="102">
        <f>MIN(1,MAX(VLOOKUP(($AJ6-$AI6-$AH6-$AG6-$AF6-$AE6*(1+HP$3))/$AJ6,Уголь_коэфф!$A:$B,2,1),(HO6-0.05)))</f>
        <v>1</v>
      </c>
      <c r="HQ6" s="102">
        <f>MIN(1,MAX(VLOOKUP(($AJ6-$AI6-$AH6-$AG6-$AF6-$AE6*(1+HQ$3))/$AJ6,Уголь_коэфф!$A:$B,2,1),(HP6-0.05)))</f>
        <v>1</v>
      </c>
      <c r="HR6" s="102">
        <f>MIN(1,MAX(VLOOKUP(($AJ6-$AI6-$AH6-$AG6-$AF6-$AE6*(1+HR$3))/$AJ6,Уголь_коэфф!$A:$B,2,1),(HQ6-0.05)))</f>
        <v>1</v>
      </c>
      <c r="HS6" s="102">
        <f>MIN(1,MAX(VLOOKUP(($AJ6-$AI6-$AH6-$AG6-$AF6-$AE6*(1+HS$3))/$AJ6,Уголь_коэфф!$A:$B,2,1),(HR6-0.05)))</f>
        <v>1</v>
      </c>
      <c r="HT6" s="102">
        <f>MIN(1,MAX(VLOOKUP(($AJ6-$AI6-$AH6-$AG6-$AF6-$AE6*(1+HT$3))/$AJ6,Уголь_коэфф!$A:$B,2,1),(HS6-0.05)))</f>
        <v>1</v>
      </c>
      <c r="HU6" s="102">
        <f>MIN(1,MAX(VLOOKUP(($AJ6-$AI6-$AH6-$AG6-$AF6-$AE6*(1+HU$3))/$AJ6,Уголь_коэфф!$A:$B,2,1),(HT6-0.05)))</f>
        <v>0.995</v>
      </c>
      <c r="HV6" s="102">
        <f>MIN(1,MAX(VLOOKUP(($AJ6-$AI6-$AH6-$AG6-$AF6-$AE6*(1+HV$3))/$AJ6,Уголь_коэфф!$A:$B,2,1),(HU6-0.05)))</f>
        <v>0.995</v>
      </c>
      <c r="HW6" s="102">
        <f>MIN(1,MAX(VLOOKUP(($AJ6-$AI6-$AH6-$AG6-$AF6-$AE6*(1+HW$3))/$AJ6,Уголь_коэфф!$A:$B,2,1),(HV6-0.05)))</f>
        <v>0.995</v>
      </c>
      <c r="HX6" s="102">
        <f>MIN(1,MAX(VLOOKUP(($AJ6-$AI6-$AH6-$AG6-$AF6-$AE6*(1+HX$3))/$AJ6,Уголь_коэфф!$A:$B,2,1),(HW6-0.05)))</f>
        <v>0.995</v>
      </c>
      <c r="HY6" s="102">
        <f>MIN(1,MAX(VLOOKUP(($AJ6-$AI6-$AH6-$AG6-$AF6-$AE6*(1+HY$3))/$AJ6,Уголь_коэфф!$A:$B,2,1),(HX6-0.05)))</f>
        <v>0.995</v>
      </c>
      <c r="HZ6" s="102">
        <f>MIN(1,MAX(VLOOKUP(($AJ6-$AI6-$AH6-$AG6-$AF6-$AE6*(1+HZ$3))/$AJ6,Уголь_коэфф!$A:$B,2,1),(HY6-0.05)))</f>
        <v>0.99</v>
      </c>
      <c r="IA6" s="102">
        <f>MIN(1,MAX(VLOOKUP(($AJ6-$AI6-$AH6-$AG6-$AF6-$AE6*(1+IA$3))/$AJ6,Уголь_коэфф!$A:$B,2,1),(HZ6-0.05)))</f>
        <v>0.99</v>
      </c>
      <c r="IB6" s="102">
        <f>MIN(1,MAX(VLOOKUP(($AJ6-$AI6-$AH6-$AG6-$AF6-$AE6*(1+IB$3))/$AJ6,Уголь_коэфф!$A:$B,2,1),(IA6-0.05)))</f>
        <v>0.99</v>
      </c>
      <c r="IC6" s="102">
        <f>MIN(1,MAX(VLOOKUP(($AJ6-$AI6-$AH6-$AG6-$AF6-$AE6*(1+IC$3))/$AJ6,Уголь_коэфф!$A:$B,2,1),(IB6-0.05)))</f>
        <v>0.99</v>
      </c>
      <c r="ID6" s="102">
        <f>MIN(1,MAX(VLOOKUP(($AJ6-$AI6-$AH6-$AG6-$AF6-$AE6*(1+ID$3))/$AJ6,Уголь_коэфф!$A:$B,2,1),(IC6-0.05)))</f>
        <v>0.99</v>
      </c>
      <c r="IE6" s="102">
        <f>MIN(1,MAX(VLOOKUP(($AJ6-$AI6-$AH6-$AG6-$AF6-$AE6*(1+IE$3))/$AJ6,Уголь_коэфф!$A:$B,2,1),(ID6-0.05)))</f>
        <v>0.98499999999999999</v>
      </c>
      <c r="IF6" s="102">
        <f>MIN(1,MAX(VLOOKUP(($AJ6-$AI6-$AH6-$AG6-$AF6-$AE6*(1+IF$3))/$AJ6,Уголь_коэфф!$A:$B,2,1),(IE6-0.05)))</f>
        <v>0.98499999999999999</v>
      </c>
      <c r="IG6" s="102">
        <f>MIN(1,MAX(VLOOKUP(($AJ6-$AI6-$AH6-$AG6-$AF6-$AE6*(1+IG$3))/$AJ6,Уголь_коэфф!$A:$B,2,1),(IF6-0.05)))</f>
        <v>0.98499999999999999</v>
      </c>
      <c r="IH6" s="102">
        <f>MIN(1,MAX(VLOOKUP(($AJ6-$AI6-$AH6-$AG6-$AF6-$AE6*(1+IH$3))/$AJ6,Уголь_коэфф!$A:$B,2,1),(IG6-0.05)))</f>
        <v>0.98499999999999999</v>
      </c>
      <c r="II6" s="102">
        <f>MIN(1,MAX(VLOOKUP(($AJ6-$AI6-$AH6-$AG6-$AF6-$AE6*(1+II$3))/$AJ6,Уголь_коэфф!$A:$B,2,1),(IH6-0.05)))</f>
        <v>0.98499999999999999</v>
      </c>
      <c r="IJ6" s="102">
        <f>MIN(1,MAX(VLOOKUP(($AJ6-$AI6-$AH6-$AG6-$AF6-$AE6*(1+IJ$3))/$AJ6,Уголь_коэфф!$A:$B,2,1),(II6-0.05)))</f>
        <v>0.98</v>
      </c>
      <c r="IK6" s="102">
        <f>MIN(1,MAX(VLOOKUP(($AJ6-$AI6-$AH6-$AG6-$AF6-$AE6*(1+IK$3))/$AJ6,Уголь_коэфф!$A:$B,2,1),(IJ6-0.05)))</f>
        <v>0.98</v>
      </c>
      <c r="IL6" s="102">
        <f>MIN(1,MAX(VLOOKUP(($AJ6-$AI6-$AH6-$AG6-$AF6-$AE6*(1+IL$3))/$AJ6,Уголь_коэфф!$A:$B,2,1),(IK6-0.05)))</f>
        <v>0.98</v>
      </c>
      <c r="IM6" s="102">
        <f>MIN(1,MAX(VLOOKUP(($AJ6-$AI6-$AH6-$AG6-$AF6-$AE6*(1+IM$3))/$AJ6,Уголь_коэфф!$A:$B,2,1),(IL6-0.05)))</f>
        <v>0.98</v>
      </c>
      <c r="IN6" s="102">
        <f>MIN(1,MAX(VLOOKUP(($AJ6-$AI6-$AH6-$AG6-$AF6-$AE6*(1+IN$3))/$AJ6,Уголь_коэфф!$A:$B,2,1),(IM6-0.05)))</f>
        <v>0.98</v>
      </c>
      <c r="IO6" s="102">
        <f>MIN(1,MAX(VLOOKUP(($AJ6-$AI6-$AH6-$AG6-$AF6-$AE6*(1+IO$3))/$AJ6,Уголь_коэфф!$A:$B,2,1),(IN6-0.05)))</f>
        <v>0.97499999999999998</v>
      </c>
      <c r="IP6" s="102">
        <f>MIN(1,MAX(VLOOKUP(($AJ6-$AI6-$AH6-$AG6-$AF6-$AE6*(1+IP$3))/$AJ6,Уголь_коэфф!$A:$B,2,1),(IO6-0.05)))</f>
        <v>0.97499999999999998</v>
      </c>
      <c r="IQ6" s="102">
        <f>MIN(1,MAX(VLOOKUP(($AJ6-$AI6-$AH6-$AG6-$AF6-$AE6*(1+IQ$3))/$AJ6,Уголь_коэфф!$A:$B,2,1),(IP6-0.05)))</f>
        <v>0.97499999999999998</v>
      </c>
      <c r="IR6" s="102">
        <f>MIN(1,MAX(VLOOKUP(($AJ6-$AI6-$AH6-$AG6-$AF6-$AE6*(1+IR$3))/$AJ6,Уголь_коэфф!$A:$B,2,1),(IQ6-0.05)))</f>
        <v>0.97499999999999998</v>
      </c>
      <c r="IS6" s="102">
        <f t="shared" si="20"/>
        <v>1</v>
      </c>
      <c r="IT6" s="102">
        <f t="shared" si="7"/>
        <v>1</v>
      </c>
      <c r="IU6" s="110"/>
    </row>
    <row r="7" spans="1:266" ht="14.7" customHeight="1">
      <c r="A7" t="s">
        <v>239</v>
      </c>
      <c r="B7" s="119">
        <v>1</v>
      </c>
      <c r="C7" s="120" t="s">
        <v>16</v>
      </c>
      <c r="D7" s="121">
        <v>16112</v>
      </c>
      <c r="E7" s="121" t="s">
        <v>28</v>
      </c>
      <c r="F7" s="120" t="s">
        <v>18</v>
      </c>
      <c r="G7" s="121" t="s">
        <v>29</v>
      </c>
      <c r="H7" s="121" t="s">
        <v>47</v>
      </c>
      <c r="I7" s="121" t="s">
        <v>48</v>
      </c>
      <c r="J7" s="121" t="s">
        <v>49</v>
      </c>
      <c r="K7" s="121">
        <v>4678</v>
      </c>
      <c r="L7" s="121" t="s">
        <v>22</v>
      </c>
      <c r="M7" s="121" t="s">
        <v>23</v>
      </c>
      <c r="N7" s="121" t="s">
        <v>24</v>
      </c>
      <c r="O7" s="121" t="s">
        <v>25</v>
      </c>
      <c r="P7" s="122">
        <v>1869326</v>
      </c>
      <c r="Q7" s="122" t="s">
        <v>50</v>
      </c>
      <c r="R7" s="121" t="s">
        <v>51</v>
      </c>
      <c r="S7" s="125">
        <v>200545</v>
      </c>
      <c r="T7" s="123">
        <v>938250119</v>
      </c>
      <c r="U7" s="123">
        <v>2877</v>
      </c>
      <c r="V7" s="123"/>
      <c r="W7" s="126">
        <v>485116824</v>
      </c>
      <c r="X7" s="104">
        <v>69</v>
      </c>
      <c r="Y7" s="104" t="s">
        <v>163</v>
      </c>
      <c r="Z7" s="107">
        <v>14</v>
      </c>
      <c r="AA7" s="107">
        <v>14</v>
      </c>
      <c r="AB7" s="107">
        <v>4</v>
      </c>
      <c r="AC7" s="88">
        <v>2198.94</v>
      </c>
      <c r="AD7" s="88">
        <v>1008.9299999999998</v>
      </c>
      <c r="AE7" s="88">
        <f t="shared" ref="AE7:AE9" si="21">AC7+AD7</f>
        <v>3207.87</v>
      </c>
      <c r="AF7" s="89">
        <f>'Цены,перевалка,аренда'!$C$27*SUM(Уголь_эластика_экспорт!Z7+Уголь_эластика_экспорт!AA7+Уголь_эластика_экспорт!AB7)/Уголь_эластика_экспорт!X7</f>
        <v>324.63768115942031</v>
      </c>
      <c r="AG7" s="90"/>
      <c r="AH7" s="47"/>
      <c r="AI7" s="91">
        <v>586</v>
      </c>
      <c r="AJ7" s="92">
        <f>SUMIF('Цены,перевалка,аренда'!$A$5:$A$17,Уголь_эластика_экспорт!A7,'Цены,перевалка,аренда'!$D$5:$D$17)</f>
        <v>8546.2160000000003</v>
      </c>
      <c r="AK7" s="47">
        <f>AJ7/'Цены,перевалка,аренда'!$C$1</f>
        <v>112.00000000000001</v>
      </c>
      <c r="AL7" s="47">
        <f t="shared" si="9"/>
        <v>3532.5076811594204</v>
      </c>
      <c r="AM7" s="47">
        <f t="shared" si="10"/>
        <v>5013.7083188405795</v>
      </c>
      <c r="AN7" s="47">
        <f t="shared" si="11"/>
        <v>4118.5076811594199</v>
      </c>
      <c r="AO7" s="93">
        <f t="shared" si="12"/>
        <v>0.51808991474596244</v>
      </c>
      <c r="AP7" s="94">
        <f t="shared" si="13"/>
        <v>0.41334172704731781</v>
      </c>
      <c r="AQ7" s="94">
        <f t="shared" si="5"/>
        <v>0.37535559597370344</v>
      </c>
      <c r="AR7" s="94">
        <f t="shared" si="6"/>
        <v>0.90809993623202268</v>
      </c>
      <c r="AS7" s="167">
        <f t="shared" si="14"/>
        <v>1</v>
      </c>
      <c r="AT7" s="173">
        <f t="shared" si="15"/>
        <v>200545</v>
      </c>
      <c r="AU7" s="97">
        <v>1</v>
      </c>
      <c r="AV7" s="93">
        <f t="shared" si="16"/>
        <v>0.48055435514859196</v>
      </c>
      <c r="AW7" s="94">
        <f t="shared" si="17"/>
        <v>0.45087728664468818</v>
      </c>
      <c r="AX7" s="94">
        <f t="shared" si="18"/>
        <v>0.41289115557107381</v>
      </c>
      <c r="AY7" s="94">
        <f t="shared" si="19"/>
        <v>0.91575062173502386</v>
      </c>
      <c r="AZ7" s="102">
        <f>MIN(IF($AU7=100%,1,1+VLOOKUP(($AJ7-$AI7-$AH7-$AG7-$AF7-$AE7*(1+AZ$3))/$AJ7,Уголь_коэфф!$A:$B,2,1)-VLOOKUP($AO7,Уголь_коэфф!$A:$B,2,1)),1+(1-$AU7))</f>
        <v>1</v>
      </c>
      <c r="BA7" s="102">
        <f>MIN(IF($AU7=100%,1,1+VLOOKUP(($AJ7-$AI7-$AH7-$AG7-$AF7-$AE7*(1+BA$3))/$AJ7,Уголь_коэфф!$A:$B,2,1)-VLOOKUP($AO7,Уголь_коэфф!$A:$B,2,1)),1+(1-$AU7))</f>
        <v>1</v>
      </c>
      <c r="BB7" s="102">
        <f>MIN(IF($AU7=100%,1,1+VLOOKUP(($AJ7-$AI7-$AH7-$AG7-$AF7-$AE7*(1+BB$3))/$AJ7,Уголь_коэфф!$A:$B,2,1)-VLOOKUP($AO7,Уголь_коэфф!$A:$B,2,1)),1+(1-$AU7))</f>
        <v>1</v>
      </c>
      <c r="BC7" s="102">
        <f>MIN(IF($AU7=100%,1,1+VLOOKUP(($AJ7-$AI7-$AH7-$AG7-$AF7-$AE7*(1+BC$3))/$AJ7,Уголь_коэфф!$A:$B,2,1)-VLOOKUP($AO7,Уголь_коэфф!$A:$B,2,1)),1+(1-$AU7))</f>
        <v>1</v>
      </c>
      <c r="BD7" s="102">
        <f>MIN(IF($AU7=100%,1,1+VLOOKUP(($AJ7-$AI7-$AH7-$AG7-$AF7-$AE7*(1+BD$3))/$AJ7,Уголь_коэфф!$A:$B,2,1)-VLOOKUP($AO7,Уголь_коэфф!$A:$B,2,1)),1+(1-$AU7))</f>
        <v>1</v>
      </c>
      <c r="BE7" s="102">
        <f>MIN(IF($AU7=100%,1,1+VLOOKUP(($AJ7-$AI7-$AH7-$AG7-$AF7-$AE7*(1+BE$3))/$AJ7,Уголь_коэфф!$A:$B,2,1)-VLOOKUP($AO7,Уголь_коэфф!$A:$B,2,1)),1+(1-$AU7))</f>
        <v>1</v>
      </c>
      <c r="BF7" s="102">
        <f>MIN(IF($AU7=100%,1,1+VLOOKUP(($AJ7-$AI7-$AH7-$AG7-$AF7-$AE7*(1+BF$3))/$AJ7,Уголь_коэфф!$A:$B,2,1)-VLOOKUP($AO7,Уголь_коэфф!$A:$B,2,1)),1+(1-$AU7))</f>
        <v>1</v>
      </c>
      <c r="BG7" s="102">
        <f>MIN(IF($AU7=100%,1,1+VLOOKUP(($AJ7-$AI7-$AH7-$AG7-$AF7-$AE7*(1+BG$3))/$AJ7,Уголь_коэфф!$A:$B,2,1)-VLOOKUP($AO7,Уголь_коэфф!$A:$B,2,1)),1+(1-$AU7))</f>
        <v>1</v>
      </c>
      <c r="BH7" s="102">
        <f>MIN(IF($AU7=100%,1,1+VLOOKUP(($AJ7-$AI7-$AH7-$AG7-$AF7-$AE7*(1+BH$3))/$AJ7,Уголь_коэфф!$A:$B,2,1)-VLOOKUP($AO7,Уголь_коэфф!$A:$B,2,1)),1+(1-$AU7))</f>
        <v>1</v>
      </c>
      <c r="BI7" s="102">
        <f>MIN(IF($AU7=100%,1,1+VLOOKUP(($AJ7-$AI7-$AH7-$AG7-$AF7-$AE7*(1+BI$3))/$AJ7,Уголь_коэфф!$A:$B,2,1)-VLOOKUP($AO7,Уголь_коэфф!$A:$B,2,1)),1+(1-$AU7))</f>
        <v>1</v>
      </c>
      <c r="BJ7" s="102">
        <f>MIN(IF($AU7=100%,1,1+VLOOKUP(($AJ7-$AI7-$AH7-$AG7-$AF7-$AE7*(1+BJ$3))/$AJ7,Уголь_коэфф!$A:$B,2,1)-VLOOKUP($AO7,Уголь_коэфф!$A:$B,2,1)),1+(1-$AU7))</f>
        <v>1</v>
      </c>
      <c r="BK7" s="102">
        <f>MIN(IF($AU7=100%,1,1+VLOOKUP(($AJ7-$AI7-$AH7-$AG7-$AF7-$AE7*(1+BK$3))/$AJ7,Уголь_коэфф!$A:$B,2,1)-VLOOKUP($AO7,Уголь_коэфф!$A:$B,2,1)),1+(1-$AU7))</f>
        <v>1</v>
      </c>
      <c r="BL7" s="102">
        <f>MIN(IF($AU7=100%,1,1+VLOOKUP(($AJ7-$AI7-$AH7-$AG7-$AF7-$AE7*(1+BL$3))/$AJ7,Уголь_коэфф!$A:$B,2,1)-VLOOKUP($AO7,Уголь_коэфф!$A:$B,2,1)),1+(1-$AU7))</f>
        <v>1</v>
      </c>
      <c r="BM7" s="102">
        <f>MIN(IF($AU7=100%,1,1+VLOOKUP(($AJ7-$AI7-$AH7-$AG7-$AF7-$AE7*(1+BM$3))/$AJ7,Уголь_коэфф!$A:$B,2,1)-VLOOKUP($AO7,Уголь_коэфф!$A:$B,2,1)),1+(1-$AU7))</f>
        <v>1</v>
      </c>
      <c r="BN7" s="102">
        <f>MIN(IF($AU7=100%,1,1+VLOOKUP(($AJ7-$AI7-$AH7-$AG7-$AF7-$AE7*(1+BN$3))/$AJ7,Уголь_коэфф!$A:$B,2,1)-VLOOKUP($AO7,Уголь_коэфф!$A:$B,2,1)),1+(1-$AU7))</f>
        <v>1</v>
      </c>
      <c r="BO7" s="102">
        <f>MIN(IF($AU7=100%,1,1+VLOOKUP(($AJ7-$AI7-$AH7-$AG7-$AF7-$AE7*(1+BO$3))/$AJ7,Уголь_коэфф!$A:$B,2,1)-VLOOKUP($AO7,Уголь_коэфф!$A:$B,2,1)),1+(1-$AU7))</f>
        <v>1</v>
      </c>
      <c r="BP7" s="102">
        <f>MIN(IF($AU7=100%,1,1+VLOOKUP(($AJ7-$AI7-$AH7-$AG7-$AF7-$AE7*(1+BP$3))/$AJ7,Уголь_коэфф!$A:$B,2,1)-VLOOKUP($AO7,Уголь_коэфф!$A:$B,2,1)),1+(1-$AU7))</f>
        <v>1</v>
      </c>
      <c r="BQ7" s="102">
        <f>MIN(IF($AU7=100%,1,1+VLOOKUP(($AJ7-$AI7-$AH7-$AG7-$AF7-$AE7*(1+BQ$3))/$AJ7,Уголь_коэфф!$A:$B,2,1)-VLOOKUP($AO7,Уголь_коэфф!$A:$B,2,1)),1+(1-$AU7))</f>
        <v>1</v>
      </c>
      <c r="BR7" s="102">
        <f>MIN(IF($AU7=100%,1,1+VLOOKUP(($AJ7-$AI7-$AH7-$AG7-$AF7-$AE7*(1+BR$3))/$AJ7,Уголь_коэфф!$A:$B,2,1)-VLOOKUP($AO7,Уголь_коэфф!$A:$B,2,1)),1+(1-$AU7))</f>
        <v>1</v>
      </c>
      <c r="BS7" s="102">
        <f>MIN(IF($AU7=100%,1,1+VLOOKUP(($AJ7-$AI7-$AH7-$AG7-$AF7-$AE7*(1+BS$3))/$AJ7,Уголь_коэфф!$A:$B,2,1)-VLOOKUP($AO7,Уголь_коэфф!$A:$B,2,1)),1+(1-$AU7))</f>
        <v>1</v>
      </c>
      <c r="BT7" s="102">
        <f>MIN(IF($AU7=100%,1,1+VLOOKUP(($AJ7-$AI7-$AH7-$AG7-$AF7-$AE7*(1+BT$3))/$AJ7,Уголь_коэфф!$A:$B,2,1)-VLOOKUP($AO7,Уголь_коэфф!$A:$B,2,1)),1+(1-$AU7))</f>
        <v>1</v>
      </c>
      <c r="BU7" s="102">
        <f>MIN(IF($AU7=100%,1,1+VLOOKUP(($AJ7-$AI7-$AH7-$AG7-$AF7-$AE7*(1+BU$3))/$AJ7,Уголь_коэфф!$A:$B,2,1)-VLOOKUP($AO7,Уголь_коэфф!$A:$B,2,1)),1+(1-$AU7))</f>
        <v>1</v>
      </c>
      <c r="BV7" s="102">
        <f>MIN(IF($AU7=100%,1,1+VLOOKUP(($AJ7-$AI7-$AH7-$AG7-$AF7-$AE7*(1+BV$3))/$AJ7,Уголь_коэфф!$A:$B,2,1)-VLOOKUP($AO7,Уголь_коэфф!$A:$B,2,1)),1+(1-$AU7))</f>
        <v>1</v>
      </c>
      <c r="BW7" s="102">
        <f>MIN(IF($AU7=100%,1,1+VLOOKUP(($AJ7-$AI7-$AH7-$AG7-$AF7-$AE7*(1+BW$3))/$AJ7,Уголь_коэфф!$A:$B,2,1)-VLOOKUP($AO7,Уголь_коэфф!$A:$B,2,1)),1+(1-$AU7))</f>
        <v>1</v>
      </c>
      <c r="BX7" s="102">
        <f>MIN(IF($AU7=100%,1,1+VLOOKUP(($AJ7-$AI7-$AH7-$AG7-$AF7-$AE7*(1+BX$3))/$AJ7,Уголь_коэфф!$A:$B,2,1)-VLOOKUP($AO7,Уголь_коэфф!$A:$B,2,1)),1+(1-$AU7))</f>
        <v>1</v>
      </c>
      <c r="BY7" s="102">
        <f>MIN(IF($AU7=100%,1,1+VLOOKUP(($AJ7-$AI7-$AH7-$AG7-$AF7-$AE7*(1+BY$3))/$AJ7,Уголь_коэфф!$A:$B,2,1)-VLOOKUP($AO7,Уголь_коэфф!$A:$B,2,1)),1+(1-$AU7))</f>
        <v>1</v>
      </c>
      <c r="BZ7" s="102">
        <f>MIN(IF($AU7=100%,1,1+VLOOKUP(($AJ7-$AI7-$AH7-$AG7-$AF7-$AE7*(1+BZ$3))/$AJ7,Уголь_коэфф!$A:$B,2,1)-VLOOKUP($AO7,Уголь_коэфф!$A:$B,2,1)),1+(1-$AU7))</f>
        <v>1</v>
      </c>
      <c r="CA7" s="102">
        <f>MIN(IF($AU7=100%,1,1+VLOOKUP(($AJ7-$AI7-$AH7-$AG7-$AF7-$AE7*(1+CA$3))/$AJ7,Уголь_коэфф!$A:$B,2,1)-VLOOKUP($AO7,Уголь_коэфф!$A:$B,2,1)),1+(1-$AU7))</f>
        <v>1</v>
      </c>
      <c r="CB7" s="102">
        <f>MIN(IF($AU7=100%,1,1+VLOOKUP(($AJ7-$AI7-$AH7-$AG7-$AF7-$AE7*(1+CB$3))/$AJ7,Уголь_коэфф!$A:$B,2,1)-VLOOKUP($AO7,Уголь_коэфф!$A:$B,2,1)),1+(1-$AU7))</f>
        <v>1</v>
      </c>
      <c r="CC7" s="102">
        <f>MIN(IF($AU7=100%,1,1+VLOOKUP(($AJ7-$AI7-$AH7-$AG7-$AF7-$AE7*(1+CC$3))/$AJ7,Уголь_коэфф!$A:$B,2,1)-VLOOKUP($AO7,Уголь_коэфф!$A:$B,2,1)),1+(1-$AU7))</f>
        <v>1</v>
      </c>
      <c r="CD7" s="102">
        <f>MIN(IF($AU7=100%,1,1+VLOOKUP(($AJ7-$AI7-$AH7-$AG7-$AF7-$AE7*(1+CD$3))/$AJ7,Уголь_коэфф!$A:$B,2,1)-VLOOKUP($AO7,Уголь_коэфф!$A:$B,2,1)),1+(1-$AU7))</f>
        <v>1</v>
      </c>
      <c r="CE7" s="102">
        <f>MIN(IF($AU7=100%,1,1+VLOOKUP(($AJ7-$AI7-$AH7-$AG7-$AF7-$AE7*(1+CE$3))/$AJ7,Уголь_коэфф!$A:$B,2,1)-VLOOKUP($AO7,Уголь_коэфф!$A:$B,2,1)),1+(1-$AU7))</f>
        <v>1</v>
      </c>
      <c r="CF7" s="102">
        <f>MIN(IF($AU7=100%,1,1+VLOOKUP(($AJ7-$AI7-$AH7-$AG7-$AF7-$AE7*(1+CF$3))/$AJ7,Уголь_коэфф!$A:$B,2,1)-VLOOKUP($AO7,Уголь_коэфф!$A:$B,2,1)),1+(1-$AU7))</f>
        <v>1</v>
      </c>
      <c r="CG7" s="102">
        <f>MIN(IF($AU7=100%,1,1+VLOOKUP(($AJ7-$AI7-$AH7-$AG7-$AF7-$AE7*(1+CG$3))/$AJ7,Уголь_коэфф!$A:$B,2,1)-VLOOKUP($AO7,Уголь_коэфф!$A:$B,2,1)),1+(1-$AU7))</f>
        <v>1</v>
      </c>
      <c r="CH7" s="102">
        <f>MIN(IF($AU7=100%,1,1+VLOOKUP(($AJ7-$AI7-$AH7-$AG7-$AF7-$AE7*(1+CH$3))/$AJ7,Уголь_коэфф!$A:$B,2,1)-VLOOKUP($AO7,Уголь_коэфф!$A:$B,2,1)),1+(1-$AU7))</f>
        <v>1</v>
      </c>
      <c r="CI7" s="102">
        <f>MIN(IF($AU7=100%,1,1+VLOOKUP(($AJ7-$AI7-$AH7-$AG7-$AF7-$AE7*(1+CI$3))/$AJ7,Уголь_коэфф!$A:$B,2,1)-VLOOKUP($AO7,Уголь_коэфф!$A:$B,2,1)),1+(1-$AU7))</f>
        <v>1</v>
      </c>
      <c r="CJ7" s="102">
        <f>MIN(IF($AU7=100%,1,1+VLOOKUP(($AJ7-$AI7-$AH7-$AG7-$AF7-$AE7*(1+CJ$3))/$AJ7,Уголь_коэфф!$A:$B,2,1)-VLOOKUP($AO7,Уголь_коэфф!$A:$B,2,1)),1+(1-$AU7))</f>
        <v>1</v>
      </c>
      <c r="CK7" s="102">
        <f>MIN(IF($AU7=100%,1,1+VLOOKUP(($AJ7-$AI7-$AH7-$AG7-$AF7-$AE7*(1+CK$3))/$AJ7,Уголь_коэфф!$A:$B,2,1)-VLOOKUP($AO7,Уголь_коэфф!$A:$B,2,1)),1+(1-$AU7))</f>
        <v>1</v>
      </c>
      <c r="CL7" s="102">
        <f>MIN(IF($AU7=100%,1,1+VLOOKUP(($AJ7-$AI7-$AH7-$AG7-$AF7-$AE7*(1+CL$3))/$AJ7,Уголь_коэфф!$A:$B,2,1)-VLOOKUP($AO7,Уголь_коэфф!$A:$B,2,1)),1+(1-$AU7))</f>
        <v>1</v>
      </c>
      <c r="CM7" s="102">
        <f>MIN(IF($AU7=100%,1,1+VLOOKUP(($AJ7-$AI7-$AH7-$AG7-$AF7-$AE7*(1+CM$3))/$AJ7,Уголь_коэфф!$A:$B,2,1)-VLOOKUP($AO7,Уголь_коэфф!$A:$B,2,1)),1+(1-$AU7))</f>
        <v>1</v>
      </c>
      <c r="CN7" s="102">
        <f>MIN(IF($AU7=100%,1,1+VLOOKUP(($AJ7-$AI7-$AH7-$AG7-$AF7-$AE7*(1+CN$3))/$AJ7,Уголь_коэфф!$A:$B,2,1)-VLOOKUP($AO7,Уголь_коэфф!$A:$B,2,1)),1+(1-$AU7))</f>
        <v>1</v>
      </c>
      <c r="CO7" s="102">
        <f>MIN(IF($AU7=100%,1,1+VLOOKUP(($AJ7-$AI7-$AH7-$AG7-$AF7-$AE7*(1+CO$3))/$AJ7,Уголь_коэфф!$A:$B,2,1)-VLOOKUP($AO7,Уголь_коэфф!$A:$B,2,1)),1+(1-$AU7))</f>
        <v>1</v>
      </c>
      <c r="CP7" s="102">
        <f>MIN(IF($AU7=100%,1,1+VLOOKUP(($AJ7-$AI7-$AH7-$AG7-$AF7-$AE7*(1+CP$3))/$AJ7,Уголь_коэфф!$A:$B,2,1)-VLOOKUP($AO7,Уголь_коэфф!$A:$B,2,1)),1+(1-$AU7))</f>
        <v>1</v>
      </c>
      <c r="CQ7" s="102">
        <f>MIN(IF($AU7=100%,1,1+VLOOKUP(($AJ7-$AI7-$AH7-$AG7-$AF7-$AE7*(1+CQ$3))/$AJ7,Уголь_коэфф!$A:$B,2,1)-VLOOKUP($AO7,Уголь_коэфф!$A:$B,2,1)),1+(1-$AU7))</f>
        <v>1</v>
      </c>
      <c r="CR7" s="102">
        <f>MIN(IF($AU7=100%,1,1+VLOOKUP(($AJ7-$AI7-$AH7-$AG7-$AF7-$AE7*(1+CR$3))/$AJ7,Уголь_коэфф!$A:$B,2,1)-VLOOKUP($AO7,Уголь_коэфф!$A:$B,2,1)),1+(1-$AU7))</f>
        <v>1</v>
      </c>
      <c r="CS7" s="102">
        <f>MIN(IF($AU7=100%,1,1+VLOOKUP(($AJ7-$AI7-$AH7-$AG7-$AF7-$AE7*(1+CS$3))/$AJ7,Уголь_коэфф!$A:$B,2,1)-VLOOKUP($AO7,Уголь_коэфф!$A:$B,2,1)),1+(1-$AU7))</f>
        <v>1</v>
      </c>
      <c r="CT7" s="102">
        <f>MIN(IF($AU7=100%,1,1+VLOOKUP(($AJ7-$AI7-$AH7-$AG7-$AF7-$AE7*(1+CT$3))/$AJ7,Уголь_коэфф!$A:$B,2,1)-VLOOKUP($AO7,Уголь_коэфф!$A:$B,2,1)),1+(1-$AU7))</f>
        <v>1</v>
      </c>
      <c r="CU7" s="102">
        <f>MIN(IF($AU7=100%,1,1+VLOOKUP(($AJ7-$AI7-$AH7-$AG7-$AF7-$AE7*(1+CU$3))/$AJ7,Уголь_коэфф!$A:$B,2,1)-VLOOKUP($AO7,Уголь_коэфф!$A:$B,2,1)),1+(1-$AU7))</f>
        <v>1</v>
      </c>
      <c r="CV7" s="102">
        <f>MIN(IF($AU7=100%,1,1+VLOOKUP(($AJ7-$AI7-$AH7-$AG7-$AF7-$AE7*(1+CV$3))/$AJ7,Уголь_коэфф!$A:$B,2,1)-VLOOKUP($AO7,Уголь_коэфф!$A:$B,2,1)),1+(1-$AU7))</f>
        <v>1</v>
      </c>
      <c r="CW7" s="102">
        <f>MIN(IF($AU7=100%,1,1+VLOOKUP(($AJ7-$AI7-$AH7-$AG7-$AF7-$AE7*(1+CW$3))/$AJ7,Уголь_коэфф!$A:$B,2,1)-VLOOKUP($AO7,Уголь_коэфф!$A:$B,2,1)),1+(1-$AU7))</f>
        <v>1</v>
      </c>
      <c r="CX7" s="102">
        <f>MIN(IF($AU7=100%,1,1+VLOOKUP(($AJ7-$AI7-$AH7-$AG7-$AF7-$AE7*(1+CX$3))/$AJ7,Уголь_коэфф!$A:$B,2,1)-VLOOKUP($AO7,Уголь_коэфф!$A:$B,2,1)),1+(1-$AU7))</f>
        <v>1</v>
      </c>
      <c r="CY7" s="102">
        <f>MIN(IF($AU7=100%,1,1+VLOOKUP(($AJ7-$AI7-$AH7-$AG7-$AF7-$AE7*(1+CY$3))/$AJ7,Уголь_коэфф!$A:$B,2,1)-VLOOKUP($AO7,Уголь_коэфф!$A:$B,2,1)),1+(1-$AU7))</f>
        <v>1</v>
      </c>
      <c r="CZ7" s="102">
        <f>MIN(IF($AU7=100%,1,1+VLOOKUP(($AJ7-$AI7-$AH7-$AG7-$AF7-$AE7*(1+CZ$3))/$AJ7,Уголь_коэфф!$A:$B,2,1)-VLOOKUP($AO7,Уголь_коэфф!$A:$B,2,1)),1+(1-$AU7))</f>
        <v>1</v>
      </c>
      <c r="DA7" s="102">
        <f>MIN(IF($AU7=100%,1,1+VLOOKUP(($AJ7-$AI7-$AH7-$AG7-$AF7-$AE7*(1+DA$3))/$AJ7,Уголь_коэфф!$A:$B,2,1)-VLOOKUP($AO7,Уголь_коэфф!$A:$B,2,1)),1+(1-$AU7))</f>
        <v>1</v>
      </c>
      <c r="DB7" s="102">
        <f>MIN(IF($AU7=100%,1,1+VLOOKUP(($AJ7-$AI7-$AH7-$AG7-$AF7-$AE7*(1+DB$3))/$AJ7,Уголь_коэфф!$A:$B,2,1)-VLOOKUP($AO7,Уголь_коэфф!$A:$B,2,1)),1+(1-$AU7))</f>
        <v>1</v>
      </c>
      <c r="DC7" s="102">
        <f>MIN(IF($AU7=100%,1,1+VLOOKUP(($AJ7-$AI7-$AH7-$AG7-$AF7-$AE7*(1+DC$3))/$AJ7,Уголь_коэфф!$A:$B,2,1)-VLOOKUP($AO7,Уголь_коэфф!$A:$B,2,1)),1+(1-$AU7))</f>
        <v>1</v>
      </c>
      <c r="DD7" s="102">
        <f>MIN(IF($AU7=100%,1,1+VLOOKUP(($AJ7-$AI7-$AH7-$AG7-$AF7-$AE7*(1+DD$3))/$AJ7,Уголь_коэфф!$A:$B,2,1)-VLOOKUP($AO7,Уголь_коэфф!$A:$B,2,1)),1+(1-$AU7))</f>
        <v>1</v>
      </c>
      <c r="DE7" s="102">
        <f>MIN(IF($AU7=100%,1,1+VLOOKUP(($AJ7-$AI7-$AH7-$AG7-$AF7-$AE7*(1+DE$3))/$AJ7,Уголь_коэфф!$A:$B,2,1)-VLOOKUP($AO7,Уголь_коэфф!$A:$B,2,1)),1+(1-$AU7))</f>
        <v>1</v>
      </c>
      <c r="DF7" s="102">
        <f>MIN(IF($AU7=100%,1,1+VLOOKUP(($AJ7-$AI7-$AH7-$AG7-$AF7-$AE7*(1+DF$3))/$AJ7,Уголь_коэфф!$A:$B,2,1)-VLOOKUP($AO7,Уголь_коэфф!$A:$B,2,1)),1+(1-$AU7))</f>
        <v>1</v>
      </c>
      <c r="DG7" s="102">
        <f>MIN(IF($AU7=100%,1,1+VLOOKUP(($AJ7-$AI7-$AH7-$AG7-$AF7-$AE7*(1+DG$3))/$AJ7,Уголь_коэфф!$A:$B,2,1)-VLOOKUP($AO7,Уголь_коэфф!$A:$B,2,1)),1+(1-$AU7))</f>
        <v>1</v>
      </c>
      <c r="DH7" s="102">
        <f>MIN(IF($AU7=100%,1,1+VLOOKUP(($AJ7-$AI7-$AH7-$AG7-$AF7-$AE7*(1+DH$3))/$AJ7,Уголь_коэфф!$A:$B,2,1)-VLOOKUP($AO7,Уголь_коэфф!$A:$B,2,1)),1+(1-$AU7))</f>
        <v>1</v>
      </c>
      <c r="DI7" s="102">
        <f>MIN(IF($AU7=100%,1,1+VLOOKUP(($AJ7-$AI7-$AH7-$AG7-$AF7-$AE7*(1+DI$3))/$AJ7,Уголь_коэфф!$A:$B,2,1)-VLOOKUP($AO7,Уголь_коэфф!$A:$B,2,1)),1+(1-$AU7))</f>
        <v>1</v>
      </c>
      <c r="DJ7" s="102">
        <f>MIN(IF($AU7=100%,1,1+VLOOKUP(($AJ7-$AI7-$AH7-$AG7-$AF7-$AE7*(1+DJ$3))/$AJ7,Уголь_коэфф!$A:$B,2,1)-VLOOKUP($AO7,Уголь_коэфф!$A:$B,2,1)),1+(1-$AU7))</f>
        <v>1</v>
      </c>
      <c r="DK7" s="102">
        <f>MIN(IF($AU7=100%,1,1+VLOOKUP(($AJ7-$AI7-$AH7-$AG7-$AF7-$AE7*(1+DK$3))/$AJ7,Уголь_коэфф!$A:$B,2,1)-VLOOKUP($AO7,Уголь_коэфф!$A:$B,2,1)),1+(1-$AU7))</f>
        <v>1</v>
      </c>
      <c r="DL7" s="102">
        <f>MIN(IF($AU7=100%,1,1+VLOOKUP(($AJ7-$AI7-$AH7-$AG7-$AF7-$AE7*(1+DL$3))/$AJ7,Уголь_коэфф!$A:$B,2,1)-VLOOKUP($AO7,Уголь_коэфф!$A:$B,2,1)),1+(1-$AU7))</f>
        <v>1</v>
      </c>
      <c r="DM7" s="102">
        <f>MIN(IF($AU7=100%,1,1+VLOOKUP(($AJ7-$AI7-$AH7-$AG7-$AF7-$AE7*(1+DM$3))/$AJ7,Уголь_коэфф!$A:$B,2,1)-VLOOKUP($AO7,Уголь_коэфф!$A:$B,2,1)),1+(1-$AU7))</f>
        <v>1</v>
      </c>
      <c r="DN7" s="102">
        <f>MIN(IF($AU7=100%,1,1+VLOOKUP(($AJ7-$AI7-$AH7-$AG7-$AF7-$AE7*(1+DN$3))/$AJ7,Уголь_коэфф!$A:$B,2,1)-VLOOKUP($AO7,Уголь_коэфф!$A:$B,2,1)),1+(1-$AU7))</f>
        <v>1</v>
      </c>
      <c r="DO7" s="102">
        <f>MIN(IF($AU7=100%,1,1+VLOOKUP(($AJ7-$AI7-$AH7-$AG7-$AF7-$AE7*(1+DO$3))/$AJ7,Уголь_коэфф!$A:$B,2,1)-VLOOKUP($AO7,Уголь_коэфф!$A:$B,2,1)),1+(1-$AU7))</f>
        <v>1</v>
      </c>
      <c r="DP7" s="102">
        <f>MIN(IF($AU7=100%,1,1+VLOOKUP(($AJ7-$AI7-$AH7-$AG7-$AF7-$AE7*(1+DP$3))/$AJ7,Уголь_коэфф!$A:$B,2,1)-VLOOKUP($AO7,Уголь_коэфф!$A:$B,2,1)),1+(1-$AU7))</f>
        <v>1</v>
      </c>
      <c r="DQ7" s="102">
        <f>MIN(IF($AU7=100%,1,1+VLOOKUP(($AJ7-$AI7-$AH7-$AG7-$AF7-$AE7*(1+DQ$3))/$AJ7,Уголь_коэфф!$A:$B,2,1)-VLOOKUP($AO7,Уголь_коэфф!$A:$B,2,1)),1+(1-$AU7))</f>
        <v>1</v>
      </c>
      <c r="DR7" s="102">
        <f>MIN(IF($AU7=100%,1,1+VLOOKUP(($AJ7-$AI7-$AH7-$AG7-$AF7-$AE7*(1+DR$3))/$AJ7,Уголь_коэфф!$A:$B,2,1)-VLOOKUP($AO7,Уголь_коэфф!$A:$B,2,1)),1+(1-$AU7))</f>
        <v>1</v>
      </c>
      <c r="DS7" s="102">
        <f>MIN(IF($AU7=100%,1,1+VLOOKUP(($AJ7-$AI7-$AH7-$AG7-$AF7-$AE7*(1+DS$3))/$AJ7,Уголь_коэфф!$A:$B,2,1)-VLOOKUP($AO7,Уголь_коэфф!$A:$B,2,1)),1+(1-$AU7))</f>
        <v>1</v>
      </c>
      <c r="DT7" s="102">
        <f>MIN(IF($AU7=100%,1,1+VLOOKUP(($AJ7-$AI7-$AH7-$AG7-$AF7-$AE7*(1+DT$3))/$AJ7,Уголь_коэфф!$A:$B,2,1)-VLOOKUP($AO7,Уголь_коэфф!$A:$B,2,1)),1+(1-$AU7))</f>
        <v>1</v>
      </c>
      <c r="DU7" s="102">
        <f>MIN(IF($AU7=100%,1,1+VLOOKUP(($AJ7-$AI7-$AH7-$AG7-$AF7-$AE7*(1+DU$3))/$AJ7,Уголь_коэфф!$A:$B,2,1)-VLOOKUP($AO7,Уголь_коэфф!$A:$B,2,1)),1+(1-$AU7))</f>
        <v>1</v>
      </c>
      <c r="DV7" s="102">
        <f>MIN(IF($AU7=100%,1,1+VLOOKUP(($AJ7-$AI7-$AH7-$AG7-$AF7-$AE7*(1+DV$3))/$AJ7,Уголь_коэфф!$A:$B,2,1)-VLOOKUP($AO7,Уголь_коэфф!$A:$B,2,1)),1+(1-$AU7))</f>
        <v>1</v>
      </c>
      <c r="DW7" s="102">
        <f>MIN(IF($AU7=100%,1,1+VLOOKUP(($AJ7-$AI7-$AH7-$AG7-$AF7-$AE7*(1+DW$3))/$AJ7,Уголь_коэфф!$A:$B,2,1)-VLOOKUP($AO7,Уголь_коэфф!$A:$B,2,1)),1+(1-$AU7))</f>
        <v>1</v>
      </c>
      <c r="DX7" s="102">
        <f>MIN(IF($AU7=100%,1,1+VLOOKUP(($AJ7-$AI7-$AH7-$AG7-$AF7-$AE7*(1+DX$3))/$AJ7,Уголь_коэфф!$A:$B,2,1)-VLOOKUP($AO7,Уголь_коэфф!$A:$B,2,1)),1+(1-$AU7))</f>
        <v>1</v>
      </c>
      <c r="DY7" s="102">
        <f>MIN(IF($AU7=100%,1,1+VLOOKUP(($AJ7-$AI7-$AH7-$AG7-$AF7-$AE7*(1+DY$3))/$AJ7,Уголь_коэфф!$A:$B,2,1)-VLOOKUP($AO7,Уголь_коэфф!$A:$B,2,1)),1+(1-$AU7))</f>
        <v>1</v>
      </c>
      <c r="DZ7" s="102">
        <f>MIN(IF($AU7=100%,1,1+VLOOKUP(($AJ7-$AI7-$AH7-$AG7-$AF7-$AE7*(1+DZ$3))/$AJ7,Уголь_коэфф!$A:$B,2,1)-VLOOKUP($AO7,Уголь_коэфф!$A:$B,2,1)),1+(1-$AU7))</f>
        <v>1</v>
      </c>
      <c r="EA7" s="102">
        <f>MIN(IF($AU7=100%,1,1+VLOOKUP(($AJ7-$AI7-$AH7-$AG7-$AF7-$AE7*(1+EA$3))/$AJ7,Уголь_коэфф!$A:$B,2,1)-VLOOKUP($AO7,Уголь_коэфф!$A:$B,2,1)),1+(1-$AU7))</f>
        <v>1</v>
      </c>
      <c r="EB7" s="102">
        <f>MIN(IF($AU7=100%,1,1+VLOOKUP(($AJ7-$AI7-$AH7-$AG7-$AF7-$AE7*(1+EB$3))/$AJ7,Уголь_коэфф!$A:$B,2,1)-VLOOKUP($AO7,Уголь_коэфф!$A:$B,2,1)),1+(1-$AU7))</f>
        <v>1</v>
      </c>
      <c r="EC7" s="102">
        <f>MIN(IF($AU7=100%,1,1+VLOOKUP(($AJ7-$AI7-$AH7-$AG7-$AF7-$AE7*(1+EC$3))/$AJ7,Уголь_коэфф!$A:$B,2,1)-VLOOKUP($AO7,Уголь_коэфф!$A:$B,2,1)),1+(1-$AU7))</f>
        <v>1</v>
      </c>
      <c r="ED7" s="102">
        <f>MIN(IF($AU7=100%,1,1+VLOOKUP(($AJ7-$AI7-$AH7-$AG7-$AF7-$AE7*(1+ED$3))/$AJ7,Уголь_коэфф!$A:$B,2,1)-VLOOKUP($AO7,Уголь_коэфф!$A:$B,2,1)),1+(1-$AU7))</f>
        <v>1</v>
      </c>
      <c r="EE7" s="102">
        <f>MIN(IF($AU7=100%,1,1+VLOOKUP(($AJ7-$AI7-$AH7-$AG7-$AF7-$AE7*(1+EE$3))/$AJ7,Уголь_коэфф!$A:$B,2,1)-VLOOKUP($AO7,Уголь_коэфф!$A:$B,2,1)),1+(1-$AU7))</f>
        <v>1</v>
      </c>
      <c r="EF7" s="102">
        <f>MIN(IF($AU7=100%,1,1+VLOOKUP(($AJ7-$AI7-$AH7-$AG7-$AF7-$AE7*(1+EF$3))/$AJ7,Уголь_коэфф!$A:$B,2,1)-VLOOKUP($AO7,Уголь_коэфф!$A:$B,2,1)),1+(1-$AU7))</f>
        <v>1</v>
      </c>
      <c r="EG7" s="102">
        <f>MIN(IF($AU7=100%,1,1+VLOOKUP(($AJ7-$AI7-$AH7-$AG7-$AF7-$AE7*(1+EG$3))/$AJ7,Уголь_коэфф!$A:$B,2,1)-VLOOKUP($AO7,Уголь_коэфф!$A:$B,2,1)),1+(1-$AU7))</f>
        <v>1</v>
      </c>
      <c r="EH7" s="102">
        <f>MIN(IF($AU7=100%,1,1+VLOOKUP(($AJ7-$AI7-$AH7-$AG7-$AF7-$AE7*(1+EH$3))/$AJ7,Уголь_коэфф!$A:$B,2,1)-VLOOKUP($AO7,Уголь_коэфф!$A:$B,2,1)),1+(1-$AU7))</f>
        <v>1</v>
      </c>
      <c r="EI7" s="102">
        <f>MIN(IF($AU7=100%,1,1+VLOOKUP(($AJ7-$AI7-$AH7-$AG7-$AF7-$AE7*(1+EI$3))/$AJ7,Уголь_коэфф!$A:$B,2,1)-VLOOKUP($AO7,Уголь_коэфф!$A:$B,2,1)),1+(1-$AU7))</f>
        <v>1</v>
      </c>
      <c r="EJ7" s="102">
        <f>MIN(IF($AU7=100%,1,1+VLOOKUP(($AJ7-$AI7-$AH7-$AG7-$AF7-$AE7*(1+EJ$3))/$AJ7,Уголь_коэфф!$A:$B,2,1)-VLOOKUP($AO7,Уголь_коэфф!$A:$B,2,1)),1+(1-$AU7))</f>
        <v>1</v>
      </c>
      <c r="EK7" s="102">
        <f>MIN(IF($AU7=100%,1,1+VLOOKUP(($AJ7-$AI7-$AH7-$AG7-$AF7-$AE7*(1+EK$3))/$AJ7,Уголь_коэфф!$A:$B,2,1)-VLOOKUP($AO7,Уголь_коэфф!$A:$B,2,1)),1+(1-$AU7))</f>
        <v>1</v>
      </c>
      <c r="EL7" s="102">
        <f>MIN(IF($AU7=100%,1,1+VLOOKUP(($AJ7-$AI7-$AH7-$AG7-$AF7-$AE7*(1+EL$3))/$AJ7,Уголь_коэфф!$A:$B,2,1)-VLOOKUP($AO7,Уголь_коэфф!$A:$B,2,1)),1+(1-$AU7))</f>
        <v>1</v>
      </c>
      <c r="EM7" s="102">
        <f>MIN(IF($AU7=100%,1,1+VLOOKUP(($AJ7-$AI7-$AH7-$AG7-$AF7-$AE7*(1+EM$3))/$AJ7,Уголь_коэфф!$A:$B,2,1)-VLOOKUP($AO7,Уголь_коэфф!$A:$B,2,1)),1+(1-$AU7))</f>
        <v>1</v>
      </c>
      <c r="EN7" s="102">
        <f>MIN(IF($AU7=100%,1,1+VLOOKUP(($AJ7-$AI7-$AH7-$AG7-$AF7-$AE7*(1+EN$3))/$AJ7,Уголь_коэфф!$A:$B,2,1)-VLOOKUP($AO7,Уголь_коэфф!$A:$B,2,1)),1+(1-$AU7))</f>
        <v>1</v>
      </c>
      <c r="EO7" s="102">
        <f>MIN(IF($AU7=100%,1,1+VLOOKUP(($AJ7-$AI7-$AH7-$AG7-$AF7-$AE7*(1+EO$3))/$AJ7,Уголь_коэфф!$A:$B,2,1)-VLOOKUP($AO7,Уголь_коэфф!$A:$B,2,1)),1+(1-$AU7))</f>
        <v>1</v>
      </c>
      <c r="EP7" s="102">
        <f>MIN(IF($AU7=100%,1,1+VLOOKUP(($AJ7-$AI7-$AH7-$AG7-$AF7-$AE7*(1+EP$3))/$AJ7,Уголь_коэфф!$A:$B,2,1)-VLOOKUP($AO7,Уголь_коэфф!$A:$B,2,1)),1+(1-$AU7))</f>
        <v>1</v>
      </c>
      <c r="EQ7" s="102">
        <f>MIN(IF($AU7=100%,1,1+VLOOKUP(($AJ7-$AI7-$AH7-$AG7-$AF7-$AE7*(1+EQ$3))/$AJ7,Уголь_коэфф!$A:$B,2,1)-VLOOKUP($AO7,Уголь_коэфф!$A:$B,2,1)),1+(1-$AU7))</f>
        <v>1</v>
      </c>
      <c r="ER7" s="102">
        <f>MIN(IF($AU7=100%,1,1+VLOOKUP(($AJ7-$AI7-$AH7-$AG7-$AF7-$AE7*(1+ER$3))/$AJ7,Уголь_коэфф!$A:$B,2,1)-VLOOKUP($AO7,Уголь_коэфф!$A:$B,2,1)),1+(1-$AU7))</f>
        <v>1</v>
      </c>
      <c r="ES7" s="102">
        <f>MIN(IF($AU7=100%,1,1+VLOOKUP(($AJ7-$AI7-$AH7-$AG7-$AF7-$AE7*(1+ES$3))/$AJ7,Уголь_коэфф!$A:$B,2,1)-VLOOKUP($AO7,Уголь_коэфф!$A:$B,2,1)),1+(1-$AU7))</f>
        <v>1</v>
      </c>
      <c r="ET7" s="102">
        <f>MIN(IF($AU7=100%,1,1+VLOOKUP(($AJ7-$AI7-$AH7-$AG7-$AF7-$AE7*(1+ET$3))/$AJ7,Уголь_коэфф!$A:$B,2,1)-VLOOKUP($AO7,Уголь_коэфф!$A:$B,2,1)),1+(1-$AU7))</f>
        <v>1</v>
      </c>
      <c r="EU7" s="102">
        <f>MIN(IF($AU7=100%,1,1+VLOOKUP(($AJ7-$AI7-$AH7-$AG7-$AF7-$AE7*(1+EU$3))/$AJ7,Уголь_коэфф!$A:$B,2,1)-VLOOKUP($AO7,Уголь_коэфф!$A:$B,2,1)),1+(1-$AU7))</f>
        <v>1</v>
      </c>
      <c r="EV7" s="103">
        <v>1</v>
      </c>
      <c r="EW7" s="102">
        <f>MIN(1,MAX(VLOOKUP(($AJ7-$AI7-$AH7-$AG7-$AF7-$AE7*(1+EW$3))/$AJ7,Уголь_коэфф!$A:$B,2,1),(EV7-0.05)))</f>
        <v>1</v>
      </c>
      <c r="EX7" s="102">
        <f>MIN(1,MAX(VLOOKUP(($AJ7-$AI7-$AH7-$AG7-$AF7-$AE7*(1+EX$3))/$AJ7,Уголь_коэфф!$A:$B,2,1),(EW7-0.05)))</f>
        <v>1</v>
      </c>
      <c r="EY7" s="102">
        <f>MIN(1,MAX(VLOOKUP(($AJ7-$AI7-$AH7-$AG7-$AF7-$AE7*(1+EY$3))/$AJ7,Уголь_коэфф!$A:$B,2,1),(EX7-0.05)))</f>
        <v>1</v>
      </c>
      <c r="EZ7" s="102">
        <f>MIN(1,MAX(VLOOKUP(($AJ7-$AI7-$AH7-$AG7-$AF7-$AE7*(1+EZ$3))/$AJ7,Уголь_коэфф!$A:$B,2,1),(EY7-0.05)))</f>
        <v>1</v>
      </c>
      <c r="FA7" s="102">
        <f>MIN(1,MAX(VLOOKUP(($AJ7-$AI7-$AH7-$AG7-$AF7-$AE7*(1+FA$3))/$AJ7,Уголь_коэфф!$A:$B,2,1),(EZ7-0.05)))</f>
        <v>1</v>
      </c>
      <c r="FB7" s="102">
        <f>MIN(1,MAX(VLOOKUP(($AJ7-$AI7-$AH7-$AG7-$AF7-$AE7*(1+FB$3))/$AJ7,Уголь_коэфф!$A:$B,2,1),(FA7-0.05)))</f>
        <v>1</v>
      </c>
      <c r="FC7" s="102">
        <f>MIN(1,MAX(VLOOKUP(($AJ7-$AI7-$AH7-$AG7-$AF7-$AE7*(1+FC$3))/$AJ7,Уголь_коэфф!$A:$B,2,1),(FB7-0.05)))</f>
        <v>1</v>
      </c>
      <c r="FD7" s="102">
        <f>MIN(1,MAX(VLOOKUP(($AJ7-$AI7-$AH7-$AG7-$AF7-$AE7*(1+FD$3))/$AJ7,Уголь_коэфф!$A:$B,2,1),(FC7-0.05)))</f>
        <v>1</v>
      </c>
      <c r="FE7" s="102">
        <f>MIN(1,MAX(VLOOKUP(($AJ7-$AI7-$AH7-$AG7-$AF7-$AE7*(1+FE$3))/$AJ7,Уголь_коэфф!$A:$B,2,1),(FD7-0.05)))</f>
        <v>1</v>
      </c>
      <c r="FF7" s="102">
        <f>MIN(1,MAX(VLOOKUP(($AJ7-$AI7-$AH7-$AG7-$AF7-$AE7*(1+FF$3))/$AJ7,Уголь_коэфф!$A:$B,2,1),(FE7-0.05)))</f>
        <v>1</v>
      </c>
      <c r="FG7" s="102">
        <f>MIN(1,MAX(VLOOKUP(($AJ7-$AI7-$AH7-$AG7-$AF7-$AE7*(1+FG$3))/$AJ7,Уголь_коэфф!$A:$B,2,1),(FF7-0.05)))</f>
        <v>1</v>
      </c>
      <c r="FH7" s="102">
        <f>MIN(1,MAX(VLOOKUP(($AJ7-$AI7-$AH7-$AG7-$AF7-$AE7*(1+FH$3))/$AJ7,Уголь_коэфф!$A:$B,2,1),(FG7-0.05)))</f>
        <v>1</v>
      </c>
      <c r="FI7" s="102">
        <f>MIN(1,MAX(VLOOKUP(($AJ7-$AI7-$AH7-$AG7-$AF7-$AE7*(1+FI$3))/$AJ7,Уголь_коэфф!$A:$B,2,1),(FH7-0.05)))</f>
        <v>1</v>
      </c>
      <c r="FJ7" s="102">
        <f>MIN(1,MAX(VLOOKUP(($AJ7-$AI7-$AH7-$AG7-$AF7-$AE7*(1+FJ$3))/$AJ7,Уголь_коэфф!$A:$B,2,1),(FI7-0.05)))</f>
        <v>1</v>
      </c>
      <c r="FK7" s="102">
        <f>MIN(1,MAX(VLOOKUP(($AJ7-$AI7-$AH7-$AG7-$AF7-$AE7*(1+FK$3))/$AJ7,Уголь_коэфф!$A:$B,2,1),(FJ7-0.05)))</f>
        <v>1</v>
      </c>
      <c r="FL7" s="102">
        <f>MIN(1,MAX(VLOOKUP(($AJ7-$AI7-$AH7-$AG7-$AF7-$AE7*(1+FL$3))/$AJ7,Уголь_коэфф!$A:$B,2,1),(FK7-0.05)))</f>
        <v>1</v>
      </c>
      <c r="FM7" s="102">
        <f>MIN(1,MAX(VLOOKUP(($AJ7-$AI7-$AH7-$AG7-$AF7-$AE7*(1+FM$3))/$AJ7,Уголь_коэфф!$A:$B,2,1),(FL7-0.05)))</f>
        <v>1</v>
      </c>
      <c r="FN7" s="102">
        <f>MIN(1,MAX(VLOOKUP(($AJ7-$AI7-$AH7-$AG7-$AF7-$AE7*(1+FN$3))/$AJ7,Уголь_коэфф!$A:$B,2,1),(FM7-0.05)))</f>
        <v>1</v>
      </c>
      <c r="FO7" s="102">
        <f>MIN(1,MAX(VLOOKUP(($AJ7-$AI7-$AH7-$AG7-$AF7-$AE7*(1+FO$3))/$AJ7,Уголь_коэфф!$A:$B,2,1),(FN7-0.05)))</f>
        <v>1</v>
      </c>
      <c r="FP7" s="102">
        <f>MIN(1,MAX(VLOOKUP(($AJ7-$AI7-$AH7-$AG7-$AF7-$AE7*(1+FP$3))/$AJ7,Уголь_коэфф!$A:$B,2,1),(FO7-0.05)))</f>
        <v>1</v>
      </c>
      <c r="FQ7" s="102">
        <f>MIN(1,MAX(VLOOKUP(($AJ7-$AI7-$AH7-$AG7-$AF7-$AE7*(1+FQ$3))/$AJ7,Уголь_коэфф!$A:$B,2,1),(FP7-0.05)))</f>
        <v>1</v>
      </c>
      <c r="FR7" s="102">
        <f>MIN(1,MAX(VLOOKUP(($AJ7-$AI7-$AH7-$AG7-$AF7-$AE7*(1+FR$3))/$AJ7,Уголь_коэфф!$A:$B,2,1),(FQ7-0.05)))</f>
        <v>1</v>
      </c>
      <c r="FS7" s="102">
        <f>MIN(1,MAX(VLOOKUP(($AJ7-$AI7-$AH7-$AG7-$AF7-$AE7*(1+FS$3))/$AJ7,Уголь_коэфф!$A:$B,2,1),(FR7-0.05)))</f>
        <v>1</v>
      </c>
      <c r="FT7" s="102">
        <f>MIN(1,MAX(VLOOKUP(($AJ7-$AI7-$AH7-$AG7-$AF7-$AE7*(1+FT$3))/$AJ7,Уголь_коэфф!$A:$B,2,1),(FS7-0.05)))</f>
        <v>1</v>
      </c>
      <c r="FU7" s="102">
        <f>MIN(1,MAX(VLOOKUP(($AJ7-$AI7-$AH7-$AG7-$AF7-$AE7*(1+FU$3))/$AJ7,Уголь_коэфф!$A:$B,2,1),(FT7-0.05)))</f>
        <v>1</v>
      </c>
      <c r="FV7" s="102">
        <f>MIN(1,MAX(VLOOKUP(($AJ7-$AI7-$AH7-$AG7-$AF7-$AE7*(1+FV$3))/$AJ7,Уголь_коэфф!$A:$B,2,1),(FU7-0.05)))</f>
        <v>1</v>
      </c>
      <c r="FW7" s="102">
        <f>MIN(1,MAX(VLOOKUP(($AJ7-$AI7-$AH7-$AG7-$AF7-$AE7*(1+FW$3))/$AJ7,Уголь_коэфф!$A:$B,2,1),(FV7-0.05)))</f>
        <v>1</v>
      </c>
      <c r="FX7" s="102">
        <f>MIN(1,MAX(VLOOKUP(($AJ7-$AI7-$AH7-$AG7-$AF7-$AE7*(1+FX$3))/$AJ7,Уголь_коэфф!$A:$B,2,1),(FW7-0.05)))</f>
        <v>1</v>
      </c>
      <c r="FY7" s="102">
        <f>MIN(1,MAX(VLOOKUP(($AJ7-$AI7-$AH7-$AG7-$AF7-$AE7*(1+FY$3))/$AJ7,Уголь_коэфф!$A:$B,2,1),(FX7-0.05)))</f>
        <v>1</v>
      </c>
      <c r="FZ7" s="102">
        <f>MIN(1,MAX(VLOOKUP(($AJ7-$AI7-$AH7-$AG7-$AF7-$AE7*(1+FZ$3))/$AJ7,Уголь_коэфф!$A:$B,2,1),(FY7-0.05)))</f>
        <v>1</v>
      </c>
      <c r="GA7" s="102">
        <f>MIN(1,MAX(VLOOKUP(($AJ7-$AI7-$AH7-$AG7-$AF7-$AE7*(1+GA$3))/$AJ7,Уголь_коэфф!$A:$B,2,1),(FZ7-0.05)))</f>
        <v>1</v>
      </c>
      <c r="GB7" s="102">
        <f>MIN(1,MAX(VLOOKUP(($AJ7-$AI7-$AH7-$AG7-$AF7-$AE7*(1+GB$3))/$AJ7,Уголь_коэфф!$A:$B,2,1),(GA7-0.05)))</f>
        <v>1</v>
      </c>
      <c r="GC7" s="102">
        <f>MIN(1,MAX(VLOOKUP(($AJ7-$AI7-$AH7-$AG7-$AF7-$AE7*(1+GC$3))/$AJ7,Уголь_коэфф!$A:$B,2,1),(GB7-0.05)))</f>
        <v>1</v>
      </c>
      <c r="GD7" s="102">
        <f>MIN(1,MAX(VLOOKUP(($AJ7-$AI7-$AH7-$AG7-$AF7-$AE7*(1+GD$3))/$AJ7,Уголь_коэфф!$A:$B,2,1),(GC7-0.05)))</f>
        <v>1</v>
      </c>
      <c r="GE7" s="102">
        <f>MIN(1,MAX(VLOOKUP(($AJ7-$AI7-$AH7-$AG7-$AF7-$AE7*(1+GE$3))/$AJ7,Уголь_коэфф!$A:$B,2,1),(GD7-0.05)))</f>
        <v>1</v>
      </c>
      <c r="GF7" s="102">
        <f>MIN(1,MAX(VLOOKUP(($AJ7-$AI7-$AH7-$AG7-$AF7-$AE7*(1+GF$3))/$AJ7,Уголь_коэфф!$A:$B,2,1),(GE7-0.05)))</f>
        <v>1</v>
      </c>
      <c r="GG7" s="102">
        <f>MIN(1,MAX(VLOOKUP(($AJ7-$AI7-$AH7-$AG7-$AF7-$AE7*(1+GG$3))/$AJ7,Уголь_коэфф!$A:$B,2,1),(GF7-0.05)))</f>
        <v>1</v>
      </c>
      <c r="GH7" s="102">
        <f>MIN(1,MAX(VLOOKUP(($AJ7-$AI7-$AH7-$AG7-$AF7-$AE7*(1+GH$3))/$AJ7,Уголь_коэфф!$A:$B,2,1),(GG7-0.05)))</f>
        <v>1</v>
      </c>
      <c r="GI7" s="102">
        <f>MIN(1,MAX(VLOOKUP(($AJ7-$AI7-$AH7-$AG7-$AF7-$AE7*(1+GI$3))/$AJ7,Уголь_коэфф!$A:$B,2,1),(GH7-0.05)))</f>
        <v>1</v>
      </c>
      <c r="GJ7" s="102">
        <f>MIN(1,MAX(VLOOKUP(($AJ7-$AI7-$AH7-$AG7-$AF7-$AE7*(1+GJ$3))/$AJ7,Уголь_коэфф!$A:$B,2,1),(GI7-0.05)))</f>
        <v>1</v>
      </c>
      <c r="GK7" s="102">
        <f>MIN(1,MAX(VLOOKUP(($AJ7-$AI7-$AH7-$AG7-$AF7-$AE7*(1+GK$3))/$AJ7,Уголь_коэфф!$A:$B,2,1),(GJ7-0.05)))</f>
        <v>1</v>
      </c>
      <c r="GL7" s="102">
        <f>MIN(1,MAX(VLOOKUP(($AJ7-$AI7-$AH7-$AG7-$AF7-$AE7*(1+GL$3))/$AJ7,Уголь_коэфф!$A:$B,2,1),(GK7-0.05)))</f>
        <v>1</v>
      </c>
      <c r="GM7" s="102">
        <f>MIN(1,MAX(VLOOKUP(($AJ7-$AI7-$AH7-$AG7-$AF7-$AE7*(1+GM$3))/$AJ7,Уголь_коэфф!$A:$B,2,1),(GL7-0.05)))</f>
        <v>1</v>
      </c>
      <c r="GN7" s="102">
        <f>MIN(1,MAX(VLOOKUP(($AJ7-$AI7-$AH7-$AG7-$AF7-$AE7*(1+GN$3))/$AJ7,Уголь_коэфф!$A:$B,2,1),(GM7-0.05)))</f>
        <v>1</v>
      </c>
      <c r="GO7" s="102">
        <f>MIN(1,MAX(VLOOKUP(($AJ7-$AI7-$AH7-$AG7-$AF7-$AE7*(1+GO$3))/$AJ7,Уголь_коэфф!$A:$B,2,1),(GN7-0.05)))</f>
        <v>1</v>
      </c>
      <c r="GP7" s="102">
        <f>MIN(1,MAX(VLOOKUP(($AJ7-$AI7-$AH7-$AG7-$AF7-$AE7*(1+GP$3))/$AJ7,Уголь_коэфф!$A:$B,2,1),(GO7-0.05)))</f>
        <v>1</v>
      </c>
      <c r="GQ7" s="102">
        <f>MIN(1,MAX(VLOOKUP(($AJ7-$AI7-$AH7-$AG7-$AF7-$AE7*(1+GQ$3))/$AJ7,Уголь_коэфф!$A:$B,2,1),(GP7-0.05)))</f>
        <v>1</v>
      </c>
      <c r="GR7" s="102">
        <f>MIN(1,MAX(VLOOKUP(($AJ7-$AI7-$AH7-$AG7-$AF7-$AE7*(1+GR$3))/$AJ7,Уголь_коэфф!$A:$B,2,1),(GQ7-0.05)))</f>
        <v>1</v>
      </c>
      <c r="GS7" s="102">
        <f>MIN(1,MAX(VLOOKUP(($AJ7-$AI7-$AH7-$AG7-$AF7-$AE7*(1+GS$3))/$AJ7,Уголь_коэфф!$A:$B,2,1),(GR7-0.05)))</f>
        <v>1</v>
      </c>
      <c r="GT7" s="102">
        <f>MIN(1,MAX(VLOOKUP(($AJ7-$AI7-$AH7-$AG7-$AF7-$AE7*(1+GT$3))/$AJ7,Уголь_коэфф!$A:$B,2,1),(GS7-0.05)))</f>
        <v>1</v>
      </c>
      <c r="GU7" s="102">
        <f>MIN(1,MAX(VLOOKUP(($AJ7-$AI7-$AH7-$AG7-$AF7-$AE7*(1+GU$3))/$AJ7,Уголь_коэфф!$A:$B,2,1),(GT7-0.05)))</f>
        <v>1</v>
      </c>
      <c r="GV7" s="102">
        <f>MIN(1,MAX(VLOOKUP(($AJ7-$AI7-$AH7-$AG7-$AF7-$AE7*(1+GV$3))/$AJ7,Уголь_коэфф!$A:$B,2,1),(GU7-0.05)))</f>
        <v>1</v>
      </c>
      <c r="GW7" s="102">
        <f>MIN(1,MAX(VLOOKUP(($AJ7-$AI7-$AH7-$AG7-$AF7-$AE7*(1+GW$3))/$AJ7,Уголь_коэфф!$A:$B,2,1),(GV7-0.05)))</f>
        <v>1</v>
      </c>
      <c r="GX7" s="102">
        <f>MIN(1,MAX(VLOOKUP(($AJ7-$AI7-$AH7-$AG7-$AF7-$AE7*(1+GX$3))/$AJ7,Уголь_коэфф!$A:$B,2,1),(GW7-0.05)))</f>
        <v>1</v>
      </c>
      <c r="GY7" s="102">
        <f>MIN(1,MAX(VLOOKUP(($AJ7-$AI7-$AH7-$AG7-$AF7-$AE7*(1+GY$3))/$AJ7,Уголь_коэфф!$A:$B,2,1),(GX7-0.05)))</f>
        <v>1</v>
      </c>
      <c r="GZ7" s="102">
        <f>MIN(1,MAX(VLOOKUP(($AJ7-$AI7-$AH7-$AG7-$AF7-$AE7*(1+GZ$3))/$AJ7,Уголь_коэфф!$A:$B,2,1),(GY7-0.05)))</f>
        <v>1</v>
      </c>
      <c r="HA7" s="102">
        <f>MIN(1,MAX(VLOOKUP(($AJ7-$AI7-$AH7-$AG7-$AF7-$AE7*(1+HA$3))/$AJ7,Уголь_коэфф!$A:$B,2,1),(GZ7-0.05)))</f>
        <v>1</v>
      </c>
      <c r="HB7" s="102">
        <f>MIN(1,MAX(VLOOKUP(($AJ7-$AI7-$AH7-$AG7-$AF7-$AE7*(1+HB$3))/$AJ7,Уголь_коэфф!$A:$B,2,1),(HA7-0.05)))</f>
        <v>1</v>
      </c>
      <c r="HC7" s="102">
        <f>MIN(1,MAX(VLOOKUP(($AJ7-$AI7-$AH7-$AG7-$AF7-$AE7*(1+HC$3))/$AJ7,Уголь_коэфф!$A:$B,2,1),(HB7-0.05)))</f>
        <v>1</v>
      </c>
      <c r="HD7" s="102">
        <f>MIN(1,MAX(VLOOKUP(($AJ7-$AI7-$AH7-$AG7-$AF7-$AE7*(1+HD$3))/$AJ7,Уголь_коэфф!$A:$B,2,1),(HC7-0.05)))</f>
        <v>1</v>
      </c>
      <c r="HE7" s="102">
        <f>MIN(1,MAX(VLOOKUP(($AJ7-$AI7-$AH7-$AG7-$AF7-$AE7*(1+HE$3))/$AJ7,Уголь_коэфф!$A:$B,2,1),(HD7-0.05)))</f>
        <v>1</v>
      </c>
      <c r="HF7" s="102">
        <f>MIN(1,MAX(VLOOKUP(($AJ7-$AI7-$AH7-$AG7-$AF7-$AE7*(1+HF$3))/$AJ7,Уголь_коэфф!$A:$B,2,1),(HE7-0.05)))</f>
        <v>1</v>
      </c>
      <c r="HG7" s="102">
        <f>MIN(1,MAX(VLOOKUP(($AJ7-$AI7-$AH7-$AG7-$AF7-$AE7*(1+HG$3))/$AJ7,Уголь_коэфф!$A:$B,2,1),(HF7-0.05)))</f>
        <v>1</v>
      </c>
      <c r="HH7" s="102">
        <f>MIN(1,MAX(VLOOKUP(($AJ7-$AI7-$AH7-$AG7-$AF7-$AE7*(1+HH$3))/$AJ7,Уголь_коэфф!$A:$B,2,1),(HG7-0.05)))</f>
        <v>1</v>
      </c>
      <c r="HI7" s="102">
        <f>MIN(1,MAX(VLOOKUP(($AJ7-$AI7-$AH7-$AG7-$AF7-$AE7*(1+HI$3))/$AJ7,Уголь_коэфф!$A:$B,2,1),(HH7-0.05)))</f>
        <v>1</v>
      </c>
      <c r="HJ7" s="102">
        <f>MIN(1,MAX(VLOOKUP(($AJ7-$AI7-$AH7-$AG7-$AF7-$AE7*(1+HJ$3))/$AJ7,Уголь_коэфф!$A:$B,2,1),(HI7-0.05)))</f>
        <v>1</v>
      </c>
      <c r="HK7" s="102">
        <f>MIN(1,MAX(VLOOKUP(($AJ7-$AI7-$AH7-$AG7-$AF7-$AE7*(1+HK$3))/$AJ7,Уголь_коэфф!$A:$B,2,1),(HJ7-0.05)))</f>
        <v>1</v>
      </c>
      <c r="HL7" s="102">
        <f>MIN(1,MAX(VLOOKUP(($AJ7-$AI7-$AH7-$AG7-$AF7-$AE7*(1+HL$3))/$AJ7,Уголь_коэфф!$A:$B,2,1),(HK7-0.05)))</f>
        <v>1</v>
      </c>
      <c r="HM7" s="102">
        <f>MIN(1,MAX(VLOOKUP(($AJ7-$AI7-$AH7-$AG7-$AF7-$AE7*(1+HM$3))/$AJ7,Уголь_коэфф!$A:$B,2,1),(HL7-0.05)))</f>
        <v>1</v>
      </c>
      <c r="HN7" s="102">
        <f>MIN(1,MAX(VLOOKUP(($AJ7-$AI7-$AH7-$AG7-$AF7-$AE7*(1+HN$3))/$AJ7,Уголь_коэфф!$A:$B,2,1),(HM7-0.05)))</f>
        <v>1</v>
      </c>
      <c r="HO7" s="102">
        <f>MIN(1,MAX(VLOOKUP(($AJ7-$AI7-$AH7-$AG7-$AF7-$AE7*(1+HO$3))/$AJ7,Уголь_коэфф!$A:$B,2,1),(HN7-0.05)))</f>
        <v>1</v>
      </c>
      <c r="HP7" s="102">
        <f>MIN(1,MAX(VLOOKUP(($AJ7-$AI7-$AH7-$AG7-$AF7-$AE7*(1+HP$3))/$AJ7,Уголь_коэфф!$A:$B,2,1),(HO7-0.05)))</f>
        <v>1</v>
      </c>
      <c r="HQ7" s="102">
        <f>MIN(1,MAX(VLOOKUP(($AJ7-$AI7-$AH7-$AG7-$AF7-$AE7*(1+HQ$3))/$AJ7,Уголь_коэфф!$A:$B,2,1),(HP7-0.05)))</f>
        <v>1</v>
      </c>
      <c r="HR7" s="102">
        <f>MIN(1,MAX(VLOOKUP(($AJ7-$AI7-$AH7-$AG7-$AF7-$AE7*(1+HR$3))/$AJ7,Уголь_коэфф!$A:$B,2,1),(HQ7-0.05)))</f>
        <v>1</v>
      </c>
      <c r="HS7" s="102">
        <f>MIN(1,MAX(VLOOKUP(($AJ7-$AI7-$AH7-$AG7-$AF7-$AE7*(1+HS$3))/$AJ7,Уголь_коэфф!$A:$B,2,1),(HR7-0.05)))</f>
        <v>1</v>
      </c>
      <c r="HT7" s="102">
        <f>MIN(1,MAX(VLOOKUP(($AJ7-$AI7-$AH7-$AG7-$AF7-$AE7*(1+HT$3))/$AJ7,Уголь_коэфф!$A:$B,2,1),(HS7-0.05)))</f>
        <v>1</v>
      </c>
      <c r="HU7" s="102">
        <f>MIN(1,MAX(VLOOKUP(($AJ7-$AI7-$AH7-$AG7-$AF7-$AE7*(1+HU$3))/$AJ7,Уголь_коэфф!$A:$B,2,1),(HT7-0.05)))</f>
        <v>1</v>
      </c>
      <c r="HV7" s="102">
        <f>MIN(1,MAX(VLOOKUP(($AJ7-$AI7-$AH7-$AG7-$AF7-$AE7*(1+HV$3))/$AJ7,Уголь_коэфф!$A:$B,2,1),(HU7-0.05)))</f>
        <v>1</v>
      </c>
      <c r="HW7" s="102">
        <f>MIN(1,MAX(VLOOKUP(($AJ7-$AI7-$AH7-$AG7-$AF7-$AE7*(1+HW$3))/$AJ7,Уголь_коэфф!$A:$B,2,1),(HV7-0.05)))</f>
        <v>1</v>
      </c>
      <c r="HX7" s="102">
        <f>MIN(1,MAX(VLOOKUP(($AJ7-$AI7-$AH7-$AG7-$AF7-$AE7*(1+HX$3))/$AJ7,Уголь_коэфф!$A:$B,2,1),(HW7-0.05)))</f>
        <v>1</v>
      </c>
      <c r="HY7" s="102">
        <f>MIN(1,MAX(VLOOKUP(($AJ7-$AI7-$AH7-$AG7-$AF7-$AE7*(1+HY$3))/$AJ7,Уголь_коэфф!$A:$B,2,1),(HX7-0.05)))</f>
        <v>1</v>
      </c>
      <c r="HZ7" s="102">
        <f>MIN(1,MAX(VLOOKUP(($AJ7-$AI7-$AH7-$AG7-$AF7-$AE7*(1+HZ$3))/$AJ7,Уголь_коэфф!$A:$B,2,1),(HY7-0.05)))</f>
        <v>1</v>
      </c>
      <c r="IA7" s="102">
        <f>MIN(1,MAX(VLOOKUP(($AJ7-$AI7-$AH7-$AG7-$AF7-$AE7*(1+IA$3))/$AJ7,Уголь_коэфф!$A:$B,2,1),(HZ7-0.05)))</f>
        <v>1</v>
      </c>
      <c r="IB7" s="102">
        <f>MIN(1,MAX(VLOOKUP(($AJ7-$AI7-$AH7-$AG7-$AF7-$AE7*(1+IB$3))/$AJ7,Уголь_коэфф!$A:$B,2,1),(IA7-0.05)))</f>
        <v>1</v>
      </c>
      <c r="IC7" s="102">
        <f>MIN(1,MAX(VLOOKUP(($AJ7-$AI7-$AH7-$AG7-$AF7-$AE7*(1+IC$3))/$AJ7,Уголь_коэфф!$A:$B,2,1),(IB7-0.05)))</f>
        <v>1</v>
      </c>
      <c r="ID7" s="102">
        <f>MIN(1,MAX(VLOOKUP(($AJ7-$AI7-$AH7-$AG7-$AF7-$AE7*(1+ID$3))/$AJ7,Уголь_коэфф!$A:$B,2,1),(IC7-0.05)))</f>
        <v>1</v>
      </c>
      <c r="IE7" s="102">
        <f>MIN(1,MAX(VLOOKUP(($AJ7-$AI7-$AH7-$AG7-$AF7-$AE7*(1+IE$3))/$AJ7,Уголь_коэфф!$A:$B,2,1),(ID7-0.05)))</f>
        <v>1</v>
      </c>
      <c r="IF7" s="102">
        <f>MIN(1,MAX(VLOOKUP(($AJ7-$AI7-$AH7-$AG7-$AF7-$AE7*(1+IF$3))/$AJ7,Уголь_коэфф!$A:$B,2,1),(IE7-0.05)))</f>
        <v>1</v>
      </c>
      <c r="IG7" s="102">
        <f>MIN(1,MAX(VLOOKUP(($AJ7-$AI7-$AH7-$AG7-$AF7-$AE7*(1+IG$3))/$AJ7,Уголь_коэфф!$A:$B,2,1),(IF7-0.05)))</f>
        <v>1</v>
      </c>
      <c r="IH7" s="102">
        <f>MIN(1,MAX(VLOOKUP(($AJ7-$AI7-$AH7-$AG7-$AF7-$AE7*(1+IH$3))/$AJ7,Уголь_коэфф!$A:$B,2,1),(IG7-0.05)))</f>
        <v>1</v>
      </c>
      <c r="II7" s="102">
        <f>MIN(1,MAX(VLOOKUP(($AJ7-$AI7-$AH7-$AG7-$AF7-$AE7*(1+II$3))/$AJ7,Уголь_коэфф!$A:$B,2,1),(IH7-0.05)))</f>
        <v>1</v>
      </c>
      <c r="IJ7" s="102">
        <f>MIN(1,MAX(VLOOKUP(($AJ7-$AI7-$AH7-$AG7-$AF7-$AE7*(1+IJ$3))/$AJ7,Уголь_коэфф!$A:$B,2,1),(II7-0.05)))</f>
        <v>1</v>
      </c>
      <c r="IK7" s="102">
        <f>MIN(1,MAX(VLOOKUP(($AJ7-$AI7-$AH7-$AG7-$AF7-$AE7*(1+IK$3))/$AJ7,Уголь_коэфф!$A:$B,2,1),(IJ7-0.05)))</f>
        <v>1</v>
      </c>
      <c r="IL7" s="102">
        <f>MIN(1,MAX(VLOOKUP(($AJ7-$AI7-$AH7-$AG7-$AF7-$AE7*(1+IL$3))/$AJ7,Уголь_коэфф!$A:$B,2,1),(IK7-0.05)))</f>
        <v>1</v>
      </c>
      <c r="IM7" s="102">
        <f>MIN(1,MAX(VLOOKUP(($AJ7-$AI7-$AH7-$AG7-$AF7-$AE7*(1+IM$3))/$AJ7,Уголь_коэфф!$A:$B,2,1),(IL7-0.05)))</f>
        <v>1</v>
      </c>
      <c r="IN7" s="102">
        <f>MIN(1,MAX(VLOOKUP(($AJ7-$AI7-$AH7-$AG7-$AF7-$AE7*(1+IN$3))/$AJ7,Уголь_коэфф!$A:$B,2,1),(IM7-0.05)))</f>
        <v>1</v>
      </c>
      <c r="IO7" s="102">
        <f>MIN(1,MAX(VLOOKUP(($AJ7-$AI7-$AH7-$AG7-$AF7-$AE7*(1+IO$3))/$AJ7,Уголь_коэфф!$A:$B,2,1),(IN7-0.05)))</f>
        <v>1</v>
      </c>
      <c r="IP7" s="102">
        <f>MIN(1,MAX(VLOOKUP(($AJ7-$AI7-$AH7-$AG7-$AF7-$AE7*(1+IP$3))/$AJ7,Уголь_коэфф!$A:$B,2,1),(IO7-0.05)))</f>
        <v>1</v>
      </c>
      <c r="IQ7" s="102">
        <f>MIN(1,MAX(VLOOKUP(($AJ7-$AI7-$AH7-$AG7-$AF7-$AE7*(1+IQ$3))/$AJ7,Уголь_коэфф!$A:$B,2,1),(IP7-0.05)))</f>
        <v>1</v>
      </c>
      <c r="IR7" s="102">
        <f>MIN(1,MAX(VLOOKUP(($AJ7-$AI7-$AH7-$AG7-$AF7-$AE7*(1+IR$3))/$AJ7,Уголь_коэфф!$A:$B,2,1),(IQ7-0.05)))</f>
        <v>1</v>
      </c>
      <c r="IS7" s="102">
        <f t="shared" si="20"/>
        <v>1</v>
      </c>
      <c r="IT7" s="102">
        <f t="shared" si="7"/>
        <v>1</v>
      </c>
      <c r="IU7" s="110"/>
    </row>
    <row r="8" spans="1:266" ht="14.6" customHeight="1">
      <c r="A8" t="s">
        <v>240</v>
      </c>
      <c r="B8" s="119">
        <v>1</v>
      </c>
      <c r="C8" s="120" t="s">
        <v>16</v>
      </c>
      <c r="D8" s="121">
        <v>16111</v>
      </c>
      <c r="E8" s="121" t="s">
        <v>17</v>
      </c>
      <c r="F8" s="120" t="s">
        <v>18</v>
      </c>
      <c r="G8" s="120" t="s">
        <v>29</v>
      </c>
      <c r="H8" s="121" t="s">
        <v>30</v>
      </c>
      <c r="I8" s="121" t="s">
        <v>52</v>
      </c>
      <c r="J8" s="121" t="s">
        <v>53</v>
      </c>
      <c r="K8" s="121">
        <v>4972</v>
      </c>
      <c r="L8" s="121" t="s">
        <v>22</v>
      </c>
      <c r="M8" s="121" t="s">
        <v>23</v>
      </c>
      <c r="N8" s="121" t="s">
        <v>24</v>
      </c>
      <c r="O8" s="121" t="s">
        <v>33</v>
      </c>
      <c r="P8" s="122">
        <v>78465421</v>
      </c>
      <c r="Q8" s="122" t="s">
        <v>54</v>
      </c>
      <c r="R8" s="121" t="s">
        <v>51</v>
      </c>
      <c r="S8" s="125">
        <v>55119</v>
      </c>
      <c r="T8" s="123">
        <v>274033646</v>
      </c>
      <c r="U8" s="123">
        <v>786</v>
      </c>
      <c r="V8" s="123"/>
      <c r="W8" s="126">
        <v>109968398</v>
      </c>
      <c r="X8" s="104">
        <v>69</v>
      </c>
      <c r="Y8" s="104" t="s">
        <v>163</v>
      </c>
      <c r="Z8" s="107">
        <v>12</v>
      </c>
      <c r="AA8" s="107">
        <v>12</v>
      </c>
      <c r="AB8" s="107">
        <v>4</v>
      </c>
      <c r="AC8" s="88">
        <v>2243.1</v>
      </c>
      <c r="AD8" s="88">
        <v>1024.44</v>
      </c>
      <c r="AE8" s="88">
        <f t="shared" si="21"/>
        <v>3267.54</v>
      </c>
      <c r="AF8" s="89">
        <f>'Цены,перевалка,аренда'!$C$27*SUM(Уголь_эластика_экспорт!Z8+Уголь_эластика_экспорт!AA8+Уголь_эластика_экспорт!AB8)/Уголь_эластика_экспорт!X8</f>
        <v>284.05797101449275</v>
      </c>
      <c r="AG8" s="90">
        <f>SUMIF('Цены,перевалка,аренда'!$A$20:$A$22,Уголь_эластика_экспорт!$O8,'Цены,перевалка,аренда'!$D$20:$D$22)</f>
        <v>610.44399999999996</v>
      </c>
      <c r="AH8" s="47"/>
      <c r="AI8" s="91">
        <v>586</v>
      </c>
      <c r="AJ8" s="92">
        <f>SUMIF('Цены,перевалка,аренда'!$A$5:$A$17,Уголь_эластика_экспорт!A8,'Цены,перевалка,аренда'!$D$5:$D$17)</f>
        <v>6485.9674999999997</v>
      </c>
      <c r="AK8" s="47">
        <f>AJ8/'Цены,перевалка,аренда'!$C$1</f>
        <v>85</v>
      </c>
      <c r="AL8" s="47">
        <f t="shared" si="9"/>
        <v>4162.0419710144924</v>
      </c>
      <c r="AM8" s="47">
        <f t="shared" si="10"/>
        <v>2323.9255289855073</v>
      </c>
      <c r="AN8" s="47">
        <f t="shared" si="11"/>
        <v>4748.0419710144924</v>
      </c>
      <c r="AO8" s="93">
        <f t="shared" si="12"/>
        <v>0.26795162463973299</v>
      </c>
      <c r="AP8" s="94">
        <f t="shared" si="13"/>
        <v>0.64169947984082443</v>
      </c>
      <c r="AQ8" s="94">
        <f t="shared" si="5"/>
        <v>0.50378605813242205</v>
      </c>
      <c r="AR8" s="94">
        <f t="shared" si="6"/>
        <v>0.78508098254558001</v>
      </c>
      <c r="AS8" s="167">
        <f t="shared" si="14"/>
        <v>1</v>
      </c>
      <c r="AT8" s="173">
        <f t="shared" si="15"/>
        <v>55119</v>
      </c>
      <c r="AU8" s="97">
        <v>1</v>
      </c>
      <c r="AV8" s="93">
        <f t="shared" si="16"/>
        <v>0.21757301882649066</v>
      </c>
      <c r="AW8" s="94">
        <f t="shared" si="17"/>
        <v>0.69207808565406681</v>
      </c>
      <c r="AX8" s="94">
        <f t="shared" si="18"/>
        <v>0.55416466394566433</v>
      </c>
      <c r="AY8" s="94">
        <f t="shared" si="19"/>
        <v>0.80072563404740127</v>
      </c>
      <c r="AZ8" s="102">
        <f>MIN(IF($AU8=100%,1,1+VLOOKUP(($AJ8-$AI8-$AH8-$AG8-$AF8-$AE8*(1+AZ$3))/$AJ8,Уголь_коэфф!$A:$B,2,1)-VLOOKUP($AO8,Уголь_коэфф!$A:$B,2,1)),1+(1-$AU8))</f>
        <v>1</v>
      </c>
      <c r="BA8" s="102">
        <f>MIN(IF($AU8=100%,1,1+VLOOKUP(($AJ8-$AI8-$AH8-$AG8-$AF8-$AE8*(1+BA$3))/$AJ8,Уголь_коэфф!$A:$B,2,1)-VLOOKUP($AO8,Уголь_коэфф!$A:$B,2,1)),1+(1-$AU8))</f>
        <v>1</v>
      </c>
      <c r="BB8" s="102">
        <f>MIN(IF($AU8=100%,1,1+VLOOKUP(($AJ8-$AI8-$AH8-$AG8-$AF8-$AE8*(1+BB$3))/$AJ8,Уголь_коэфф!$A:$B,2,1)-VLOOKUP($AO8,Уголь_коэфф!$A:$B,2,1)),1+(1-$AU8))</f>
        <v>1</v>
      </c>
      <c r="BC8" s="102">
        <f>MIN(IF($AU8=100%,1,1+VLOOKUP(($AJ8-$AI8-$AH8-$AG8-$AF8-$AE8*(1+BC$3))/$AJ8,Уголь_коэфф!$A:$B,2,1)-VLOOKUP($AO8,Уголь_коэфф!$A:$B,2,1)),1+(1-$AU8))</f>
        <v>1</v>
      </c>
      <c r="BD8" s="102">
        <f>MIN(IF($AU8=100%,1,1+VLOOKUP(($AJ8-$AI8-$AH8-$AG8-$AF8-$AE8*(1+BD$3))/$AJ8,Уголь_коэфф!$A:$B,2,1)-VLOOKUP($AO8,Уголь_коэфф!$A:$B,2,1)),1+(1-$AU8))</f>
        <v>1</v>
      </c>
      <c r="BE8" s="102">
        <f>MIN(IF($AU8=100%,1,1+VLOOKUP(($AJ8-$AI8-$AH8-$AG8-$AF8-$AE8*(1+BE$3))/$AJ8,Уголь_коэфф!$A:$B,2,1)-VLOOKUP($AO8,Уголь_коэфф!$A:$B,2,1)),1+(1-$AU8))</f>
        <v>1</v>
      </c>
      <c r="BF8" s="102">
        <f>MIN(IF($AU8=100%,1,1+VLOOKUP(($AJ8-$AI8-$AH8-$AG8-$AF8-$AE8*(1+BF$3))/$AJ8,Уголь_коэфф!$A:$B,2,1)-VLOOKUP($AO8,Уголь_коэфф!$A:$B,2,1)),1+(1-$AU8))</f>
        <v>1</v>
      </c>
      <c r="BG8" s="102">
        <f>MIN(IF($AU8=100%,1,1+VLOOKUP(($AJ8-$AI8-$AH8-$AG8-$AF8-$AE8*(1+BG$3))/$AJ8,Уголь_коэфф!$A:$B,2,1)-VLOOKUP($AO8,Уголь_коэфф!$A:$B,2,1)),1+(1-$AU8))</f>
        <v>1</v>
      </c>
      <c r="BH8" s="102">
        <f>MIN(IF($AU8=100%,1,1+VLOOKUP(($AJ8-$AI8-$AH8-$AG8-$AF8-$AE8*(1+BH$3))/$AJ8,Уголь_коэфф!$A:$B,2,1)-VLOOKUP($AO8,Уголь_коэфф!$A:$B,2,1)),1+(1-$AU8))</f>
        <v>1</v>
      </c>
      <c r="BI8" s="102">
        <f>MIN(IF($AU8=100%,1,1+VLOOKUP(($AJ8-$AI8-$AH8-$AG8-$AF8-$AE8*(1+BI$3))/$AJ8,Уголь_коэфф!$A:$B,2,1)-VLOOKUP($AO8,Уголь_коэфф!$A:$B,2,1)),1+(1-$AU8))</f>
        <v>1</v>
      </c>
      <c r="BJ8" s="102">
        <f>MIN(IF($AU8=100%,1,1+VLOOKUP(($AJ8-$AI8-$AH8-$AG8-$AF8-$AE8*(1+BJ$3))/$AJ8,Уголь_коэфф!$A:$B,2,1)-VLOOKUP($AO8,Уголь_коэфф!$A:$B,2,1)),1+(1-$AU8))</f>
        <v>1</v>
      </c>
      <c r="BK8" s="102">
        <f>MIN(IF($AU8=100%,1,1+VLOOKUP(($AJ8-$AI8-$AH8-$AG8-$AF8-$AE8*(1+BK$3))/$AJ8,Уголь_коэфф!$A:$B,2,1)-VLOOKUP($AO8,Уголь_коэфф!$A:$B,2,1)),1+(1-$AU8))</f>
        <v>1</v>
      </c>
      <c r="BL8" s="102">
        <f>MIN(IF($AU8=100%,1,1+VLOOKUP(($AJ8-$AI8-$AH8-$AG8-$AF8-$AE8*(1+BL$3))/$AJ8,Уголь_коэфф!$A:$B,2,1)-VLOOKUP($AO8,Уголь_коэфф!$A:$B,2,1)),1+(1-$AU8))</f>
        <v>1</v>
      </c>
      <c r="BM8" s="102">
        <f>MIN(IF($AU8=100%,1,1+VLOOKUP(($AJ8-$AI8-$AH8-$AG8-$AF8-$AE8*(1+BM$3))/$AJ8,Уголь_коэфф!$A:$B,2,1)-VLOOKUP($AO8,Уголь_коэфф!$A:$B,2,1)),1+(1-$AU8))</f>
        <v>1</v>
      </c>
      <c r="BN8" s="102">
        <f>MIN(IF($AU8=100%,1,1+VLOOKUP(($AJ8-$AI8-$AH8-$AG8-$AF8-$AE8*(1+BN$3))/$AJ8,Уголь_коэфф!$A:$B,2,1)-VLOOKUP($AO8,Уголь_коэфф!$A:$B,2,1)),1+(1-$AU8))</f>
        <v>1</v>
      </c>
      <c r="BO8" s="102">
        <f>MIN(IF($AU8=100%,1,1+VLOOKUP(($AJ8-$AI8-$AH8-$AG8-$AF8-$AE8*(1+BO$3))/$AJ8,Уголь_коэфф!$A:$B,2,1)-VLOOKUP($AO8,Уголь_коэфф!$A:$B,2,1)),1+(1-$AU8))</f>
        <v>1</v>
      </c>
      <c r="BP8" s="102">
        <f>MIN(IF($AU8=100%,1,1+VLOOKUP(($AJ8-$AI8-$AH8-$AG8-$AF8-$AE8*(1+BP$3))/$AJ8,Уголь_коэфф!$A:$B,2,1)-VLOOKUP($AO8,Уголь_коэфф!$A:$B,2,1)),1+(1-$AU8))</f>
        <v>1</v>
      </c>
      <c r="BQ8" s="102">
        <f>MIN(IF($AU8=100%,1,1+VLOOKUP(($AJ8-$AI8-$AH8-$AG8-$AF8-$AE8*(1+BQ$3))/$AJ8,Уголь_коэфф!$A:$B,2,1)-VLOOKUP($AO8,Уголь_коэфф!$A:$B,2,1)),1+(1-$AU8))</f>
        <v>1</v>
      </c>
      <c r="BR8" s="102">
        <f>MIN(IF($AU8=100%,1,1+VLOOKUP(($AJ8-$AI8-$AH8-$AG8-$AF8-$AE8*(1+BR$3))/$AJ8,Уголь_коэфф!$A:$B,2,1)-VLOOKUP($AO8,Уголь_коэфф!$A:$B,2,1)),1+(1-$AU8))</f>
        <v>1</v>
      </c>
      <c r="BS8" s="102">
        <f>MIN(IF($AU8=100%,1,1+VLOOKUP(($AJ8-$AI8-$AH8-$AG8-$AF8-$AE8*(1+BS$3))/$AJ8,Уголь_коэфф!$A:$B,2,1)-VLOOKUP($AO8,Уголь_коэфф!$A:$B,2,1)),1+(1-$AU8))</f>
        <v>1</v>
      </c>
      <c r="BT8" s="102">
        <f>MIN(IF($AU8=100%,1,1+VLOOKUP(($AJ8-$AI8-$AH8-$AG8-$AF8-$AE8*(1+BT$3))/$AJ8,Уголь_коэфф!$A:$B,2,1)-VLOOKUP($AO8,Уголь_коэфф!$A:$B,2,1)),1+(1-$AU8))</f>
        <v>1</v>
      </c>
      <c r="BU8" s="102">
        <f>MIN(IF($AU8=100%,1,1+VLOOKUP(($AJ8-$AI8-$AH8-$AG8-$AF8-$AE8*(1+BU$3))/$AJ8,Уголь_коэфф!$A:$B,2,1)-VLOOKUP($AO8,Уголь_коэфф!$A:$B,2,1)),1+(1-$AU8))</f>
        <v>1</v>
      </c>
      <c r="BV8" s="102">
        <f>MIN(IF($AU8=100%,1,1+VLOOKUP(($AJ8-$AI8-$AH8-$AG8-$AF8-$AE8*(1+BV$3))/$AJ8,Уголь_коэфф!$A:$B,2,1)-VLOOKUP($AO8,Уголь_коэфф!$A:$B,2,1)),1+(1-$AU8))</f>
        <v>1</v>
      </c>
      <c r="BW8" s="102">
        <f>MIN(IF($AU8=100%,1,1+VLOOKUP(($AJ8-$AI8-$AH8-$AG8-$AF8-$AE8*(1+BW$3))/$AJ8,Уголь_коэфф!$A:$B,2,1)-VLOOKUP($AO8,Уголь_коэфф!$A:$B,2,1)),1+(1-$AU8))</f>
        <v>1</v>
      </c>
      <c r="BX8" s="102">
        <f>MIN(IF($AU8=100%,1,1+VLOOKUP(($AJ8-$AI8-$AH8-$AG8-$AF8-$AE8*(1+BX$3))/$AJ8,Уголь_коэфф!$A:$B,2,1)-VLOOKUP($AO8,Уголь_коэфф!$A:$B,2,1)),1+(1-$AU8))</f>
        <v>1</v>
      </c>
      <c r="BY8" s="102">
        <f>MIN(IF($AU8=100%,1,1+VLOOKUP(($AJ8-$AI8-$AH8-$AG8-$AF8-$AE8*(1+BY$3))/$AJ8,Уголь_коэфф!$A:$B,2,1)-VLOOKUP($AO8,Уголь_коэфф!$A:$B,2,1)),1+(1-$AU8))</f>
        <v>1</v>
      </c>
      <c r="BZ8" s="102">
        <f>MIN(IF($AU8=100%,1,1+VLOOKUP(($AJ8-$AI8-$AH8-$AG8-$AF8-$AE8*(1+BZ$3))/$AJ8,Уголь_коэфф!$A:$B,2,1)-VLOOKUP($AO8,Уголь_коэфф!$A:$B,2,1)),1+(1-$AU8))</f>
        <v>1</v>
      </c>
      <c r="CA8" s="102">
        <f>MIN(IF($AU8=100%,1,1+VLOOKUP(($AJ8-$AI8-$AH8-$AG8-$AF8-$AE8*(1+CA$3))/$AJ8,Уголь_коэфф!$A:$B,2,1)-VLOOKUP($AO8,Уголь_коэфф!$A:$B,2,1)),1+(1-$AU8))</f>
        <v>1</v>
      </c>
      <c r="CB8" s="102">
        <f>MIN(IF($AU8=100%,1,1+VLOOKUP(($AJ8-$AI8-$AH8-$AG8-$AF8-$AE8*(1+CB$3))/$AJ8,Уголь_коэфф!$A:$B,2,1)-VLOOKUP($AO8,Уголь_коэфф!$A:$B,2,1)),1+(1-$AU8))</f>
        <v>1</v>
      </c>
      <c r="CC8" s="102">
        <f>MIN(IF($AU8=100%,1,1+VLOOKUP(($AJ8-$AI8-$AH8-$AG8-$AF8-$AE8*(1+CC$3))/$AJ8,Уголь_коэфф!$A:$B,2,1)-VLOOKUP($AO8,Уголь_коэфф!$A:$B,2,1)),1+(1-$AU8))</f>
        <v>1</v>
      </c>
      <c r="CD8" s="102">
        <f>MIN(IF($AU8=100%,1,1+VLOOKUP(($AJ8-$AI8-$AH8-$AG8-$AF8-$AE8*(1+CD$3))/$AJ8,Уголь_коэфф!$A:$B,2,1)-VLOOKUP($AO8,Уголь_коэфф!$A:$B,2,1)),1+(1-$AU8))</f>
        <v>1</v>
      </c>
      <c r="CE8" s="102">
        <f>MIN(IF($AU8=100%,1,1+VLOOKUP(($AJ8-$AI8-$AH8-$AG8-$AF8-$AE8*(1+CE$3))/$AJ8,Уголь_коэфф!$A:$B,2,1)-VLOOKUP($AO8,Уголь_коэфф!$A:$B,2,1)),1+(1-$AU8))</f>
        <v>1</v>
      </c>
      <c r="CF8" s="102">
        <f>MIN(IF($AU8=100%,1,1+VLOOKUP(($AJ8-$AI8-$AH8-$AG8-$AF8-$AE8*(1+CF$3))/$AJ8,Уголь_коэфф!$A:$B,2,1)-VLOOKUP($AO8,Уголь_коэфф!$A:$B,2,1)),1+(1-$AU8))</f>
        <v>1</v>
      </c>
      <c r="CG8" s="102">
        <f>MIN(IF($AU8=100%,1,1+VLOOKUP(($AJ8-$AI8-$AH8-$AG8-$AF8-$AE8*(1+CG$3))/$AJ8,Уголь_коэфф!$A:$B,2,1)-VLOOKUP($AO8,Уголь_коэфф!$A:$B,2,1)),1+(1-$AU8))</f>
        <v>1</v>
      </c>
      <c r="CH8" s="102">
        <f>MIN(IF($AU8=100%,1,1+VLOOKUP(($AJ8-$AI8-$AH8-$AG8-$AF8-$AE8*(1+CH$3))/$AJ8,Уголь_коэфф!$A:$B,2,1)-VLOOKUP($AO8,Уголь_коэфф!$A:$B,2,1)),1+(1-$AU8))</f>
        <v>1</v>
      </c>
      <c r="CI8" s="102">
        <f>MIN(IF($AU8=100%,1,1+VLOOKUP(($AJ8-$AI8-$AH8-$AG8-$AF8-$AE8*(1+CI$3))/$AJ8,Уголь_коэфф!$A:$B,2,1)-VLOOKUP($AO8,Уголь_коэфф!$A:$B,2,1)),1+(1-$AU8))</f>
        <v>1</v>
      </c>
      <c r="CJ8" s="102">
        <f>MIN(IF($AU8=100%,1,1+VLOOKUP(($AJ8-$AI8-$AH8-$AG8-$AF8-$AE8*(1+CJ$3))/$AJ8,Уголь_коэфф!$A:$B,2,1)-VLOOKUP($AO8,Уголь_коэфф!$A:$B,2,1)),1+(1-$AU8))</f>
        <v>1</v>
      </c>
      <c r="CK8" s="102">
        <f>MIN(IF($AU8=100%,1,1+VLOOKUP(($AJ8-$AI8-$AH8-$AG8-$AF8-$AE8*(1+CK$3))/$AJ8,Уголь_коэфф!$A:$B,2,1)-VLOOKUP($AO8,Уголь_коэфф!$A:$B,2,1)),1+(1-$AU8))</f>
        <v>1</v>
      </c>
      <c r="CL8" s="102">
        <f>MIN(IF($AU8=100%,1,1+VLOOKUP(($AJ8-$AI8-$AH8-$AG8-$AF8-$AE8*(1+CL$3))/$AJ8,Уголь_коэфф!$A:$B,2,1)-VLOOKUP($AO8,Уголь_коэфф!$A:$B,2,1)),1+(1-$AU8))</f>
        <v>1</v>
      </c>
      <c r="CM8" s="102">
        <f>MIN(IF($AU8=100%,1,1+VLOOKUP(($AJ8-$AI8-$AH8-$AG8-$AF8-$AE8*(1+CM$3))/$AJ8,Уголь_коэфф!$A:$B,2,1)-VLOOKUP($AO8,Уголь_коэфф!$A:$B,2,1)),1+(1-$AU8))</f>
        <v>1</v>
      </c>
      <c r="CN8" s="102">
        <f>MIN(IF($AU8=100%,1,1+VLOOKUP(($AJ8-$AI8-$AH8-$AG8-$AF8-$AE8*(1+CN$3))/$AJ8,Уголь_коэфф!$A:$B,2,1)-VLOOKUP($AO8,Уголь_коэфф!$A:$B,2,1)),1+(1-$AU8))</f>
        <v>1</v>
      </c>
      <c r="CO8" s="102">
        <f>MIN(IF($AU8=100%,1,1+VLOOKUP(($AJ8-$AI8-$AH8-$AG8-$AF8-$AE8*(1+CO$3))/$AJ8,Уголь_коэфф!$A:$B,2,1)-VLOOKUP($AO8,Уголь_коэфф!$A:$B,2,1)),1+(1-$AU8))</f>
        <v>1</v>
      </c>
      <c r="CP8" s="102">
        <f>MIN(IF($AU8=100%,1,1+VLOOKUP(($AJ8-$AI8-$AH8-$AG8-$AF8-$AE8*(1+CP$3))/$AJ8,Уголь_коэфф!$A:$B,2,1)-VLOOKUP($AO8,Уголь_коэфф!$A:$B,2,1)),1+(1-$AU8))</f>
        <v>1</v>
      </c>
      <c r="CQ8" s="102">
        <f>MIN(IF($AU8=100%,1,1+VLOOKUP(($AJ8-$AI8-$AH8-$AG8-$AF8-$AE8*(1+CQ$3))/$AJ8,Уголь_коэфф!$A:$B,2,1)-VLOOKUP($AO8,Уголь_коэфф!$A:$B,2,1)),1+(1-$AU8))</f>
        <v>1</v>
      </c>
      <c r="CR8" s="102">
        <f>MIN(IF($AU8=100%,1,1+VLOOKUP(($AJ8-$AI8-$AH8-$AG8-$AF8-$AE8*(1+CR$3))/$AJ8,Уголь_коэфф!$A:$B,2,1)-VLOOKUP($AO8,Уголь_коэфф!$A:$B,2,1)),1+(1-$AU8))</f>
        <v>1</v>
      </c>
      <c r="CS8" s="102">
        <f>MIN(IF($AU8=100%,1,1+VLOOKUP(($AJ8-$AI8-$AH8-$AG8-$AF8-$AE8*(1+CS$3))/$AJ8,Уголь_коэфф!$A:$B,2,1)-VLOOKUP($AO8,Уголь_коэфф!$A:$B,2,1)),1+(1-$AU8))</f>
        <v>1</v>
      </c>
      <c r="CT8" s="102">
        <f>MIN(IF($AU8=100%,1,1+VLOOKUP(($AJ8-$AI8-$AH8-$AG8-$AF8-$AE8*(1+CT$3))/$AJ8,Уголь_коэфф!$A:$B,2,1)-VLOOKUP($AO8,Уголь_коэфф!$A:$B,2,1)),1+(1-$AU8))</f>
        <v>1</v>
      </c>
      <c r="CU8" s="102">
        <f>MIN(IF($AU8=100%,1,1+VLOOKUP(($AJ8-$AI8-$AH8-$AG8-$AF8-$AE8*(1+CU$3))/$AJ8,Уголь_коэфф!$A:$B,2,1)-VLOOKUP($AO8,Уголь_коэфф!$A:$B,2,1)),1+(1-$AU8))</f>
        <v>1</v>
      </c>
      <c r="CV8" s="102">
        <f>MIN(IF($AU8=100%,1,1+VLOOKUP(($AJ8-$AI8-$AH8-$AG8-$AF8-$AE8*(1+CV$3))/$AJ8,Уголь_коэфф!$A:$B,2,1)-VLOOKUP($AO8,Уголь_коэфф!$A:$B,2,1)),1+(1-$AU8))</f>
        <v>1</v>
      </c>
      <c r="CW8" s="102">
        <f>MIN(IF($AU8=100%,1,1+VLOOKUP(($AJ8-$AI8-$AH8-$AG8-$AF8-$AE8*(1+CW$3))/$AJ8,Уголь_коэфф!$A:$B,2,1)-VLOOKUP($AO8,Уголь_коэфф!$A:$B,2,1)),1+(1-$AU8))</f>
        <v>1</v>
      </c>
      <c r="CX8" s="102">
        <f>MIN(IF($AU8=100%,1,1+VLOOKUP(($AJ8-$AI8-$AH8-$AG8-$AF8-$AE8*(1+CX$3))/$AJ8,Уголь_коэфф!$A:$B,2,1)-VLOOKUP($AO8,Уголь_коэфф!$A:$B,2,1)),1+(1-$AU8))</f>
        <v>1</v>
      </c>
      <c r="CY8" s="102">
        <f>MIN(IF($AU8=100%,1,1+VLOOKUP(($AJ8-$AI8-$AH8-$AG8-$AF8-$AE8*(1+CY$3))/$AJ8,Уголь_коэфф!$A:$B,2,1)-VLOOKUP($AO8,Уголь_коэфф!$A:$B,2,1)),1+(1-$AU8))</f>
        <v>1</v>
      </c>
      <c r="CZ8" s="102">
        <f>MIN(IF($AU8=100%,1,1+VLOOKUP(($AJ8-$AI8-$AH8-$AG8-$AF8-$AE8*(1+CZ$3))/$AJ8,Уголь_коэфф!$A:$B,2,1)-VLOOKUP($AO8,Уголь_коэфф!$A:$B,2,1)),1+(1-$AU8))</f>
        <v>1</v>
      </c>
      <c r="DA8" s="102">
        <f>MIN(IF($AU8=100%,1,1+VLOOKUP(($AJ8-$AI8-$AH8-$AG8-$AF8-$AE8*(1+DA$3))/$AJ8,Уголь_коэфф!$A:$B,2,1)-VLOOKUP($AO8,Уголь_коэфф!$A:$B,2,1)),1+(1-$AU8))</f>
        <v>1</v>
      </c>
      <c r="DB8" s="102">
        <f>MIN(IF($AU8=100%,1,1+VLOOKUP(($AJ8-$AI8-$AH8-$AG8-$AF8-$AE8*(1+DB$3))/$AJ8,Уголь_коэфф!$A:$B,2,1)-VLOOKUP($AO8,Уголь_коэфф!$A:$B,2,1)),1+(1-$AU8))</f>
        <v>1</v>
      </c>
      <c r="DC8" s="102">
        <f>MIN(IF($AU8=100%,1,1+VLOOKUP(($AJ8-$AI8-$AH8-$AG8-$AF8-$AE8*(1+DC$3))/$AJ8,Уголь_коэфф!$A:$B,2,1)-VLOOKUP($AO8,Уголь_коэфф!$A:$B,2,1)),1+(1-$AU8))</f>
        <v>1</v>
      </c>
      <c r="DD8" s="102">
        <f>MIN(IF($AU8=100%,1,1+VLOOKUP(($AJ8-$AI8-$AH8-$AG8-$AF8-$AE8*(1+DD$3))/$AJ8,Уголь_коэфф!$A:$B,2,1)-VLOOKUP($AO8,Уголь_коэфф!$A:$B,2,1)),1+(1-$AU8))</f>
        <v>1</v>
      </c>
      <c r="DE8" s="102">
        <f>MIN(IF($AU8=100%,1,1+VLOOKUP(($AJ8-$AI8-$AH8-$AG8-$AF8-$AE8*(1+DE$3))/$AJ8,Уголь_коэфф!$A:$B,2,1)-VLOOKUP($AO8,Уголь_коэфф!$A:$B,2,1)),1+(1-$AU8))</f>
        <v>1</v>
      </c>
      <c r="DF8" s="102">
        <f>MIN(IF($AU8=100%,1,1+VLOOKUP(($AJ8-$AI8-$AH8-$AG8-$AF8-$AE8*(1+DF$3))/$AJ8,Уголь_коэфф!$A:$B,2,1)-VLOOKUP($AO8,Уголь_коэфф!$A:$B,2,1)),1+(1-$AU8))</f>
        <v>1</v>
      </c>
      <c r="DG8" s="102">
        <f>MIN(IF($AU8=100%,1,1+VLOOKUP(($AJ8-$AI8-$AH8-$AG8-$AF8-$AE8*(1+DG$3))/$AJ8,Уголь_коэфф!$A:$B,2,1)-VLOOKUP($AO8,Уголь_коэфф!$A:$B,2,1)),1+(1-$AU8))</f>
        <v>1</v>
      </c>
      <c r="DH8" s="102">
        <f>MIN(IF($AU8=100%,1,1+VLOOKUP(($AJ8-$AI8-$AH8-$AG8-$AF8-$AE8*(1+DH$3))/$AJ8,Уголь_коэфф!$A:$B,2,1)-VLOOKUP($AO8,Уголь_коэфф!$A:$B,2,1)),1+(1-$AU8))</f>
        <v>1</v>
      </c>
      <c r="DI8" s="102">
        <f>MIN(IF($AU8=100%,1,1+VLOOKUP(($AJ8-$AI8-$AH8-$AG8-$AF8-$AE8*(1+DI$3))/$AJ8,Уголь_коэфф!$A:$B,2,1)-VLOOKUP($AO8,Уголь_коэфф!$A:$B,2,1)),1+(1-$AU8))</f>
        <v>1</v>
      </c>
      <c r="DJ8" s="102">
        <f>MIN(IF($AU8=100%,1,1+VLOOKUP(($AJ8-$AI8-$AH8-$AG8-$AF8-$AE8*(1+DJ$3))/$AJ8,Уголь_коэфф!$A:$B,2,1)-VLOOKUP($AO8,Уголь_коэфф!$A:$B,2,1)),1+(1-$AU8))</f>
        <v>1</v>
      </c>
      <c r="DK8" s="102">
        <f>MIN(IF($AU8=100%,1,1+VLOOKUP(($AJ8-$AI8-$AH8-$AG8-$AF8-$AE8*(1+DK$3))/$AJ8,Уголь_коэфф!$A:$B,2,1)-VLOOKUP($AO8,Уголь_коэфф!$A:$B,2,1)),1+(1-$AU8))</f>
        <v>1</v>
      </c>
      <c r="DL8" s="102">
        <f>MIN(IF($AU8=100%,1,1+VLOOKUP(($AJ8-$AI8-$AH8-$AG8-$AF8-$AE8*(1+DL$3))/$AJ8,Уголь_коэфф!$A:$B,2,1)-VLOOKUP($AO8,Уголь_коэфф!$A:$B,2,1)),1+(1-$AU8))</f>
        <v>1</v>
      </c>
      <c r="DM8" s="102">
        <f>MIN(IF($AU8=100%,1,1+VLOOKUP(($AJ8-$AI8-$AH8-$AG8-$AF8-$AE8*(1+DM$3))/$AJ8,Уголь_коэфф!$A:$B,2,1)-VLOOKUP($AO8,Уголь_коэфф!$A:$B,2,1)),1+(1-$AU8))</f>
        <v>1</v>
      </c>
      <c r="DN8" s="102">
        <f>MIN(IF($AU8=100%,1,1+VLOOKUP(($AJ8-$AI8-$AH8-$AG8-$AF8-$AE8*(1+DN$3))/$AJ8,Уголь_коэфф!$A:$B,2,1)-VLOOKUP($AO8,Уголь_коэфф!$A:$B,2,1)),1+(1-$AU8))</f>
        <v>1</v>
      </c>
      <c r="DO8" s="102">
        <f>MIN(IF($AU8=100%,1,1+VLOOKUP(($AJ8-$AI8-$AH8-$AG8-$AF8-$AE8*(1+DO$3))/$AJ8,Уголь_коэфф!$A:$B,2,1)-VLOOKUP($AO8,Уголь_коэфф!$A:$B,2,1)),1+(1-$AU8))</f>
        <v>1</v>
      </c>
      <c r="DP8" s="102">
        <f>MIN(IF($AU8=100%,1,1+VLOOKUP(($AJ8-$AI8-$AH8-$AG8-$AF8-$AE8*(1+DP$3))/$AJ8,Уголь_коэфф!$A:$B,2,1)-VLOOKUP($AO8,Уголь_коэфф!$A:$B,2,1)),1+(1-$AU8))</f>
        <v>1</v>
      </c>
      <c r="DQ8" s="102">
        <f>MIN(IF($AU8=100%,1,1+VLOOKUP(($AJ8-$AI8-$AH8-$AG8-$AF8-$AE8*(1+DQ$3))/$AJ8,Уголь_коэфф!$A:$B,2,1)-VLOOKUP($AO8,Уголь_коэфф!$A:$B,2,1)),1+(1-$AU8))</f>
        <v>1</v>
      </c>
      <c r="DR8" s="102">
        <f>MIN(IF($AU8=100%,1,1+VLOOKUP(($AJ8-$AI8-$AH8-$AG8-$AF8-$AE8*(1+DR$3))/$AJ8,Уголь_коэфф!$A:$B,2,1)-VLOOKUP($AO8,Уголь_коэфф!$A:$B,2,1)),1+(1-$AU8))</f>
        <v>1</v>
      </c>
      <c r="DS8" s="102">
        <f>MIN(IF($AU8=100%,1,1+VLOOKUP(($AJ8-$AI8-$AH8-$AG8-$AF8-$AE8*(1+DS$3))/$AJ8,Уголь_коэфф!$A:$B,2,1)-VLOOKUP($AO8,Уголь_коэфф!$A:$B,2,1)),1+(1-$AU8))</f>
        <v>1</v>
      </c>
      <c r="DT8" s="102">
        <f>MIN(IF($AU8=100%,1,1+VLOOKUP(($AJ8-$AI8-$AH8-$AG8-$AF8-$AE8*(1+DT$3))/$AJ8,Уголь_коэфф!$A:$B,2,1)-VLOOKUP($AO8,Уголь_коэфф!$A:$B,2,1)),1+(1-$AU8))</f>
        <v>1</v>
      </c>
      <c r="DU8" s="102">
        <f>MIN(IF($AU8=100%,1,1+VLOOKUP(($AJ8-$AI8-$AH8-$AG8-$AF8-$AE8*(1+DU$3))/$AJ8,Уголь_коэфф!$A:$B,2,1)-VLOOKUP($AO8,Уголь_коэфф!$A:$B,2,1)),1+(1-$AU8))</f>
        <v>1</v>
      </c>
      <c r="DV8" s="102">
        <f>MIN(IF($AU8=100%,1,1+VLOOKUP(($AJ8-$AI8-$AH8-$AG8-$AF8-$AE8*(1+DV$3))/$AJ8,Уголь_коэфф!$A:$B,2,1)-VLOOKUP($AO8,Уголь_коэфф!$A:$B,2,1)),1+(1-$AU8))</f>
        <v>1</v>
      </c>
      <c r="DW8" s="102">
        <f>MIN(IF($AU8=100%,1,1+VLOOKUP(($AJ8-$AI8-$AH8-$AG8-$AF8-$AE8*(1+DW$3))/$AJ8,Уголь_коэфф!$A:$B,2,1)-VLOOKUP($AO8,Уголь_коэфф!$A:$B,2,1)),1+(1-$AU8))</f>
        <v>1</v>
      </c>
      <c r="DX8" s="102">
        <f>MIN(IF($AU8=100%,1,1+VLOOKUP(($AJ8-$AI8-$AH8-$AG8-$AF8-$AE8*(1+DX$3))/$AJ8,Уголь_коэфф!$A:$B,2,1)-VLOOKUP($AO8,Уголь_коэфф!$A:$B,2,1)),1+(1-$AU8))</f>
        <v>1</v>
      </c>
      <c r="DY8" s="102">
        <f>MIN(IF($AU8=100%,1,1+VLOOKUP(($AJ8-$AI8-$AH8-$AG8-$AF8-$AE8*(1+DY$3))/$AJ8,Уголь_коэфф!$A:$B,2,1)-VLOOKUP($AO8,Уголь_коэфф!$A:$B,2,1)),1+(1-$AU8))</f>
        <v>1</v>
      </c>
      <c r="DZ8" s="102">
        <f>MIN(IF($AU8=100%,1,1+VLOOKUP(($AJ8-$AI8-$AH8-$AG8-$AF8-$AE8*(1+DZ$3))/$AJ8,Уголь_коэфф!$A:$B,2,1)-VLOOKUP($AO8,Уголь_коэфф!$A:$B,2,1)),1+(1-$AU8))</f>
        <v>1</v>
      </c>
      <c r="EA8" s="102">
        <f>MIN(IF($AU8=100%,1,1+VLOOKUP(($AJ8-$AI8-$AH8-$AG8-$AF8-$AE8*(1+EA$3))/$AJ8,Уголь_коэфф!$A:$B,2,1)-VLOOKUP($AO8,Уголь_коэфф!$A:$B,2,1)),1+(1-$AU8))</f>
        <v>1</v>
      </c>
      <c r="EB8" s="102">
        <f>MIN(IF($AU8=100%,1,1+VLOOKUP(($AJ8-$AI8-$AH8-$AG8-$AF8-$AE8*(1+EB$3))/$AJ8,Уголь_коэфф!$A:$B,2,1)-VLOOKUP($AO8,Уголь_коэфф!$A:$B,2,1)),1+(1-$AU8))</f>
        <v>1</v>
      </c>
      <c r="EC8" s="102">
        <f>MIN(IF($AU8=100%,1,1+VLOOKUP(($AJ8-$AI8-$AH8-$AG8-$AF8-$AE8*(1+EC$3))/$AJ8,Уголь_коэфф!$A:$B,2,1)-VLOOKUP($AO8,Уголь_коэфф!$A:$B,2,1)),1+(1-$AU8))</f>
        <v>1</v>
      </c>
      <c r="ED8" s="102">
        <f>MIN(IF($AU8=100%,1,1+VLOOKUP(($AJ8-$AI8-$AH8-$AG8-$AF8-$AE8*(1+ED$3))/$AJ8,Уголь_коэфф!$A:$B,2,1)-VLOOKUP($AO8,Уголь_коэфф!$A:$B,2,1)),1+(1-$AU8))</f>
        <v>1</v>
      </c>
      <c r="EE8" s="102">
        <f>MIN(IF($AU8=100%,1,1+VLOOKUP(($AJ8-$AI8-$AH8-$AG8-$AF8-$AE8*(1+EE$3))/$AJ8,Уголь_коэфф!$A:$B,2,1)-VLOOKUP($AO8,Уголь_коэфф!$A:$B,2,1)),1+(1-$AU8))</f>
        <v>1</v>
      </c>
      <c r="EF8" s="102">
        <f>MIN(IF($AU8=100%,1,1+VLOOKUP(($AJ8-$AI8-$AH8-$AG8-$AF8-$AE8*(1+EF$3))/$AJ8,Уголь_коэфф!$A:$B,2,1)-VLOOKUP($AO8,Уголь_коэфф!$A:$B,2,1)),1+(1-$AU8))</f>
        <v>1</v>
      </c>
      <c r="EG8" s="102">
        <f>MIN(IF($AU8=100%,1,1+VLOOKUP(($AJ8-$AI8-$AH8-$AG8-$AF8-$AE8*(1+EG$3))/$AJ8,Уголь_коэфф!$A:$B,2,1)-VLOOKUP($AO8,Уголь_коэфф!$A:$B,2,1)),1+(1-$AU8))</f>
        <v>1</v>
      </c>
      <c r="EH8" s="102">
        <f>MIN(IF($AU8=100%,1,1+VLOOKUP(($AJ8-$AI8-$AH8-$AG8-$AF8-$AE8*(1+EH$3))/$AJ8,Уголь_коэфф!$A:$B,2,1)-VLOOKUP($AO8,Уголь_коэфф!$A:$B,2,1)),1+(1-$AU8))</f>
        <v>1</v>
      </c>
      <c r="EI8" s="102">
        <f>MIN(IF($AU8=100%,1,1+VLOOKUP(($AJ8-$AI8-$AH8-$AG8-$AF8-$AE8*(1+EI$3))/$AJ8,Уголь_коэфф!$A:$B,2,1)-VLOOKUP($AO8,Уголь_коэфф!$A:$B,2,1)),1+(1-$AU8))</f>
        <v>1</v>
      </c>
      <c r="EJ8" s="102">
        <f>MIN(IF($AU8=100%,1,1+VLOOKUP(($AJ8-$AI8-$AH8-$AG8-$AF8-$AE8*(1+EJ$3))/$AJ8,Уголь_коэфф!$A:$B,2,1)-VLOOKUP($AO8,Уголь_коэфф!$A:$B,2,1)),1+(1-$AU8))</f>
        <v>1</v>
      </c>
      <c r="EK8" s="102">
        <f>MIN(IF($AU8=100%,1,1+VLOOKUP(($AJ8-$AI8-$AH8-$AG8-$AF8-$AE8*(1+EK$3))/$AJ8,Уголь_коэфф!$A:$B,2,1)-VLOOKUP($AO8,Уголь_коэфф!$A:$B,2,1)),1+(1-$AU8))</f>
        <v>1</v>
      </c>
      <c r="EL8" s="102">
        <f>MIN(IF($AU8=100%,1,1+VLOOKUP(($AJ8-$AI8-$AH8-$AG8-$AF8-$AE8*(1+EL$3))/$AJ8,Уголь_коэфф!$A:$B,2,1)-VLOOKUP($AO8,Уголь_коэфф!$A:$B,2,1)),1+(1-$AU8))</f>
        <v>1</v>
      </c>
      <c r="EM8" s="102">
        <f>MIN(IF($AU8=100%,1,1+VLOOKUP(($AJ8-$AI8-$AH8-$AG8-$AF8-$AE8*(1+EM$3))/$AJ8,Уголь_коэфф!$A:$B,2,1)-VLOOKUP($AO8,Уголь_коэфф!$A:$B,2,1)),1+(1-$AU8))</f>
        <v>1</v>
      </c>
      <c r="EN8" s="102">
        <f>MIN(IF($AU8=100%,1,1+VLOOKUP(($AJ8-$AI8-$AH8-$AG8-$AF8-$AE8*(1+EN$3))/$AJ8,Уголь_коэфф!$A:$B,2,1)-VLOOKUP($AO8,Уголь_коэфф!$A:$B,2,1)),1+(1-$AU8))</f>
        <v>1</v>
      </c>
      <c r="EO8" s="102">
        <f>MIN(IF($AU8=100%,1,1+VLOOKUP(($AJ8-$AI8-$AH8-$AG8-$AF8-$AE8*(1+EO$3))/$AJ8,Уголь_коэфф!$A:$B,2,1)-VLOOKUP($AO8,Уголь_коэфф!$A:$B,2,1)),1+(1-$AU8))</f>
        <v>1</v>
      </c>
      <c r="EP8" s="102">
        <f>MIN(IF($AU8=100%,1,1+VLOOKUP(($AJ8-$AI8-$AH8-$AG8-$AF8-$AE8*(1+EP$3))/$AJ8,Уголь_коэфф!$A:$B,2,1)-VLOOKUP($AO8,Уголь_коэфф!$A:$B,2,1)),1+(1-$AU8))</f>
        <v>1</v>
      </c>
      <c r="EQ8" s="102">
        <f>MIN(IF($AU8=100%,1,1+VLOOKUP(($AJ8-$AI8-$AH8-$AG8-$AF8-$AE8*(1+EQ$3))/$AJ8,Уголь_коэфф!$A:$B,2,1)-VLOOKUP($AO8,Уголь_коэфф!$A:$B,2,1)),1+(1-$AU8))</f>
        <v>1</v>
      </c>
      <c r="ER8" s="102">
        <f>MIN(IF($AU8=100%,1,1+VLOOKUP(($AJ8-$AI8-$AH8-$AG8-$AF8-$AE8*(1+ER$3))/$AJ8,Уголь_коэфф!$A:$B,2,1)-VLOOKUP($AO8,Уголь_коэфф!$A:$B,2,1)),1+(1-$AU8))</f>
        <v>1</v>
      </c>
      <c r="ES8" s="102">
        <f>MIN(IF($AU8=100%,1,1+VLOOKUP(($AJ8-$AI8-$AH8-$AG8-$AF8-$AE8*(1+ES$3))/$AJ8,Уголь_коэфф!$A:$B,2,1)-VLOOKUP($AO8,Уголь_коэфф!$A:$B,2,1)),1+(1-$AU8))</f>
        <v>1</v>
      </c>
      <c r="ET8" s="102">
        <f>MIN(IF($AU8=100%,1,1+VLOOKUP(($AJ8-$AI8-$AH8-$AG8-$AF8-$AE8*(1+ET$3))/$AJ8,Уголь_коэфф!$A:$B,2,1)-VLOOKUP($AO8,Уголь_коэфф!$A:$B,2,1)),1+(1-$AU8))</f>
        <v>1</v>
      </c>
      <c r="EU8" s="102">
        <f>MIN(IF($AU8=100%,1,1+VLOOKUP(($AJ8-$AI8-$AH8-$AG8-$AF8-$AE8*(1+EU$3))/$AJ8,Уголь_коэфф!$A:$B,2,1)-VLOOKUP($AO8,Уголь_коэфф!$A:$B,2,1)),1+(1-$AU8))</f>
        <v>1</v>
      </c>
      <c r="EV8" s="103">
        <v>1</v>
      </c>
      <c r="EW8" s="102">
        <f>MIN(1,MAX(VLOOKUP(($AJ8-$AI8-$AH8-$AG8-$AF8-$AE8*(1+EW$3))/$AJ8,Уголь_коэфф!$A:$B,2,1),(EV8-0.05)))</f>
        <v>1</v>
      </c>
      <c r="EX8" s="102">
        <f>MIN(1,MAX(VLOOKUP(($AJ8-$AI8-$AH8-$AG8-$AF8-$AE8*(1+EX$3))/$AJ8,Уголь_коэфф!$A:$B,2,1),(EW8-0.05)))</f>
        <v>1</v>
      </c>
      <c r="EY8" s="102">
        <f>MIN(1,MAX(VLOOKUP(($AJ8-$AI8-$AH8-$AG8-$AF8-$AE8*(1+EY$3))/$AJ8,Уголь_коэфф!$A:$B,2,1),(EX8-0.05)))</f>
        <v>1</v>
      </c>
      <c r="EZ8" s="102">
        <f>MIN(1,MAX(VLOOKUP(($AJ8-$AI8-$AH8-$AG8-$AF8-$AE8*(1+EZ$3))/$AJ8,Уголь_коэфф!$A:$B,2,1),(EY8-0.05)))</f>
        <v>1</v>
      </c>
      <c r="FA8" s="102">
        <f>MIN(1,MAX(VLOOKUP(($AJ8-$AI8-$AH8-$AG8-$AF8-$AE8*(1+FA$3))/$AJ8,Уголь_коэфф!$A:$B,2,1),(EZ8-0.05)))</f>
        <v>1</v>
      </c>
      <c r="FB8" s="102">
        <f>MIN(1,MAX(VLOOKUP(($AJ8-$AI8-$AH8-$AG8-$AF8-$AE8*(1+FB$3))/$AJ8,Уголь_коэфф!$A:$B,2,1),(FA8-0.05)))</f>
        <v>1</v>
      </c>
      <c r="FC8" s="102">
        <f>MIN(1,MAX(VLOOKUP(($AJ8-$AI8-$AH8-$AG8-$AF8-$AE8*(1+FC$3))/$AJ8,Уголь_коэфф!$A:$B,2,1),(FB8-0.05)))</f>
        <v>1</v>
      </c>
      <c r="FD8" s="102">
        <f>MIN(1,MAX(VLOOKUP(($AJ8-$AI8-$AH8-$AG8-$AF8-$AE8*(1+FD$3))/$AJ8,Уголь_коэфф!$A:$B,2,1),(FC8-0.05)))</f>
        <v>1</v>
      </c>
      <c r="FE8" s="102">
        <f>MIN(1,MAX(VLOOKUP(($AJ8-$AI8-$AH8-$AG8-$AF8-$AE8*(1+FE$3))/$AJ8,Уголь_коэфф!$A:$B,2,1),(FD8-0.05)))</f>
        <v>1</v>
      </c>
      <c r="FF8" s="102">
        <f>MIN(1,MAX(VLOOKUP(($AJ8-$AI8-$AH8-$AG8-$AF8-$AE8*(1+FF$3))/$AJ8,Уголь_коэфф!$A:$B,2,1),(FE8-0.05)))</f>
        <v>1</v>
      </c>
      <c r="FG8" s="102">
        <f>MIN(1,MAX(VLOOKUP(($AJ8-$AI8-$AH8-$AG8-$AF8-$AE8*(1+FG$3))/$AJ8,Уголь_коэфф!$A:$B,2,1),(FF8-0.05)))</f>
        <v>1</v>
      </c>
      <c r="FH8" s="102">
        <f>MIN(1,MAX(VLOOKUP(($AJ8-$AI8-$AH8-$AG8-$AF8-$AE8*(1+FH$3))/$AJ8,Уголь_коэфф!$A:$B,2,1),(FG8-0.05)))</f>
        <v>1</v>
      </c>
      <c r="FI8" s="102">
        <f>MIN(1,MAX(VLOOKUP(($AJ8-$AI8-$AH8-$AG8-$AF8-$AE8*(1+FI$3))/$AJ8,Уголь_коэфф!$A:$B,2,1),(FH8-0.05)))</f>
        <v>1</v>
      </c>
      <c r="FJ8" s="102">
        <f>MIN(1,MAX(VLOOKUP(($AJ8-$AI8-$AH8-$AG8-$AF8-$AE8*(1+FJ$3))/$AJ8,Уголь_коэфф!$A:$B,2,1),(FI8-0.05)))</f>
        <v>1</v>
      </c>
      <c r="FK8" s="102">
        <f>MIN(1,MAX(VLOOKUP(($AJ8-$AI8-$AH8-$AG8-$AF8-$AE8*(1+FK$3))/$AJ8,Уголь_коэфф!$A:$B,2,1),(FJ8-0.05)))</f>
        <v>1</v>
      </c>
      <c r="FL8" s="102">
        <f>MIN(1,MAX(VLOOKUP(($AJ8-$AI8-$AH8-$AG8-$AF8-$AE8*(1+FL$3))/$AJ8,Уголь_коэфф!$A:$B,2,1),(FK8-0.05)))</f>
        <v>1</v>
      </c>
      <c r="FM8" s="102">
        <f>MIN(1,MAX(VLOOKUP(($AJ8-$AI8-$AH8-$AG8-$AF8-$AE8*(1+FM$3))/$AJ8,Уголь_коэфф!$A:$B,2,1),(FL8-0.05)))</f>
        <v>1</v>
      </c>
      <c r="FN8" s="102">
        <f>MIN(1,MAX(VLOOKUP(($AJ8-$AI8-$AH8-$AG8-$AF8-$AE8*(1+FN$3))/$AJ8,Уголь_коэфф!$A:$B,2,1),(FM8-0.05)))</f>
        <v>1</v>
      </c>
      <c r="FO8" s="102">
        <f>MIN(1,MAX(VLOOKUP(($AJ8-$AI8-$AH8-$AG8-$AF8-$AE8*(1+FO$3))/$AJ8,Уголь_коэфф!$A:$B,2,1),(FN8-0.05)))</f>
        <v>1</v>
      </c>
      <c r="FP8" s="102">
        <f>MIN(1,MAX(VLOOKUP(($AJ8-$AI8-$AH8-$AG8-$AF8-$AE8*(1+FP$3))/$AJ8,Уголь_коэфф!$A:$B,2,1),(FO8-0.05)))</f>
        <v>1</v>
      </c>
      <c r="FQ8" s="102">
        <f>MIN(1,MAX(VLOOKUP(($AJ8-$AI8-$AH8-$AG8-$AF8-$AE8*(1+FQ$3))/$AJ8,Уголь_коэфф!$A:$B,2,1),(FP8-0.05)))</f>
        <v>1</v>
      </c>
      <c r="FR8" s="102">
        <f>MIN(1,MAX(VLOOKUP(($AJ8-$AI8-$AH8-$AG8-$AF8-$AE8*(1+FR$3))/$AJ8,Уголь_коэфф!$A:$B,2,1),(FQ8-0.05)))</f>
        <v>1</v>
      </c>
      <c r="FS8" s="102">
        <f>MIN(1,MAX(VLOOKUP(($AJ8-$AI8-$AH8-$AG8-$AF8-$AE8*(1+FS$3))/$AJ8,Уголь_коэфф!$A:$B,2,1),(FR8-0.05)))</f>
        <v>1</v>
      </c>
      <c r="FT8" s="102">
        <f>MIN(1,MAX(VLOOKUP(($AJ8-$AI8-$AH8-$AG8-$AF8-$AE8*(1+FT$3))/$AJ8,Уголь_коэфф!$A:$B,2,1),(FS8-0.05)))</f>
        <v>1</v>
      </c>
      <c r="FU8" s="102">
        <f>MIN(1,MAX(VLOOKUP(($AJ8-$AI8-$AH8-$AG8-$AF8-$AE8*(1+FU$3))/$AJ8,Уголь_коэфф!$A:$B,2,1),(FT8-0.05)))</f>
        <v>1</v>
      </c>
      <c r="FV8" s="102">
        <f>MIN(1,MAX(VLOOKUP(($AJ8-$AI8-$AH8-$AG8-$AF8-$AE8*(1+FV$3))/$AJ8,Уголь_коэфф!$A:$B,2,1),(FU8-0.05)))</f>
        <v>1</v>
      </c>
      <c r="FW8" s="102">
        <f>MIN(1,MAX(VLOOKUP(($AJ8-$AI8-$AH8-$AG8-$AF8-$AE8*(1+FW$3))/$AJ8,Уголь_коэфф!$A:$B,2,1),(FV8-0.05)))</f>
        <v>1</v>
      </c>
      <c r="FX8" s="102">
        <f>MIN(1,MAX(VLOOKUP(($AJ8-$AI8-$AH8-$AG8-$AF8-$AE8*(1+FX$3))/$AJ8,Уголь_коэфф!$A:$B,2,1),(FW8-0.05)))</f>
        <v>1</v>
      </c>
      <c r="FY8" s="102">
        <f>MIN(1,MAX(VLOOKUP(($AJ8-$AI8-$AH8-$AG8-$AF8-$AE8*(1+FY$3))/$AJ8,Уголь_коэфф!$A:$B,2,1),(FX8-0.05)))</f>
        <v>1</v>
      </c>
      <c r="FZ8" s="102">
        <f>MIN(1,MAX(VLOOKUP(($AJ8-$AI8-$AH8-$AG8-$AF8-$AE8*(1+FZ$3))/$AJ8,Уголь_коэфф!$A:$B,2,1),(FY8-0.05)))</f>
        <v>1</v>
      </c>
      <c r="GA8" s="102">
        <f>MIN(1,MAX(VLOOKUP(($AJ8-$AI8-$AH8-$AG8-$AF8-$AE8*(1+GA$3))/$AJ8,Уголь_коэфф!$A:$B,2,1),(FZ8-0.05)))</f>
        <v>1</v>
      </c>
      <c r="GB8" s="102">
        <f>MIN(1,MAX(VLOOKUP(($AJ8-$AI8-$AH8-$AG8-$AF8-$AE8*(1+GB$3))/$AJ8,Уголь_коэфф!$A:$B,2,1),(GA8-0.05)))</f>
        <v>1</v>
      </c>
      <c r="GC8" s="102">
        <f>MIN(1,MAX(VLOOKUP(($AJ8-$AI8-$AH8-$AG8-$AF8-$AE8*(1+GC$3))/$AJ8,Уголь_коэфф!$A:$B,2,1),(GB8-0.05)))</f>
        <v>1</v>
      </c>
      <c r="GD8" s="102">
        <f>MIN(1,MAX(VLOOKUP(($AJ8-$AI8-$AH8-$AG8-$AF8-$AE8*(1+GD$3))/$AJ8,Уголь_коэфф!$A:$B,2,1),(GC8-0.05)))</f>
        <v>1</v>
      </c>
      <c r="GE8" s="102">
        <f>MIN(1,MAX(VLOOKUP(($AJ8-$AI8-$AH8-$AG8-$AF8-$AE8*(1+GE$3))/$AJ8,Уголь_коэфф!$A:$B,2,1),(GD8-0.05)))</f>
        <v>1</v>
      </c>
      <c r="GF8" s="102">
        <f>MIN(1,MAX(VLOOKUP(($AJ8-$AI8-$AH8-$AG8-$AF8-$AE8*(1+GF$3))/$AJ8,Уголь_коэфф!$A:$B,2,1),(GE8-0.05)))</f>
        <v>1</v>
      </c>
      <c r="GG8" s="102">
        <f>MIN(1,MAX(VLOOKUP(($AJ8-$AI8-$AH8-$AG8-$AF8-$AE8*(1+GG$3))/$AJ8,Уголь_коэфф!$A:$B,2,1),(GF8-0.05)))</f>
        <v>1</v>
      </c>
      <c r="GH8" s="102">
        <f>MIN(1,MAX(VLOOKUP(($AJ8-$AI8-$AH8-$AG8-$AF8-$AE8*(1+GH$3))/$AJ8,Уголь_коэфф!$A:$B,2,1),(GG8-0.05)))</f>
        <v>1</v>
      </c>
      <c r="GI8" s="102">
        <f>MIN(1,MAX(VLOOKUP(($AJ8-$AI8-$AH8-$AG8-$AF8-$AE8*(1+GI$3))/$AJ8,Уголь_коэфф!$A:$B,2,1),(GH8-0.05)))</f>
        <v>1</v>
      </c>
      <c r="GJ8" s="102">
        <f>MIN(1,MAX(VLOOKUP(($AJ8-$AI8-$AH8-$AG8-$AF8-$AE8*(1+GJ$3))/$AJ8,Уголь_коэфф!$A:$B,2,1),(GI8-0.05)))</f>
        <v>1</v>
      </c>
      <c r="GK8" s="102">
        <f>MIN(1,MAX(VLOOKUP(($AJ8-$AI8-$AH8-$AG8-$AF8-$AE8*(1+GK$3))/$AJ8,Уголь_коэфф!$A:$B,2,1),(GJ8-0.05)))</f>
        <v>1</v>
      </c>
      <c r="GL8" s="102">
        <f>MIN(1,MAX(VLOOKUP(($AJ8-$AI8-$AH8-$AG8-$AF8-$AE8*(1+GL$3))/$AJ8,Уголь_коэфф!$A:$B,2,1),(GK8-0.05)))</f>
        <v>1</v>
      </c>
      <c r="GM8" s="102">
        <f>MIN(1,MAX(VLOOKUP(($AJ8-$AI8-$AH8-$AG8-$AF8-$AE8*(1+GM$3))/$AJ8,Уголь_коэфф!$A:$B,2,1),(GL8-0.05)))</f>
        <v>1</v>
      </c>
      <c r="GN8" s="102">
        <f>MIN(1,MAX(VLOOKUP(($AJ8-$AI8-$AH8-$AG8-$AF8-$AE8*(1+GN$3))/$AJ8,Уголь_коэфф!$A:$B,2,1),(GM8-0.05)))</f>
        <v>1</v>
      </c>
      <c r="GO8" s="102">
        <f>MIN(1,MAX(VLOOKUP(($AJ8-$AI8-$AH8-$AG8-$AF8-$AE8*(1+GO$3))/$AJ8,Уголь_коэфф!$A:$B,2,1),(GN8-0.05)))</f>
        <v>1</v>
      </c>
      <c r="GP8" s="102">
        <f>MIN(1,MAX(VLOOKUP(($AJ8-$AI8-$AH8-$AG8-$AF8-$AE8*(1+GP$3))/$AJ8,Уголь_коэфф!$A:$B,2,1),(GO8-0.05)))</f>
        <v>1</v>
      </c>
      <c r="GQ8" s="102">
        <f>MIN(1,MAX(VLOOKUP(($AJ8-$AI8-$AH8-$AG8-$AF8-$AE8*(1+GQ$3))/$AJ8,Уголь_коэфф!$A:$B,2,1),(GP8-0.05)))</f>
        <v>1</v>
      </c>
      <c r="GR8" s="102">
        <f>MIN(1,MAX(VLOOKUP(($AJ8-$AI8-$AH8-$AG8-$AF8-$AE8*(1+GR$3))/$AJ8,Уголь_коэфф!$A:$B,2,1),(GQ8-0.05)))</f>
        <v>1</v>
      </c>
      <c r="GS8" s="102">
        <f>MIN(1,MAX(VLOOKUP(($AJ8-$AI8-$AH8-$AG8-$AF8-$AE8*(1+GS$3))/$AJ8,Уголь_коэфф!$A:$B,2,1),(GR8-0.05)))</f>
        <v>1</v>
      </c>
      <c r="GT8" s="102">
        <f>MIN(1,MAX(VLOOKUP(($AJ8-$AI8-$AH8-$AG8-$AF8-$AE8*(1+GT$3))/$AJ8,Уголь_коэфф!$A:$B,2,1),(GS8-0.05)))</f>
        <v>1</v>
      </c>
      <c r="GU8" s="102">
        <f>MIN(1,MAX(VLOOKUP(($AJ8-$AI8-$AH8-$AG8-$AF8-$AE8*(1+GU$3))/$AJ8,Уголь_коэфф!$A:$B,2,1),(GT8-0.05)))</f>
        <v>1</v>
      </c>
      <c r="GV8" s="102">
        <f>MIN(1,MAX(VLOOKUP(($AJ8-$AI8-$AH8-$AG8-$AF8-$AE8*(1+GV$3))/$AJ8,Уголь_коэфф!$A:$B,2,1),(GU8-0.05)))</f>
        <v>1</v>
      </c>
      <c r="GW8" s="102">
        <f>MIN(1,MAX(VLOOKUP(($AJ8-$AI8-$AH8-$AG8-$AF8-$AE8*(1+GW$3))/$AJ8,Уголь_коэфф!$A:$B,2,1),(GV8-0.05)))</f>
        <v>1</v>
      </c>
      <c r="GX8" s="102">
        <f>MIN(1,MAX(VLOOKUP(($AJ8-$AI8-$AH8-$AG8-$AF8-$AE8*(1+GX$3))/$AJ8,Уголь_коэфф!$A:$B,2,1),(GW8-0.05)))</f>
        <v>1</v>
      </c>
      <c r="GY8" s="102">
        <f>MIN(1,MAX(VLOOKUP(($AJ8-$AI8-$AH8-$AG8-$AF8-$AE8*(1+GY$3))/$AJ8,Уголь_коэфф!$A:$B,2,1),(GX8-0.05)))</f>
        <v>1</v>
      </c>
      <c r="GZ8" s="102">
        <f>MIN(1,MAX(VLOOKUP(($AJ8-$AI8-$AH8-$AG8-$AF8-$AE8*(1+GZ$3))/$AJ8,Уголь_коэфф!$A:$B,2,1),(GY8-0.05)))</f>
        <v>1</v>
      </c>
      <c r="HA8" s="102">
        <f>MIN(1,MAX(VLOOKUP(($AJ8-$AI8-$AH8-$AG8-$AF8-$AE8*(1+HA$3))/$AJ8,Уголь_коэфф!$A:$B,2,1),(GZ8-0.05)))</f>
        <v>1</v>
      </c>
      <c r="HB8" s="102">
        <f>MIN(1,MAX(VLOOKUP(($AJ8-$AI8-$AH8-$AG8-$AF8-$AE8*(1+HB$3))/$AJ8,Уголь_коэфф!$A:$B,2,1),(HA8-0.05)))</f>
        <v>1</v>
      </c>
      <c r="HC8" s="102">
        <f>MIN(1,MAX(VLOOKUP(($AJ8-$AI8-$AH8-$AG8-$AF8-$AE8*(1+HC$3))/$AJ8,Уголь_коэфф!$A:$B,2,1),(HB8-0.05)))</f>
        <v>1</v>
      </c>
      <c r="HD8" s="102">
        <f>MIN(1,MAX(VLOOKUP(($AJ8-$AI8-$AH8-$AG8-$AF8-$AE8*(1+HD$3))/$AJ8,Уголь_коэфф!$A:$B,2,1),(HC8-0.05)))</f>
        <v>1</v>
      </c>
      <c r="HE8" s="102">
        <f>MIN(1,MAX(VLOOKUP(($AJ8-$AI8-$AH8-$AG8-$AF8-$AE8*(1+HE$3))/$AJ8,Уголь_коэфф!$A:$B,2,1),(HD8-0.05)))</f>
        <v>1</v>
      </c>
      <c r="HF8" s="102">
        <f>MIN(1,MAX(VLOOKUP(($AJ8-$AI8-$AH8-$AG8-$AF8-$AE8*(1+HF$3))/$AJ8,Уголь_коэфф!$A:$B,2,1),(HE8-0.05)))</f>
        <v>1</v>
      </c>
      <c r="HG8" s="102">
        <f>MIN(1,MAX(VLOOKUP(($AJ8-$AI8-$AH8-$AG8-$AF8-$AE8*(1+HG$3))/$AJ8,Уголь_коэфф!$A:$B,2,1),(HF8-0.05)))</f>
        <v>1</v>
      </c>
      <c r="HH8" s="102">
        <f>MIN(1,MAX(VLOOKUP(($AJ8-$AI8-$AH8-$AG8-$AF8-$AE8*(1+HH$3))/$AJ8,Уголь_коэфф!$A:$B,2,1),(HG8-0.05)))</f>
        <v>1</v>
      </c>
      <c r="HI8" s="102">
        <f>MIN(1,MAX(VLOOKUP(($AJ8-$AI8-$AH8-$AG8-$AF8-$AE8*(1+HI$3))/$AJ8,Уголь_коэфф!$A:$B,2,1),(HH8-0.05)))</f>
        <v>1</v>
      </c>
      <c r="HJ8" s="102">
        <f>MIN(1,MAX(VLOOKUP(($AJ8-$AI8-$AH8-$AG8-$AF8-$AE8*(1+HJ$3))/$AJ8,Уголь_коэфф!$A:$B,2,1),(HI8-0.05)))</f>
        <v>1</v>
      </c>
      <c r="HK8" s="102">
        <f>MIN(1,MAX(VLOOKUP(($AJ8-$AI8-$AH8-$AG8-$AF8-$AE8*(1+HK$3))/$AJ8,Уголь_коэфф!$A:$B,2,1),(HJ8-0.05)))</f>
        <v>1</v>
      </c>
      <c r="HL8" s="102">
        <f>MIN(1,MAX(VLOOKUP(($AJ8-$AI8-$AH8-$AG8-$AF8-$AE8*(1+HL$3))/$AJ8,Уголь_коэфф!$A:$B,2,1),(HK8-0.05)))</f>
        <v>1</v>
      </c>
      <c r="HM8" s="102">
        <f>MIN(1,MAX(VLOOKUP(($AJ8-$AI8-$AH8-$AG8-$AF8-$AE8*(1+HM$3))/$AJ8,Уголь_коэфф!$A:$B,2,1),(HL8-0.05)))</f>
        <v>1</v>
      </c>
      <c r="HN8" s="102">
        <f>MIN(1,MAX(VLOOKUP(($AJ8-$AI8-$AH8-$AG8-$AF8-$AE8*(1+HN$3))/$AJ8,Уголь_коэфф!$A:$B,2,1),(HM8-0.05)))</f>
        <v>1</v>
      </c>
      <c r="HO8" s="102">
        <f>MIN(1,MAX(VLOOKUP(($AJ8-$AI8-$AH8-$AG8-$AF8-$AE8*(1+HO$3))/$AJ8,Уголь_коэфф!$A:$B,2,1),(HN8-0.05)))</f>
        <v>1</v>
      </c>
      <c r="HP8" s="102">
        <f>MIN(1,MAX(VLOOKUP(($AJ8-$AI8-$AH8-$AG8-$AF8-$AE8*(1+HP$3))/$AJ8,Уголь_коэфф!$A:$B,2,1),(HO8-0.05)))</f>
        <v>1</v>
      </c>
      <c r="HQ8" s="102">
        <f>MIN(1,MAX(VLOOKUP(($AJ8-$AI8-$AH8-$AG8-$AF8-$AE8*(1+HQ$3))/$AJ8,Уголь_коэфф!$A:$B,2,1),(HP8-0.05)))</f>
        <v>1</v>
      </c>
      <c r="HR8" s="102">
        <f>MIN(1,MAX(VLOOKUP(($AJ8-$AI8-$AH8-$AG8-$AF8-$AE8*(1+HR$3))/$AJ8,Уголь_коэфф!$A:$B,2,1),(HQ8-0.05)))</f>
        <v>1</v>
      </c>
      <c r="HS8" s="102">
        <f>MIN(1,MAX(VLOOKUP(($AJ8-$AI8-$AH8-$AG8-$AF8-$AE8*(1+HS$3))/$AJ8,Уголь_коэфф!$A:$B,2,1),(HR8-0.05)))</f>
        <v>1</v>
      </c>
      <c r="HT8" s="102">
        <f>MIN(1,MAX(VLOOKUP(($AJ8-$AI8-$AH8-$AG8-$AF8-$AE8*(1+HT$3))/$AJ8,Уголь_коэфф!$A:$B,2,1),(HS8-0.05)))</f>
        <v>1</v>
      </c>
      <c r="HU8" s="102">
        <f>MIN(1,MAX(VLOOKUP(($AJ8-$AI8-$AH8-$AG8-$AF8-$AE8*(1+HU$3))/$AJ8,Уголь_коэфф!$A:$B,2,1),(HT8-0.05)))</f>
        <v>1</v>
      </c>
      <c r="HV8" s="102">
        <f>MIN(1,MAX(VLOOKUP(($AJ8-$AI8-$AH8-$AG8-$AF8-$AE8*(1+HV$3))/$AJ8,Уголь_коэфф!$A:$B,2,1),(HU8-0.05)))</f>
        <v>1</v>
      </c>
      <c r="HW8" s="102">
        <f>MIN(1,MAX(VLOOKUP(($AJ8-$AI8-$AH8-$AG8-$AF8-$AE8*(1+HW$3))/$AJ8,Уголь_коэфф!$A:$B,2,1),(HV8-0.05)))</f>
        <v>1</v>
      </c>
      <c r="HX8" s="102">
        <f>MIN(1,MAX(VLOOKUP(($AJ8-$AI8-$AH8-$AG8-$AF8-$AE8*(1+HX$3))/$AJ8,Уголь_коэфф!$A:$B,2,1),(HW8-0.05)))</f>
        <v>1</v>
      </c>
      <c r="HY8" s="102">
        <f>MIN(1,MAX(VLOOKUP(($AJ8-$AI8-$AH8-$AG8-$AF8-$AE8*(1+HY$3))/$AJ8,Уголь_коэфф!$A:$B,2,1),(HX8-0.05)))</f>
        <v>1</v>
      </c>
      <c r="HZ8" s="102">
        <f>MIN(1,MAX(VLOOKUP(($AJ8-$AI8-$AH8-$AG8-$AF8-$AE8*(1+HZ$3))/$AJ8,Уголь_коэфф!$A:$B,2,1),(HY8-0.05)))</f>
        <v>1</v>
      </c>
      <c r="IA8" s="102">
        <f>MIN(1,MAX(VLOOKUP(($AJ8-$AI8-$AH8-$AG8-$AF8-$AE8*(1+IA$3))/$AJ8,Уголь_коэфф!$A:$B,2,1),(HZ8-0.05)))</f>
        <v>1</v>
      </c>
      <c r="IB8" s="102">
        <f>MIN(1,MAX(VLOOKUP(($AJ8-$AI8-$AH8-$AG8-$AF8-$AE8*(1+IB$3))/$AJ8,Уголь_коэфф!$A:$B,2,1),(IA8-0.05)))</f>
        <v>1</v>
      </c>
      <c r="IC8" s="102">
        <f>MIN(1,MAX(VLOOKUP(($AJ8-$AI8-$AH8-$AG8-$AF8-$AE8*(1+IC$3))/$AJ8,Уголь_коэфф!$A:$B,2,1),(IB8-0.05)))</f>
        <v>1</v>
      </c>
      <c r="ID8" s="102">
        <f>MIN(1,MAX(VLOOKUP(($AJ8-$AI8-$AH8-$AG8-$AF8-$AE8*(1+ID$3))/$AJ8,Уголь_коэфф!$A:$B,2,1),(IC8-0.05)))</f>
        <v>1</v>
      </c>
      <c r="IE8" s="102">
        <f>MIN(1,MAX(VLOOKUP(($AJ8-$AI8-$AH8-$AG8-$AF8-$AE8*(1+IE$3))/$AJ8,Уголь_коэфф!$A:$B,2,1),(ID8-0.05)))</f>
        <v>1</v>
      </c>
      <c r="IF8" s="102">
        <f>MIN(1,MAX(VLOOKUP(($AJ8-$AI8-$AH8-$AG8-$AF8-$AE8*(1+IF$3))/$AJ8,Уголь_коэфф!$A:$B,2,1),(IE8-0.05)))</f>
        <v>1</v>
      </c>
      <c r="IG8" s="102">
        <f>MIN(1,MAX(VLOOKUP(($AJ8-$AI8-$AH8-$AG8-$AF8-$AE8*(1+IG$3))/$AJ8,Уголь_коэфф!$A:$B,2,1),(IF8-0.05)))</f>
        <v>1</v>
      </c>
      <c r="IH8" s="102">
        <f>MIN(1,MAX(VLOOKUP(($AJ8-$AI8-$AH8-$AG8-$AF8-$AE8*(1+IH$3))/$AJ8,Уголь_коэфф!$A:$B,2,1),(IG8-0.05)))</f>
        <v>1</v>
      </c>
      <c r="II8" s="102">
        <f>MIN(1,MAX(VLOOKUP(($AJ8-$AI8-$AH8-$AG8-$AF8-$AE8*(1+II$3))/$AJ8,Уголь_коэфф!$A:$B,2,1),(IH8-0.05)))</f>
        <v>1</v>
      </c>
      <c r="IJ8" s="102">
        <f>MIN(1,MAX(VLOOKUP(($AJ8-$AI8-$AH8-$AG8-$AF8-$AE8*(1+IJ$3))/$AJ8,Уголь_коэфф!$A:$B,2,1),(II8-0.05)))</f>
        <v>1</v>
      </c>
      <c r="IK8" s="102">
        <f>MIN(1,MAX(VLOOKUP(($AJ8-$AI8-$AH8-$AG8-$AF8-$AE8*(1+IK$3))/$AJ8,Уголь_коэфф!$A:$B,2,1),(IJ8-0.05)))</f>
        <v>1</v>
      </c>
      <c r="IL8" s="102">
        <f>MIN(1,MAX(VLOOKUP(($AJ8-$AI8-$AH8-$AG8-$AF8-$AE8*(1+IL$3))/$AJ8,Уголь_коэфф!$A:$B,2,1),(IK8-0.05)))</f>
        <v>1</v>
      </c>
      <c r="IM8" s="102">
        <f>MIN(1,MAX(VLOOKUP(($AJ8-$AI8-$AH8-$AG8-$AF8-$AE8*(1+IM$3))/$AJ8,Уголь_коэфф!$A:$B,2,1),(IL8-0.05)))</f>
        <v>1</v>
      </c>
      <c r="IN8" s="102">
        <f>MIN(1,MAX(VLOOKUP(($AJ8-$AI8-$AH8-$AG8-$AF8-$AE8*(1+IN$3))/$AJ8,Уголь_коэфф!$A:$B,2,1),(IM8-0.05)))</f>
        <v>1</v>
      </c>
      <c r="IO8" s="102">
        <f>MIN(1,MAX(VLOOKUP(($AJ8-$AI8-$AH8-$AG8-$AF8-$AE8*(1+IO$3))/$AJ8,Уголь_коэфф!$A:$B,2,1),(IN8-0.05)))</f>
        <v>1</v>
      </c>
      <c r="IP8" s="102">
        <f>MIN(1,MAX(VLOOKUP(($AJ8-$AI8-$AH8-$AG8-$AF8-$AE8*(1+IP$3))/$AJ8,Уголь_коэфф!$A:$B,2,1),(IO8-0.05)))</f>
        <v>1</v>
      </c>
      <c r="IQ8" s="102">
        <f>MIN(1,MAX(VLOOKUP(($AJ8-$AI8-$AH8-$AG8-$AF8-$AE8*(1+IQ$3))/$AJ8,Уголь_коэфф!$A:$B,2,1),(IP8-0.05)))</f>
        <v>1</v>
      </c>
      <c r="IR8" s="102">
        <f>MIN(1,MAX(VLOOKUP(($AJ8-$AI8-$AH8-$AG8-$AF8-$AE8*(1+IR$3))/$AJ8,Уголь_коэфф!$A:$B,2,1),(IQ8-0.05)))</f>
        <v>1</v>
      </c>
      <c r="IS8" s="102">
        <f t="shared" si="20"/>
        <v>1</v>
      </c>
      <c r="IT8" s="102">
        <f t="shared" si="7"/>
        <v>1</v>
      </c>
      <c r="IU8" s="110"/>
    </row>
    <row r="9" spans="1:266" ht="14.6" customHeight="1">
      <c r="A9" t="s">
        <v>241</v>
      </c>
      <c r="B9" s="119">
        <v>1</v>
      </c>
      <c r="C9" s="120" t="s">
        <v>16</v>
      </c>
      <c r="D9" s="121">
        <v>16111</v>
      </c>
      <c r="E9" s="121" t="s">
        <v>17</v>
      </c>
      <c r="F9" s="120" t="s">
        <v>18</v>
      </c>
      <c r="G9" s="120" t="s">
        <v>29</v>
      </c>
      <c r="H9" s="121" t="s">
        <v>34</v>
      </c>
      <c r="I9" s="120" t="s">
        <v>52</v>
      </c>
      <c r="J9" s="121" t="s">
        <v>55</v>
      </c>
      <c r="K9" s="121">
        <v>5362</v>
      </c>
      <c r="L9" s="121" t="s">
        <v>22</v>
      </c>
      <c r="M9" s="121" t="s">
        <v>23</v>
      </c>
      <c r="N9" s="121" t="s">
        <v>24</v>
      </c>
      <c r="O9" s="121" t="s">
        <v>36</v>
      </c>
      <c r="P9" s="124">
        <v>78465421</v>
      </c>
      <c r="Q9" s="122" t="s">
        <v>54</v>
      </c>
      <c r="R9" s="121" t="s">
        <v>51</v>
      </c>
      <c r="S9" s="125">
        <v>744502</v>
      </c>
      <c r="T9" s="123">
        <v>3991785157</v>
      </c>
      <c r="U9" s="123">
        <v>10404</v>
      </c>
      <c r="V9" s="123"/>
      <c r="W9" s="126">
        <v>1516719886</v>
      </c>
      <c r="X9" s="104">
        <v>69</v>
      </c>
      <c r="Y9" s="104" t="s">
        <v>163</v>
      </c>
      <c r="Z9" s="107">
        <v>12</v>
      </c>
      <c r="AA9" s="107">
        <v>12</v>
      </c>
      <c r="AB9" s="107">
        <v>4</v>
      </c>
      <c r="AC9" s="88">
        <v>2334.86</v>
      </c>
      <c r="AD9" s="88">
        <v>1086.3399999999997</v>
      </c>
      <c r="AE9" s="88">
        <f t="shared" si="21"/>
        <v>3421.2</v>
      </c>
      <c r="AF9" s="89">
        <f>'Цены,перевалка,аренда'!$C$27*SUM(Уголь_эластика_экспорт!Z9+Уголь_эластика_экспорт!AA9+Уголь_эластика_экспорт!AB9)/Уголь_эластика_экспорт!X9</f>
        <v>284.05797101449275</v>
      </c>
      <c r="AG9" s="90">
        <f>SUMIF('Цены,перевалка,аренда'!$A$20:$A$22,Уголь_эластика_экспорт!$O9,'Цены,перевалка,аренда'!$D$20:$D$22)</f>
        <v>991.97149999999988</v>
      </c>
      <c r="AH9" s="47"/>
      <c r="AI9" s="91">
        <v>586</v>
      </c>
      <c r="AJ9" s="92">
        <f>SUMIF('Цены,перевалка,аренда'!$A$5:$A$17,Уголь_эластика_экспорт!A9,'Цены,перевалка,аренда'!$D$5:$D$17)</f>
        <v>7249.0224999999991</v>
      </c>
      <c r="AK9" s="47">
        <f>AJ9/'Цены,перевалка,аренда'!$C$1</f>
        <v>95</v>
      </c>
      <c r="AL9" s="47">
        <f t="shared" si="9"/>
        <v>4697.2294710144924</v>
      </c>
      <c r="AM9" s="47">
        <f t="shared" si="10"/>
        <v>2551.7930289855067</v>
      </c>
      <c r="AN9" s="47">
        <f t="shared" si="11"/>
        <v>5283.2294710144924</v>
      </c>
      <c r="AO9" s="93">
        <f t="shared" si="12"/>
        <v>0.27118042866959052</v>
      </c>
      <c r="AP9" s="94">
        <f t="shared" si="13"/>
        <v>0.64798108586564507</v>
      </c>
      <c r="AQ9" s="94">
        <f t="shared" si="5"/>
        <v>0.47195328749496918</v>
      </c>
      <c r="AR9" s="94">
        <f t="shared" si="6"/>
        <v>0.72834423378960456</v>
      </c>
      <c r="AS9" s="167">
        <f t="shared" si="14"/>
        <v>1</v>
      </c>
      <c r="AT9" s="173">
        <f t="shared" si="15"/>
        <v>744502</v>
      </c>
      <c r="AU9" s="97">
        <v>1</v>
      </c>
      <c r="AV9" s="93">
        <f t="shared" si="16"/>
        <v>0.22398509992009363</v>
      </c>
      <c r="AW9" s="94">
        <f t="shared" si="17"/>
        <v>0.69517641461514201</v>
      </c>
      <c r="AX9" s="94">
        <f t="shared" si="18"/>
        <v>0.51914861624446618</v>
      </c>
      <c r="AY9" s="94">
        <f t="shared" si="19"/>
        <v>0.74678686636955749</v>
      </c>
      <c r="AZ9" s="102">
        <f>MIN(IF($AU9=100%,1,1+VLOOKUP(($AJ9-$AI9-$AH9-$AG9-$AF9-$AE9*(1+AZ$3))/$AJ9,Уголь_коэфф!$A:$B,2,1)-VLOOKUP($AO9,Уголь_коэфф!$A:$B,2,1)),1+(1-$AU9))</f>
        <v>1</v>
      </c>
      <c r="BA9" s="102">
        <f>MIN(IF($AU9=100%,1,1+VLOOKUP(($AJ9-$AI9-$AH9-$AG9-$AF9-$AE9*(1+BA$3))/$AJ9,Уголь_коэфф!$A:$B,2,1)-VLOOKUP($AO9,Уголь_коэфф!$A:$B,2,1)),1+(1-$AU9))</f>
        <v>1</v>
      </c>
      <c r="BB9" s="102">
        <f>MIN(IF($AU9=100%,1,1+VLOOKUP(($AJ9-$AI9-$AH9-$AG9-$AF9-$AE9*(1+BB$3))/$AJ9,Уголь_коэфф!$A:$B,2,1)-VLOOKUP($AO9,Уголь_коэфф!$A:$B,2,1)),1+(1-$AU9))</f>
        <v>1</v>
      </c>
      <c r="BC9" s="102">
        <f>MIN(IF($AU9=100%,1,1+VLOOKUP(($AJ9-$AI9-$AH9-$AG9-$AF9-$AE9*(1+BC$3))/$AJ9,Уголь_коэфф!$A:$B,2,1)-VLOOKUP($AO9,Уголь_коэфф!$A:$B,2,1)),1+(1-$AU9))</f>
        <v>1</v>
      </c>
      <c r="BD9" s="102">
        <f>MIN(IF($AU9=100%,1,1+VLOOKUP(($AJ9-$AI9-$AH9-$AG9-$AF9-$AE9*(1+BD$3))/$AJ9,Уголь_коэфф!$A:$B,2,1)-VLOOKUP($AO9,Уголь_коэфф!$A:$B,2,1)),1+(1-$AU9))</f>
        <v>1</v>
      </c>
      <c r="BE9" s="102">
        <f>MIN(IF($AU9=100%,1,1+VLOOKUP(($AJ9-$AI9-$AH9-$AG9-$AF9-$AE9*(1+BE$3))/$AJ9,Уголь_коэфф!$A:$B,2,1)-VLOOKUP($AO9,Уголь_коэфф!$A:$B,2,1)),1+(1-$AU9))</f>
        <v>1</v>
      </c>
      <c r="BF9" s="102">
        <f>MIN(IF($AU9=100%,1,1+VLOOKUP(($AJ9-$AI9-$AH9-$AG9-$AF9-$AE9*(1+BF$3))/$AJ9,Уголь_коэфф!$A:$B,2,1)-VLOOKUP($AO9,Уголь_коэфф!$A:$B,2,1)),1+(1-$AU9))</f>
        <v>1</v>
      </c>
      <c r="BG9" s="102">
        <f>MIN(IF($AU9=100%,1,1+VLOOKUP(($AJ9-$AI9-$AH9-$AG9-$AF9-$AE9*(1+BG$3))/$AJ9,Уголь_коэфф!$A:$B,2,1)-VLOOKUP($AO9,Уголь_коэфф!$A:$B,2,1)),1+(1-$AU9))</f>
        <v>1</v>
      </c>
      <c r="BH9" s="102">
        <f>MIN(IF($AU9=100%,1,1+VLOOKUP(($AJ9-$AI9-$AH9-$AG9-$AF9-$AE9*(1+BH$3))/$AJ9,Уголь_коэфф!$A:$B,2,1)-VLOOKUP($AO9,Уголь_коэфф!$A:$B,2,1)),1+(1-$AU9))</f>
        <v>1</v>
      </c>
      <c r="BI9" s="102">
        <f>MIN(IF($AU9=100%,1,1+VLOOKUP(($AJ9-$AI9-$AH9-$AG9-$AF9-$AE9*(1+BI$3))/$AJ9,Уголь_коэфф!$A:$B,2,1)-VLOOKUP($AO9,Уголь_коэфф!$A:$B,2,1)),1+(1-$AU9))</f>
        <v>1</v>
      </c>
      <c r="BJ9" s="102">
        <f>MIN(IF($AU9=100%,1,1+VLOOKUP(($AJ9-$AI9-$AH9-$AG9-$AF9-$AE9*(1+BJ$3))/$AJ9,Уголь_коэфф!$A:$B,2,1)-VLOOKUP($AO9,Уголь_коэфф!$A:$B,2,1)),1+(1-$AU9))</f>
        <v>1</v>
      </c>
      <c r="BK9" s="102">
        <f>MIN(IF($AU9=100%,1,1+VLOOKUP(($AJ9-$AI9-$AH9-$AG9-$AF9-$AE9*(1+BK$3))/$AJ9,Уголь_коэфф!$A:$B,2,1)-VLOOKUP($AO9,Уголь_коэфф!$A:$B,2,1)),1+(1-$AU9))</f>
        <v>1</v>
      </c>
      <c r="BL9" s="102">
        <f>MIN(IF($AU9=100%,1,1+VLOOKUP(($AJ9-$AI9-$AH9-$AG9-$AF9-$AE9*(1+BL$3))/$AJ9,Уголь_коэфф!$A:$B,2,1)-VLOOKUP($AO9,Уголь_коэфф!$A:$B,2,1)),1+(1-$AU9))</f>
        <v>1</v>
      </c>
      <c r="BM9" s="102">
        <f>MIN(IF($AU9=100%,1,1+VLOOKUP(($AJ9-$AI9-$AH9-$AG9-$AF9-$AE9*(1+BM$3))/$AJ9,Уголь_коэфф!$A:$B,2,1)-VLOOKUP($AO9,Уголь_коэфф!$A:$B,2,1)),1+(1-$AU9))</f>
        <v>1</v>
      </c>
      <c r="BN9" s="102">
        <f>MIN(IF($AU9=100%,1,1+VLOOKUP(($AJ9-$AI9-$AH9-$AG9-$AF9-$AE9*(1+BN$3))/$AJ9,Уголь_коэфф!$A:$B,2,1)-VLOOKUP($AO9,Уголь_коэфф!$A:$B,2,1)),1+(1-$AU9))</f>
        <v>1</v>
      </c>
      <c r="BO9" s="102">
        <f>MIN(IF($AU9=100%,1,1+VLOOKUP(($AJ9-$AI9-$AH9-$AG9-$AF9-$AE9*(1+BO$3))/$AJ9,Уголь_коэфф!$A:$B,2,1)-VLOOKUP($AO9,Уголь_коэфф!$A:$B,2,1)),1+(1-$AU9))</f>
        <v>1</v>
      </c>
      <c r="BP9" s="102">
        <f>MIN(IF($AU9=100%,1,1+VLOOKUP(($AJ9-$AI9-$AH9-$AG9-$AF9-$AE9*(1+BP$3))/$AJ9,Уголь_коэфф!$A:$B,2,1)-VLOOKUP($AO9,Уголь_коэфф!$A:$B,2,1)),1+(1-$AU9))</f>
        <v>1</v>
      </c>
      <c r="BQ9" s="102">
        <f>MIN(IF($AU9=100%,1,1+VLOOKUP(($AJ9-$AI9-$AH9-$AG9-$AF9-$AE9*(1+BQ$3))/$AJ9,Уголь_коэфф!$A:$B,2,1)-VLOOKUP($AO9,Уголь_коэфф!$A:$B,2,1)),1+(1-$AU9))</f>
        <v>1</v>
      </c>
      <c r="BR9" s="102">
        <f>MIN(IF($AU9=100%,1,1+VLOOKUP(($AJ9-$AI9-$AH9-$AG9-$AF9-$AE9*(1+BR$3))/$AJ9,Уголь_коэфф!$A:$B,2,1)-VLOOKUP($AO9,Уголь_коэфф!$A:$B,2,1)),1+(1-$AU9))</f>
        <v>1</v>
      </c>
      <c r="BS9" s="102">
        <f>MIN(IF($AU9=100%,1,1+VLOOKUP(($AJ9-$AI9-$AH9-$AG9-$AF9-$AE9*(1+BS$3))/$AJ9,Уголь_коэфф!$A:$B,2,1)-VLOOKUP($AO9,Уголь_коэфф!$A:$B,2,1)),1+(1-$AU9))</f>
        <v>1</v>
      </c>
      <c r="BT9" s="102">
        <f>MIN(IF($AU9=100%,1,1+VLOOKUP(($AJ9-$AI9-$AH9-$AG9-$AF9-$AE9*(1+BT$3))/$AJ9,Уголь_коэфф!$A:$B,2,1)-VLOOKUP($AO9,Уголь_коэфф!$A:$B,2,1)),1+(1-$AU9))</f>
        <v>1</v>
      </c>
      <c r="BU9" s="102">
        <f>MIN(IF($AU9=100%,1,1+VLOOKUP(($AJ9-$AI9-$AH9-$AG9-$AF9-$AE9*(1+BU$3))/$AJ9,Уголь_коэфф!$A:$B,2,1)-VLOOKUP($AO9,Уголь_коэфф!$A:$B,2,1)),1+(1-$AU9))</f>
        <v>1</v>
      </c>
      <c r="BV9" s="102">
        <f>MIN(IF($AU9=100%,1,1+VLOOKUP(($AJ9-$AI9-$AH9-$AG9-$AF9-$AE9*(1+BV$3))/$AJ9,Уголь_коэфф!$A:$B,2,1)-VLOOKUP($AO9,Уголь_коэфф!$A:$B,2,1)),1+(1-$AU9))</f>
        <v>1</v>
      </c>
      <c r="BW9" s="102">
        <f>MIN(IF($AU9=100%,1,1+VLOOKUP(($AJ9-$AI9-$AH9-$AG9-$AF9-$AE9*(1+BW$3))/$AJ9,Уголь_коэфф!$A:$B,2,1)-VLOOKUP($AO9,Уголь_коэфф!$A:$B,2,1)),1+(1-$AU9))</f>
        <v>1</v>
      </c>
      <c r="BX9" s="102">
        <f>MIN(IF($AU9=100%,1,1+VLOOKUP(($AJ9-$AI9-$AH9-$AG9-$AF9-$AE9*(1+BX$3))/$AJ9,Уголь_коэфф!$A:$B,2,1)-VLOOKUP($AO9,Уголь_коэфф!$A:$B,2,1)),1+(1-$AU9))</f>
        <v>1</v>
      </c>
      <c r="BY9" s="102">
        <f>MIN(IF($AU9=100%,1,1+VLOOKUP(($AJ9-$AI9-$AH9-$AG9-$AF9-$AE9*(1+BY$3))/$AJ9,Уголь_коэфф!$A:$B,2,1)-VLOOKUP($AO9,Уголь_коэфф!$A:$B,2,1)),1+(1-$AU9))</f>
        <v>1</v>
      </c>
      <c r="BZ9" s="102">
        <f>MIN(IF($AU9=100%,1,1+VLOOKUP(($AJ9-$AI9-$AH9-$AG9-$AF9-$AE9*(1+BZ$3))/$AJ9,Уголь_коэфф!$A:$B,2,1)-VLOOKUP($AO9,Уголь_коэфф!$A:$B,2,1)),1+(1-$AU9))</f>
        <v>1</v>
      </c>
      <c r="CA9" s="102">
        <f>MIN(IF($AU9=100%,1,1+VLOOKUP(($AJ9-$AI9-$AH9-$AG9-$AF9-$AE9*(1+CA$3))/$AJ9,Уголь_коэфф!$A:$B,2,1)-VLOOKUP($AO9,Уголь_коэфф!$A:$B,2,1)),1+(1-$AU9))</f>
        <v>1</v>
      </c>
      <c r="CB9" s="102">
        <f>MIN(IF($AU9=100%,1,1+VLOOKUP(($AJ9-$AI9-$AH9-$AG9-$AF9-$AE9*(1+CB$3))/$AJ9,Уголь_коэфф!$A:$B,2,1)-VLOOKUP($AO9,Уголь_коэфф!$A:$B,2,1)),1+(1-$AU9))</f>
        <v>1</v>
      </c>
      <c r="CC9" s="102">
        <f>MIN(IF($AU9=100%,1,1+VLOOKUP(($AJ9-$AI9-$AH9-$AG9-$AF9-$AE9*(1+CC$3))/$AJ9,Уголь_коэфф!$A:$B,2,1)-VLOOKUP($AO9,Уголь_коэфф!$A:$B,2,1)),1+(1-$AU9))</f>
        <v>1</v>
      </c>
      <c r="CD9" s="102">
        <f>MIN(IF($AU9=100%,1,1+VLOOKUP(($AJ9-$AI9-$AH9-$AG9-$AF9-$AE9*(1+CD$3))/$AJ9,Уголь_коэфф!$A:$B,2,1)-VLOOKUP($AO9,Уголь_коэфф!$A:$B,2,1)),1+(1-$AU9))</f>
        <v>1</v>
      </c>
      <c r="CE9" s="102">
        <f>MIN(IF($AU9=100%,1,1+VLOOKUP(($AJ9-$AI9-$AH9-$AG9-$AF9-$AE9*(1+CE$3))/$AJ9,Уголь_коэфф!$A:$B,2,1)-VLOOKUP($AO9,Уголь_коэфф!$A:$B,2,1)),1+(1-$AU9))</f>
        <v>1</v>
      </c>
      <c r="CF9" s="102">
        <f>MIN(IF($AU9=100%,1,1+VLOOKUP(($AJ9-$AI9-$AH9-$AG9-$AF9-$AE9*(1+CF$3))/$AJ9,Уголь_коэфф!$A:$B,2,1)-VLOOKUP($AO9,Уголь_коэфф!$A:$B,2,1)),1+(1-$AU9))</f>
        <v>1</v>
      </c>
      <c r="CG9" s="102">
        <f>MIN(IF($AU9=100%,1,1+VLOOKUP(($AJ9-$AI9-$AH9-$AG9-$AF9-$AE9*(1+CG$3))/$AJ9,Уголь_коэфф!$A:$B,2,1)-VLOOKUP($AO9,Уголь_коэфф!$A:$B,2,1)),1+(1-$AU9))</f>
        <v>1</v>
      </c>
      <c r="CH9" s="102">
        <f>MIN(IF($AU9=100%,1,1+VLOOKUP(($AJ9-$AI9-$AH9-$AG9-$AF9-$AE9*(1+CH$3))/$AJ9,Уголь_коэфф!$A:$B,2,1)-VLOOKUP($AO9,Уголь_коэфф!$A:$B,2,1)),1+(1-$AU9))</f>
        <v>1</v>
      </c>
      <c r="CI9" s="102">
        <f>MIN(IF($AU9=100%,1,1+VLOOKUP(($AJ9-$AI9-$AH9-$AG9-$AF9-$AE9*(1+CI$3))/$AJ9,Уголь_коэфф!$A:$B,2,1)-VLOOKUP($AO9,Уголь_коэфф!$A:$B,2,1)),1+(1-$AU9))</f>
        <v>1</v>
      </c>
      <c r="CJ9" s="102">
        <f>MIN(IF($AU9=100%,1,1+VLOOKUP(($AJ9-$AI9-$AH9-$AG9-$AF9-$AE9*(1+CJ$3))/$AJ9,Уголь_коэфф!$A:$B,2,1)-VLOOKUP($AO9,Уголь_коэфф!$A:$B,2,1)),1+(1-$AU9))</f>
        <v>1</v>
      </c>
      <c r="CK9" s="102">
        <f>MIN(IF($AU9=100%,1,1+VLOOKUP(($AJ9-$AI9-$AH9-$AG9-$AF9-$AE9*(1+CK$3))/$AJ9,Уголь_коэфф!$A:$B,2,1)-VLOOKUP($AO9,Уголь_коэфф!$A:$B,2,1)),1+(1-$AU9))</f>
        <v>1</v>
      </c>
      <c r="CL9" s="102">
        <f>MIN(IF($AU9=100%,1,1+VLOOKUP(($AJ9-$AI9-$AH9-$AG9-$AF9-$AE9*(1+CL$3))/$AJ9,Уголь_коэфф!$A:$B,2,1)-VLOOKUP($AO9,Уголь_коэфф!$A:$B,2,1)),1+(1-$AU9))</f>
        <v>1</v>
      </c>
      <c r="CM9" s="102">
        <f>MIN(IF($AU9=100%,1,1+VLOOKUP(($AJ9-$AI9-$AH9-$AG9-$AF9-$AE9*(1+CM$3))/$AJ9,Уголь_коэфф!$A:$B,2,1)-VLOOKUP($AO9,Уголь_коэфф!$A:$B,2,1)),1+(1-$AU9))</f>
        <v>1</v>
      </c>
      <c r="CN9" s="102">
        <f>MIN(IF($AU9=100%,1,1+VLOOKUP(($AJ9-$AI9-$AH9-$AG9-$AF9-$AE9*(1+CN$3))/$AJ9,Уголь_коэфф!$A:$B,2,1)-VLOOKUP($AO9,Уголь_коэфф!$A:$B,2,1)),1+(1-$AU9))</f>
        <v>1</v>
      </c>
      <c r="CO9" s="102">
        <f>MIN(IF($AU9=100%,1,1+VLOOKUP(($AJ9-$AI9-$AH9-$AG9-$AF9-$AE9*(1+CO$3))/$AJ9,Уголь_коэфф!$A:$B,2,1)-VLOOKUP($AO9,Уголь_коэфф!$A:$B,2,1)),1+(1-$AU9))</f>
        <v>1</v>
      </c>
      <c r="CP9" s="102">
        <f>MIN(IF($AU9=100%,1,1+VLOOKUP(($AJ9-$AI9-$AH9-$AG9-$AF9-$AE9*(1+CP$3))/$AJ9,Уголь_коэфф!$A:$B,2,1)-VLOOKUP($AO9,Уголь_коэфф!$A:$B,2,1)),1+(1-$AU9))</f>
        <v>1</v>
      </c>
      <c r="CQ9" s="102">
        <f>MIN(IF($AU9=100%,1,1+VLOOKUP(($AJ9-$AI9-$AH9-$AG9-$AF9-$AE9*(1+CQ$3))/$AJ9,Уголь_коэфф!$A:$B,2,1)-VLOOKUP($AO9,Уголь_коэфф!$A:$B,2,1)),1+(1-$AU9))</f>
        <v>1</v>
      </c>
      <c r="CR9" s="102">
        <f>MIN(IF($AU9=100%,1,1+VLOOKUP(($AJ9-$AI9-$AH9-$AG9-$AF9-$AE9*(1+CR$3))/$AJ9,Уголь_коэфф!$A:$B,2,1)-VLOOKUP($AO9,Уголь_коэфф!$A:$B,2,1)),1+(1-$AU9))</f>
        <v>1</v>
      </c>
      <c r="CS9" s="102">
        <f>MIN(IF($AU9=100%,1,1+VLOOKUP(($AJ9-$AI9-$AH9-$AG9-$AF9-$AE9*(1+CS$3))/$AJ9,Уголь_коэфф!$A:$B,2,1)-VLOOKUP($AO9,Уголь_коэфф!$A:$B,2,1)),1+(1-$AU9))</f>
        <v>1</v>
      </c>
      <c r="CT9" s="102">
        <f>MIN(IF($AU9=100%,1,1+VLOOKUP(($AJ9-$AI9-$AH9-$AG9-$AF9-$AE9*(1+CT$3))/$AJ9,Уголь_коэфф!$A:$B,2,1)-VLOOKUP($AO9,Уголь_коэфф!$A:$B,2,1)),1+(1-$AU9))</f>
        <v>1</v>
      </c>
      <c r="CU9" s="102">
        <f>MIN(IF($AU9=100%,1,1+VLOOKUP(($AJ9-$AI9-$AH9-$AG9-$AF9-$AE9*(1+CU$3))/$AJ9,Уголь_коэфф!$A:$B,2,1)-VLOOKUP($AO9,Уголь_коэфф!$A:$B,2,1)),1+(1-$AU9))</f>
        <v>1</v>
      </c>
      <c r="CV9" s="102">
        <f>MIN(IF($AU9=100%,1,1+VLOOKUP(($AJ9-$AI9-$AH9-$AG9-$AF9-$AE9*(1+CV$3))/$AJ9,Уголь_коэфф!$A:$B,2,1)-VLOOKUP($AO9,Уголь_коэфф!$A:$B,2,1)),1+(1-$AU9))</f>
        <v>1</v>
      </c>
      <c r="CW9" s="102">
        <f>MIN(IF($AU9=100%,1,1+VLOOKUP(($AJ9-$AI9-$AH9-$AG9-$AF9-$AE9*(1+CW$3))/$AJ9,Уголь_коэфф!$A:$B,2,1)-VLOOKUP($AO9,Уголь_коэфф!$A:$B,2,1)),1+(1-$AU9))</f>
        <v>1</v>
      </c>
      <c r="CX9" s="102">
        <f>MIN(IF($AU9=100%,1,1+VLOOKUP(($AJ9-$AI9-$AH9-$AG9-$AF9-$AE9*(1+CX$3))/$AJ9,Уголь_коэфф!$A:$B,2,1)-VLOOKUP($AO9,Уголь_коэфф!$A:$B,2,1)),1+(1-$AU9))</f>
        <v>1</v>
      </c>
      <c r="CY9" s="102">
        <f>MIN(IF($AU9=100%,1,1+VLOOKUP(($AJ9-$AI9-$AH9-$AG9-$AF9-$AE9*(1+CY$3))/$AJ9,Уголь_коэфф!$A:$B,2,1)-VLOOKUP($AO9,Уголь_коэфф!$A:$B,2,1)),1+(1-$AU9))</f>
        <v>1</v>
      </c>
      <c r="CZ9" s="102">
        <f>MIN(IF($AU9=100%,1,1+VLOOKUP(($AJ9-$AI9-$AH9-$AG9-$AF9-$AE9*(1+CZ$3))/$AJ9,Уголь_коэфф!$A:$B,2,1)-VLOOKUP($AO9,Уголь_коэфф!$A:$B,2,1)),1+(1-$AU9))</f>
        <v>1</v>
      </c>
      <c r="DA9" s="102">
        <f>MIN(IF($AU9=100%,1,1+VLOOKUP(($AJ9-$AI9-$AH9-$AG9-$AF9-$AE9*(1+DA$3))/$AJ9,Уголь_коэфф!$A:$B,2,1)-VLOOKUP($AO9,Уголь_коэфф!$A:$B,2,1)),1+(1-$AU9))</f>
        <v>1</v>
      </c>
      <c r="DB9" s="102">
        <f>MIN(IF($AU9=100%,1,1+VLOOKUP(($AJ9-$AI9-$AH9-$AG9-$AF9-$AE9*(1+DB$3))/$AJ9,Уголь_коэфф!$A:$B,2,1)-VLOOKUP($AO9,Уголь_коэфф!$A:$B,2,1)),1+(1-$AU9))</f>
        <v>1</v>
      </c>
      <c r="DC9" s="102">
        <f>MIN(IF($AU9=100%,1,1+VLOOKUP(($AJ9-$AI9-$AH9-$AG9-$AF9-$AE9*(1+DC$3))/$AJ9,Уголь_коэфф!$A:$B,2,1)-VLOOKUP($AO9,Уголь_коэфф!$A:$B,2,1)),1+(1-$AU9))</f>
        <v>1</v>
      </c>
      <c r="DD9" s="102">
        <f>MIN(IF($AU9=100%,1,1+VLOOKUP(($AJ9-$AI9-$AH9-$AG9-$AF9-$AE9*(1+DD$3))/$AJ9,Уголь_коэфф!$A:$B,2,1)-VLOOKUP($AO9,Уголь_коэфф!$A:$B,2,1)),1+(1-$AU9))</f>
        <v>1</v>
      </c>
      <c r="DE9" s="102">
        <f>MIN(IF($AU9=100%,1,1+VLOOKUP(($AJ9-$AI9-$AH9-$AG9-$AF9-$AE9*(1+DE$3))/$AJ9,Уголь_коэфф!$A:$B,2,1)-VLOOKUP($AO9,Уголь_коэфф!$A:$B,2,1)),1+(1-$AU9))</f>
        <v>1</v>
      </c>
      <c r="DF9" s="102">
        <f>MIN(IF($AU9=100%,1,1+VLOOKUP(($AJ9-$AI9-$AH9-$AG9-$AF9-$AE9*(1+DF$3))/$AJ9,Уголь_коэфф!$A:$B,2,1)-VLOOKUP($AO9,Уголь_коэфф!$A:$B,2,1)),1+(1-$AU9))</f>
        <v>1</v>
      </c>
      <c r="DG9" s="102">
        <f>MIN(IF($AU9=100%,1,1+VLOOKUP(($AJ9-$AI9-$AH9-$AG9-$AF9-$AE9*(1+DG$3))/$AJ9,Уголь_коэфф!$A:$B,2,1)-VLOOKUP($AO9,Уголь_коэфф!$A:$B,2,1)),1+(1-$AU9))</f>
        <v>1</v>
      </c>
      <c r="DH9" s="102">
        <f>MIN(IF($AU9=100%,1,1+VLOOKUP(($AJ9-$AI9-$AH9-$AG9-$AF9-$AE9*(1+DH$3))/$AJ9,Уголь_коэфф!$A:$B,2,1)-VLOOKUP($AO9,Уголь_коэфф!$A:$B,2,1)),1+(1-$AU9))</f>
        <v>1</v>
      </c>
      <c r="DI9" s="102">
        <f>MIN(IF($AU9=100%,1,1+VLOOKUP(($AJ9-$AI9-$AH9-$AG9-$AF9-$AE9*(1+DI$3))/$AJ9,Уголь_коэфф!$A:$B,2,1)-VLOOKUP($AO9,Уголь_коэфф!$A:$B,2,1)),1+(1-$AU9))</f>
        <v>1</v>
      </c>
      <c r="DJ9" s="102">
        <f>MIN(IF($AU9=100%,1,1+VLOOKUP(($AJ9-$AI9-$AH9-$AG9-$AF9-$AE9*(1+DJ$3))/$AJ9,Уголь_коэфф!$A:$B,2,1)-VLOOKUP($AO9,Уголь_коэфф!$A:$B,2,1)),1+(1-$AU9))</f>
        <v>1</v>
      </c>
      <c r="DK9" s="102">
        <f>MIN(IF($AU9=100%,1,1+VLOOKUP(($AJ9-$AI9-$AH9-$AG9-$AF9-$AE9*(1+DK$3))/$AJ9,Уголь_коэфф!$A:$B,2,1)-VLOOKUP($AO9,Уголь_коэфф!$A:$B,2,1)),1+(1-$AU9))</f>
        <v>1</v>
      </c>
      <c r="DL9" s="102">
        <f>MIN(IF($AU9=100%,1,1+VLOOKUP(($AJ9-$AI9-$AH9-$AG9-$AF9-$AE9*(1+DL$3))/$AJ9,Уголь_коэфф!$A:$B,2,1)-VLOOKUP($AO9,Уголь_коэфф!$A:$B,2,1)),1+(1-$AU9))</f>
        <v>1</v>
      </c>
      <c r="DM9" s="102">
        <f>MIN(IF($AU9=100%,1,1+VLOOKUP(($AJ9-$AI9-$AH9-$AG9-$AF9-$AE9*(1+DM$3))/$AJ9,Уголь_коэфф!$A:$B,2,1)-VLOOKUP($AO9,Уголь_коэфф!$A:$B,2,1)),1+(1-$AU9))</f>
        <v>1</v>
      </c>
      <c r="DN9" s="102">
        <f>MIN(IF($AU9=100%,1,1+VLOOKUP(($AJ9-$AI9-$AH9-$AG9-$AF9-$AE9*(1+DN$3))/$AJ9,Уголь_коэфф!$A:$B,2,1)-VLOOKUP($AO9,Уголь_коэфф!$A:$B,2,1)),1+(1-$AU9))</f>
        <v>1</v>
      </c>
      <c r="DO9" s="102">
        <f>MIN(IF($AU9=100%,1,1+VLOOKUP(($AJ9-$AI9-$AH9-$AG9-$AF9-$AE9*(1+DO$3))/$AJ9,Уголь_коэфф!$A:$B,2,1)-VLOOKUP($AO9,Уголь_коэфф!$A:$B,2,1)),1+(1-$AU9))</f>
        <v>1</v>
      </c>
      <c r="DP9" s="102">
        <f>MIN(IF($AU9=100%,1,1+VLOOKUP(($AJ9-$AI9-$AH9-$AG9-$AF9-$AE9*(1+DP$3))/$AJ9,Уголь_коэфф!$A:$B,2,1)-VLOOKUP($AO9,Уголь_коэфф!$A:$B,2,1)),1+(1-$AU9))</f>
        <v>1</v>
      </c>
      <c r="DQ9" s="102">
        <f>MIN(IF($AU9=100%,1,1+VLOOKUP(($AJ9-$AI9-$AH9-$AG9-$AF9-$AE9*(1+DQ$3))/$AJ9,Уголь_коэфф!$A:$B,2,1)-VLOOKUP($AO9,Уголь_коэфф!$A:$B,2,1)),1+(1-$AU9))</f>
        <v>1</v>
      </c>
      <c r="DR9" s="102">
        <f>MIN(IF($AU9=100%,1,1+VLOOKUP(($AJ9-$AI9-$AH9-$AG9-$AF9-$AE9*(1+DR$3))/$AJ9,Уголь_коэфф!$A:$B,2,1)-VLOOKUP($AO9,Уголь_коэфф!$A:$B,2,1)),1+(1-$AU9))</f>
        <v>1</v>
      </c>
      <c r="DS9" s="102">
        <f>MIN(IF($AU9=100%,1,1+VLOOKUP(($AJ9-$AI9-$AH9-$AG9-$AF9-$AE9*(1+DS$3))/$AJ9,Уголь_коэфф!$A:$B,2,1)-VLOOKUP($AO9,Уголь_коэфф!$A:$B,2,1)),1+(1-$AU9))</f>
        <v>1</v>
      </c>
      <c r="DT9" s="102">
        <f>MIN(IF($AU9=100%,1,1+VLOOKUP(($AJ9-$AI9-$AH9-$AG9-$AF9-$AE9*(1+DT$3))/$AJ9,Уголь_коэфф!$A:$B,2,1)-VLOOKUP($AO9,Уголь_коэфф!$A:$B,2,1)),1+(1-$AU9))</f>
        <v>1</v>
      </c>
      <c r="DU9" s="102">
        <f>MIN(IF($AU9=100%,1,1+VLOOKUP(($AJ9-$AI9-$AH9-$AG9-$AF9-$AE9*(1+DU$3))/$AJ9,Уголь_коэфф!$A:$B,2,1)-VLOOKUP($AO9,Уголь_коэфф!$A:$B,2,1)),1+(1-$AU9))</f>
        <v>1</v>
      </c>
      <c r="DV9" s="102">
        <f>MIN(IF($AU9=100%,1,1+VLOOKUP(($AJ9-$AI9-$AH9-$AG9-$AF9-$AE9*(1+DV$3))/$AJ9,Уголь_коэфф!$A:$B,2,1)-VLOOKUP($AO9,Уголь_коэфф!$A:$B,2,1)),1+(1-$AU9))</f>
        <v>1</v>
      </c>
      <c r="DW9" s="102">
        <f>MIN(IF($AU9=100%,1,1+VLOOKUP(($AJ9-$AI9-$AH9-$AG9-$AF9-$AE9*(1+DW$3))/$AJ9,Уголь_коэфф!$A:$B,2,1)-VLOOKUP($AO9,Уголь_коэфф!$A:$B,2,1)),1+(1-$AU9))</f>
        <v>1</v>
      </c>
      <c r="DX9" s="102">
        <f>MIN(IF($AU9=100%,1,1+VLOOKUP(($AJ9-$AI9-$AH9-$AG9-$AF9-$AE9*(1+DX$3))/$AJ9,Уголь_коэфф!$A:$B,2,1)-VLOOKUP($AO9,Уголь_коэфф!$A:$B,2,1)),1+(1-$AU9))</f>
        <v>1</v>
      </c>
      <c r="DY9" s="102">
        <f>MIN(IF($AU9=100%,1,1+VLOOKUP(($AJ9-$AI9-$AH9-$AG9-$AF9-$AE9*(1+DY$3))/$AJ9,Уголь_коэфф!$A:$B,2,1)-VLOOKUP($AO9,Уголь_коэфф!$A:$B,2,1)),1+(1-$AU9))</f>
        <v>1</v>
      </c>
      <c r="DZ9" s="102">
        <f>MIN(IF($AU9=100%,1,1+VLOOKUP(($AJ9-$AI9-$AH9-$AG9-$AF9-$AE9*(1+DZ$3))/$AJ9,Уголь_коэфф!$A:$B,2,1)-VLOOKUP($AO9,Уголь_коэфф!$A:$B,2,1)),1+(1-$AU9))</f>
        <v>1</v>
      </c>
      <c r="EA9" s="102">
        <f>MIN(IF($AU9=100%,1,1+VLOOKUP(($AJ9-$AI9-$AH9-$AG9-$AF9-$AE9*(1+EA$3))/$AJ9,Уголь_коэфф!$A:$B,2,1)-VLOOKUP($AO9,Уголь_коэфф!$A:$B,2,1)),1+(1-$AU9))</f>
        <v>1</v>
      </c>
      <c r="EB9" s="102">
        <f>MIN(IF($AU9=100%,1,1+VLOOKUP(($AJ9-$AI9-$AH9-$AG9-$AF9-$AE9*(1+EB$3))/$AJ9,Уголь_коэфф!$A:$B,2,1)-VLOOKUP($AO9,Уголь_коэфф!$A:$B,2,1)),1+(1-$AU9))</f>
        <v>1</v>
      </c>
      <c r="EC9" s="102">
        <f>MIN(IF($AU9=100%,1,1+VLOOKUP(($AJ9-$AI9-$AH9-$AG9-$AF9-$AE9*(1+EC$3))/$AJ9,Уголь_коэфф!$A:$B,2,1)-VLOOKUP($AO9,Уголь_коэфф!$A:$B,2,1)),1+(1-$AU9))</f>
        <v>1</v>
      </c>
      <c r="ED9" s="102">
        <f>MIN(IF($AU9=100%,1,1+VLOOKUP(($AJ9-$AI9-$AH9-$AG9-$AF9-$AE9*(1+ED$3))/$AJ9,Уголь_коэфф!$A:$B,2,1)-VLOOKUP($AO9,Уголь_коэфф!$A:$B,2,1)),1+(1-$AU9))</f>
        <v>1</v>
      </c>
      <c r="EE9" s="102">
        <f>MIN(IF($AU9=100%,1,1+VLOOKUP(($AJ9-$AI9-$AH9-$AG9-$AF9-$AE9*(1+EE$3))/$AJ9,Уголь_коэфф!$A:$B,2,1)-VLOOKUP($AO9,Уголь_коэфф!$A:$B,2,1)),1+(1-$AU9))</f>
        <v>1</v>
      </c>
      <c r="EF9" s="102">
        <f>MIN(IF($AU9=100%,1,1+VLOOKUP(($AJ9-$AI9-$AH9-$AG9-$AF9-$AE9*(1+EF$3))/$AJ9,Уголь_коэфф!$A:$B,2,1)-VLOOKUP($AO9,Уголь_коэфф!$A:$B,2,1)),1+(1-$AU9))</f>
        <v>1</v>
      </c>
      <c r="EG9" s="102">
        <f>MIN(IF($AU9=100%,1,1+VLOOKUP(($AJ9-$AI9-$AH9-$AG9-$AF9-$AE9*(1+EG$3))/$AJ9,Уголь_коэфф!$A:$B,2,1)-VLOOKUP($AO9,Уголь_коэфф!$A:$B,2,1)),1+(1-$AU9))</f>
        <v>1</v>
      </c>
      <c r="EH9" s="102">
        <f>MIN(IF($AU9=100%,1,1+VLOOKUP(($AJ9-$AI9-$AH9-$AG9-$AF9-$AE9*(1+EH$3))/$AJ9,Уголь_коэфф!$A:$B,2,1)-VLOOKUP($AO9,Уголь_коэфф!$A:$B,2,1)),1+(1-$AU9))</f>
        <v>1</v>
      </c>
      <c r="EI9" s="102">
        <f>MIN(IF($AU9=100%,1,1+VLOOKUP(($AJ9-$AI9-$AH9-$AG9-$AF9-$AE9*(1+EI$3))/$AJ9,Уголь_коэфф!$A:$B,2,1)-VLOOKUP($AO9,Уголь_коэфф!$A:$B,2,1)),1+(1-$AU9))</f>
        <v>1</v>
      </c>
      <c r="EJ9" s="102">
        <f>MIN(IF($AU9=100%,1,1+VLOOKUP(($AJ9-$AI9-$AH9-$AG9-$AF9-$AE9*(1+EJ$3))/$AJ9,Уголь_коэфф!$A:$B,2,1)-VLOOKUP($AO9,Уголь_коэфф!$A:$B,2,1)),1+(1-$AU9))</f>
        <v>1</v>
      </c>
      <c r="EK9" s="102">
        <f>MIN(IF($AU9=100%,1,1+VLOOKUP(($AJ9-$AI9-$AH9-$AG9-$AF9-$AE9*(1+EK$3))/$AJ9,Уголь_коэфф!$A:$B,2,1)-VLOOKUP($AO9,Уголь_коэфф!$A:$B,2,1)),1+(1-$AU9))</f>
        <v>1</v>
      </c>
      <c r="EL9" s="102">
        <f>MIN(IF($AU9=100%,1,1+VLOOKUP(($AJ9-$AI9-$AH9-$AG9-$AF9-$AE9*(1+EL$3))/$AJ9,Уголь_коэфф!$A:$B,2,1)-VLOOKUP($AO9,Уголь_коэфф!$A:$B,2,1)),1+(1-$AU9))</f>
        <v>1</v>
      </c>
      <c r="EM9" s="102">
        <f>MIN(IF($AU9=100%,1,1+VLOOKUP(($AJ9-$AI9-$AH9-$AG9-$AF9-$AE9*(1+EM$3))/$AJ9,Уголь_коэфф!$A:$B,2,1)-VLOOKUP($AO9,Уголь_коэфф!$A:$B,2,1)),1+(1-$AU9))</f>
        <v>1</v>
      </c>
      <c r="EN9" s="102">
        <f>MIN(IF($AU9=100%,1,1+VLOOKUP(($AJ9-$AI9-$AH9-$AG9-$AF9-$AE9*(1+EN$3))/$AJ9,Уголь_коэфф!$A:$B,2,1)-VLOOKUP($AO9,Уголь_коэфф!$A:$B,2,1)),1+(1-$AU9))</f>
        <v>1</v>
      </c>
      <c r="EO9" s="102">
        <f>MIN(IF($AU9=100%,1,1+VLOOKUP(($AJ9-$AI9-$AH9-$AG9-$AF9-$AE9*(1+EO$3))/$AJ9,Уголь_коэфф!$A:$B,2,1)-VLOOKUP($AO9,Уголь_коэфф!$A:$B,2,1)),1+(1-$AU9))</f>
        <v>1</v>
      </c>
      <c r="EP9" s="102">
        <f>MIN(IF($AU9=100%,1,1+VLOOKUP(($AJ9-$AI9-$AH9-$AG9-$AF9-$AE9*(1+EP$3))/$AJ9,Уголь_коэфф!$A:$B,2,1)-VLOOKUP($AO9,Уголь_коэфф!$A:$B,2,1)),1+(1-$AU9))</f>
        <v>1</v>
      </c>
      <c r="EQ9" s="102">
        <f>MIN(IF($AU9=100%,1,1+VLOOKUP(($AJ9-$AI9-$AH9-$AG9-$AF9-$AE9*(1+EQ$3))/$AJ9,Уголь_коэфф!$A:$B,2,1)-VLOOKUP($AO9,Уголь_коэфф!$A:$B,2,1)),1+(1-$AU9))</f>
        <v>1</v>
      </c>
      <c r="ER9" s="102">
        <f>MIN(IF($AU9=100%,1,1+VLOOKUP(($AJ9-$AI9-$AH9-$AG9-$AF9-$AE9*(1+ER$3))/$AJ9,Уголь_коэфф!$A:$B,2,1)-VLOOKUP($AO9,Уголь_коэфф!$A:$B,2,1)),1+(1-$AU9))</f>
        <v>1</v>
      </c>
      <c r="ES9" s="102">
        <f>MIN(IF($AU9=100%,1,1+VLOOKUP(($AJ9-$AI9-$AH9-$AG9-$AF9-$AE9*(1+ES$3))/$AJ9,Уголь_коэфф!$A:$B,2,1)-VLOOKUP($AO9,Уголь_коэфф!$A:$B,2,1)),1+(1-$AU9))</f>
        <v>1</v>
      </c>
      <c r="ET9" s="102">
        <f>MIN(IF($AU9=100%,1,1+VLOOKUP(($AJ9-$AI9-$AH9-$AG9-$AF9-$AE9*(1+ET$3))/$AJ9,Уголь_коэфф!$A:$B,2,1)-VLOOKUP($AO9,Уголь_коэфф!$A:$B,2,1)),1+(1-$AU9))</f>
        <v>1</v>
      </c>
      <c r="EU9" s="102">
        <f>MIN(IF($AU9=100%,1,1+VLOOKUP(($AJ9-$AI9-$AH9-$AG9-$AF9-$AE9*(1+EU$3))/$AJ9,Уголь_коэфф!$A:$B,2,1)-VLOOKUP($AO9,Уголь_коэфф!$A:$B,2,1)),1+(1-$AU9))</f>
        <v>1</v>
      </c>
      <c r="EV9" s="103">
        <v>1</v>
      </c>
      <c r="EW9" s="102">
        <f>MIN(1,MAX(VLOOKUP(($AJ9-$AI9-$AH9-$AG9-$AF9-$AE9*(1+EW$3))/$AJ9,Уголь_коэфф!$A:$B,2,1),(EV9-0.05)))</f>
        <v>1</v>
      </c>
      <c r="EX9" s="102">
        <f>MIN(1,MAX(VLOOKUP(($AJ9-$AI9-$AH9-$AG9-$AF9-$AE9*(1+EX$3))/$AJ9,Уголь_коэфф!$A:$B,2,1),(EW9-0.05)))</f>
        <v>1</v>
      </c>
      <c r="EY9" s="102">
        <f>MIN(1,MAX(VLOOKUP(($AJ9-$AI9-$AH9-$AG9-$AF9-$AE9*(1+EY$3))/$AJ9,Уголь_коэфф!$A:$B,2,1),(EX9-0.05)))</f>
        <v>1</v>
      </c>
      <c r="EZ9" s="102">
        <f>MIN(1,MAX(VLOOKUP(($AJ9-$AI9-$AH9-$AG9-$AF9-$AE9*(1+EZ$3))/$AJ9,Уголь_коэфф!$A:$B,2,1),(EY9-0.05)))</f>
        <v>1</v>
      </c>
      <c r="FA9" s="102">
        <f>MIN(1,MAX(VLOOKUP(($AJ9-$AI9-$AH9-$AG9-$AF9-$AE9*(1+FA$3))/$AJ9,Уголь_коэфф!$A:$B,2,1),(EZ9-0.05)))</f>
        <v>1</v>
      </c>
      <c r="FB9" s="102">
        <f>MIN(1,MAX(VLOOKUP(($AJ9-$AI9-$AH9-$AG9-$AF9-$AE9*(1+FB$3))/$AJ9,Уголь_коэфф!$A:$B,2,1),(FA9-0.05)))</f>
        <v>1</v>
      </c>
      <c r="FC9" s="102">
        <f>MIN(1,MAX(VLOOKUP(($AJ9-$AI9-$AH9-$AG9-$AF9-$AE9*(1+FC$3))/$AJ9,Уголь_коэфф!$A:$B,2,1),(FB9-0.05)))</f>
        <v>1</v>
      </c>
      <c r="FD9" s="102">
        <f>MIN(1,MAX(VLOOKUP(($AJ9-$AI9-$AH9-$AG9-$AF9-$AE9*(1+FD$3))/$AJ9,Уголь_коэфф!$A:$B,2,1),(FC9-0.05)))</f>
        <v>1</v>
      </c>
      <c r="FE9" s="102">
        <f>MIN(1,MAX(VLOOKUP(($AJ9-$AI9-$AH9-$AG9-$AF9-$AE9*(1+FE$3))/$AJ9,Уголь_коэфф!$A:$B,2,1),(FD9-0.05)))</f>
        <v>1</v>
      </c>
      <c r="FF9" s="102">
        <f>MIN(1,MAX(VLOOKUP(($AJ9-$AI9-$AH9-$AG9-$AF9-$AE9*(1+FF$3))/$AJ9,Уголь_коэфф!$A:$B,2,1),(FE9-0.05)))</f>
        <v>1</v>
      </c>
      <c r="FG9" s="102">
        <f>MIN(1,MAX(VLOOKUP(($AJ9-$AI9-$AH9-$AG9-$AF9-$AE9*(1+FG$3))/$AJ9,Уголь_коэфф!$A:$B,2,1),(FF9-0.05)))</f>
        <v>1</v>
      </c>
      <c r="FH9" s="102">
        <f>MIN(1,MAX(VLOOKUP(($AJ9-$AI9-$AH9-$AG9-$AF9-$AE9*(1+FH$3))/$AJ9,Уголь_коэфф!$A:$B,2,1),(FG9-0.05)))</f>
        <v>1</v>
      </c>
      <c r="FI9" s="102">
        <f>MIN(1,MAX(VLOOKUP(($AJ9-$AI9-$AH9-$AG9-$AF9-$AE9*(1+FI$3))/$AJ9,Уголь_коэфф!$A:$B,2,1),(FH9-0.05)))</f>
        <v>1</v>
      </c>
      <c r="FJ9" s="102">
        <f>MIN(1,MAX(VLOOKUP(($AJ9-$AI9-$AH9-$AG9-$AF9-$AE9*(1+FJ$3))/$AJ9,Уголь_коэфф!$A:$B,2,1),(FI9-0.05)))</f>
        <v>1</v>
      </c>
      <c r="FK9" s="102">
        <f>MIN(1,MAX(VLOOKUP(($AJ9-$AI9-$AH9-$AG9-$AF9-$AE9*(1+FK$3))/$AJ9,Уголь_коэфф!$A:$B,2,1),(FJ9-0.05)))</f>
        <v>1</v>
      </c>
      <c r="FL9" s="102">
        <f>MIN(1,MAX(VLOOKUP(($AJ9-$AI9-$AH9-$AG9-$AF9-$AE9*(1+FL$3))/$AJ9,Уголь_коэфф!$A:$B,2,1),(FK9-0.05)))</f>
        <v>1</v>
      </c>
      <c r="FM9" s="102">
        <f>MIN(1,MAX(VLOOKUP(($AJ9-$AI9-$AH9-$AG9-$AF9-$AE9*(1+FM$3))/$AJ9,Уголь_коэфф!$A:$B,2,1),(FL9-0.05)))</f>
        <v>1</v>
      </c>
      <c r="FN9" s="102">
        <f>MIN(1,MAX(VLOOKUP(($AJ9-$AI9-$AH9-$AG9-$AF9-$AE9*(1+FN$3))/$AJ9,Уголь_коэфф!$A:$B,2,1),(FM9-0.05)))</f>
        <v>1</v>
      </c>
      <c r="FO9" s="102">
        <f>MIN(1,MAX(VLOOKUP(($AJ9-$AI9-$AH9-$AG9-$AF9-$AE9*(1+FO$3))/$AJ9,Уголь_коэфф!$A:$B,2,1),(FN9-0.05)))</f>
        <v>1</v>
      </c>
      <c r="FP9" s="102">
        <f>MIN(1,MAX(VLOOKUP(($AJ9-$AI9-$AH9-$AG9-$AF9-$AE9*(1+FP$3))/$AJ9,Уголь_коэфф!$A:$B,2,1),(FO9-0.05)))</f>
        <v>1</v>
      </c>
      <c r="FQ9" s="102">
        <f>MIN(1,MAX(VLOOKUP(($AJ9-$AI9-$AH9-$AG9-$AF9-$AE9*(1+FQ$3))/$AJ9,Уголь_коэфф!$A:$B,2,1),(FP9-0.05)))</f>
        <v>1</v>
      </c>
      <c r="FR9" s="102">
        <f>MIN(1,MAX(VLOOKUP(($AJ9-$AI9-$AH9-$AG9-$AF9-$AE9*(1+FR$3))/$AJ9,Уголь_коэфф!$A:$B,2,1),(FQ9-0.05)))</f>
        <v>1</v>
      </c>
      <c r="FS9" s="102">
        <f>MIN(1,MAX(VLOOKUP(($AJ9-$AI9-$AH9-$AG9-$AF9-$AE9*(1+FS$3))/$AJ9,Уголь_коэфф!$A:$B,2,1),(FR9-0.05)))</f>
        <v>1</v>
      </c>
      <c r="FT9" s="102">
        <f>MIN(1,MAX(VLOOKUP(($AJ9-$AI9-$AH9-$AG9-$AF9-$AE9*(1+FT$3))/$AJ9,Уголь_коэфф!$A:$B,2,1),(FS9-0.05)))</f>
        <v>1</v>
      </c>
      <c r="FU9" s="102">
        <f>MIN(1,MAX(VLOOKUP(($AJ9-$AI9-$AH9-$AG9-$AF9-$AE9*(1+FU$3))/$AJ9,Уголь_коэфф!$A:$B,2,1),(FT9-0.05)))</f>
        <v>1</v>
      </c>
      <c r="FV9" s="102">
        <f>MIN(1,MAX(VLOOKUP(($AJ9-$AI9-$AH9-$AG9-$AF9-$AE9*(1+FV$3))/$AJ9,Уголь_коэфф!$A:$B,2,1),(FU9-0.05)))</f>
        <v>1</v>
      </c>
      <c r="FW9" s="102">
        <f>MIN(1,MAX(VLOOKUP(($AJ9-$AI9-$AH9-$AG9-$AF9-$AE9*(1+FW$3))/$AJ9,Уголь_коэфф!$A:$B,2,1),(FV9-0.05)))</f>
        <v>1</v>
      </c>
      <c r="FX9" s="102">
        <f>MIN(1,MAX(VLOOKUP(($AJ9-$AI9-$AH9-$AG9-$AF9-$AE9*(1+FX$3))/$AJ9,Уголь_коэфф!$A:$B,2,1),(FW9-0.05)))</f>
        <v>1</v>
      </c>
      <c r="FY9" s="102">
        <f>MIN(1,MAX(VLOOKUP(($AJ9-$AI9-$AH9-$AG9-$AF9-$AE9*(1+FY$3))/$AJ9,Уголь_коэфф!$A:$B,2,1),(FX9-0.05)))</f>
        <v>1</v>
      </c>
      <c r="FZ9" s="102">
        <f>MIN(1,MAX(VLOOKUP(($AJ9-$AI9-$AH9-$AG9-$AF9-$AE9*(1+FZ$3))/$AJ9,Уголь_коэфф!$A:$B,2,1),(FY9-0.05)))</f>
        <v>1</v>
      </c>
      <c r="GA9" s="102">
        <f>MIN(1,MAX(VLOOKUP(($AJ9-$AI9-$AH9-$AG9-$AF9-$AE9*(1+GA$3))/$AJ9,Уголь_коэфф!$A:$B,2,1),(FZ9-0.05)))</f>
        <v>1</v>
      </c>
      <c r="GB9" s="102">
        <f>MIN(1,MAX(VLOOKUP(($AJ9-$AI9-$AH9-$AG9-$AF9-$AE9*(1+GB$3))/$AJ9,Уголь_коэфф!$A:$B,2,1),(GA9-0.05)))</f>
        <v>1</v>
      </c>
      <c r="GC9" s="102">
        <f>MIN(1,MAX(VLOOKUP(($AJ9-$AI9-$AH9-$AG9-$AF9-$AE9*(1+GC$3))/$AJ9,Уголь_коэфф!$A:$B,2,1),(GB9-0.05)))</f>
        <v>1</v>
      </c>
      <c r="GD9" s="102">
        <f>MIN(1,MAX(VLOOKUP(($AJ9-$AI9-$AH9-$AG9-$AF9-$AE9*(1+GD$3))/$AJ9,Уголь_коэфф!$A:$B,2,1),(GC9-0.05)))</f>
        <v>1</v>
      </c>
      <c r="GE9" s="102">
        <f>MIN(1,MAX(VLOOKUP(($AJ9-$AI9-$AH9-$AG9-$AF9-$AE9*(1+GE$3))/$AJ9,Уголь_коэфф!$A:$B,2,1),(GD9-0.05)))</f>
        <v>1</v>
      </c>
      <c r="GF9" s="102">
        <f>MIN(1,MAX(VLOOKUP(($AJ9-$AI9-$AH9-$AG9-$AF9-$AE9*(1+GF$3))/$AJ9,Уголь_коэфф!$A:$B,2,1),(GE9-0.05)))</f>
        <v>1</v>
      </c>
      <c r="GG9" s="102">
        <f>MIN(1,MAX(VLOOKUP(($AJ9-$AI9-$AH9-$AG9-$AF9-$AE9*(1+GG$3))/$AJ9,Уголь_коэфф!$A:$B,2,1),(GF9-0.05)))</f>
        <v>1</v>
      </c>
      <c r="GH9" s="102">
        <f>MIN(1,MAX(VLOOKUP(($AJ9-$AI9-$AH9-$AG9-$AF9-$AE9*(1+GH$3))/$AJ9,Уголь_коэфф!$A:$B,2,1),(GG9-0.05)))</f>
        <v>1</v>
      </c>
      <c r="GI9" s="102">
        <f>MIN(1,MAX(VLOOKUP(($AJ9-$AI9-$AH9-$AG9-$AF9-$AE9*(1+GI$3))/$AJ9,Уголь_коэфф!$A:$B,2,1),(GH9-0.05)))</f>
        <v>1</v>
      </c>
      <c r="GJ9" s="102">
        <f>MIN(1,MAX(VLOOKUP(($AJ9-$AI9-$AH9-$AG9-$AF9-$AE9*(1+GJ$3))/$AJ9,Уголь_коэфф!$A:$B,2,1),(GI9-0.05)))</f>
        <v>1</v>
      </c>
      <c r="GK9" s="102">
        <f>MIN(1,MAX(VLOOKUP(($AJ9-$AI9-$AH9-$AG9-$AF9-$AE9*(1+GK$3))/$AJ9,Уголь_коэфф!$A:$B,2,1),(GJ9-0.05)))</f>
        <v>1</v>
      </c>
      <c r="GL9" s="102">
        <f>MIN(1,MAX(VLOOKUP(($AJ9-$AI9-$AH9-$AG9-$AF9-$AE9*(1+GL$3))/$AJ9,Уголь_коэфф!$A:$B,2,1),(GK9-0.05)))</f>
        <v>1</v>
      </c>
      <c r="GM9" s="102">
        <f>MIN(1,MAX(VLOOKUP(($AJ9-$AI9-$AH9-$AG9-$AF9-$AE9*(1+GM$3))/$AJ9,Уголь_коэфф!$A:$B,2,1),(GL9-0.05)))</f>
        <v>1</v>
      </c>
      <c r="GN9" s="102">
        <f>MIN(1,MAX(VLOOKUP(($AJ9-$AI9-$AH9-$AG9-$AF9-$AE9*(1+GN$3))/$AJ9,Уголь_коэфф!$A:$B,2,1),(GM9-0.05)))</f>
        <v>1</v>
      </c>
      <c r="GO9" s="102">
        <f>MIN(1,MAX(VLOOKUP(($AJ9-$AI9-$AH9-$AG9-$AF9-$AE9*(1+GO$3))/$AJ9,Уголь_коэфф!$A:$B,2,1),(GN9-0.05)))</f>
        <v>1</v>
      </c>
      <c r="GP9" s="102">
        <f>MIN(1,MAX(VLOOKUP(($AJ9-$AI9-$AH9-$AG9-$AF9-$AE9*(1+GP$3))/$AJ9,Уголь_коэфф!$A:$B,2,1),(GO9-0.05)))</f>
        <v>1</v>
      </c>
      <c r="GQ9" s="102">
        <f>MIN(1,MAX(VLOOKUP(($AJ9-$AI9-$AH9-$AG9-$AF9-$AE9*(1+GQ$3))/$AJ9,Уголь_коэфф!$A:$B,2,1),(GP9-0.05)))</f>
        <v>1</v>
      </c>
      <c r="GR9" s="102">
        <f>MIN(1,MAX(VLOOKUP(($AJ9-$AI9-$AH9-$AG9-$AF9-$AE9*(1+GR$3))/$AJ9,Уголь_коэфф!$A:$B,2,1),(GQ9-0.05)))</f>
        <v>1</v>
      </c>
      <c r="GS9" s="102">
        <f>MIN(1,MAX(VLOOKUP(($AJ9-$AI9-$AH9-$AG9-$AF9-$AE9*(1+GS$3))/$AJ9,Уголь_коэфф!$A:$B,2,1),(GR9-0.05)))</f>
        <v>1</v>
      </c>
      <c r="GT9" s="102">
        <f>MIN(1,MAX(VLOOKUP(($AJ9-$AI9-$AH9-$AG9-$AF9-$AE9*(1+GT$3))/$AJ9,Уголь_коэфф!$A:$B,2,1),(GS9-0.05)))</f>
        <v>1</v>
      </c>
      <c r="GU9" s="102">
        <f>MIN(1,MAX(VLOOKUP(($AJ9-$AI9-$AH9-$AG9-$AF9-$AE9*(1+GU$3))/$AJ9,Уголь_коэфф!$A:$B,2,1),(GT9-0.05)))</f>
        <v>1</v>
      </c>
      <c r="GV9" s="102">
        <f>MIN(1,MAX(VLOOKUP(($AJ9-$AI9-$AH9-$AG9-$AF9-$AE9*(1+GV$3))/$AJ9,Уголь_коэфф!$A:$B,2,1),(GU9-0.05)))</f>
        <v>1</v>
      </c>
      <c r="GW9" s="102">
        <f>MIN(1,MAX(VLOOKUP(($AJ9-$AI9-$AH9-$AG9-$AF9-$AE9*(1+GW$3))/$AJ9,Уголь_коэфф!$A:$B,2,1),(GV9-0.05)))</f>
        <v>1</v>
      </c>
      <c r="GX9" s="102">
        <f>MIN(1,MAX(VLOOKUP(($AJ9-$AI9-$AH9-$AG9-$AF9-$AE9*(1+GX$3))/$AJ9,Уголь_коэфф!$A:$B,2,1),(GW9-0.05)))</f>
        <v>1</v>
      </c>
      <c r="GY9" s="102">
        <f>MIN(1,MAX(VLOOKUP(($AJ9-$AI9-$AH9-$AG9-$AF9-$AE9*(1+GY$3))/$AJ9,Уголь_коэфф!$A:$B,2,1),(GX9-0.05)))</f>
        <v>1</v>
      </c>
      <c r="GZ9" s="102">
        <f>MIN(1,MAX(VLOOKUP(($AJ9-$AI9-$AH9-$AG9-$AF9-$AE9*(1+GZ$3))/$AJ9,Уголь_коэфф!$A:$B,2,1),(GY9-0.05)))</f>
        <v>1</v>
      </c>
      <c r="HA9" s="102">
        <f>MIN(1,MAX(VLOOKUP(($AJ9-$AI9-$AH9-$AG9-$AF9-$AE9*(1+HA$3))/$AJ9,Уголь_коэфф!$A:$B,2,1),(GZ9-0.05)))</f>
        <v>1</v>
      </c>
      <c r="HB9" s="102">
        <f>MIN(1,MAX(VLOOKUP(($AJ9-$AI9-$AH9-$AG9-$AF9-$AE9*(1+HB$3))/$AJ9,Уголь_коэфф!$A:$B,2,1),(HA9-0.05)))</f>
        <v>1</v>
      </c>
      <c r="HC9" s="102">
        <f>MIN(1,MAX(VLOOKUP(($AJ9-$AI9-$AH9-$AG9-$AF9-$AE9*(1+HC$3))/$AJ9,Уголь_коэфф!$A:$B,2,1),(HB9-0.05)))</f>
        <v>1</v>
      </c>
      <c r="HD9" s="102">
        <f>MIN(1,MAX(VLOOKUP(($AJ9-$AI9-$AH9-$AG9-$AF9-$AE9*(1+HD$3))/$AJ9,Уголь_коэфф!$A:$B,2,1),(HC9-0.05)))</f>
        <v>1</v>
      </c>
      <c r="HE9" s="102">
        <f>MIN(1,MAX(VLOOKUP(($AJ9-$AI9-$AH9-$AG9-$AF9-$AE9*(1+HE$3))/$AJ9,Уголь_коэфф!$A:$B,2,1),(HD9-0.05)))</f>
        <v>1</v>
      </c>
      <c r="HF9" s="102">
        <f>MIN(1,MAX(VLOOKUP(($AJ9-$AI9-$AH9-$AG9-$AF9-$AE9*(1+HF$3))/$AJ9,Уголь_коэфф!$A:$B,2,1),(HE9-0.05)))</f>
        <v>1</v>
      </c>
      <c r="HG9" s="102">
        <f>MIN(1,MAX(VLOOKUP(($AJ9-$AI9-$AH9-$AG9-$AF9-$AE9*(1+HG$3))/$AJ9,Уголь_коэфф!$A:$B,2,1),(HF9-0.05)))</f>
        <v>1</v>
      </c>
      <c r="HH9" s="102">
        <f>MIN(1,MAX(VLOOKUP(($AJ9-$AI9-$AH9-$AG9-$AF9-$AE9*(1+HH$3))/$AJ9,Уголь_коэфф!$A:$B,2,1),(HG9-0.05)))</f>
        <v>1</v>
      </c>
      <c r="HI9" s="102">
        <f>MIN(1,MAX(VLOOKUP(($AJ9-$AI9-$AH9-$AG9-$AF9-$AE9*(1+HI$3))/$AJ9,Уголь_коэфф!$A:$B,2,1),(HH9-0.05)))</f>
        <v>1</v>
      </c>
      <c r="HJ9" s="102">
        <f>MIN(1,MAX(VLOOKUP(($AJ9-$AI9-$AH9-$AG9-$AF9-$AE9*(1+HJ$3))/$AJ9,Уголь_коэфф!$A:$B,2,1),(HI9-0.05)))</f>
        <v>1</v>
      </c>
      <c r="HK9" s="102">
        <f>MIN(1,MAX(VLOOKUP(($AJ9-$AI9-$AH9-$AG9-$AF9-$AE9*(1+HK$3))/$AJ9,Уголь_коэфф!$A:$B,2,1),(HJ9-0.05)))</f>
        <v>1</v>
      </c>
      <c r="HL9" s="102">
        <f>MIN(1,MAX(VLOOKUP(($AJ9-$AI9-$AH9-$AG9-$AF9-$AE9*(1+HL$3))/$AJ9,Уголь_коэфф!$A:$B,2,1),(HK9-0.05)))</f>
        <v>1</v>
      </c>
      <c r="HM9" s="102">
        <f>MIN(1,MAX(VLOOKUP(($AJ9-$AI9-$AH9-$AG9-$AF9-$AE9*(1+HM$3))/$AJ9,Уголь_коэфф!$A:$B,2,1),(HL9-0.05)))</f>
        <v>1</v>
      </c>
      <c r="HN9" s="102">
        <f>MIN(1,MAX(VLOOKUP(($AJ9-$AI9-$AH9-$AG9-$AF9-$AE9*(1+HN$3))/$AJ9,Уголь_коэфф!$A:$B,2,1),(HM9-0.05)))</f>
        <v>1</v>
      </c>
      <c r="HO9" s="102">
        <f>MIN(1,MAX(VLOOKUP(($AJ9-$AI9-$AH9-$AG9-$AF9-$AE9*(1+HO$3))/$AJ9,Уголь_коэфф!$A:$B,2,1),(HN9-0.05)))</f>
        <v>1</v>
      </c>
      <c r="HP9" s="102">
        <f>MIN(1,MAX(VLOOKUP(($AJ9-$AI9-$AH9-$AG9-$AF9-$AE9*(1+HP$3))/$AJ9,Уголь_коэфф!$A:$B,2,1),(HO9-0.05)))</f>
        <v>1</v>
      </c>
      <c r="HQ9" s="102">
        <f>MIN(1,MAX(VLOOKUP(($AJ9-$AI9-$AH9-$AG9-$AF9-$AE9*(1+HQ$3))/$AJ9,Уголь_коэфф!$A:$B,2,1),(HP9-0.05)))</f>
        <v>1</v>
      </c>
      <c r="HR9" s="102">
        <f>MIN(1,MAX(VLOOKUP(($AJ9-$AI9-$AH9-$AG9-$AF9-$AE9*(1+HR$3))/$AJ9,Уголь_коэфф!$A:$B,2,1),(HQ9-0.05)))</f>
        <v>1</v>
      </c>
      <c r="HS9" s="102">
        <f>MIN(1,MAX(VLOOKUP(($AJ9-$AI9-$AH9-$AG9-$AF9-$AE9*(1+HS$3))/$AJ9,Уголь_коэфф!$A:$B,2,1),(HR9-0.05)))</f>
        <v>1</v>
      </c>
      <c r="HT9" s="102">
        <f>MIN(1,MAX(VLOOKUP(($AJ9-$AI9-$AH9-$AG9-$AF9-$AE9*(1+HT$3))/$AJ9,Уголь_коэфф!$A:$B,2,1),(HS9-0.05)))</f>
        <v>1</v>
      </c>
      <c r="HU9" s="102">
        <f>MIN(1,MAX(VLOOKUP(($AJ9-$AI9-$AH9-$AG9-$AF9-$AE9*(1+HU$3))/$AJ9,Уголь_коэфф!$A:$B,2,1),(HT9-0.05)))</f>
        <v>1</v>
      </c>
      <c r="HV9" s="102">
        <f>MIN(1,MAX(VLOOKUP(($AJ9-$AI9-$AH9-$AG9-$AF9-$AE9*(1+HV$3))/$AJ9,Уголь_коэфф!$A:$B,2,1),(HU9-0.05)))</f>
        <v>1</v>
      </c>
      <c r="HW9" s="102">
        <f>MIN(1,MAX(VLOOKUP(($AJ9-$AI9-$AH9-$AG9-$AF9-$AE9*(1+HW$3))/$AJ9,Уголь_коэфф!$A:$B,2,1),(HV9-0.05)))</f>
        <v>1</v>
      </c>
      <c r="HX9" s="102">
        <f>MIN(1,MAX(VLOOKUP(($AJ9-$AI9-$AH9-$AG9-$AF9-$AE9*(1+HX$3))/$AJ9,Уголь_коэфф!$A:$B,2,1),(HW9-0.05)))</f>
        <v>1</v>
      </c>
      <c r="HY9" s="102">
        <f>MIN(1,MAX(VLOOKUP(($AJ9-$AI9-$AH9-$AG9-$AF9-$AE9*(1+HY$3))/$AJ9,Уголь_коэфф!$A:$B,2,1),(HX9-0.05)))</f>
        <v>1</v>
      </c>
      <c r="HZ9" s="102">
        <f>MIN(1,MAX(VLOOKUP(($AJ9-$AI9-$AH9-$AG9-$AF9-$AE9*(1+HZ$3))/$AJ9,Уголь_коэфф!$A:$B,2,1),(HY9-0.05)))</f>
        <v>1</v>
      </c>
      <c r="IA9" s="102">
        <f>MIN(1,MAX(VLOOKUP(($AJ9-$AI9-$AH9-$AG9-$AF9-$AE9*(1+IA$3))/$AJ9,Уголь_коэфф!$A:$B,2,1),(HZ9-0.05)))</f>
        <v>1</v>
      </c>
      <c r="IB9" s="102">
        <f>MIN(1,MAX(VLOOKUP(($AJ9-$AI9-$AH9-$AG9-$AF9-$AE9*(1+IB$3))/$AJ9,Уголь_коэфф!$A:$B,2,1),(IA9-0.05)))</f>
        <v>1</v>
      </c>
      <c r="IC9" s="102">
        <f>MIN(1,MAX(VLOOKUP(($AJ9-$AI9-$AH9-$AG9-$AF9-$AE9*(1+IC$3))/$AJ9,Уголь_коэфф!$A:$B,2,1),(IB9-0.05)))</f>
        <v>1</v>
      </c>
      <c r="ID9" s="102">
        <f>MIN(1,MAX(VLOOKUP(($AJ9-$AI9-$AH9-$AG9-$AF9-$AE9*(1+ID$3))/$AJ9,Уголь_коэфф!$A:$B,2,1),(IC9-0.05)))</f>
        <v>1</v>
      </c>
      <c r="IE9" s="102">
        <f>MIN(1,MAX(VLOOKUP(($AJ9-$AI9-$AH9-$AG9-$AF9-$AE9*(1+IE$3))/$AJ9,Уголь_коэфф!$A:$B,2,1),(ID9-0.05)))</f>
        <v>1</v>
      </c>
      <c r="IF9" s="102">
        <f>MIN(1,MAX(VLOOKUP(($AJ9-$AI9-$AH9-$AG9-$AF9-$AE9*(1+IF$3))/$AJ9,Уголь_коэфф!$A:$B,2,1),(IE9-0.05)))</f>
        <v>1</v>
      </c>
      <c r="IG9" s="102">
        <f>MIN(1,MAX(VLOOKUP(($AJ9-$AI9-$AH9-$AG9-$AF9-$AE9*(1+IG$3))/$AJ9,Уголь_коэфф!$A:$B,2,1),(IF9-0.05)))</f>
        <v>1</v>
      </c>
      <c r="IH9" s="102">
        <f>MIN(1,MAX(VLOOKUP(($AJ9-$AI9-$AH9-$AG9-$AF9-$AE9*(1+IH$3))/$AJ9,Уголь_коэфф!$A:$B,2,1),(IG9-0.05)))</f>
        <v>1</v>
      </c>
      <c r="II9" s="102">
        <f>MIN(1,MAX(VLOOKUP(($AJ9-$AI9-$AH9-$AG9-$AF9-$AE9*(1+II$3))/$AJ9,Уголь_коэфф!$A:$B,2,1),(IH9-0.05)))</f>
        <v>1</v>
      </c>
      <c r="IJ9" s="102">
        <f>MIN(1,MAX(VLOOKUP(($AJ9-$AI9-$AH9-$AG9-$AF9-$AE9*(1+IJ$3))/$AJ9,Уголь_коэфф!$A:$B,2,1),(II9-0.05)))</f>
        <v>1</v>
      </c>
      <c r="IK9" s="102">
        <f>MIN(1,MAX(VLOOKUP(($AJ9-$AI9-$AH9-$AG9-$AF9-$AE9*(1+IK$3))/$AJ9,Уголь_коэфф!$A:$B,2,1),(IJ9-0.05)))</f>
        <v>1</v>
      </c>
      <c r="IL9" s="102">
        <f>MIN(1,MAX(VLOOKUP(($AJ9-$AI9-$AH9-$AG9-$AF9-$AE9*(1+IL$3))/$AJ9,Уголь_коэфф!$A:$B,2,1),(IK9-0.05)))</f>
        <v>1</v>
      </c>
      <c r="IM9" s="102">
        <f>MIN(1,MAX(VLOOKUP(($AJ9-$AI9-$AH9-$AG9-$AF9-$AE9*(1+IM$3))/$AJ9,Уголь_коэфф!$A:$B,2,1),(IL9-0.05)))</f>
        <v>1</v>
      </c>
      <c r="IN9" s="102">
        <f>MIN(1,MAX(VLOOKUP(($AJ9-$AI9-$AH9-$AG9-$AF9-$AE9*(1+IN$3))/$AJ9,Уголь_коэфф!$A:$B,2,1),(IM9-0.05)))</f>
        <v>1</v>
      </c>
      <c r="IO9" s="102">
        <f>MIN(1,MAX(VLOOKUP(($AJ9-$AI9-$AH9-$AG9-$AF9-$AE9*(1+IO$3))/$AJ9,Уголь_коэфф!$A:$B,2,1),(IN9-0.05)))</f>
        <v>1</v>
      </c>
      <c r="IP9" s="102">
        <f>MIN(1,MAX(VLOOKUP(($AJ9-$AI9-$AH9-$AG9-$AF9-$AE9*(1+IP$3))/$AJ9,Уголь_коэфф!$A:$B,2,1),(IO9-0.05)))</f>
        <v>1</v>
      </c>
      <c r="IQ9" s="102">
        <f>MIN(1,MAX(VLOOKUP(($AJ9-$AI9-$AH9-$AG9-$AF9-$AE9*(1+IQ$3))/$AJ9,Уголь_коэфф!$A:$B,2,1),(IP9-0.05)))</f>
        <v>1</v>
      </c>
      <c r="IR9" s="102">
        <f>MIN(1,MAX(VLOOKUP(($AJ9-$AI9-$AH9-$AG9-$AF9-$AE9*(1+IR$3))/$AJ9,Уголь_коэфф!$A:$B,2,1),(IQ9-0.05)))</f>
        <v>1</v>
      </c>
      <c r="IS9" s="102">
        <f t="shared" si="20"/>
        <v>1</v>
      </c>
      <c r="IT9" s="102">
        <f t="shared" si="7"/>
        <v>1</v>
      </c>
      <c r="IU9" s="110"/>
    </row>
    <row r="10" spans="1:266" ht="14.7" customHeight="1">
      <c r="A10" t="s">
        <v>239</v>
      </c>
      <c r="B10" s="149">
        <v>1</v>
      </c>
      <c r="C10" s="150" t="s">
        <v>16</v>
      </c>
      <c r="D10" s="151">
        <v>16118</v>
      </c>
      <c r="E10" s="151" t="s">
        <v>65</v>
      </c>
      <c r="F10" s="150" t="s">
        <v>18</v>
      </c>
      <c r="G10" s="151" t="s">
        <v>45</v>
      </c>
      <c r="H10" s="151" t="s">
        <v>19</v>
      </c>
      <c r="I10" s="151" t="s">
        <v>66</v>
      </c>
      <c r="J10" s="151" t="s">
        <v>67</v>
      </c>
      <c r="K10" s="151">
        <v>5976</v>
      </c>
      <c r="L10" s="151" t="s">
        <v>22</v>
      </c>
      <c r="M10" s="151" t="s">
        <v>23</v>
      </c>
      <c r="N10" s="151" t="s">
        <v>24</v>
      </c>
      <c r="O10" s="151" t="s">
        <v>25</v>
      </c>
      <c r="P10" s="152">
        <v>82365518</v>
      </c>
      <c r="Q10" s="152" t="s">
        <v>68</v>
      </c>
      <c r="R10" s="151" t="s">
        <v>69</v>
      </c>
      <c r="S10" s="153">
        <v>1782028</v>
      </c>
      <c r="T10" s="154">
        <v>10648684516</v>
      </c>
      <c r="U10" s="154">
        <v>23883</v>
      </c>
      <c r="V10" s="154"/>
      <c r="W10" s="155">
        <v>3937998980</v>
      </c>
      <c r="X10" s="104">
        <v>75</v>
      </c>
      <c r="Y10" s="104" t="s">
        <v>163</v>
      </c>
      <c r="Z10" s="107">
        <v>13</v>
      </c>
      <c r="AA10" s="107">
        <v>14</v>
      </c>
      <c r="AB10" s="107">
        <v>4</v>
      </c>
      <c r="AC10" s="88">
        <v>2442.4699999999998</v>
      </c>
      <c r="AD10" s="88">
        <v>1120.5700000000002</v>
      </c>
      <c r="AE10" s="88">
        <f t="shared" ref="AE10:AE12" si="22">AC10+AD10</f>
        <v>3563.04</v>
      </c>
      <c r="AF10" s="89">
        <f>'Цены,перевалка,аренда'!$C$26*SUM(Уголь_эластика_экспорт!Z10+Уголь_эластика_экспорт!AA10+Уголь_эластика_экспорт!AB10)/Уголь_эластика_экспорт!X10</f>
        <v>413.33333333333331</v>
      </c>
      <c r="AG10" s="90">
        <f>SUMIF('Цены,перевалка,аренда'!$A$20:$A$22,Уголь_эластика_экспорт!$O10,'Цены,перевалка,аренда'!$D$20:$D$22)</f>
        <v>763.05499999999995</v>
      </c>
      <c r="AH10" s="47"/>
      <c r="AI10" s="91">
        <v>2736</v>
      </c>
      <c r="AJ10" s="92">
        <f>SUMIF('Цены,перевалка,аренда'!$A$5:$A$17,Уголь_эластика_экспорт!A10,'Цены,перевалка,аренда'!$D$5:$D$17)</f>
        <v>8546.2160000000003</v>
      </c>
      <c r="AK10" s="47">
        <f>AJ10/'Цены,перевалка,аренда'!$C$1</f>
        <v>112.00000000000001</v>
      </c>
      <c r="AL10" s="47">
        <f t="shared" si="9"/>
        <v>4739.4283333333333</v>
      </c>
      <c r="AM10" s="47">
        <f t="shared" si="10"/>
        <v>3806.7876666666671</v>
      </c>
      <c r="AN10" s="47">
        <f t="shared" si="11"/>
        <v>7475.4283333333333</v>
      </c>
      <c r="AO10" s="93">
        <f t="shared" si="12"/>
        <v>0.12529377524119062</v>
      </c>
      <c r="AP10" s="94">
        <f t="shared" si="13"/>
        <v>0.5545645386605409</v>
      </c>
      <c r="AQ10" s="94">
        <f t="shared" si="5"/>
        <v>0.41691433963288543</v>
      </c>
      <c r="AR10" s="94">
        <f t="shared" si="6"/>
        <v>0.75178687162340607</v>
      </c>
      <c r="AS10" s="167">
        <f t="shared" si="14"/>
        <v>1</v>
      </c>
      <c r="AT10" s="173">
        <f t="shared" si="15"/>
        <v>1782028</v>
      </c>
      <c r="AU10" s="97">
        <v>0.9</v>
      </c>
      <c r="AV10" s="93">
        <f t="shared" si="16"/>
        <v>8.3602341277902045E-2</v>
      </c>
      <c r="AW10" s="94">
        <f t="shared" si="17"/>
        <v>0.59625597262382946</v>
      </c>
      <c r="AX10" s="94">
        <f t="shared" si="18"/>
        <v>0.45860577359617399</v>
      </c>
      <c r="AY10" s="94">
        <f t="shared" si="19"/>
        <v>0.76914243991230047</v>
      </c>
      <c r="AZ10" s="102">
        <f>MIN(IF($AU10=100%,1,1+VLOOKUP(($AJ10-$AI10-$AH10-$AG10-$AF10-$AE10*(1+AZ$3))/$AJ10,Уголь_коэфф!$A:$B,2,1)-VLOOKUP($AO10,Уголь_коэфф!$A:$B,2,1)),1+(1-$AU10))</f>
        <v>1.1000000000000001</v>
      </c>
      <c r="BA10" s="102">
        <f>MIN(IF($AU10=100%,1,1+VLOOKUP(($AJ10-$AI10-$AH10-$AG10-$AF10-$AE10*(1+BA$3))/$AJ10,Уголь_коэфф!$A:$B,2,1)-VLOOKUP($AO10,Уголь_коэфф!$A:$B,2,1)),1+(1-$AU10))</f>
        <v>1.1000000000000001</v>
      </c>
      <c r="BB10" s="102">
        <f>MIN(IF($AU10=100%,1,1+VLOOKUP(($AJ10-$AI10-$AH10-$AG10-$AF10-$AE10*(1+BB$3))/$AJ10,Уголь_коэфф!$A:$B,2,1)-VLOOKUP($AO10,Уголь_коэфф!$A:$B,2,1)),1+(1-$AU10))</f>
        <v>1.1000000000000001</v>
      </c>
      <c r="BC10" s="102">
        <f>MIN(IF($AU10=100%,1,1+VLOOKUP(($AJ10-$AI10-$AH10-$AG10-$AF10-$AE10*(1+BC$3))/$AJ10,Уголь_коэфф!$A:$B,2,1)-VLOOKUP($AO10,Уголь_коэфф!$A:$B,2,1)),1+(1-$AU10))</f>
        <v>1.1000000000000001</v>
      </c>
      <c r="BD10" s="102">
        <f>MIN(IF($AU10=100%,1,1+VLOOKUP(($AJ10-$AI10-$AH10-$AG10-$AF10-$AE10*(1+BD$3))/$AJ10,Уголь_коэфф!$A:$B,2,1)-VLOOKUP($AO10,Уголь_коэфф!$A:$B,2,1)),1+(1-$AU10))</f>
        <v>1.1000000000000001</v>
      </c>
      <c r="BE10" s="102">
        <f>MIN(IF($AU10=100%,1,1+VLOOKUP(($AJ10-$AI10-$AH10-$AG10-$AF10-$AE10*(1+BE$3))/$AJ10,Уголь_коэфф!$A:$B,2,1)-VLOOKUP($AO10,Уголь_коэфф!$A:$B,2,1)),1+(1-$AU10))</f>
        <v>1.1000000000000001</v>
      </c>
      <c r="BF10" s="102">
        <f>MIN(IF($AU10=100%,1,1+VLOOKUP(($AJ10-$AI10-$AH10-$AG10-$AF10-$AE10*(1+BF$3))/$AJ10,Уголь_коэфф!$A:$B,2,1)-VLOOKUP($AO10,Уголь_коэфф!$A:$B,2,1)),1+(1-$AU10))</f>
        <v>1.1000000000000001</v>
      </c>
      <c r="BG10" s="102">
        <f>MIN(IF($AU10=100%,1,1+VLOOKUP(($AJ10-$AI10-$AH10-$AG10-$AF10-$AE10*(1+BG$3))/$AJ10,Уголь_коэфф!$A:$B,2,1)-VLOOKUP($AO10,Уголь_коэфф!$A:$B,2,1)),1+(1-$AU10))</f>
        <v>1.1000000000000001</v>
      </c>
      <c r="BH10" s="102">
        <f>MIN(IF($AU10=100%,1,1+VLOOKUP(($AJ10-$AI10-$AH10-$AG10-$AF10-$AE10*(1+BH$3))/$AJ10,Уголь_коэфф!$A:$B,2,1)-VLOOKUP($AO10,Уголь_коэфф!$A:$B,2,1)),1+(1-$AU10))</f>
        <v>1.1000000000000001</v>
      </c>
      <c r="BI10" s="102">
        <f>MIN(IF($AU10=100%,1,1+VLOOKUP(($AJ10-$AI10-$AH10-$AG10-$AF10-$AE10*(1+BI$3))/$AJ10,Уголь_коэфф!$A:$B,2,1)-VLOOKUP($AO10,Уголь_коэфф!$A:$B,2,1)),1+(1-$AU10))</f>
        <v>1.1000000000000001</v>
      </c>
      <c r="BJ10" s="102">
        <f>MIN(IF($AU10=100%,1,1+VLOOKUP(($AJ10-$AI10-$AH10-$AG10-$AF10-$AE10*(1+BJ$3))/$AJ10,Уголь_коэфф!$A:$B,2,1)-VLOOKUP($AO10,Уголь_коэфф!$A:$B,2,1)),1+(1-$AU10))</f>
        <v>1.1000000000000001</v>
      </c>
      <c r="BK10" s="102">
        <f>MIN(IF($AU10=100%,1,1+VLOOKUP(($AJ10-$AI10-$AH10-$AG10-$AF10-$AE10*(1+BK$3))/$AJ10,Уголь_коэфф!$A:$B,2,1)-VLOOKUP($AO10,Уголь_коэфф!$A:$B,2,1)),1+(1-$AU10))</f>
        <v>1.1000000000000001</v>
      </c>
      <c r="BL10" s="102">
        <f>MIN(IF($AU10=100%,1,1+VLOOKUP(($AJ10-$AI10-$AH10-$AG10-$AF10-$AE10*(1+BL$3))/$AJ10,Уголь_коэфф!$A:$B,2,1)-VLOOKUP($AO10,Уголь_коэфф!$A:$B,2,1)),1+(1-$AU10))</f>
        <v>1.1000000000000001</v>
      </c>
      <c r="BM10" s="102">
        <f>MIN(IF($AU10=100%,1,1+VLOOKUP(($AJ10-$AI10-$AH10-$AG10-$AF10-$AE10*(1+BM$3))/$AJ10,Уголь_коэфф!$A:$B,2,1)-VLOOKUP($AO10,Уголь_коэфф!$A:$B,2,1)),1+(1-$AU10))</f>
        <v>1.1000000000000001</v>
      </c>
      <c r="BN10" s="102">
        <f>MIN(IF($AU10=100%,1,1+VLOOKUP(($AJ10-$AI10-$AH10-$AG10-$AF10-$AE10*(1+BN$3))/$AJ10,Уголь_коэфф!$A:$B,2,1)-VLOOKUP($AO10,Уголь_коэфф!$A:$B,2,1)),1+(1-$AU10))</f>
        <v>1.1000000000000001</v>
      </c>
      <c r="BO10" s="102">
        <f>MIN(IF($AU10=100%,1,1+VLOOKUP(($AJ10-$AI10-$AH10-$AG10-$AF10-$AE10*(1+BO$3))/$AJ10,Уголь_коэфф!$A:$B,2,1)-VLOOKUP($AO10,Уголь_коэфф!$A:$B,2,1)),1+(1-$AU10))</f>
        <v>1.1000000000000001</v>
      </c>
      <c r="BP10" s="102">
        <f>MIN(IF($AU10=100%,1,1+VLOOKUP(($AJ10-$AI10-$AH10-$AG10-$AF10-$AE10*(1+BP$3))/$AJ10,Уголь_коэфф!$A:$B,2,1)-VLOOKUP($AO10,Уголь_коэфф!$A:$B,2,1)),1+(1-$AU10))</f>
        <v>1.1000000000000001</v>
      </c>
      <c r="BQ10" s="102">
        <f>MIN(IF($AU10=100%,1,1+VLOOKUP(($AJ10-$AI10-$AH10-$AG10-$AF10-$AE10*(1+BQ$3))/$AJ10,Уголь_коэфф!$A:$B,2,1)-VLOOKUP($AO10,Уголь_коэфф!$A:$B,2,1)),1+(1-$AU10))</f>
        <v>1.0959999999999999</v>
      </c>
      <c r="BR10" s="102">
        <f>MIN(IF($AU10=100%,1,1+VLOOKUP(($AJ10-$AI10-$AH10-$AG10-$AF10-$AE10*(1+BR$3))/$AJ10,Уголь_коэфф!$A:$B,2,1)-VLOOKUP($AO10,Уголь_коэфф!$A:$B,2,1)),1+(1-$AU10))</f>
        <v>1.0959999999999999</v>
      </c>
      <c r="BS10" s="102">
        <f>MIN(IF($AU10=100%,1,1+VLOOKUP(($AJ10-$AI10-$AH10-$AG10-$AF10-$AE10*(1+BS$3))/$AJ10,Уголь_коэфф!$A:$B,2,1)-VLOOKUP($AO10,Уголь_коэфф!$A:$B,2,1)),1+(1-$AU10))</f>
        <v>1.0959999999999999</v>
      </c>
      <c r="BT10" s="102">
        <f>MIN(IF($AU10=100%,1,1+VLOOKUP(($AJ10-$AI10-$AH10-$AG10-$AF10-$AE10*(1+BT$3))/$AJ10,Уголь_коэфф!$A:$B,2,1)-VLOOKUP($AO10,Уголь_коэфф!$A:$B,2,1)),1+(1-$AU10))</f>
        <v>1.0959999999999999</v>
      </c>
      <c r="BU10" s="102">
        <f>MIN(IF($AU10=100%,1,1+VLOOKUP(($AJ10-$AI10-$AH10-$AG10-$AF10-$AE10*(1+BU$3))/$AJ10,Уголь_коэфф!$A:$B,2,1)-VLOOKUP($AO10,Уголь_коэфф!$A:$B,2,1)),1+(1-$AU10))</f>
        <v>1.0899999999999996</v>
      </c>
      <c r="BV10" s="102">
        <f>MIN(IF($AU10=100%,1,1+VLOOKUP(($AJ10-$AI10-$AH10-$AG10-$AF10-$AE10*(1+BV$3))/$AJ10,Уголь_коэфф!$A:$B,2,1)-VLOOKUP($AO10,Уголь_коэфф!$A:$B,2,1)),1+(1-$AU10))</f>
        <v>1.0899999999999996</v>
      </c>
      <c r="BW10" s="102">
        <f>MIN(IF($AU10=100%,1,1+VLOOKUP(($AJ10-$AI10-$AH10-$AG10-$AF10-$AE10*(1+BW$3))/$AJ10,Уголь_коэфф!$A:$B,2,1)-VLOOKUP($AO10,Уголь_коэфф!$A:$B,2,1)),1+(1-$AU10))</f>
        <v>1.0899999999999996</v>
      </c>
      <c r="BX10" s="102">
        <f>MIN(IF($AU10=100%,1,1+VLOOKUP(($AJ10-$AI10-$AH10-$AG10-$AF10-$AE10*(1+BX$3))/$AJ10,Уголь_коэфф!$A:$B,2,1)-VLOOKUP($AO10,Уголь_коэфф!$A:$B,2,1)),1+(1-$AU10))</f>
        <v>1.0899999999999996</v>
      </c>
      <c r="BY10" s="102">
        <f>MIN(IF($AU10=100%,1,1+VLOOKUP(($AJ10-$AI10-$AH10-$AG10-$AF10-$AE10*(1+BY$3))/$AJ10,Уголь_коэфф!$A:$B,2,1)-VLOOKUP($AO10,Уголь_коэфф!$A:$B,2,1)),1+(1-$AU10))</f>
        <v>1.0899999999999996</v>
      </c>
      <c r="BZ10" s="102">
        <f>MIN(IF($AU10=100%,1,1+VLOOKUP(($AJ10-$AI10-$AH10-$AG10-$AF10-$AE10*(1+BZ$3))/$AJ10,Уголь_коэфф!$A:$B,2,1)-VLOOKUP($AO10,Уголь_коэфф!$A:$B,2,1)),1+(1-$AU10))</f>
        <v>1.0839999999999999</v>
      </c>
      <c r="CA10" s="102">
        <f>MIN(IF($AU10=100%,1,1+VLOOKUP(($AJ10-$AI10-$AH10-$AG10-$AF10-$AE10*(1+CA$3))/$AJ10,Уголь_коэфф!$A:$B,2,1)-VLOOKUP($AO10,Уголь_коэфф!$A:$B,2,1)),1+(1-$AU10))</f>
        <v>1.0839999999999999</v>
      </c>
      <c r="CB10" s="102">
        <f>MIN(IF($AU10=100%,1,1+VLOOKUP(($AJ10-$AI10-$AH10-$AG10-$AF10-$AE10*(1+CB$3))/$AJ10,Уголь_коэфф!$A:$B,2,1)-VLOOKUP($AO10,Уголь_коэфф!$A:$B,2,1)),1+(1-$AU10))</f>
        <v>1.0839999999999999</v>
      </c>
      <c r="CC10" s="102">
        <f>MIN(IF($AU10=100%,1,1+VLOOKUP(($AJ10-$AI10-$AH10-$AG10-$AF10-$AE10*(1+CC$3))/$AJ10,Уголь_коэфф!$A:$B,2,1)-VLOOKUP($AO10,Уголь_коэфф!$A:$B,2,1)),1+(1-$AU10))</f>
        <v>1.0839999999999999</v>
      </c>
      <c r="CD10" s="102">
        <f>MIN(IF($AU10=100%,1,1+VLOOKUP(($AJ10-$AI10-$AH10-$AG10-$AF10-$AE10*(1+CD$3))/$AJ10,Уголь_коэфф!$A:$B,2,1)-VLOOKUP($AO10,Уголь_коэфф!$A:$B,2,1)),1+(1-$AU10))</f>
        <v>1.0839999999999999</v>
      </c>
      <c r="CE10" s="102">
        <f>MIN(IF($AU10=100%,1,1+VLOOKUP(($AJ10-$AI10-$AH10-$AG10-$AF10-$AE10*(1+CE$3))/$AJ10,Уголь_коэфф!$A:$B,2,1)-VLOOKUP($AO10,Уголь_коэфф!$A:$B,2,1)),1+(1-$AU10))</f>
        <v>1.0780000000000001</v>
      </c>
      <c r="CF10" s="102">
        <f>MIN(IF($AU10=100%,1,1+VLOOKUP(($AJ10-$AI10-$AH10-$AG10-$AF10-$AE10*(1+CF$3))/$AJ10,Уголь_коэфф!$A:$B,2,1)-VLOOKUP($AO10,Уголь_коэфф!$A:$B,2,1)),1+(1-$AU10))</f>
        <v>1.0780000000000001</v>
      </c>
      <c r="CG10" s="102">
        <f>MIN(IF($AU10=100%,1,1+VLOOKUP(($AJ10-$AI10-$AH10-$AG10-$AF10-$AE10*(1+CG$3))/$AJ10,Уголь_коэфф!$A:$B,2,1)-VLOOKUP($AO10,Уголь_коэфф!$A:$B,2,1)),1+(1-$AU10))</f>
        <v>1.0780000000000001</v>
      </c>
      <c r="CH10" s="102">
        <f>MIN(IF($AU10=100%,1,1+VLOOKUP(($AJ10-$AI10-$AH10-$AG10-$AF10-$AE10*(1+CH$3))/$AJ10,Уголь_коэфф!$A:$B,2,1)-VLOOKUP($AO10,Уголь_коэфф!$A:$B,2,1)),1+(1-$AU10))</f>
        <v>1.0780000000000001</v>
      </c>
      <c r="CI10" s="102">
        <f>MIN(IF($AU10=100%,1,1+VLOOKUP(($AJ10-$AI10-$AH10-$AG10-$AF10-$AE10*(1+CI$3))/$AJ10,Уголь_коэфф!$A:$B,2,1)-VLOOKUP($AO10,Уголь_коэфф!$A:$B,2,1)),1+(1-$AU10))</f>
        <v>1.0780000000000001</v>
      </c>
      <c r="CJ10" s="102">
        <f>MIN(IF($AU10=100%,1,1+VLOOKUP(($AJ10-$AI10-$AH10-$AG10-$AF10-$AE10*(1+CJ$3))/$AJ10,Уголь_коэфф!$A:$B,2,1)-VLOOKUP($AO10,Уголь_коэфф!$A:$B,2,1)),1+(1-$AU10))</f>
        <v>1.0719999999999998</v>
      </c>
      <c r="CK10" s="102">
        <f>MIN(IF($AU10=100%,1,1+VLOOKUP(($AJ10-$AI10-$AH10-$AG10-$AF10-$AE10*(1+CK$3))/$AJ10,Уголь_коэфф!$A:$B,2,1)-VLOOKUP($AO10,Уголь_коэфф!$A:$B,2,1)),1+(1-$AU10))</f>
        <v>1.0719999999999998</v>
      </c>
      <c r="CL10" s="102">
        <f>MIN(IF($AU10=100%,1,1+VLOOKUP(($AJ10-$AI10-$AH10-$AG10-$AF10-$AE10*(1+CL$3))/$AJ10,Уголь_коэфф!$A:$B,2,1)-VLOOKUP($AO10,Уголь_коэфф!$A:$B,2,1)),1+(1-$AU10))</f>
        <v>1.0719999999999998</v>
      </c>
      <c r="CM10" s="102">
        <f>MIN(IF($AU10=100%,1,1+VLOOKUP(($AJ10-$AI10-$AH10-$AG10-$AF10-$AE10*(1+CM$3))/$AJ10,Уголь_коэфф!$A:$B,2,1)-VLOOKUP($AO10,Уголь_коэфф!$A:$B,2,1)),1+(1-$AU10))</f>
        <v>1.0719999999999998</v>
      </c>
      <c r="CN10" s="102">
        <f>MIN(IF($AU10=100%,1,1+VLOOKUP(($AJ10-$AI10-$AH10-$AG10-$AF10-$AE10*(1+CN$3))/$AJ10,Уголь_коэфф!$A:$B,2,1)-VLOOKUP($AO10,Уголь_коэфф!$A:$B,2,1)),1+(1-$AU10))</f>
        <v>1.0719999999999998</v>
      </c>
      <c r="CO10" s="102">
        <f>MIN(IF($AU10=100%,1,1+VLOOKUP(($AJ10-$AI10-$AH10-$AG10-$AF10-$AE10*(1+CO$3))/$AJ10,Уголь_коэфф!$A:$B,2,1)-VLOOKUP($AO10,Уголь_коэфф!$A:$B,2,1)),1+(1-$AU10))</f>
        <v>1.0660000000000001</v>
      </c>
      <c r="CP10" s="102">
        <f>MIN(IF($AU10=100%,1,1+VLOOKUP(($AJ10-$AI10-$AH10-$AG10-$AF10-$AE10*(1+CP$3))/$AJ10,Уголь_коэфф!$A:$B,2,1)-VLOOKUP($AO10,Уголь_коэфф!$A:$B,2,1)),1+(1-$AU10))</f>
        <v>1.0660000000000001</v>
      </c>
      <c r="CQ10" s="102">
        <f>MIN(IF($AU10=100%,1,1+VLOOKUP(($AJ10-$AI10-$AH10-$AG10-$AF10-$AE10*(1+CQ$3))/$AJ10,Уголь_коэфф!$A:$B,2,1)-VLOOKUP($AO10,Уголь_коэфф!$A:$B,2,1)),1+(1-$AU10))</f>
        <v>1.0660000000000001</v>
      </c>
      <c r="CR10" s="102">
        <f>MIN(IF($AU10=100%,1,1+VLOOKUP(($AJ10-$AI10-$AH10-$AG10-$AF10-$AE10*(1+CR$3))/$AJ10,Уголь_коэфф!$A:$B,2,1)-VLOOKUP($AO10,Уголь_коэфф!$A:$B,2,1)),1+(1-$AU10))</f>
        <v>1.0660000000000001</v>
      </c>
      <c r="CS10" s="102">
        <f>MIN(IF($AU10=100%,1,1+VLOOKUP(($AJ10-$AI10-$AH10-$AG10-$AF10-$AE10*(1+CS$3))/$AJ10,Уголь_коэфф!$A:$B,2,1)-VLOOKUP($AO10,Уголь_коэфф!$A:$B,2,1)),1+(1-$AU10))</f>
        <v>1.0600000000000003</v>
      </c>
      <c r="CT10" s="102">
        <f>MIN(IF($AU10=100%,1,1+VLOOKUP(($AJ10-$AI10-$AH10-$AG10-$AF10-$AE10*(1+CT$3))/$AJ10,Уголь_коэфф!$A:$B,2,1)-VLOOKUP($AO10,Уголь_коэфф!$A:$B,2,1)),1+(1-$AU10))</f>
        <v>1.0600000000000003</v>
      </c>
      <c r="CU10" s="102">
        <f>MIN(IF($AU10=100%,1,1+VLOOKUP(($AJ10-$AI10-$AH10-$AG10-$AF10-$AE10*(1+CU$3))/$AJ10,Уголь_коэфф!$A:$B,2,1)-VLOOKUP($AO10,Уголь_коэфф!$A:$B,2,1)),1+(1-$AU10))</f>
        <v>1.0600000000000003</v>
      </c>
      <c r="CV10" s="102">
        <f>MIN(IF($AU10=100%,1,1+VLOOKUP(($AJ10-$AI10-$AH10-$AG10-$AF10-$AE10*(1+CV$3))/$AJ10,Уголь_коэфф!$A:$B,2,1)-VLOOKUP($AO10,Уголь_коэфф!$A:$B,2,1)),1+(1-$AU10))</f>
        <v>1.0600000000000003</v>
      </c>
      <c r="CW10" s="102">
        <f>MIN(IF($AU10=100%,1,1+VLOOKUP(($AJ10-$AI10-$AH10-$AG10-$AF10-$AE10*(1+CW$3))/$AJ10,Уголь_коэфф!$A:$B,2,1)-VLOOKUP($AO10,Уголь_коэфф!$A:$B,2,1)),1+(1-$AU10))</f>
        <v>1.0600000000000003</v>
      </c>
      <c r="CX10" s="102">
        <f>MIN(IF($AU10=100%,1,1+VLOOKUP(($AJ10-$AI10-$AH10-$AG10-$AF10-$AE10*(1+CX$3))/$AJ10,Уголь_коэфф!$A:$B,2,1)-VLOOKUP($AO10,Уголь_коэфф!$A:$B,2,1)),1+(1-$AU10))</f>
        <v>1.054</v>
      </c>
      <c r="CY10" s="102">
        <f>MIN(IF($AU10=100%,1,1+VLOOKUP(($AJ10-$AI10-$AH10-$AG10-$AF10-$AE10*(1+CY$3))/$AJ10,Уголь_коэфф!$A:$B,2,1)-VLOOKUP($AO10,Уголь_коэфф!$A:$B,2,1)),1+(1-$AU10))</f>
        <v>1.054</v>
      </c>
      <c r="CZ10" s="102">
        <f>MIN(IF($AU10=100%,1,1+VLOOKUP(($AJ10-$AI10-$AH10-$AG10-$AF10-$AE10*(1+CZ$3))/$AJ10,Уголь_коэфф!$A:$B,2,1)-VLOOKUP($AO10,Уголь_коэфф!$A:$B,2,1)),1+(1-$AU10))</f>
        <v>1.054</v>
      </c>
      <c r="DA10" s="102">
        <f>MIN(IF($AU10=100%,1,1+VLOOKUP(($AJ10-$AI10-$AH10-$AG10-$AF10-$AE10*(1+DA$3))/$AJ10,Уголь_коэфф!$A:$B,2,1)-VLOOKUP($AO10,Уголь_коэфф!$A:$B,2,1)),1+(1-$AU10))</f>
        <v>1.054</v>
      </c>
      <c r="DB10" s="102">
        <f>MIN(IF($AU10=100%,1,1+VLOOKUP(($AJ10-$AI10-$AH10-$AG10-$AF10-$AE10*(1+DB$3))/$AJ10,Уголь_коэфф!$A:$B,2,1)-VLOOKUP($AO10,Уголь_коэфф!$A:$B,2,1)),1+(1-$AU10))</f>
        <v>1.054</v>
      </c>
      <c r="DC10" s="102">
        <f>MIN(IF($AU10=100%,1,1+VLOOKUP(($AJ10-$AI10-$AH10-$AG10-$AF10-$AE10*(1+DC$3))/$AJ10,Уголь_коэфф!$A:$B,2,1)-VLOOKUP($AO10,Уголь_коэфф!$A:$B,2,1)),1+(1-$AU10))</f>
        <v>1.0479999999999998</v>
      </c>
      <c r="DD10" s="102">
        <f>MIN(IF($AU10=100%,1,1+VLOOKUP(($AJ10-$AI10-$AH10-$AG10-$AF10-$AE10*(1+DD$3))/$AJ10,Уголь_коэфф!$A:$B,2,1)-VLOOKUP($AO10,Уголь_коэфф!$A:$B,2,1)),1+(1-$AU10))</f>
        <v>1.0479999999999998</v>
      </c>
      <c r="DE10" s="102">
        <f>MIN(IF($AU10=100%,1,1+VLOOKUP(($AJ10-$AI10-$AH10-$AG10-$AF10-$AE10*(1+DE$3))/$AJ10,Уголь_коэфф!$A:$B,2,1)-VLOOKUP($AO10,Уголь_коэфф!$A:$B,2,1)),1+(1-$AU10))</f>
        <v>1.0479999999999998</v>
      </c>
      <c r="DF10" s="102">
        <f>MIN(IF($AU10=100%,1,1+VLOOKUP(($AJ10-$AI10-$AH10-$AG10-$AF10-$AE10*(1+DF$3))/$AJ10,Уголь_коэфф!$A:$B,2,1)-VLOOKUP($AO10,Уголь_коэфф!$A:$B,2,1)),1+(1-$AU10))</f>
        <v>1.0479999999999998</v>
      </c>
      <c r="DG10" s="102">
        <f>MIN(IF($AU10=100%,1,1+VLOOKUP(($AJ10-$AI10-$AH10-$AG10-$AF10-$AE10*(1+DG$3))/$AJ10,Уголь_коэфф!$A:$B,2,1)-VLOOKUP($AO10,Уголь_коэфф!$A:$B,2,1)),1+(1-$AU10))</f>
        <v>1.0479999999999998</v>
      </c>
      <c r="DH10" s="102">
        <f>MIN(IF($AU10=100%,1,1+VLOOKUP(($AJ10-$AI10-$AH10-$AG10-$AF10-$AE10*(1+DH$3))/$AJ10,Уголь_коэфф!$A:$B,2,1)-VLOOKUP($AO10,Уголь_коэфф!$A:$B,2,1)),1+(1-$AU10))</f>
        <v>1.042</v>
      </c>
      <c r="DI10" s="102">
        <f>MIN(IF($AU10=100%,1,1+VLOOKUP(($AJ10-$AI10-$AH10-$AG10-$AF10-$AE10*(1+DI$3))/$AJ10,Уголь_коэфф!$A:$B,2,1)-VLOOKUP($AO10,Уголь_коэфф!$A:$B,2,1)),1+(1-$AU10))</f>
        <v>1.042</v>
      </c>
      <c r="DJ10" s="102">
        <f>MIN(IF($AU10=100%,1,1+VLOOKUP(($AJ10-$AI10-$AH10-$AG10-$AF10-$AE10*(1+DJ$3))/$AJ10,Уголь_коэфф!$A:$B,2,1)-VLOOKUP($AO10,Уголь_коэфф!$A:$B,2,1)),1+(1-$AU10))</f>
        <v>1.042</v>
      </c>
      <c r="DK10" s="102">
        <f>MIN(IF($AU10=100%,1,1+VLOOKUP(($AJ10-$AI10-$AH10-$AG10-$AF10-$AE10*(1+DK$3))/$AJ10,Уголь_коэфф!$A:$B,2,1)-VLOOKUP($AO10,Уголь_коэфф!$A:$B,2,1)),1+(1-$AU10))</f>
        <v>1.042</v>
      </c>
      <c r="DL10" s="102">
        <f>MIN(IF($AU10=100%,1,1+VLOOKUP(($AJ10-$AI10-$AH10-$AG10-$AF10-$AE10*(1+DL$3))/$AJ10,Уголь_коэфф!$A:$B,2,1)-VLOOKUP($AO10,Уголь_коэфф!$A:$B,2,1)),1+(1-$AU10))</f>
        <v>1.042</v>
      </c>
      <c r="DM10" s="102">
        <f>MIN(IF($AU10=100%,1,1+VLOOKUP(($AJ10-$AI10-$AH10-$AG10-$AF10-$AE10*(1+DM$3))/$AJ10,Уголь_коэфф!$A:$B,2,1)-VLOOKUP($AO10,Уголь_коэфф!$A:$B,2,1)),1+(1-$AU10))</f>
        <v>1.0360000000000003</v>
      </c>
      <c r="DN10" s="102">
        <f>MIN(IF($AU10=100%,1,1+VLOOKUP(($AJ10-$AI10-$AH10-$AG10-$AF10-$AE10*(1+DN$3))/$AJ10,Уголь_коэфф!$A:$B,2,1)-VLOOKUP($AO10,Уголь_коэфф!$A:$B,2,1)),1+(1-$AU10))</f>
        <v>1.0360000000000003</v>
      </c>
      <c r="DO10" s="102">
        <f>MIN(IF($AU10=100%,1,1+VLOOKUP(($AJ10-$AI10-$AH10-$AG10-$AF10-$AE10*(1+DO$3))/$AJ10,Уголь_коэфф!$A:$B,2,1)-VLOOKUP($AO10,Уголь_коэфф!$A:$B,2,1)),1+(1-$AU10))</f>
        <v>1.0360000000000003</v>
      </c>
      <c r="DP10" s="102">
        <f>MIN(IF($AU10=100%,1,1+VLOOKUP(($AJ10-$AI10-$AH10-$AG10-$AF10-$AE10*(1+DP$3))/$AJ10,Уголь_коэфф!$A:$B,2,1)-VLOOKUP($AO10,Уголь_коэфф!$A:$B,2,1)),1+(1-$AU10))</f>
        <v>1.0360000000000003</v>
      </c>
      <c r="DQ10" s="102">
        <f>MIN(IF($AU10=100%,1,1+VLOOKUP(($AJ10-$AI10-$AH10-$AG10-$AF10-$AE10*(1+DQ$3))/$AJ10,Уголь_коэфф!$A:$B,2,1)-VLOOKUP($AO10,Уголь_коэфф!$A:$B,2,1)),1+(1-$AU10))</f>
        <v>1.03</v>
      </c>
      <c r="DR10" s="102">
        <f>MIN(IF($AU10=100%,1,1+VLOOKUP(($AJ10-$AI10-$AH10-$AG10-$AF10-$AE10*(1+DR$3))/$AJ10,Уголь_коэфф!$A:$B,2,1)-VLOOKUP($AO10,Уголь_коэфф!$A:$B,2,1)),1+(1-$AU10))</f>
        <v>1.03</v>
      </c>
      <c r="DS10" s="102">
        <f>MIN(IF($AU10=100%,1,1+VLOOKUP(($AJ10-$AI10-$AH10-$AG10-$AF10-$AE10*(1+DS$3))/$AJ10,Уголь_коэфф!$A:$B,2,1)-VLOOKUP($AO10,Уголь_коэфф!$A:$B,2,1)),1+(1-$AU10))</f>
        <v>1.03</v>
      </c>
      <c r="DT10" s="102">
        <f>MIN(IF($AU10=100%,1,1+VLOOKUP(($AJ10-$AI10-$AH10-$AG10-$AF10-$AE10*(1+DT$3))/$AJ10,Уголь_коэфф!$A:$B,2,1)-VLOOKUP($AO10,Уголь_коэфф!$A:$B,2,1)),1+(1-$AU10))</f>
        <v>1.03</v>
      </c>
      <c r="DU10" s="102">
        <f>MIN(IF($AU10=100%,1,1+VLOOKUP(($AJ10-$AI10-$AH10-$AG10-$AF10-$AE10*(1+DU$3))/$AJ10,Уголь_коэфф!$A:$B,2,1)-VLOOKUP($AO10,Уголь_коэфф!$A:$B,2,1)),1+(1-$AU10))</f>
        <v>1.03</v>
      </c>
      <c r="DV10" s="102">
        <f>MIN(IF($AU10=100%,1,1+VLOOKUP(($AJ10-$AI10-$AH10-$AG10-$AF10-$AE10*(1+DV$3))/$AJ10,Уголь_коэфф!$A:$B,2,1)-VLOOKUP($AO10,Уголь_коэфф!$A:$B,2,1)),1+(1-$AU10))</f>
        <v>1.0250000000000001</v>
      </c>
      <c r="DW10" s="102">
        <f>MIN(IF($AU10=100%,1,1+VLOOKUP(($AJ10-$AI10-$AH10-$AG10-$AF10-$AE10*(1+DW$3))/$AJ10,Уголь_коэфф!$A:$B,2,1)-VLOOKUP($AO10,Уголь_коэфф!$A:$B,2,1)),1+(1-$AU10))</f>
        <v>1.0250000000000001</v>
      </c>
      <c r="DX10" s="102">
        <f>MIN(IF($AU10=100%,1,1+VLOOKUP(($AJ10-$AI10-$AH10-$AG10-$AF10-$AE10*(1+DX$3))/$AJ10,Уголь_коэфф!$A:$B,2,1)-VLOOKUP($AO10,Уголь_коэфф!$A:$B,2,1)),1+(1-$AU10))</f>
        <v>1.0250000000000001</v>
      </c>
      <c r="DY10" s="102">
        <f>MIN(IF($AU10=100%,1,1+VLOOKUP(($AJ10-$AI10-$AH10-$AG10-$AF10-$AE10*(1+DY$3))/$AJ10,Уголь_коэфф!$A:$B,2,1)-VLOOKUP($AO10,Уголь_коэфф!$A:$B,2,1)),1+(1-$AU10))</f>
        <v>1.0250000000000001</v>
      </c>
      <c r="DZ10" s="102">
        <f>MIN(IF($AU10=100%,1,1+VLOOKUP(($AJ10-$AI10-$AH10-$AG10-$AF10-$AE10*(1+DZ$3))/$AJ10,Уголь_коэфф!$A:$B,2,1)-VLOOKUP($AO10,Уголь_коэфф!$A:$B,2,1)),1+(1-$AU10))</f>
        <v>1.0250000000000001</v>
      </c>
      <c r="EA10" s="102">
        <f>MIN(IF($AU10=100%,1,1+VLOOKUP(($AJ10-$AI10-$AH10-$AG10-$AF10-$AE10*(1+EA$3))/$AJ10,Уголь_коэфф!$A:$B,2,1)-VLOOKUP($AO10,Уголь_коэфф!$A:$B,2,1)),1+(1-$AU10))</f>
        <v>1.0200000000000002</v>
      </c>
      <c r="EB10" s="102">
        <f>MIN(IF($AU10=100%,1,1+VLOOKUP(($AJ10-$AI10-$AH10-$AG10-$AF10-$AE10*(1+EB$3))/$AJ10,Уголь_коэфф!$A:$B,2,1)-VLOOKUP($AO10,Уголь_коэфф!$A:$B,2,1)),1+(1-$AU10))</f>
        <v>1.0200000000000002</v>
      </c>
      <c r="EC10" s="102">
        <f>MIN(IF($AU10=100%,1,1+VLOOKUP(($AJ10-$AI10-$AH10-$AG10-$AF10-$AE10*(1+EC$3))/$AJ10,Уголь_коэфф!$A:$B,2,1)-VLOOKUP($AO10,Уголь_коэфф!$A:$B,2,1)),1+(1-$AU10))</f>
        <v>1.0200000000000002</v>
      </c>
      <c r="ED10" s="102">
        <f>MIN(IF($AU10=100%,1,1+VLOOKUP(($AJ10-$AI10-$AH10-$AG10-$AF10-$AE10*(1+ED$3))/$AJ10,Уголь_коэфф!$A:$B,2,1)-VLOOKUP($AO10,Уголь_коэфф!$A:$B,2,1)),1+(1-$AU10))</f>
        <v>1.0200000000000002</v>
      </c>
      <c r="EE10" s="102">
        <f>MIN(IF($AU10=100%,1,1+VLOOKUP(($AJ10-$AI10-$AH10-$AG10-$AF10-$AE10*(1+EE$3))/$AJ10,Уголь_коэфф!$A:$B,2,1)-VLOOKUP($AO10,Уголь_коэфф!$A:$B,2,1)),1+(1-$AU10))</f>
        <v>1.0200000000000002</v>
      </c>
      <c r="EF10" s="102">
        <f>MIN(IF($AU10=100%,1,1+VLOOKUP(($AJ10-$AI10-$AH10-$AG10-$AF10-$AE10*(1+EF$3))/$AJ10,Уголь_коэфф!$A:$B,2,1)-VLOOKUP($AO10,Уголь_коэфф!$A:$B,2,1)),1+(1-$AU10))</f>
        <v>1.0149999999999999</v>
      </c>
      <c r="EG10" s="102">
        <f>MIN(IF($AU10=100%,1,1+VLOOKUP(($AJ10-$AI10-$AH10-$AG10-$AF10-$AE10*(1+EG$3))/$AJ10,Уголь_коэфф!$A:$B,2,1)-VLOOKUP($AO10,Уголь_коэфф!$A:$B,2,1)),1+(1-$AU10))</f>
        <v>1.0149999999999999</v>
      </c>
      <c r="EH10" s="102">
        <f>MIN(IF($AU10=100%,1,1+VLOOKUP(($AJ10-$AI10-$AH10-$AG10-$AF10-$AE10*(1+EH$3))/$AJ10,Уголь_коэфф!$A:$B,2,1)-VLOOKUP($AO10,Уголь_коэфф!$A:$B,2,1)),1+(1-$AU10))</f>
        <v>1.0149999999999999</v>
      </c>
      <c r="EI10" s="102">
        <f>MIN(IF($AU10=100%,1,1+VLOOKUP(($AJ10-$AI10-$AH10-$AG10-$AF10-$AE10*(1+EI$3))/$AJ10,Уголь_коэфф!$A:$B,2,1)-VLOOKUP($AO10,Уголь_коэфф!$A:$B,2,1)),1+(1-$AU10))</f>
        <v>1.0149999999999999</v>
      </c>
      <c r="EJ10" s="102">
        <f>MIN(IF($AU10=100%,1,1+VLOOKUP(($AJ10-$AI10-$AH10-$AG10-$AF10-$AE10*(1+EJ$3))/$AJ10,Уголь_коэфф!$A:$B,2,1)-VLOOKUP($AO10,Уголь_коэфф!$A:$B,2,1)),1+(1-$AU10))</f>
        <v>1.0149999999999999</v>
      </c>
      <c r="EK10" s="102">
        <f>MIN(IF($AU10=100%,1,1+VLOOKUP(($AJ10-$AI10-$AH10-$AG10-$AF10-$AE10*(1+EK$3))/$AJ10,Уголь_коэфф!$A:$B,2,1)-VLOOKUP($AO10,Уголь_коэфф!$A:$B,2,1)),1+(1-$AU10))</f>
        <v>1.01</v>
      </c>
      <c r="EL10" s="102">
        <f>MIN(IF($AU10=100%,1,1+VLOOKUP(($AJ10-$AI10-$AH10-$AG10-$AF10-$AE10*(1+EL$3))/$AJ10,Уголь_коэфф!$A:$B,2,1)-VLOOKUP($AO10,Уголь_коэфф!$A:$B,2,1)),1+(1-$AU10))</f>
        <v>1.01</v>
      </c>
      <c r="EM10" s="102">
        <f>MIN(IF($AU10=100%,1,1+VLOOKUP(($AJ10-$AI10-$AH10-$AG10-$AF10-$AE10*(1+EM$3))/$AJ10,Уголь_коэфф!$A:$B,2,1)-VLOOKUP($AO10,Уголь_коэфф!$A:$B,2,1)),1+(1-$AU10))</f>
        <v>1.01</v>
      </c>
      <c r="EN10" s="102">
        <f>MIN(IF($AU10=100%,1,1+VLOOKUP(($AJ10-$AI10-$AH10-$AG10-$AF10-$AE10*(1+EN$3))/$AJ10,Уголь_коэфф!$A:$B,2,1)-VLOOKUP($AO10,Уголь_коэфф!$A:$B,2,1)),1+(1-$AU10))</f>
        <v>1.01</v>
      </c>
      <c r="EO10" s="102">
        <f>MIN(IF($AU10=100%,1,1+VLOOKUP(($AJ10-$AI10-$AH10-$AG10-$AF10-$AE10*(1+EO$3))/$AJ10,Уголь_коэфф!$A:$B,2,1)-VLOOKUP($AO10,Уголь_коэфф!$A:$B,2,1)),1+(1-$AU10))</f>
        <v>1.0049999999999997</v>
      </c>
      <c r="EP10" s="102">
        <f>MIN(IF($AU10=100%,1,1+VLOOKUP(($AJ10-$AI10-$AH10-$AG10-$AF10-$AE10*(1+EP$3))/$AJ10,Уголь_коэфф!$A:$B,2,1)-VLOOKUP($AO10,Уголь_коэфф!$A:$B,2,1)),1+(1-$AU10))</f>
        <v>1.0049999999999997</v>
      </c>
      <c r="EQ10" s="102">
        <f>MIN(IF($AU10=100%,1,1+VLOOKUP(($AJ10-$AI10-$AH10-$AG10-$AF10-$AE10*(1+EQ$3))/$AJ10,Уголь_коэфф!$A:$B,2,1)-VLOOKUP($AO10,Уголь_коэфф!$A:$B,2,1)),1+(1-$AU10))</f>
        <v>1.0049999999999997</v>
      </c>
      <c r="ER10" s="102">
        <f>MIN(IF($AU10=100%,1,1+VLOOKUP(($AJ10-$AI10-$AH10-$AG10-$AF10-$AE10*(1+ER$3))/$AJ10,Уголь_коэфф!$A:$B,2,1)-VLOOKUP($AO10,Уголь_коэфф!$A:$B,2,1)),1+(1-$AU10))</f>
        <v>1.0049999999999997</v>
      </c>
      <c r="ES10" s="102">
        <f>MIN(IF($AU10=100%,1,1+VLOOKUP(($AJ10-$AI10-$AH10-$AG10-$AF10-$AE10*(1+ES$3))/$AJ10,Уголь_коэфф!$A:$B,2,1)-VLOOKUP($AO10,Уголь_коэфф!$A:$B,2,1)),1+(1-$AU10))</f>
        <v>1.0049999999999997</v>
      </c>
      <c r="ET10" s="102">
        <f>MIN(IF($AU10=100%,1,1+VLOOKUP(($AJ10-$AI10-$AH10-$AG10-$AF10-$AE10*(1+ET$3))/$AJ10,Уголь_коэфф!$A:$B,2,1)-VLOOKUP($AO10,Уголь_коэфф!$A:$B,2,1)),1+(1-$AU10))</f>
        <v>0.99999999999999978</v>
      </c>
      <c r="EU10" s="102">
        <f>MIN(IF($AU10=100%,1,1+VLOOKUP(($AJ10-$AI10-$AH10-$AG10-$AF10-$AE10*(1+EU$3))/$AJ10,Уголь_коэфф!$A:$B,2,1)-VLOOKUP($AO10,Уголь_коэфф!$A:$B,2,1)),1+(1-$AU10))</f>
        <v>0.99999999999999978</v>
      </c>
      <c r="EV10" s="103">
        <v>1</v>
      </c>
      <c r="EW10" s="102">
        <f>MIN(1,MAX(VLOOKUP(($AJ10-$AI10-$AH10-$AG10-$AF10-$AE10*(1+EW$3))/$AJ10,Уголь_коэфф!$A:$B,2,1),(EV10-0.05)))</f>
        <v>1</v>
      </c>
      <c r="EX10" s="102">
        <f>MIN(1,MAX(VLOOKUP(($AJ10-$AI10-$AH10-$AG10-$AF10-$AE10*(1+EX$3))/$AJ10,Уголь_коэфф!$A:$B,2,1),(EW10-0.05)))</f>
        <v>1</v>
      </c>
      <c r="EY10" s="102">
        <f>MIN(1,MAX(VLOOKUP(($AJ10-$AI10-$AH10-$AG10-$AF10-$AE10*(1+EY$3))/$AJ10,Уголь_коэфф!$A:$B,2,1),(EX10-0.05)))</f>
        <v>1</v>
      </c>
      <c r="EZ10" s="102">
        <f>MIN(1,MAX(VLOOKUP(($AJ10-$AI10-$AH10-$AG10-$AF10-$AE10*(1+EZ$3))/$AJ10,Уголь_коэфф!$A:$B,2,1),(EY10-0.05)))</f>
        <v>1</v>
      </c>
      <c r="FA10" s="102">
        <f>MIN(1,MAX(VLOOKUP(($AJ10-$AI10-$AH10-$AG10-$AF10-$AE10*(1+FA$3))/$AJ10,Уголь_коэфф!$A:$B,2,1),(EZ10-0.05)))</f>
        <v>1</v>
      </c>
      <c r="FB10" s="102">
        <f>MIN(1,MAX(VLOOKUP(($AJ10-$AI10-$AH10-$AG10-$AF10-$AE10*(1+FB$3))/$AJ10,Уголь_коэфф!$A:$B,2,1),(FA10-0.05)))</f>
        <v>1</v>
      </c>
      <c r="FC10" s="102">
        <f>MIN(1,MAX(VLOOKUP(($AJ10-$AI10-$AH10-$AG10-$AF10-$AE10*(1+FC$3))/$AJ10,Уголь_коэфф!$A:$B,2,1),(FB10-0.05)))</f>
        <v>1</v>
      </c>
      <c r="FD10" s="102">
        <f>MIN(1,MAX(VLOOKUP(($AJ10-$AI10-$AH10-$AG10-$AF10-$AE10*(1+FD$3))/$AJ10,Уголь_коэфф!$A:$B,2,1),(FC10-0.05)))</f>
        <v>1</v>
      </c>
      <c r="FE10" s="102">
        <f>MIN(1,MAX(VLOOKUP(($AJ10-$AI10-$AH10-$AG10-$AF10-$AE10*(1+FE$3))/$AJ10,Уголь_коэфф!$A:$B,2,1),(FD10-0.05)))</f>
        <v>1</v>
      </c>
      <c r="FF10" s="102">
        <f>MIN(1,MAX(VLOOKUP(($AJ10-$AI10-$AH10-$AG10-$AF10-$AE10*(1+FF$3))/$AJ10,Уголь_коэфф!$A:$B,2,1),(FE10-0.05)))</f>
        <v>1</v>
      </c>
      <c r="FG10" s="102">
        <f>MIN(1,MAX(VLOOKUP(($AJ10-$AI10-$AH10-$AG10-$AF10-$AE10*(1+FG$3))/$AJ10,Уголь_коэфф!$A:$B,2,1),(FF10-0.05)))</f>
        <v>1</v>
      </c>
      <c r="FH10" s="102">
        <f>MIN(1,MAX(VLOOKUP(($AJ10-$AI10-$AH10-$AG10-$AF10-$AE10*(1+FH$3))/$AJ10,Уголь_коэфф!$A:$B,2,1),(FG10-0.05)))</f>
        <v>1</v>
      </c>
      <c r="FI10" s="102">
        <f>MIN(1,MAX(VLOOKUP(($AJ10-$AI10-$AH10-$AG10-$AF10-$AE10*(1+FI$3))/$AJ10,Уголь_коэфф!$A:$B,2,1),(FH10-0.05)))</f>
        <v>1</v>
      </c>
      <c r="FJ10" s="102">
        <f>MIN(1,MAX(VLOOKUP(($AJ10-$AI10-$AH10-$AG10-$AF10-$AE10*(1+FJ$3))/$AJ10,Уголь_коэфф!$A:$B,2,1),(FI10-0.05)))</f>
        <v>1</v>
      </c>
      <c r="FK10" s="102">
        <f>MIN(1,MAX(VLOOKUP(($AJ10-$AI10-$AH10-$AG10-$AF10-$AE10*(1+FK$3))/$AJ10,Уголь_коэфф!$A:$B,2,1),(FJ10-0.05)))</f>
        <v>1</v>
      </c>
      <c r="FL10" s="102">
        <f>MIN(1,MAX(VLOOKUP(($AJ10-$AI10-$AH10-$AG10-$AF10-$AE10*(1+FL$3))/$AJ10,Уголь_коэфф!$A:$B,2,1),(FK10-0.05)))</f>
        <v>1</v>
      </c>
      <c r="FM10" s="102">
        <f>MIN(1,MAX(VLOOKUP(($AJ10-$AI10-$AH10-$AG10-$AF10-$AE10*(1+FM$3))/$AJ10,Уголь_коэфф!$A:$B,2,1),(FL10-0.05)))</f>
        <v>1</v>
      </c>
      <c r="FN10" s="102">
        <f>MIN(1,MAX(VLOOKUP(($AJ10-$AI10-$AH10-$AG10-$AF10-$AE10*(1+FN$3))/$AJ10,Уголь_коэфф!$A:$B,2,1),(FM10-0.05)))</f>
        <v>1</v>
      </c>
      <c r="FO10" s="102">
        <f>MIN(1,MAX(VLOOKUP(($AJ10-$AI10-$AH10-$AG10-$AF10-$AE10*(1+FO$3))/$AJ10,Уголь_коэфф!$A:$B,2,1),(FN10-0.05)))</f>
        <v>1</v>
      </c>
      <c r="FP10" s="102">
        <f>MIN(1,MAX(VLOOKUP(($AJ10-$AI10-$AH10-$AG10-$AF10-$AE10*(1+FP$3))/$AJ10,Уголь_коэфф!$A:$B,2,1),(FO10-0.05)))</f>
        <v>1</v>
      </c>
      <c r="FQ10" s="102">
        <f>MIN(1,MAX(VLOOKUP(($AJ10-$AI10-$AH10-$AG10-$AF10-$AE10*(1+FQ$3))/$AJ10,Уголь_коэфф!$A:$B,2,1),(FP10-0.05)))</f>
        <v>1</v>
      </c>
      <c r="FR10" s="102">
        <f>MIN(1,MAX(VLOOKUP(($AJ10-$AI10-$AH10-$AG10-$AF10-$AE10*(1+FR$3))/$AJ10,Уголь_коэфф!$A:$B,2,1),(FQ10-0.05)))</f>
        <v>1</v>
      </c>
      <c r="FS10" s="102">
        <f>MIN(1,MAX(VLOOKUP(($AJ10-$AI10-$AH10-$AG10-$AF10-$AE10*(1+FS$3))/$AJ10,Уголь_коэфф!$A:$B,2,1),(FR10-0.05)))</f>
        <v>1</v>
      </c>
      <c r="FT10" s="102">
        <f>MIN(1,MAX(VLOOKUP(($AJ10-$AI10-$AH10-$AG10-$AF10-$AE10*(1+FT$3))/$AJ10,Уголь_коэфф!$A:$B,2,1),(FS10-0.05)))</f>
        <v>1</v>
      </c>
      <c r="FU10" s="102">
        <f>MIN(1,MAX(VLOOKUP(($AJ10-$AI10-$AH10-$AG10-$AF10-$AE10*(1+FU$3))/$AJ10,Уголь_коэфф!$A:$B,2,1),(FT10-0.05)))</f>
        <v>1</v>
      </c>
      <c r="FV10" s="102">
        <f>MIN(1,MAX(VLOOKUP(($AJ10-$AI10-$AH10-$AG10-$AF10-$AE10*(1+FV$3))/$AJ10,Уголь_коэфф!$A:$B,2,1),(FU10-0.05)))</f>
        <v>1</v>
      </c>
      <c r="FW10" s="102">
        <f>MIN(1,MAX(VLOOKUP(($AJ10-$AI10-$AH10-$AG10-$AF10-$AE10*(1+FW$3))/$AJ10,Уголь_коэфф!$A:$B,2,1),(FV10-0.05)))</f>
        <v>1</v>
      </c>
      <c r="FX10" s="102">
        <f>MIN(1,MAX(VLOOKUP(($AJ10-$AI10-$AH10-$AG10-$AF10-$AE10*(1+FX$3))/$AJ10,Уголь_коэфф!$A:$B,2,1),(FW10-0.05)))</f>
        <v>1</v>
      </c>
      <c r="FY10" s="102">
        <f>MIN(1,MAX(VLOOKUP(($AJ10-$AI10-$AH10-$AG10-$AF10-$AE10*(1+FY$3))/$AJ10,Уголь_коэфф!$A:$B,2,1),(FX10-0.05)))</f>
        <v>1</v>
      </c>
      <c r="FZ10" s="102">
        <f>MIN(1,MAX(VLOOKUP(($AJ10-$AI10-$AH10-$AG10-$AF10-$AE10*(1+FZ$3))/$AJ10,Уголь_коэфф!$A:$B,2,1),(FY10-0.05)))</f>
        <v>1</v>
      </c>
      <c r="GA10" s="102">
        <f>MIN(1,MAX(VLOOKUP(($AJ10-$AI10-$AH10-$AG10-$AF10-$AE10*(1+GA$3))/$AJ10,Уголь_коэфф!$A:$B,2,1),(FZ10-0.05)))</f>
        <v>1</v>
      </c>
      <c r="GB10" s="102">
        <f>MIN(1,MAX(VLOOKUP(($AJ10-$AI10-$AH10-$AG10-$AF10-$AE10*(1+GB$3))/$AJ10,Уголь_коэфф!$A:$B,2,1),(GA10-0.05)))</f>
        <v>1</v>
      </c>
      <c r="GC10" s="102">
        <f>MIN(1,MAX(VLOOKUP(($AJ10-$AI10-$AH10-$AG10-$AF10-$AE10*(1+GC$3))/$AJ10,Уголь_коэфф!$A:$B,2,1),(GB10-0.05)))</f>
        <v>1</v>
      </c>
      <c r="GD10" s="102">
        <f>MIN(1,MAX(VLOOKUP(($AJ10-$AI10-$AH10-$AG10-$AF10-$AE10*(1+GD$3))/$AJ10,Уголь_коэфф!$A:$B,2,1),(GC10-0.05)))</f>
        <v>1</v>
      </c>
      <c r="GE10" s="102">
        <f>MIN(1,MAX(VLOOKUP(($AJ10-$AI10-$AH10-$AG10-$AF10-$AE10*(1+GE$3))/$AJ10,Уголь_коэфф!$A:$B,2,1),(GD10-0.05)))</f>
        <v>1</v>
      </c>
      <c r="GF10" s="102">
        <f>MIN(1,MAX(VLOOKUP(($AJ10-$AI10-$AH10-$AG10-$AF10-$AE10*(1+GF$3))/$AJ10,Уголь_коэфф!$A:$B,2,1),(GE10-0.05)))</f>
        <v>1</v>
      </c>
      <c r="GG10" s="102">
        <f>MIN(1,MAX(VLOOKUP(($AJ10-$AI10-$AH10-$AG10-$AF10-$AE10*(1+GG$3))/$AJ10,Уголь_коэфф!$A:$B,2,1),(GF10-0.05)))</f>
        <v>1</v>
      </c>
      <c r="GH10" s="102">
        <f>MIN(1,MAX(VLOOKUP(($AJ10-$AI10-$AH10-$AG10-$AF10-$AE10*(1+GH$3))/$AJ10,Уголь_коэфф!$A:$B,2,1),(GG10-0.05)))</f>
        <v>1</v>
      </c>
      <c r="GI10" s="102">
        <f>MIN(1,MAX(VLOOKUP(($AJ10-$AI10-$AH10-$AG10-$AF10-$AE10*(1+GI$3))/$AJ10,Уголь_коэфф!$A:$B,2,1),(GH10-0.05)))</f>
        <v>1</v>
      </c>
      <c r="GJ10" s="102">
        <f>MIN(1,MAX(VLOOKUP(($AJ10-$AI10-$AH10-$AG10-$AF10-$AE10*(1+GJ$3))/$AJ10,Уголь_коэфф!$A:$B,2,1),(GI10-0.05)))</f>
        <v>1</v>
      </c>
      <c r="GK10" s="102">
        <f>MIN(1,MAX(VLOOKUP(($AJ10-$AI10-$AH10-$AG10-$AF10-$AE10*(1+GK$3))/$AJ10,Уголь_коэфф!$A:$B,2,1),(GJ10-0.05)))</f>
        <v>1</v>
      </c>
      <c r="GL10" s="102">
        <f>MIN(1,MAX(VLOOKUP(($AJ10-$AI10-$AH10-$AG10-$AF10-$AE10*(1+GL$3))/$AJ10,Уголь_коэфф!$A:$B,2,1),(GK10-0.05)))</f>
        <v>1</v>
      </c>
      <c r="GM10" s="102">
        <f>MIN(1,MAX(VLOOKUP(($AJ10-$AI10-$AH10-$AG10-$AF10-$AE10*(1+GM$3))/$AJ10,Уголь_коэфф!$A:$B,2,1),(GL10-0.05)))</f>
        <v>1</v>
      </c>
      <c r="GN10" s="102">
        <f>MIN(1,MAX(VLOOKUP(($AJ10-$AI10-$AH10-$AG10-$AF10-$AE10*(1+GN$3))/$AJ10,Уголь_коэфф!$A:$B,2,1),(GM10-0.05)))</f>
        <v>1</v>
      </c>
      <c r="GO10" s="102">
        <f>MIN(1,MAX(VLOOKUP(($AJ10-$AI10-$AH10-$AG10-$AF10-$AE10*(1+GO$3))/$AJ10,Уголь_коэфф!$A:$B,2,1),(GN10-0.05)))</f>
        <v>1</v>
      </c>
      <c r="GP10" s="102">
        <f>MIN(1,MAX(VLOOKUP(($AJ10-$AI10-$AH10-$AG10-$AF10-$AE10*(1+GP$3))/$AJ10,Уголь_коэфф!$A:$B,2,1),(GO10-0.05)))</f>
        <v>1</v>
      </c>
      <c r="GQ10" s="102">
        <f>MIN(1,MAX(VLOOKUP(($AJ10-$AI10-$AH10-$AG10-$AF10-$AE10*(1+GQ$3))/$AJ10,Уголь_коэфф!$A:$B,2,1),(GP10-0.05)))</f>
        <v>1</v>
      </c>
      <c r="GR10" s="102">
        <f>MIN(1,MAX(VLOOKUP(($AJ10-$AI10-$AH10-$AG10-$AF10-$AE10*(1+GR$3))/$AJ10,Уголь_коэфф!$A:$B,2,1),(GQ10-0.05)))</f>
        <v>1</v>
      </c>
      <c r="GS10" s="102">
        <f>MIN(1,MAX(VLOOKUP(($AJ10-$AI10-$AH10-$AG10-$AF10-$AE10*(1+GS$3))/$AJ10,Уголь_коэфф!$A:$B,2,1),(GR10-0.05)))</f>
        <v>1</v>
      </c>
      <c r="GT10" s="102">
        <f>MIN(1,MAX(VLOOKUP(($AJ10-$AI10-$AH10-$AG10-$AF10-$AE10*(1+GT$3))/$AJ10,Уголь_коэфф!$A:$B,2,1),(GS10-0.05)))</f>
        <v>1</v>
      </c>
      <c r="GU10" s="102">
        <f>MIN(1,MAX(VLOOKUP(($AJ10-$AI10-$AH10-$AG10-$AF10-$AE10*(1+GU$3))/$AJ10,Уголь_коэфф!$A:$B,2,1),(GT10-0.05)))</f>
        <v>1</v>
      </c>
      <c r="GV10" s="102">
        <f>MIN(1,MAX(VLOOKUP(($AJ10-$AI10-$AH10-$AG10-$AF10-$AE10*(1+GV$3))/$AJ10,Уголь_коэфф!$A:$B,2,1),(GU10-0.05)))</f>
        <v>1</v>
      </c>
      <c r="GW10" s="102">
        <f>MIN(1,MAX(VLOOKUP(($AJ10-$AI10-$AH10-$AG10-$AF10-$AE10*(1+GW$3))/$AJ10,Уголь_коэфф!$A:$B,2,1),(GV10-0.05)))</f>
        <v>1</v>
      </c>
      <c r="GX10" s="102">
        <f>MIN(1,MAX(VLOOKUP(($AJ10-$AI10-$AH10-$AG10-$AF10-$AE10*(1+GX$3))/$AJ10,Уголь_коэфф!$A:$B,2,1),(GW10-0.05)))</f>
        <v>1</v>
      </c>
      <c r="GY10" s="102">
        <f>MIN(1,MAX(VLOOKUP(($AJ10-$AI10-$AH10-$AG10-$AF10-$AE10*(1+GY$3))/$AJ10,Уголь_коэфф!$A:$B,2,1),(GX10-0.05)))</f>
        <v>1</v>
      </c>
      <c r="GZ10" s="102">
        <f>MIN(1,MAX(VLOOKUP(($AJ10-$AI10-$AH10-$AG10-$AF10-$AE10*(1+GZ$3))/$AJ10,Уголь_коэфф!$A:$B,2,1),(GY10-0.05)))</f>
        <v>1</v>
      </c>
      <c r="HA10" s="102">
        <f>MIN(1,MAX(VLOOKUP(($AJ10-$AI10-$AH10-$AG10-$AF10-$AE10*(1+HA$3))/$AJ10,Уголь_коэфф!$A:$B,2,1),(GZ10-0.05)))</f>
        <v>1</v>
      </c>
      <c r="HB10" s="102">
        <f>MIN(1,MAX(VLOOKUP(($AJ10-$AI10-$AH10-$AG10-$AF10-$AE10*(1+HB$3))/$AJ10,Уголь_коэфф!$A:$B,2,1),(HA10-0.05)))</f>
        <v>1</v>
      </c>
      <c r="HC10" s="102">
        <f>MIN(1,MAX(VLOOKUP(($AJ10-$AI10-$AH10-$AG10-$AF10-$AE10*(1+HC$3))/$AJ10,Уголь_коэфф!$A:$B,2,1),(HB10-0.05)))</f>
        <v>1</v>
      </c>
      <c r="HD10" s="102">
        <f>MIN(1,MAX(VLOOKUP(($AJ10-$AI10-$AH10-$AG10-$AF10-$AE10*(1+HD$3))/$AJ10,Уголь_коэфф!$A:$B,2,1),(HC10-0.05)))</f>
        <v>1</v>
      </c>
      <c r="HE10" s="102">
        <f>MIN(1,MAX(VLOOKUP(($AJ10-$AI10-$AH10-$AG10-$AF10-$AE10*(1+HE$3))/$AJ10,Уголь_коэфф!$A:$B,2,1),(HD10-0.05)))</f>
        <v>1</v>
      </c>
      <c r="HF10" s="102">
        <f>MIN(1,MAX(VLOOKUP(($AJ10-$AI10-$AH10-$AG10-$AF10-$AE10*(1+HF$3))/$AJ10,Уголь_коэфф!$A:$B,2,1),(HE10-0.05)))</f>
        <v>1</v>
      </c>
      <c r="HG10" s="102">
        <f>MIN(1,MAX(VLOOKUP(($AJ10-$AI10-$AH10-$AG10-$AF10-$AE10*(1+HG$3))/$AJ10,Уголь_коэфф!$A:$B,2,1),(HF10-0.05)))</f>
        <v>1</v>
      </c>
      <c r="HH10" s="102">
        <f>MIN(1,MAX(VLOOKUP(($AJ10-$AI10-$AH10-$AG10-$AF10-$AE10*(1+HH$3))/$AJ10,Уголь_коэфф!$A:$B,2,1),(HG10-0.05)))</f>
        <v>1</v>
      </c>
      <c r="HI10" s="102">
        <f>MIN(1,MAX(VLOOKUP(($AJ10-$AI10-$AH10-$AG10-$AF10-$AE10*(1+HI$3))/$AJ10,Уголь_коэфф!$A:$B,2,1),(HH10-0.05)))</f>
        <v>1</v>
      </c>
      <c r="HJ10" s="102">
        <f>MIN(1,MAX(VLOOKUP(($AJ10-$AI10-$AH10-$AG10-$AF10-$AE10*(1+HJ$3))/$AJ10,Уголь_коэфф!$A:$B,2,1),(HI10-0.05)))</f>
        <v>1</v>
      </c>
      <c r="HK10" s="102">
        <f>MIN(1,MAX(VLOOKUP(($AJ10-$AI10-$AH10-$AG10-$AF10-$AE10*(1+HK$3))/$AJ10,Уголь_коэфф!$A:$B,2,1),(HJ10-0.05)))</f>
        <v>1</v>
      </c>
      <c r="HL10" s="102">
        <f>MIN(1,MAX(VLOOKUP(($AJ10-$AI10-$AH10-$AG10-$AF10-$AE10*(1+HL$3))/$AJ10,Уголь_коэфф!$A:$B,2,1),(HK10-0.05)))</f>
        <v>1</v>
      </c>
      <c r="HM10" s="102">
        <f>MIN(1,MAX(VLOOKUP(($AJ10-$AI10-$AH10-$AG10-$AF10-$AE10*(1+HM$3))/$AJ10,Уголь_коэфф!$A:$B,2,1),(HL10-0.05)))</f>
        <v>1</v>
      </c>
      <c r="HN10" s="102">
        <f>MIN(1,MAX(VLOOKUP(($AJ10-$AI10-$AH10-$AG10-$AF10-$AE10*(1+HN$3))/$AJ10,Уголь_коэфф!$A:$B,2,1),(HM10-0.05)))</f>
        <v>0.995</v>
      </c>
      <c r="HO10" s="102">
        <f>MIN(1,MAX(VLOOKUP(($AJ10-$AI10-$AH10-$AG10-$AF10-$AE10*(1+HO$3))/$AJ10,Уголь_коэфф!$A:$B,2,1),(HN10-0.05)))</f>
        <v>0.995</v>
      </c>
      <c r="HP10" s="102">
        <f>MIN(1,MAX(VLOOKUP(($AJ10-$AI10-$AH10-$AG10-$AF10-$AE10*(1+HP$3))/$AJ10,Уголь_коэфф!$A:$B,2,1),(HO10-0.05)))</f>
        <v>0.995</v>
      </c>
      <c r="HQ10" s="102">
        <f>MIN(1,MAX(VLOOKUP(($AJ10-$AI10-$AH10-$AG10-$AF10-$AE10*(1+HQ$3))/$AJ10,Уголь_коэфф!$A:$B,2,1),(HP10-0.05)))</f>
        <v>0.995</v>
      </c>
      <c r="HR10" s="102">
        <f>MIN(1,MAX(VLOOKUP(($AJ10-$AI10-$AH10-$AG10-$AF10-$AE10*(1+HR$3))/$AJ10,Уголь_коэфф!$A:$B,2,1),(HQ10-0.05)))</f>
        <v>0.995</v>
      </c>
      <c r="HS10" s="102">
        <f>MIN(1,MAX(VLOOKUP(($AJ10-$AI10-$AH10-$AG10-$AF10-$AE10*(1+HS$3))/$AJ10,Уголь_коэфф!$A:$B,2,1),(HR10-0.05)))</f>
        <v>0.99</v>
      </c>
      <c r="HT10" s="102">
        <f>MIN(1,MAX(VLOOKUP(($AJ10-$AI10-$AH10-$AG10-$AF10-$AE10*(1+HT$3))/$AJ10,Уголь_коэфф!$A:$B,2,1),(HS10-0.05)))</f>
        <v>0.99</v>
      </c>
      <c r="HU10" s="102">
        <f>MIN(1,MAX(VLOOKUP(($AJ10-$AI10-$AH10-$AG10-$AF10-$AE10*(1+HU$3))/$AJ10,Уголь_коэфф!$A:$B,2,1),(HT10-0.05)))</f>
        <v>0.99</v>
      </c>
      <c r="HV10" s="102">
        <f>MIN(1,MAX(VLOOKUP(($AJ10-$AI10-$AH10-$AG10-$AF10-$AE10*(1+HV$3))/$AJ10,Уголь_коэфф!$A:$B,2,1),(HU10-0.05)))</f>
        <v>0.99</v>
      </c>
      <c r="HW10" s="102">
        <f>MIN(1,MAX(VLOOKUP(($AJ10-$AI10-$AH10-$AG10-$AF10-$AE10*(1+HW$3))/$AJ10,Уголь_коэфф!$A:$B,2,1),(HV10-0.05)))</f>
        <v>0.99</v>
      </c>
      <c r="HX10" s="102">
        <f>MIN(1,MAX(VLOOKUP(($AJ10-$AI10-$AH10-$AG10-$AF10-$AE10*(1+HX$3))/$AJ10,Уголь_коэфф!$A:$B,2,1),(HW10-0.05)))</f>
        <v>0.98499999999999999</v>
      </c>
      <c r="HY10" s="102">
        <f>MIN(1,MAX(VLOOKUP(($AJ10-$AI10-$AH10-$AG10-$AF10-$AE10*(1+HY$3))/$AJ10,Уголь_коэфф!$A:$B,2,1),(HX10-0.05)))</f>
        <v>0.98499999999999999</v>
      </c>
      <c r="HZ10" s="102">
        <f>MIN(1,MAX(VLOOKUP(($AJ10-$AI10-$AH10-$AG10-$AF10-$AE10*(1+HZ$3))/$AJ10,Уголь_коэфф!$A:$B,2,1),(HY10-0.05)))</f>
        <v>0.98499999999999999</v>
      </c>
      <c r="IA10" s="102">
        <f>MIN(1,MAX(VLOOKUP(($AJ10-$AI10-$AH10-$AG10-$AF10-$AE10*(1+IA$3))/$AJ10,Уголь_коэфф!$A:$B,2,1),(HZ10-0.05)))</f>
        <v>0.98499999999999999</v>
      </c>
      <c r="IB10" s="102">
        <f>MIN(1,MAX(VLOOKUP(($AJ10-$AI10-$AH10-$AG10-$AF10-$AE10*(1+IB$3))/$AJ10,Уголь_коэфф!$A:$B,2,1),(IA10-0.05)))</f>
        <v>0.98499999999999999</v>
      </c>
      <c r="IC10" s="102">
        <f>MIN(1,MAX(VLOOKUP(($AJ10-$AI10-$AH10-$AG10-$AF10-$AE10*(1+IC$3))/$AJ10,Уголь_коэфф!$A:$B,2,1),(IB10-0.05)))</f>
        <v>0.98</v>
      </c>
      <c r="ID10" s="102">
        <f>MIN(1,MAX(VLOOKUP(($AJ10-$AI10-$AH10-$AG10-$AF10-$AE10*(1+ID$3))/$AJ10,Уголь_коэфф!$A:$B,2,1),(IC10-0.05)))</f>
        <v>0.98</v>
      </c>
      <c r="IE10" s="102">
        <f>MIN(1,MAX(VLOOKUP(($AJ10-$AI10-$AH10-$AG10-$AF10-$AE10*(1+IE$3))/$AJ10,Уголь_коэфф!$A:$B,2,1),(ID10-0.05)))</f>
        <v>0.98</v>
      </c>
      <c r="IF10" s="102">
        <f>MIN(1,MAX(VLOOKUP(($AJ10-$AI10-$AH10-$AG10-$AF10-$AE10*(1+IF$3))/$AJ10,Уголь_коэфф!$A:$B,2,1),(IE10-0.05)))</f>
        <v>0.98</v>
      </c>
      <c r="IG10" s="102">
        <f>MIN(1,MAX(VLOOKUP(($AJ10-$AI10-$AH10-$AG10-$AF10-$AE10*(1+IG$3))/$AJ10,Уголь_коэфф!$A:$B,2,1),(IF10-0.05)))</f>
        <v>0.97499999999999998</v>
      </c>
      <c r="IH10" s="102">
        <f>MIN(1,MAX(VLOOKUP(($AJ10-$AI10-$AH10-$AG10-$AF10-$AE10*(1+IH$3))/$AJ10,Уголь_коэфф!$A:$B,2,1),(IG10-0.05)))</f>
        <v>0.97499999999999998</v>
      </c>
      <c r="II10" s="102">
        <f>MIN(1,MAX(VLOOKUP(($AJ10-$AI10-$AH10-$AG10-$AF10-$AE10*(1+II$3))/$AJ10,Уголь_коэфф!$A:$B,2,1),(IH10-0.05)))</f>
        <v>0.97499999999999998</v>
      </c>
      <c r="IJ10" s="102">
        <f>MIN(1,MAX(VLOOKUP(($AJ10-$AI10-$AH10-$AG10-$AF10-$AE10*(1+IJ$3))/$AJ10,Уголь_коэфф!$A:$B,2,1),(II10-0.05)))</f>
        <v>0.97499999999999998</v>
      </c>
      <c r="IK10" s="102">
        <f>MIN(1,MAX(VLOOKUP(($AJ10-$AI10-$AH10-$AG10-$AF10-$AE10*(1+IK$3))/$AJ10,Уголь_коэфф!$A:$B,2,1),(IJ10-0.05)))</f>
        <v>0.97499999999999998</v>
      </c>
      <c r="IL10" s="102">
        <f>MIN(1,MAX(VLOOKUP(($AJ10-$AI10-$AH10-$AG10-$AF10-$AE10*(1+IL$3))/$AJ10,Уголь_коэфф!$A:$B,2,1),(IK10-0.05)))</f>
        <v>0.97</v>
      </c>
      <c r="IM10" s="102">
        <f>MIN(1,MAX(VLOOKUP(($AJ10-$AI10-$AH10-$AG10-$AF10-$AE10*(1+IM$3))/$AJ10,Уголь_коэфф!$A:$B,2,1),(IL10-0.05)))</f>
        <v>0.97</v>
      </c>
      <c r="IN10" s="102">
        <f>MIN(1,MAX(VLOOKUP(($AJ10-$AI10-$AH10-$AG10-$AF10-$AE10*(1+IN$3))/$AJ10,Уголь_коэфф!$A:$B,2,1),(IM10-0.05)))</f>
        <v>0.97</v>
      </c>
      <c r="IO10" s="102">
        <f>MIN(1,MAX(VLOOKUP(($AJ10-$AI10-$AH10-$AG10-$AF10-$AE10*(1+IO$3))/$AJ10,Уголь_коэфф!$A:$B,2,1),(IN10-0.05)))</f>
        <v>0.97</v>
      </c>
      <c r="IP10" s="102">
        <f>MIN(1,MAX(VLOOKUP(($AJ10-$AI10-$AH10-$AG10-$AF10-$AE10*(1+IP$3))/$AJ10,Уголь_коэфф!$A:$B,2,1),(IO10-0.05)))</f>
        <v>0.97</v>
      </c>
      <c r="IQ10" s="102">
        <f>MIN(1,MAX(VLOOKUP(($AJ10-$AI10-$AH10-$AG10-$AF10-$AE10*(1+IQ$3))/$AJ10,Уголь_коэфф!$A:$B,2,1),(IP10-0.05)))</f>
        <v>0.96499999999999997</v>
      </c>
      <c r="IR10" s="102">
        <f>MIN(1,MAX(VLOOKUP(($AJ10-$AI10-$AH10-$AG10-$AF10-$AE10*(1+IR$3))/$AJ10,Уголь_коэфф!$A:$B,2,1),(IQ10-0.05)))</f>
        <v>0.96499999999999997</v>
      </c>
      <c r="IS10" s="102">
        <f t="shared" si="20"/>
        <v>1</v>
      </c>
      <c r="IT10" s="102">
        <f t="shared" si="7"/>
        <v>1</v>
      </c>
      <c r="IU10" s="110"/>
    </row>
    <row r="11" spans="1:266" ht="14.6" customHeight="1">
      <c r="A11" t="s">
        <v>240</v>
      </c>
      <c r="B11" s="149">
        <v>1</v>
      </c>
      <c r="C11" s="150" t="s">
        <v>16</v>
      </c>
      <c r="D11" s="151">
        <v>16117</v>
      </c>
      <c r="E11" s="151" t="s">
        <v>70</v>
      </c>
      <c r="F11" s="150" t="s">
        <v>18</v>
      </c>
      <c r="G11" s="150" t="s">
        <v>45</v>
      </c>
      <c r="H11" s="151" t="s">
        <v>30</v>
      </c>
      <c r="I11" s="151" t="s">
        <v>71</v>
      </c>
      <c r="J11" s="151" t="s">
        <v>53</v>
      </c>
      <c r="K11" s="151">
        <v>4156</v>
      </c>
      <c r="L11" s="151" t="s">
        <v>22</v>
      </c>
      <c r="M11" s="151" t="s">
        <v>23</v>
      </c>
      <c r="N11" s="151" t="s">
        <v>24</v>
      </c>
      <c r="O11" s="151" t="s">
        <v>33</v>
      </c>
      <c r="P11" s="156">
        <v>82365518</v>
      </c>
      <c r="Q11" s="152" t="s">
        <v>68</v>
      </c>
      <c r="R11" s="151" t="s">
        <v>69</v>
      </c>
      <c r="S11" s="153">
        <v>1822456</v>
      </c>
      <c r="T11" s="154">
        <v>7574874184</v>
      </c>
      <c r="U11" s="154">
        <v>25338</v>
      </c>
      <c r="V11" s="154"/>
      <c r="W11" s="155">
        <v>3281208376</v>
      </c>
      <c r="X11" s="104">
        <v>69</v>
      </c>
      <c r="Y11" s="104" t="s">
        <v>163</v>
      </c>
      <c r="Z11" s="107">
        <v>11</v>
      </c>
      <c r="AA11" s="107">
        <v>12</v>
      </c>
      <c r="AB11" s="107">
        <v>4</v>
      </c>
      <c r="AC11" s="88">
        <v>2082.23</v>
      </c>
      <c r="AD11" s="88">
        <v>928.75999999999976</v>
      </c>
      <c r="AE11" s="88">
        <f t="shared" si="22"/>
        <v>3010.99</v>
      </c>
      <c r="AF11" s="89">
        <f>'Цены,перевалка,аренда'!$C$27*SUM(Уголь_эластика_экспорт!Z11+Уголь_эластика_экспорт!AA11+Уголь_эластика_экспорт!AB11)/Уголь_эластика_экспорт!X11</f>
        <v>273.91304347826087</v>
      </c>
      <c r="AG11" s="90">
        <f>SUMIF('Цены,перевалка,аренда'!$A$20:$A$22,Уголь_эластика_экспорт!$O11,'Цены,перевалка,аренда'!$D$20:$D$22)</f>
        <v>610.44399999999996</v>
      </c>
      <c r="AH11" s="47"/>
      <c r="AI11" s="91">
        <v>2736</v>
      </c>
      <c r="AJ11" s="92">
        <f>SUMIF('Цены,перевалка,аренда'!$A$5:$A$17,Уголь_эластика_экспорт!A11,'Цены,перевалка,аренда'!$D$5:$D$17)</f>
        <v>6485.9674999999997</v>
      </c>
      <c r="AK11" s="47">
        <f>AJ11/'Цены,перевалка,аренда'!$C$1</f>
        <v>85</v>
      </c>
      <c r="AL11" s="47">
        <f t="shared" si="9"/>
        <v>3895.3470434782607</v>
      </c>
      <c r="AM11" s="47">
        <f t="shared" si="10"/>
        <v>2590.620456521739</v>
      </c>
      <c r="AN11" s="47">
        <f t="shared" si="11"/>
        <v>6631.3470434782612</v>
      </c>
      <c r="AO11" s="93">
        <f t="shared" si="12"/>
        <v>-2.2414473010890272E-2</v>
      </c>
      <c r="AP11" s="94">
        <f t="shared" si="13"/>
        <v>0.60058072191670109</v>
      </c>
      <c r="AQ11" s="94">
        <f t="shared" si="5"/>
        <v>0.46423143501721215</v>
      </c>
      <c r="AR11" s="94">
        <f t="shared" si="6"/>
        <v>0.77297092310199023</v>
      </c>
      <c r="AS11" s="167">
        <f t="shared" si="14"/>
        <v>0.97499999999999998</v>
      </c>
      <c r="AT11" s="173">
        <f t="shared" si="15"/>
        <v>1776894.5999999999</v>
      </c>
      <c r="AU11" s="97">
        <v>0.9</v>
      </c>
      <c r="AV11" s="93">
        <f t="shared" si="16"/>
        <v>-6.8837616512611513E-2</v>
      </c>
      <c r="AW11" s="94">
        <f t="shared" si="17"/>
        <v>0.64700386541842236</v>
      </c>
      <c r="AX11" s="94">
        <f t="shared" si="18"/>
        <v>0.51065457851893337</v>
      </c>
      <c r="AY11" s="94">
        <f t="shared" si="19"/>
        <v>0.78926047557488566</v>
      </c>
      <c r="AZ11" s="102">
        <f>MIN(IF($AU11=100%,1,1+VLOOKUP(($AJ11-$AI11-$AH11-$AG11-$AF11-$AE11*(1+AZ$3))/$AJ11,Уголь_коэфф!$A:$B,2,1)-VLOOKUP($AO11,Уголь_коэфф!$A:$B,2,1)),1+(1-$AU11))</f>
        <v>1.097</v>
      </c>
      <c r="BA11" s="102">
        <f>MIN(IF($AU11=100%,1,1+VLOOKUP(($AJ11-$AI11-$AH11-$AG11-$AF11-$AE11*(1+BA$3))/$AJ11,Уголь_коэфф!$A:$B,2,1)-VLOOKUP($AO11,Уголь_коэфф!$A:$B,2,1)),1+(1-$AU11))</f>
        <v>1.097</v>
      </c>
      <c r="BB11" s="102">
        <f>MIN(IF($AU11=100%,1,1+VLOOKUP(($AJ11-$AI11-$AH11-$AG11-$AF11-$AE11*(1+BB$3))/$AJ11,Уголь_коэфф!$A:$B,2,1)-VLOOKUP($AO11,Уголь_коэфф!$A:$B,2,1)),1+(1-$AU11))</f>
        <v>1.097</v>
      </c>
      <c r="BC11" s="102">
        <f>MIN(IF($AU11=100%,1,1+VLOOKUP(($AJ11-$AI11-$AH11-$AG11-$AF11-$AE11*(1+BC$3))/$AJ11,Уголь_коэфф!$A:$B,2,1)-VLOOKUP($AO11,Уголь_коэфф!$A:$B,2,1)),1+(1-$AU11))</f>
        <v>1.097</v>
      </c>
      <c r="BD11" s="102">
        <f>MIN(IF($AU11=100%,1,1+VLOOKUP(($AJ11-$AI11-$AH11-$AG11-$AF11-$AE11*(1+BD$3))/$AJ11,Уголь_коэфф!$A:$B,2,1)-VLOOKUP($AO11,Уголь_коэфф!$A:$B,2,1)),1+(1-$AU11))</f>
        <v>1.097</v>
      </c>
      <c r="BE11" s="102">
        <f>MIN(IF($AU11=100%,1,1+VLOOKUP(($AJ11-$AI11-$AH11-$AG11-$AF11-$AE11*(1+BE$3))/$AJ11,Уголь_коэфф!$A:$B,2,1)-VLOOKUP($AO11,Уголь_коэфф!$A:$B,2,1)),1+(1-$AU11))</f>
        <v>1.0910000000000002</v>
      </c>
      <c r="BF11" s="102">
        <f>MIN(IF($AU11=100%,1,1+VLOOKUP(($AJ11-$AI11-$AH11-$AG11-$AF11-$AE11*(1+BF$3))/$AJ11,Уголь_коэфф!$A:$B,2,1)-VLOOKUP($AO11,Уголь_коэфф!$A:$B,2,1)),1+(1-$AU11))</f>
        <v>1.0910000000000002</v>
      </c>
      <c r="BG11" s="102">
        <f>MIN(IF($AU11=100%,1,1+VLOOKUP(($AJ11-$AI11-$AH11-$AG11-$AF11-$AE11*(1+BG$3))/$AJ11,Уголь_коэфф!$A:$B,2,1)-VLOOKUP($AO11,Уголь_коэфф!$A:$B,2,1)),1+(1-$AU11))</f>
        <v>1.0910000000000002</v>
      </c>
      <c r="BH11" s="102">
        <f>MIN(IF($AU11=100%,1,1+VLOOKUP(($AJ11-$AI11-$AH11-$AG11-$AF11-$AE11*(1+BH$3))/$AJ11,Уголь_коэфф!$A:$B,2,1)-VLOOKUP($AO11,Уголь_коэфф!$A:$B,2,1)),1+(1-$AU11))</f>
        <v>1.0910000000000002</v>
      </c>
      <c r="BI11" s="102">
        <f>MIN(IF($AU11=100%,1,1+VLOOKUP(($AJ11-$AI11-$AH11-$AG11-$AF11-$AE11*(1+BI$3))/$AJ11,Уголь_коэфф!$A:$B,2,1)-VLOOKUP($AO11,Уголь_коэфф!$A:$B,2,1)),1+(1-$AU11))</f>
        <v>1.085</v>
      </c>
      <c r="BJ11" s="102">
        <f>MIN(IF($AU11=100%,1,1+VLOOKUP(($AJ11-$AI11-$AH11-$AG11-$AF11-$AE11*(1+BJ$3))/$AJ11,Уголь_коэфф!$A:$B,2,1)-VLOOKUP($AO11,Уголь_коэфф!$A:$B,2,1)),1+(1-$AU11))</f>
        <v>1.085</v>
      </c>
      <c r="BK11" s="102">
        <f>MIN(IF($AU11=100%,1,1+VLOOKUP(($AJ11-$AI11-$AH11-$AG11-$AF11-$AE11*(1+BK$3))/$AJ11,Уголь_коэфф!$A:$B,2,1)-VLOOKUP($AO11,Уголь_коэфф!$A:$B,2,1)),1+(1-$AU11))</f>
        <v>1.085</v>
      </c>
      <c r="BL11" s="102">
        <f>MIN(IF($AU11=100%,1,1+VLOOKUP(($AJ11-$AI11-$AH11-$AG11-$AF11-$AE11*(1+BL$3))/$AJ11,Уголь_коэфф!$A:$B,2,1)-VLOOKUP($AO11,Уголь_коэфф!$A:$B,2,1)),1+(1-$AU11))</f>
        <v>1.085</v>
      </c>
      <c r="BM11" s="102">
        <f>MIN(IF($AU11=100%,1,1+VLOOKUP(($AJ11-$AI11-$AH11-$AG11-$AF11-$AE11*(1+BM$3))/$AJ11,Уголь_коэфф!$A:$B,2,1)-VLOOKUP($AO11,Уголь_коэфф!$A:$B,2,1)),1+(1-$AU11))</f>
        <v>1.08</v>
      </c>
      <c r="BN11" s="102">
        <f>MIN(IF($AU11=100%,1,1+VLOOKUP(($AJ11-$AI11-$AH11-$AG11-$AF11-$AE11*(1+BN$3))/$AJ11,Уголь_коэфф!$A:$B,2,1)-VLOOKUP($AO11,Уголь_коэфф!$A:$B,2,1)),1+(1-$AU11))</f>
        <v>1.08</v>
      </c>
      <c r="BO11" s="102">
        <f>MIN(IF($AU11=100%,1,1+VLOOKUP(($AJ11-$AI11-$AH11-$AG11-$AF11-$AE11*(1+BO$3))/$AJ11,Уголь_коэфф!$A:$B,2,1)-VLOOKUP($AO11,Уголь_коэфф!$A:$B,2,1)),1+(1-$AU11))</f>
        <v>1.08</v>
      </c>
      <c r="BP11" s="102">
        <f>MIN(IF($AU11=100%,1,1+VLOOKUP(($AJ11-$AI11-$AH11-$AG11-$AF11-$AE11*(1+BP$3))/$AJ11,Уголь_коэфф!$A:$B,2,1)-VLOOKUP($AO11,Уголь_коэфф!$A:$B,2,1)),1+(1-$AU11))</f>
        <v>1.08</v>
      </c>
      <c r="BQ11" s="102">
        <f>MIN(IF($AU11=100%,1,1+VLOOKUP(($AJ11-$AI11-$AH11-$AG11-$AF11-$AE11*(1+BQ$3))/$AJ11,Уголь_коэфф!$A:$B,2,1)-VLOOKUP($AO11,Уголь_коэфф!$A:$B,2,1)),1+(1-$AU11))</f>
        <v>1.08</v>
      </c>
      <c r="BR11" s="102">
        <f>MIN(IF($AU11=100%,1,1+VLOOKUP(($AJ11-$AI11-$AH11-$AG11-$AF11-$AE11*(1+BR$3))/$AJ11,Уголь_коэфф!$A:$B,2,1)-VLOOKUP($AO11,Уголь_коэфф!$A:$B,2,1)),1+(1-$AU11))</f>
        <v>1.0750000000000002</v>
      </c>
      <c r="BS11" s="102">
        <f>MIN(IF($AU11=100%,1,1+VLOOKUP(($AJ11-$AI11-$AH11-$AG11-$AF11-$AE11*(1+BS$3))/$AJ11,Уголь_коэфф!$A:$B,2,1)-VLOOKUP($AO11,Уголь_коэфф!$A:$B,2,1)),1+(1-$AU11))</f>
        <v>1.0750000000000002</v>
      </c>
      <c r="BT11" s="102">
        <f>MIN(IF($AU11=100%,1,1+VLOOKUP(($AJ11-$AI11-$AH11-$AG11-$AF11-$AE11*(1+BT$3))/$AJ11,Уголь_коэфф!$A:$B,2,1)-VLOOKUP($AO11,Уголь_коэфф!$A:$B,2,1)),1+(1-$AU11))</f>
        <v>1.0750000000000002</v>
      </c>
      <c r="BU11" s="102">
        <f>MIN(IF($AU11=100%,1,1+VLOOKUP(($AJ11-$AI11-$AH11-$AG11-$AF11-$AE11*(1+BU$3))/$AJ11,Уголь_коэфф!$A:$B,2,1)-VLOOKUP($AO11,Уголь_коэфф!$A:$B,2,1)),1+(1-$AU11))</f>
        <v>1.0750000000000002</v>
      </c>
      <c r="BV11" s="102">
        <f>MIN(IF($AU11=100%,1,1+VLOOKUP(($AJ11-$AI11-$AH11-$AG11-$AF11-$AE11*(1+BV$3))/$AJ11,Уголь_коэфф!$A:$B,2,1)-VLOOKUP($AO11,Уголь_коэфф!$A:$B,2,1)),1+(1-$AU11))</f>
        <v>1.0699999999999998</v>
      </c>
      <c r="BW11" s="102">
        <f>MIN(IF($AU11=100%,1,1+VLOOKUP(($AJ11-$AI11-$AH11-$AG11-$AF11-$AE11*(1+BW$3))/$AJ11,Уголь_коэфф!$A:$B,2,1)-VLOOKUP($AO11,Уголь_коэфф!$A:$B,2,1)),1+(1-$AU11))</f>
        <v>1.0699999999999998</v>
      </c>
      <c r="BX11" s="102">
        <f>MIN(IF($AU11=100%,1,1+VLOOKUP(($AJ11-$AI11-$AH11-$AG11-$AF11-$AE11*(1+BX$3))/$AJ11,Уголь_коэфф!$A:$B,2,1)-VLOOKUP($AO11,Уголь_коэфф!$A:$B,2,1)),1+(1-$AU11))</f>
        <v>1.0699999999999998</v>
      </c>
      <c r="BY11" s="102">
        <f>MIN(IF($AU11=100%,1,1+VLOOKUP(($AJ11-$AI11-$AH11-$AG11-$AF11-$AE11*(1+BY$3))/$AJ11,Уголь_коэфф!$A:$B,2,1)-VLOOKUP($AO11,Уголь_коэфф!$A:$B,2,1)),1+(1-$AU11))</f>
        <v>1.0699999999999998</v>
      </c>
      <c r="BZ11" s="102">
        <f>MIN(IF($AU11=100%,1,1+VLOOKUP(($AJ11-$AI11-$AH11-$AG11-$AF11-$AE11*(1+BZ$3))/$AJ11,Уголь_коэфф!$A:$B,2,1)-VLOOKUP($AO11,Уголь_коэфф!$A:$B,2,1)),1+(1-$AU11))</f>
        <v>1.0649999999999999</v>
      </c>
      <c r="CA11" s="102">
        <f>MIN(IF($AU11=100%,1,1+VLOOKUP(($AJ11-$AI11-$AH11-$AG11-$AF11-$AE11*(1+CA$3))/$AJ11,Уголь_коэфф!$A:$B,2,1)-VLOOKUP($AO11,Уголь_коэфф!$A:$B,2,1)),1+(1-$AU11))</f>
        <v>1.0649999999999999</v>
      </c>
      <c r="CB11" s="102">
        <f>MIN(IF($AU11=100%,1,1+VLOOKUP(($AJ11-$AI11-$AH11-$AG11-$AF11-$AE11*(1+CB$3))/$AJ11,Уголь_коэфф!$A:$B,2,1)-VLOOKUP($AO11,Уголь_коэфф!$A:$B,2,1)),1+(1-$AU11))</f>
        <v>1.0649999999999999</v>
      </c>
      <c r="CC11" s="102">
        <f>MIN(IF($AU11=100%,1,1+VLOOKUP(($AJ11-$AI11-$AH11-$AG11-$AF11-$AE11*(1+CC$3))/$AJ11,Уголь_коэфф!$A:$B,2,1)-VLOOKUP($AO11,Уголь_коэфф!$A:$B,2,1)),1+(1-$AU11))</f>
        <v>1.0649999999999999</v>
      </c>
      <c r="CD11" s="102">
        <f>MIN(IF($AU11=100%,1,1+VLOOKUP(($AJ11-$AI11-$AH11-$AG11-$AF11-$AE11*(1+CD$3))/$AJ11,Уголь_коэфф!$A:$B,2,1)-VLOOKUP($AO11,Уголь_коэфф!$A:$B,2,1)),1+(1-$AU11))</f>
        <v>1.0649999999999999</v>
      </c>
      <c r="CE11" s="102">
        <f>MIN(IF($AU11=100%,1,1+VLOOKUP(($AJ11-$AI11-$AH11-$AG11-$AF11-$AE11*(1+CE$3))/$AJ11,Уголь_коэфф!$A:$B,2,1)-VLOOKUP($AO11,Уголь_коэфф!$A:$B,2,1)),1+(1-$AU11))</f>
        <v>1.0599999999999996</v>
      </c>
      <c r="CF11" s="102">
        <f>MIN(IF($AU11=100%,1,1+VLOOKUP(($AJ11-$AI11-$AH11-$AG11-$AF11-$AE11*(1+CF$3))/$AJ11,Уголь_коэфф!$A:$B,2,1)-VLOOKUP($AO11,Уголь_коэфф!$A:$B,2,1)),1+(1-$AU11))</f>
        <v>1.0599999999999996</v>
      </c>
      <c r="CG11" s="102">
        <f>MIN(IF($AU11=100%,1,1+VLOOKUP(($AJ11-$AI11-$AH11-$AG11-$AF11-$AE11*(1+CG$3))/$AJ11,Уголь_коэфф!$A:$B,2,1)-VLOOKUP($AO11,Уголь_коэфф!$A:$B,2,1)),1+(1-$AU11))</f>
        <v>1.0599999999999996</v>
      </c>
      <c r="CH11" s="102">
        <f>MIN(IF($AU11=100%,1,1+VLOOKUP(($AJ11-$AI11-$AH11-$AG11-$AF11-$AE11*(1+CH$3))/$AJ11,Уголь_коэфф!$A:$B,2,1)-VLOOKUP($AO11,Уголь_коэфф!$A:$B,2,1)),1+(1-$AU11))</f>
        <v>1.0599999999999996</v>
      </c>
      <c r="CI11" s="102">
        <f>MIN(IF($AU11=100%,1,1+VLOOKUP(($AJ11-$AI11-$AH11-$AG11-$AF11-$AE11*(1+CI$3))/$AJ11,Уголь_коэфф!$A:$B,2,1)-VLOOKUP($AO11,Уголь_коэфф!$A:$B,2,1)),1+(1-$AU11))</f>
        <v>1.0549999999999997</v>
      </c>
      <c r="CJ11" s="102">
        <f>MIN(IF($AU11=100%,1,1+VLOOKUP(($AJ11-$AI11-$AH11-$AG11-$AF11-$AE11*(1+CJ$3))/$AJ11,Уголь_коэфф!$A:$B,2,1)-VLOOKUP($AO11,Уголь_коэфф!$A:$B,2,1)),1+(1-$AU11))</f>
        <v>1.0549999999999997</v>
      </c>
      <c r="CK11" s="102">
        <f>MIN(IF($AU11=100%,1,1+VLOOKUP(($AJ11-$AI11-$AH11-$AG11-$AF11-$AE11*(1+CK$3))/$AJ11,Уголь_коэфф!$A:$B,2,1)-VLOOKUP($AO11,Уголь_коэфф!$A:$B,2,1)),1+(1-$AU11))</f>
        <v>1.0549999999999997</v>
      </c>
      <c r="CL11" s="102">
        <f>MIN(IF($AU11=100%,1,1+VLOOKUP(($AJ11-$AI11-$AH11-$AG11-$AF11-$AE11*(1+CL$3))/$AJ11,Уголь_коэфф!$A:$B,2,1)-VLOOKUP($AO11,Уголь_коэфф!$A:$B,2,1)),1+(1-$AU11))</f>
        <v>1.0549999999999997</v>
      </c>
      <c r="CM11" s="102">
        <f>MIN(IF($AU11=100%,1,1+VLOOKUP(($AJ11-$AI11-$AH11-$AG11-$AF11-$AE11*(1+CM$3))/$AJ11,Уголь_коэфф!$A:$B,2,1)-VLOOKUP($AO11,Уголь_коэфф!$A:$B,2,1)),1+(1-$AU11))</f>
        <v>1.0499999999999998</v>
      </c>
      <c r="CN11" s="102">
        <f>MIN(IF($AU11=100%,1,1+VLOOKUP(($AJ11-$AI11-$AH11-$AG11-$AF11-$AE11*(1+CN$3))/$AJ11,Уголь_коэфф!$A:$B,2,1)-VLOOKUP($AO11,Уголь_коэфф!$A:$B,2,1)),1+(1-$AU11))</f>
        <v>1.0499999999999998</v>
      </c>
      <c r="CO11" s="102">
        <f>MIN(IF($AU11=100%,1,1+VLOOKUP(($AJ11-$AI11-$AH11-$AG11-$AF11-$AE11*(1+CO$3))/$AJ11,Уголь_коэфф!$A:$B,2,1)-VLOOKUP($AO11,Уголь_коэфф!$A:$B,2,1)),1+(1-$AU11))</f>
        <v>1.0499999999999998</v>
      </c>
      <c r="CP11" s="102">
        <f>MIN(IF($AU11=100%,1,1+VLOOKUP(($AJ11-$AI11-$AH11-$AG11-$AF11-$AE11*(1+CP$3))/$AJ11,Уголь_коэфф!$A:$B,2,1)-VLOOKUP($AO11,Уголь_коэфф!$A:$B,2,1)),1+(1-$AU11))</f>
        <v>1.0499999999999998</v>
      </c>
      <c r="CQ11" s="102">
        <f>MIN(IF($AU11=100%,1,1+VLOOKUP(($AJ11-$AI11-$AH11-$AG11-$AF11-$AE11*(1+CQ$3))/$AJ11,Уголь_коэфф!$A:$B,2,1)-VLOOKUP($AO11,Уголь_коэфф!$A:$B,2,1)),1+(1-$AU11))</f>
        <v>1.0449999999999999</v>
      </c>
      <c r="CR11" s="102">
        <f>MIN(IF($AU11=100%,1,1+VLOOKUP(($AJ11-$AI11-$AH11-$AG11-$AF11-$AE11*(1+CR$3))/$AJ11,Уголь_коэфф!$A:$B,2,1)-VLOOKUP($AO11,Уголь_коэфф!$A:$B,2,1)),1+(1-$AU11))</f>
        <v>1.0449999999999999</v>
      </c>
      <c r="CS11" s="102">
        <f>MIN(IF($AU11=100%,1,1+VLOOKUP(($AJ11-$AI11-$AH11-$AG11-$AF11-$AE11*(1+CS$3))/$AJ11,Уголь_коэфф!$A:$B,2,1)-VLOOKUP($AO11,Уголь_коэфф!$A:$B,2,1)),1+(1-$AU11))</f>
        <v>1.0449999999999999</v>
      </c>
      <c r="CT11" s="102">
        <f>MIN(IF($AU11=100%,1,1+VLOOKUP(($AJ11-$AI11-$AH11-$AG11-$AF11-$AE11*(1+CT$3))/$AJ11,Уголь_коэфф!$A:$B,2,1)-VLOOKUP($AO11,Уголь_коэфф!$A:$B,2,1)),1+(1-$AU11))</f>
        <v>1.0449999999999999</v>
      </c>
      <c r="CU11" s="102">
        <f>MIN(IF($AU11=100%,1,1+VLOOKUP(($AJ11-$AI11-$AH11-$AG11-$AF11-$AE11*(1+CU$3))/$AJ11,Уголь_коэфф!$A:$B,2,1)-VLOOKUP($AO11,Уголь_коэфф!$A:$B,2,1)),1+(1-$AU11))</f>
        <v>1.0449999999999999</v>
      </c>
      <c r="CV11" s="102">
        <f>MIN(IF($AU11=100%,1,1+VLOOKUP(($AJ11-$AI11-$AH11-$AG11-$AF11-$AE11*(1+CV$3))/$AJ11,Уголь_коэфф!$A:$B,2,1)-VLOOKUP($AO11,Уголь_коэфф!$A:$B,2,1)),1+(1-$AU11))</f>
        <v>1.04</v>
      </c>
      <c r="CW11" s="102">
        <f>MIN(IF($AU11=100%,1,1+VLOOKUP(($AJ11-$AI11-$AH11-$AG11-$AF11-$AE11*(1+CW$3))/$AJ11,Уголь_коэфф!$A:$B,2,1)-VLOOKUP($AO11,Уголь_коэфф!$A:$B,2,1)),1+(1-$AU11))</f>
        <v>1.04</v>
      </c>
      <c r="CX11" s="102">
        <f>MIN(IF($AU11=100%,1,1+VLOOKUP(($AJ11-$AI11-$AH11-$AG11-$AF11-$AE11*(1+CX$3))/$AJ11,Уголь_коэфф!$A:$B,2,1)-VLOOKUP($AO11,Уголь_коэфф!$A:$B,2,1)),1+(1-$AU11))</f>
        <v>1.04</v>
      </c>
      <c r="CY11" s="102">
        <f>MIN(IF($AU11=100%,1,1+VLOOKUP(($AJ11-$AI11-$AH11-$AG11-$AF11-$AE11*(1+CY$3))/$AJ11,Уголь_коэфф!$A:$B,2,1)-VLOOKUP($AO11,Уголь_коэфф!$A:$B,2,1)),1+(1-$AU11))</f>
        <v>1.04</v>
      </c>
      <c r="CZ11" s="102">
        <f>MIN(IF($AU11=100%,1,1+VLOOKUP(($AJ11-$AI11-$AH11-$AG11-$AF11-$AE11*(1+CZ$3))/$AJ11,Уголь_коэфф!$A:$B,2,1)-VLOOKUP($AO11,Уголь_коэфф!$A:$B,2,1)),1+(1-$AU11))</f>
        <v>1.0350000000000001</v>
      </c>
      <c r="DA11" s="102">
        <f>MIN(IF($AU11=100%,1,1+VLOOKUP(($AJ11-$AI11-$AH11-$AG11-$AF11-$AE11*(1+DA$3))/$AJ11,Уголь_коэфф!$A:$B,2,1)-VLOOKUP($AO11,Уголь_коэфф!$A:$B,2,1)),1+(1-$AU11))</f>
        <v>1.0350000000000001</v>
      </c>
      <c r="DB11" s="102">
        <f>MIN(IF($AU11=100%,1,1+VLOOKUP(($AJ11-$AI11-$AH11-$AG11-$AF11-$AE11*(1+DB$3))/$AJ11,Уголь_коэфф!$A:$B,2,1)-VLOOKUP($AO11,Уголь_коэфф!$A:$B,2,1)),1+(1-$AU11))</f>
        <v>1.0350000000000001</v>
      </c>
      <c r="DC11" s="102">
        <f>MIN(IF($AU11=100%,1,1+VLOOKUP(($AJ11-$AI11-$AH11-$AG11-$AF11-$AE11*(1+DC$3))/$AJ11,Уголь_коэфф!$A:$B,2,1)-VLOOKUP($AO11,Уголь_коэфф!$A:$B,2,1)),1+(1-$AU11))</f>
        <v>1.0350000000000001</v>
      </c>
      <c r="DD11" s="102">
        <f>MIN(IF($AU11=100%,1,1+VLOOKUP(($AJ11-$AI11-$AH11-$AG11-$AF11-$AE11*(1+DD$3))/$AJ11,Уголь_коэфф!$A:$B,2,1)-VLOOKUP($AO11,Уголь_коэфф!$A:$B,2,1)),1+(1-$AU11))</f>
        <v>1.0299999999999998</v>
      </c>
      <c r="DE11" s="102">
        <f>MIN(IF($AU11=100%,1,1+VLOOKUP(($AJ11-$AI11-$AH11-$AG11-$AF11-$AE11*(1+DE$3))/$AJ11,Уголь_коэфф!$A:$B,2,1)-VLOOKUP($AO11,Уголь_коэфф!$A:$B,2,1)),1+(1-$AU11))</f>
        <v>1.0299999999999998</v>
      </c>
      <c r="DF11" s="102">
        <f>MIN(IF($AU11=100%,1,1+VLOOKUP(($AJ11-$AI11-$AH11-$AG11-$AF11-$AE11*(1+DF$3))/$AJ11,Уголь_коэфф!$A:$B,2,1)-VLOOKUP($AO11,Уголь_коэфф!$A:$B,2,1)),1+(1-$AU11))</f>
        <v>1.0299999999999998</v>
      </c>
      <c r="DG11" s="102">
        <f>MIN(IF($AU11=100%,1,1+VLOOKUP(($AJ11-$AI11-$AH11-$AG11-$AF11-$AE11*(1+DG$3))/$AJ11,Уголь_коэфф!$A:$B,2,1)-VLOOKUP($AO11,Уголь_коэфф!$A:$B,2,1)),1+(1-$AU11))</f>
        <v>1.0299999999999998</v>
      </c>
      <c r="DH11" s="102">
        <f>MIN(IF($AU11=100%,1,1+VLOOKUP(($AJ11-$AI11-$AH11-$AG11-$AF11-$AE11*(1+DH$3))/$AJ11,Уголь_коэфф!$A:$B,2,1)-VLOOKUP($AO11,Уголь_коэфф!$A:$B,2,1)),1+(1-$AU11))</f>
        <v>1.0299999999999998</v>
      </c>
      <c r="DI11" s="102">
        <f>MIN(IF($AU11=100%,1,1+VLOOKUP(($AJ11-$AI11-$AH11-$AG11-$AF11-$AE11*(1+DI$3))/$AJ11,Уголь_коэфф!$A:$B,2,1)-VLOOKUP($AO11,Уголь_коэфф!$A:$B,2,1)),1+(1-$AU11))</f>
        <v>1.0299999999999998</v>
      </c>
      <c r="DJ11" s="102">
        <f>MIN(IF($AU11=100%,1,1+VLOOKUP(($AJ11-$AI11-$AH11-$AG11-$AF11-$AE11*(1+DJ$3))/$AJ11,Уголь_коэфф!$A:$B,2,1)-VLOOKUP($AO11,Уголь_коэфф!$A:$B,2,1)),1+(1-$AU11))</f>
        <v>1.0299999999999998</v>
      </c>
      <c r="DK11" s="102">
        <f>MIN(IF($AU11=100%,1,1+VLOOKUP(($AJ11-$AI11-$AH11-$AG11-$AF11-$AE11*(1+DK$3))/$AJ11,Уголь_коэфф!$A:$B,2,1)-VLOOKUP($AO11,Уголь_коэфф!$A:$B,2,1)),1+(1-$AU11))</f>
        <v>1.0299999999999998</v>
      </c>
      <c r="DL11" s="102">
        <f>MIN(IF($AU11=100%,1,1+VLOOKUP(($AJ11-$AI11-$AH11-$AG11-$AF11-$AE11*(1+DL$3))/$AJ11,Уголь_коэфф!$A:$B,2,1)-VLOOKUP($AO11,Уголь_коэфф!$A:$B,2,1)),1+(1-$AU11))</f>
        <v>1.0299999999999998</v>
      </c>
      <c r="DM11" s="102">
        <f>MIN(IF($AU11=100%,1,1+VLOOKUP(($AJ11-$AI11-$AH11-$AG11-$AF11-$AE11*(1+DM$3))/$AJ11,Уголь_коэфф!$A:$B,2,1)-VLOOKUP($AO11,Уголь_коэфф!$A:$B,2,1)),1+(1-$AU11))</f>
        <v>1.0299999999999998</v>
      </c>
      <c r="DN11" s="102">
        <f>MIN(IF($AU11=100%,1,1+VLOOKUP(($AJ11-$AI11-$AH11-$AG11-$AF11-$AE11*(1+DN$3))/$AJ11,Уголь_коэфф!$A:$B,2,1)-VLOOKUP($AO11,Уголь_коэфф!$A:$B,2,1)),1+(1-$AU11))</f>
        <v>1.0299999999999998</v>
      </c>
      <c r="DO11" s="102">
        <f>MIN(IF($AU11=100%,1,1+VLOOKUP(($AJ11-$AI11-$AH11-$AG11-$AF11-$AE11*(1+DO$3))/$AJ11,Уголь_коэфф!$A:$B,2,1)-VLOOKUP($AO11,Уголь_коэфф!$A:$B,2,1)),1+(1-$AU11))</f>
        <v>1.0299999999999998</v>
      </c>
      <c r="DP11" s="102">
        <f>MIN(IF($AU11=100%,1,1+VLOOKUP(($AJ11-$AI11-$AH11-$AG11-$AF11-$AE11*(1+DP$3))/$AJ11,Уголь_коэфф!$A:$B,2,1)-VLOOKUP($AO11,Уголь_коэфф!$A:$B,2,1)),1+(1-$AU11))</f>
        <v>1.0299999999999998</v>
      </c>
      <c r="DQ11" s="102">
        <f>MIN(IF($AU11=100%,1,1+VLOOKUP(($AJ11-$AI11-$AH11-$AG11-$AF11-$AE11*(1+DQ$3))/$AJ11,Уголь_коэфф!$A:$B,2,1)-VLOOKUP($AO11,Уголь_коэфф!$A:$B,2,1)),1+(1-$AU11))</f>
        <v>1.0049999999999999</v>
      </c>
      <c r="DR11" s="102">
        <f>MIN(IF($AU11=100%,1,1+VLOOKUP(($AJ11-$AI11-$AH11-$AG11-$AF11-$AE11*(1+DR$3))/$AJ11,Уголь_коэфф!$A:$B,2,1)-VLOOKUP($AO11,Уголь_коэфф!$A:$B,2,1)),1+(1-$AU11))</f>
        <v>1.0049999999999999</v>
      </c>
      <c r="DS11" s="102">
        <f>MIN(IF($AU11=100%,1,1+VLOOKUP(($AJ11-$AI11-$AH11-$AG11-$AF11-$AE11*(1+DS$3))/$AJ11,Уголь_коэфф!$A:$B,2,1)-VLOOKUP($AO11,Уголь_коэфф!$A:$B,2,1)),1+(1-$AU11))</f>
        <v>1.0049999999999999</v>
      </c>
      <c r="DT11" s="102">
        <f>MIN(IF($AU11=100%,1,1+VLOOKUP(($AJ11-$AI11-$AH11-$AG11-$AF11-$AE11*(1+DT$3))/$AJ11,Уголь_коэфф!$A:$B,2,1)-VLOOKUP($AO11,Уголь_коэфф!$A:$B,2,1)),1+(1-$AU11))</f>
        <v>1.0049999999999999</v>
      </c>
      <c r="DU11" s="102">
        <f>MIN(IF($AU11=100%,1,1+VLOOKUP(($AJ11-$AI11-$AH11-$AG11-$AF11-$AE11*(1+DU$3))/$AJ11,Уголь_коэфф!$A:$B,2,1)-VLOOKUP($AO11,Уголь_коэфф!$A:$B,2,1)),1+(1-$AU11))</f>
        <v>1.0049999999999999</v>
      </c>
      <c r="DV11" s="102">
        <f>MIN(IF($AU11=100%,1,1+VLOOKUP(($AJ11-$AI11-$AH11-$AG11-$AF11-$AE11*(1+DV$3))/$AJ11,Уголь_коэфф!$A:$B,2,1)-VLOOKUP($AO11,Уголь_коэфф!$A:$B,2,1)),1+(1-$AU11))</f>
        <v>1.0049999999999999</v>
      </c>
      <c r="DW11" s="102">
        <f>MIN(IF($AU11=100%,1,1+VLOOKUP(($AJ11-$AI11-$AH11-$AG11-$AF11-$AE11*(1+DW$3))/$AJ11,Уголь_коэфф!$A:$B,2,1)-VLOOKUP($AO11,Уголь_коэфф!$A:$B,2,1)),1+(1-$AU11))</f>
        <v>1.0049999999999999</v>
      </c>
      <c r="DX11" s="102">
        <f>MIN(IF($AU11=100%,1,1+VLOOKUP(($AJ11-$AI11-$AH11-$AG11-$AF11-$AE11*(1+DX$3))/$AJ11,Уголь_коэфф!$A:$B,2,1)-VLOOKUP($AO11,Уголь_коэфф!$A:$B,2,1)),1+(1-$AU11))</f>
        <v>1.0049999999999999</v>
      </c>
      <c r="DY11" s="102">
        <f>MIN(IF($AU11=100%,1,1+VLOOKUP(($AJ11-$AI11-$AH11-$AG11-$AF11-$AE11*(1+DY$3))/$AJ11,Уголь_коэфф!$A:$B,2,1)-VLOOKUP($AO11,Уголь_коэфф!$A:$B,2,1)),1+(1-$AU11))</f>
        <v>1.0049999999999999</v>
      </c>
      <c r="DZ11" s="102">
        <f>MIN(IF($AU11=100%,1,1+VLOOKUP(($AJ11-$AI11-$AH11-$AG11-$AF11-$AE11*(1+DZ$3))/$AJ11,Уголь_коэфф!$A:$B,2,1)-VLOOKUP($AO11,Уголь_коэфф!$A:$B,2,1)),1+(1-$AU11))</f>
        <v>1.0049999999999999</v>
      </c>
      <c r="EA11" s="102">
        <f>MIN(IF($AU11=100%,1,1+VLOOKUP(($AJ11-$AI11-$AH11-$AG11-$AF11-$AE11*(1+EA$3))/$AJ11,Уголь_коэфф!$A:$B,2,1)-VLOOKUP($AO11,Уголь_коэфф!$A:$B,2,1)),1+(1-$AU11))</f>
        <v>1.0049999999999999</v>
      </c>
      <c r="EB11" s="102">
        <f>MIN(IF($AU11=100%,1,1+VLOOKUP(($AJ11-$AI11-$AH11-$AG11-$AF11-$AE11*(1+EB$3))/$AJ11,Уголь_коэфф!$A:$B,2,1)-VLOOKUP($AO11,Уголь_коэфф!$A:$B,2,1)),1+(1-$AU11))</f>
        <v>1.0049999999999999</v>
      </c>
      <c r="EC11" s="102">
        <f>MIN(IF($AU11=100%,1,1+VLOOKUP(($AJ11-$AI11-$AH11-$AG11-$AF11-$AE11*(1+EC$3))/$AJ11,Уголь_коэфф!$A:$B,2,1)-VLOOKUP($AO11,Уголь_коэфф!$A:$B,2,1)),1+(1-$AU11))</f>
        <v>1.0049999999999999</v>
      </c>
      <c r="ED11" s="102">
        <f>MIN(IF($AU11=100%,1,1+VLOOKUP(($AJ11-$AI11-$AH11-$AG11-$AF11-$AE11*(1+ED$3))/$AJ11,Уголь_коэфф!$A:$B,2,1)-VLOOKUP($AO11,Уголь_коэфф!$A:$B,2,1)),1+(1-$AU11))</f>
        <v>1.0049999999999999</v>
      </c>
      <c r="EE11" s="102">
        <f>MIN(IF($AU11=100%,1,1+VLOOKUP(($AJ11-$AI11-$AH11-$AG11-$AF11-$AE11*(1+EE$3))/$AJ11,Уголь_коэфф!$A:$B,2,1)-VLOOKUP($AO11,Уголь_коэфф!$A:$B,2,1)),1+(1-$AU11))</f>
        <v>1.0049999999999999</v>
      </c>
      <c r="EF11" s="102">
        <f>MIN(IF($AU11=100%,1,1+VLOOKUP(($AJ11-$AI11-$AH11-$AG11-$AF11-$AE11*(1+EF$3))/$AJ11,Уголь_коэфф!$A:$B,2,1)-VLOOKUP($AO11,Уголь_коэфф!$A:$B,2,1)),1+(1-$AU11))</f>
        <v>1.0049999999999999</v>
      </c>
      <c r="EG11" s="102">
        <f>MIN(IF($AU11=100%,1,1+VLOOKUP(($AJ11-$AI11-$AH11-$AG11-$AF11-$AE11*(1+EG$3))/$AJ11,Уголь_коэфф!$A:$B,2,1)-VLOOKUP($AO11,Уголь_коэфф!$A:$B,2,1)),1+(1-$AU11))</f>
        <v>1.0049999999999999</v>
      </c>
      <c r="EH11" s="102">
        <f>MIN(IF($AU11=100%,1,1+VLOOKUP(($AJ11-$AI11-$AH11-$AG11-$AF11-$AE11*(1+EH$3))/$AJ11,Уголь_коэфф!$A:$B,2,1)-VLOOKUP($AO11,Уголь_коэфф!$A:$B,2,1)),1+(1-$AU11))</f>
        <v>1.0049999999999999</v>
      </c>
      <c r="EI11" s="102">
        <f>MIN(IF($AU11=100%,1,1+VLOOKUP(($AJ11-$AI11-$AH11-$AG11-$AF11-$AE11*(1+EI$3))/$AJ11,Уголь_коэфф!$A:$B,2,1)-VLOOKUP($AO11,Уголь_коэфф!$A:$B,2,1)),1+(1-$AU11))</f>
        <v>1.0049999999999999</v>
      </c>
      <c r="EJ11" s="102">
        <f>MIN(IF($AU11=100%,1,1+VLOOKUP(($AJ11-$AI11-$AH11-$AG11-$AF11-$AE11*(1+EJ$3))/$AJ11,Уголь_коэфф!$A:$B,2,1)-VLOOKUP($AO11,Уголь_коэфф!$A:$B,2,1)),1+(1-$AU11))</f>
        <v>1.0049999999999999</v>
      </c>
      <c r="EK11" s="102">
        <f>MIN(IF($AU11=100%,1,1+VLOOKUP(($AJ11-$AI11-$AH11-$AG11-$AF11-$AE11*(1+EK$3))/$AJ11,Уголь_коэфф!$A:$B,2,1)-VLOOKUP($AO11,Уголь_коэфф!$A:$B,2,1)),1+(1-$AU11))</f>
        <v>1.0049999999999999</v>
      </c>
      <c r="EL11" s="102">
        <f>MIN(IF($AU11=100%,1,1+VLOOKUP(($AJ11-$AI11-$AH11-$AG11-$AF11-$AE11*(1+EL$3))/$AJ11,Уголь_коэфф!$A:$B,2,1)-VLOOKUP($AO11,Уголь_коэфф!$A:$B,2,1)),1+(1-$AU11))</f>
        <v>1.0049999999999999</v>
      </c>
      <c r="EM11" s="102">
        <f>MIN(IF($AU11=100%,1,1+VLOOKUP(($AJ11-$AI11-$AH11-$AG11-$AF11-$AE11*(1+EM$3))/$AJ11,Уголь_коэфф!$A:$B,2,1)-VLOOKUP($AO11,Уголь_коэфф!$A:$B,2,1)),1+(1-$AU11))</f>
        <v>1.0049999999999999</v>
      </c>
      <c r="EN11" s="102">
        <f>MIN(IF($AU11=100%,1,1+VLOOKUP(($AJ11-$AI11-$AH11-$AG11-$AF11-$AE11*(1+EN$3))/$AJ11,Уголь_коэфф!$A:$B,2,1)-VLOOKUP($AO11,Уголь_коэфф!$A:$B,2,1)),1+(1-$AU11))</f>
        <v>1.0049999999999999</v>
      </c>
      <c r="EO11" s="102">
        <f>MIN(IF($AU11=100%,1,1+VLOOKUP(($AJ11-$AI11-$AH11-$AG11-$AF11-$AE11*(1+EO$3))/$AJ11,Уголь_коэфф!$A:$B,2,1)-VLOOKUP($AO11,Уголь_коэфф!$A:$B,2,1)),1+(1-$AU11))</f>
        <v>1.0049999999999999</v>
      </c>
      <c r="EP11" s="102">
        <f>MIN(IF($AU11=100%,1,1+VLOOKUP(($AJ11-$AI11-$AH11-$AG11-$AF11-$AE11*(1+EP$3))/$AJ11,Уголь_коэфф!$A:$B,2,1)-VLOOKUP($AO11,Уголь_коэфф!$A:$B,2,1)),1+(1-$AU11))</f>
        <v>1.0049999999999999</v>
      </c>
      <c r="EQ11" s="102">
        <f>MIN(IF($AU11=100%,1,1+VLOOKUP(($AJ11-$AI11-$AH11-$AG11-$AF11-$AE11*(1+EQ$3))/$AJ11,Уголь_коэфф!$A:$B,2,1)-VLOOKUP($AO11,Уголь_коэфф!$A:$B,2,1)),1+(1-$AU11))</f>
        <v>1.0049999999999999</v>
      </c>
      <c r="ER11" s="102">
        <f>MIN(IF($AU11=100%,1,1+VLOOKUP(($AJ11-$AI11-$AH11-$AG11-$AF11-$AE11*(1+ER$3))/$AJ11,Уголь_коэфф!$A:$B,2,1)-VLOOKUP($AO11,Уголь_коэфф!$A:$B,2,1)),1+(1-$AU11))</f>
        <v>1.0049999999999999</v>
      </c>
      <c r="ES11" s="102">
        <f>MIN(IF($AU11=100%,1,1+VLOOKUP(($AJ11-$AI11-$AH11-$AG11-$AF11-$AE11*(1+ES$3))/$AJ11,Уголь_коэфф!$A:$B,2,1)-VLOOKUP($AO11,Уголь_коэфф!$A:$B,2,1)),1+(1-$AU11))</f>
        <v>1.0049999999999999</v>
      </c>
      <c r="ET11" s="102">
        <f>MIN(IF($AU11=100%,1,1+VLOOKUP(($AJ11-$AI11-$AH11-$AG11-$AF11-$AE11*(1+ET$3))/$AJ11,Уголь_коэфф!$A:$B,2,1)-VLOOKUP($AO11,Уголь_коэфф!$A:$B,2,1)),1+(1-$AU11))</f>
        <v>1.0049999999999999</v>
      </c>
      <c r="EU11" s="102">
        <f>MIN(IF($AU11=100%,1,1+VLOOKUP(($AJ11-$AI11-$AH11-$AG11-$AF11-$AE11*(1+EU$3))/$AJ11,Уголь_коэфф!$A:$B,2,1)-VLOOKUP($AO11,Уголь_коэфф!$A:$B,2,1)),1+(1-$AU11))</f>
        <v>1</v>
      </c>
      <c r="EV11" s="103">
        <v>1</v>
      </c>
      <c r="EW11" s="102">
        <f>MIN(1,MAX(VLOOKUP(($AJ11-$AI11-$AH11-$AG11-$AF11-$AE11*(1+EW$3))/$AJ11,Уголь_коэфф!$A:$B,2,1),(EV11-0.05)))</f>
        <v>0.995</v>
      </c>
      <c r="EX11" s="102">
        <f>MIN(1,MAX(VLOOKUP(($AJ11-$AI11-$AH11-$AG11-$AF11-$AE11*(1+EX$3))/$AJ11,Уголь_коэфф!$A:$B,2,1),(EW11-0.05)))</f>
        <v>0.995</v>
      </c>
      <c r="EY11" s="102">
        <f>MIN(1,MAX(VLOOKUP(($AJ11-$AI11-$AH11-$AG11-$AF11-$AE11*(1+EY$3))/$AJ11,Уголь_коэфф!$A:$B,2,1),(EX11-0.05)))</f>
        <v>0.995</v>
      </c>
      <c r="EZ11" s="102">
        <f>MIN(1,MAX(VLOOKUP(($AJ11-$AI11-$AH11-$AG11-$AF11-$AE11*(1+EZ$3))/$AJ11,Уголь_коэфф!$A:$B,2,1),(EY11-0.05)))</f>
        <v>0.99</v>
      </c>
      <c r="FA11" s="102">
        <f>MIN(1,MAX(VLOOKUP(($AJ11-$AI11-$AH11-$AG11-$AF11-$AE11*(1+FA$3))/$AJ11,Уголь_коэфф!$A:$B,2,1),(EZ11-0.05)))</f>
        <v>0.99</v>
      </c>
      <c r="FB11" s="102">
        <f>MIN(1,MAX(VLOOKUP(($AJ11-$AI11-$AH11-$AG11-$AF11-$AE11*(1+FB$3))/$AJ11,Уголь_коэфф!$A:$B,2,1),(FA11-0.05)))</f>
        <v>0.99</v>
      </c>
      <c r="FC11" s="102">
        <f>MIN(1,MAX(VLOOKUP(($AJ11-$AI11-$AH11-$AG11-$AF11-$AE11*(1+FC$3))/$AJ11,Уголь_коэфф!$A:$B,2,1),(FB11-0.05)))</f>
        <v>0.99</v>
      </c>
      <c r="FD11" s="102">
        <f>MIN(1,MAX(VLOOKUP(($AJ11-$AI11-$AH11-$AG11-$AF11-$AE11*(1+FD$3))/$AJ11,Уголь_коэфф!$A:$B,2,1),(FC11-0.05)))</f>
        <v>0.98499999999999999</v>
      </c>
      <c r="FE11" s="102">
        <f>MIN(1,MAX(VLOOKUP(($AJ11-$AI11-$AH11-$AG11-$AF11-$AE11*(1+FE$3))/$AJ11,Уголь_коэфф!$A:$B,2,1),(FD11-0.05)))</f>
        <v>0.98499999999999999</v>
      </c>
      <c r="FF11" s="102">
        <f>MIN(1,MAX(VLOOKUP(($AJ11-$AI11-$AH11-$AG11-$AF11-$AE11*(1+FF$3))/$AJ11,Уголь_коэфф!$A:$B,2,1),(FE11-0.05)))</f>
        <v>0.98499999999999999</v>
      </c>
      <c r="FG11" s="102">
        <f>MIN(1,MAX(VLOOKUP(($AJ11-$AI11-$AH11-$AG11-$AF11-$AE11*(1+FG$3))/$AJ11,Уголь_коэфф!$A:$B,2,1),(FF11-0.05)))</f>
        <v>0.98499999999999999</v>
      </c>
      <c r="FH11" s="102">
        <f>MIN(1,MAX(VLOOKUP(($AJ11-$AI11-$AH11-$AG11-$AF11-$AE11*(1+FH$3))/$AJ11,Уголь_коэфф!$A:$B,2,1),(FG11-0.05)))</f>
        <v>0.98</v>
      </c>
      <c r="FI11" s="102">
        <f>MIN(1,MAX(VLOOKUP(($AJ11-$AI11-$AH11-$AG11-$AF11-$AE11*(1+FI$3))/$AJ11,Уголь_коэфф!$A:$B,2,1),(FH11-0.05)))</f>
        <v>0.98</v>
      </c>
      <c r="FJ11" s="102">
        <f>MIN(1,MAX(VLOOKUP(($AJ11-$AI11-$AH11-$AG11-$AF11-$AE11*(1+FJ$3))/$AJ11,Уголь_коэфф!$A:$B,2,1),(FI11-0.05)))</f>
        <v>0.98</v>
      </c>
      <c r="FK11" s="102">
        <f>MIN(1,MAX(VLOOKUP(($AJ11-$AI11-$AH11-$AG11-$AF11-$AE11*(1+FK$3))/$AJ11,Уголь_коэфф!$A:$B,2,1),(FJ11-0.05)))</f>
        <v>0.98</v>
      </c>
      <c r="FL11" s="102">
        <f>MIN(1,MAX(VLOOKUP(($AJ11-$AI11-$AH11-$AG11-$AF11-$AE11*(1+FL$3))/$AJ11,Уголь_коэфф!$A:$B,2,1),(FK11-0.05)))</f>
        <v>0.98</v>
      </c>
      <c r="FM11" s="102">
        <f>MIN(1,MAX(VLOOKUP(($AJ11-$AI11-$AH11-$AG11-$AF11-$AE11*(1+FM$3))/$AJ11,Уголь_коэфф!$A:$B,2,1),(FL11-0.05)))</f>
        <v>0.97499999999999998</v>
      </c>
      <c r="FN11" s="102">
        <f>MIN(1,MAX(VLOOKUP(($AJ11-$AI11-$AH11-$AG11-$AF11-$AE11*(1+FN$3))/$AJ11,Уголь_коэфф!$A:$B,2,1),(FM11-0.05)))</f>
        <v>0.97499999999999998</v>
      </c>
      <c r="FO11" s="102">
        <f>MIN(1,MAX(VLOOKUP(($AJ11-$AI11-$AH11-$AG11-$AF11-$AE11*(1+FO$3))/$AJ11,Уголь_коэфф!$A:$B,2,1),(FN11-0.05)))</f>
        <v>0.97499999999999998</v>
      </c>
      <c r="FP11" s="102">
        <f>MIN(1,MAX(VLOOKUP(($AJ11-$AI11-$AH11-$AG11-$AF11-$AE11*(1+FP$3))/$AJ11,Уголь_коэфф!$A:$B,2,1),(FO11-0.05)))</f>
        <v>0.97499999999999998</v>
      </c>
      <c r="FQ11" s="102">
        <f>MIN(1,MAX(VLOOKUP(($AJ11-$AI11-$AH11-$AG11-$AF11-$AE11*(1+FQ$3))/$AJ11,Уголь_коэфф!$A:$B,2,1),(FP11-0.05)))</f>
        <v>0.97</v>
      </c>
      <c r="FR11" s="102">
        <f>MIN(1,MAX(VLOOKUP(($AJ11-$AI11-$AH11-$AG11-$AF11-$AE11*(1+FR$3))/$AJ11,Уголь_коэфф!$A:$B,2,1),(FQ11-0.05)))</f>
        <v>0.97</v>
      </c>
      <c r="FS11" s="102">
        <f>MIN(1,MAX(VLOOKUP(($AJ11-$AI11-$AH11-$AG11-$AF11-$AE11*(1+FS$3))/$AJ11,Уголь_коэфф!$A:$B,2,1),(FR11-0.05)))</f>
        <v>0.97</v>
      </c>
      <c r="FT11" s="102">
        <f>MIN(1,MAX(VLOOKUP(($AJ11-$AI11-$AH11-$AG11-$AF11-$AE11*(1+FT$3))/$AJ11,Уголь_коэфф!$A:$B,2,1),(FS11-0.05)))</f>
        <v>0.97</v>
      </c>
      <c r="FU11" s="102">
        <f>MIN(1,MAX(VLOOKUP(($AJ11-$AI11-$AH11-$AG11-$AF11-$AE11*(1+FU$3))/$AJ11,Уголь_коэфф!$A:$B,2,1),(FT11-0.05)))</f>
        <v>0.96499999999999997</v>
      </c>
      <c r="FV11" s="102">
        <f>MIN(1,MAX(VLOOKUP(($AJ11-$AI11-$AH11-$AG11-$AF11-$AE11*(1+FV$3))/$AJ11,Уголь_коэфф!$A:$B,2,1),(FU11-0.05)))</f>
        <v>0.96499999999999997</v>
      </c>
      <c r="FW11" s="102">
        <f>MIN(1,MAX(VLOOKUP(($AJ11-$AI11-$AH11-$AG11-$AF11-$AE11*(1+FW$3))/$AJ11,Уголь_коэфф!$A:$B,2,1),(FV11-0.05)))</f>
        <v>0.96499999999999997</v>
      </c>
      <c r="FX11" s="102">
        <f>MIN(1,MAX(VLOOKUP(($AJ11-$AI11-$AH11-$AG11-$AF11-$AE11*(1+FX$3))/$AJ11,Уголь_коэфф!$A:$B,2,1),(FW11-0.05)))</f>
        <v>0.96499999999999997</v>
      </c>
      <c r="FY11" s="102">
        <f>MIN(1,MAX(VLOOKUP(($AJ11-$AI11-$AH11-$AG11-$AF11-$AE11*(1+FY$3))/$AJ11,Уголь_коэфф!$A:$B,2,1),(FX11-0.05)))</f>
        <v>0.96499999999999997</v>
      </c>
      <c r="FZ11" s="102">
        <f>MIN(1,MAX(VLOOKUP(($AJ11-$AI11-$AH11-$AG11-$AF11-$AE11*(1+FZ$3))/$AJ11,Уголь_коэфф!$A:$B,2,1),(FY11-0.05)))</f>
        <v>0.96</v>
      </c>
      <c r="GA11" s="102">
        <f>MIN(1,MAX(VLOOKUP(($AJ11-$AI11-$AH11-$AG11-$AF11-$AE11*(1+GA$3))/$AJ11,Уголь_коэфф!$A:$B,2,1),(FZ11-0.05)))</f>
        <v>0.96</v>
      </c>
      <c r="GB11" s="102">
        <f>MIN(1,MAX(VLOOKUP(($AJ11-$AI11-$AH11-$AG11-$AF11-$AE11*(1+GB$3))/$AJ11,Уголь_коэфф!$A:$B,2,1),(GA11-0.05)))</f>
        <v>0.96</v>
      </c>
      <c r="GC11" s="102">
        <f>MIN(1,MAX(VLOOKUP(($AJ11-$AI11-$AH11-$AG11-$AF11-$AE11*(1+GC$3))/$AJ11,Уголь_коэфф!$A:$B,2,1),(GB11-0.05)))</f>
        <v>0.96</v>
      </c>
      <c r="GD11" s="102">
        <f>MIN(1,MAX(VLOOKUP(($AJ11-$AI11-$AH11-$AG11-$AF11-$AE11*(1+GD$3))/$AJ11,Уголь_коэфф!$A:$B,2,1),(GC11-0.05)))</f>
        <v>0.95499999999999996</v>
      </c>
      <c r="GE11" s="102">
        <f>MIN(1,MAX(VLOOKUP(($AJ11-$AI11-$AH11-$AG11-$AF11-$AE11*(1+GE$3))/$AJ11,Уголь_коэфф!$A:$B,2,1),(GD11-0.05)))</f>
        <v>0.95499999999999996</v>
      </c>
      <c r="GF11" s="102">
        <f>MIN(1,MAX(VLOOKUP(($AJ11-$AI11-$AH11-$AG11-$AF11-$AE11*(1+GF$3))/$AJ11,Уголь_коэфф!$A:$B,2,1),(GE11-0.05)))</f>
        <v>0.95499999999999996</v>
      </c>
      <c r="GG11" s="102">
        <f>MIN(1,MAX(VLOOKUP(($AJ11-$AI11-$AH11-$AG11-$AF11-$AE11*(1+GG$3))/$AJ11,Уголь_коэфф!$A:$B,2,1),(GF11-0.05)))</f>
        <v>0.95499999999999996</v>
      </c>
      <c r="GH11" s="102">
        <f>MIN(1,MAX(VLOOKUP(($AJ11-$AI11-$AH11-$AG11-$AF11-$AE11*(1+GH$3))/$AJ11,Уголь_коэфф!$A:$B,2,1),(GG11-0.05)))</f>
        <v>0.95</v>
      </c>
      <c r="GI11" s="102">
        <f>MIN(1,MAX(VLOOKUP(($AJ11-$AI11-$AH11-$AG11-$AF11-$AE11*(1+GI$3))/$AJ11,Уголь_коэфф!$A:$B,2,1),(GH11-0.05)))</f>
        <v>0.95</v>
      </c>
      <c r="GJ11" s="102">
        <f>MIN(1,MAX(VLOOKUP(($AJ11-$AI11-$AH11-$AG11-$AF11-$AE11*(1+GJ$3))/$AJ11,Уголь_коэфф!$A:$B,2,1),(GI11-0.05)))</f>
        <v>0.95</v>
      </c>
      <c r="GK11" s="102">
        <f>MIN(1,MAX(VLOOKUP(($AJ11-$AI11-$AH11-$AG11-$AF11-$AE11*(1+GK$3))/$AJ11,Уголь_коэфф!$A:$B,2,1),(GJ11-0.05)))</f>
        <v>0.95</v>
      </c>
      <c r="GL11" s="102">
        <f>MIN(1,MAX(VLOOKUP(($AJ11-$AI11-$AH11-$AG11-$AF11-$AE11*(1+GL$3))/$AJ11,Уголь_коэфф!$A:$B,2,1),(GK11-0.05)))</f>
        <v>0.95</v>
      </c>
      <c r="GM11" s="102">
        <f>MIN(1,MAX(VLOOKUP(($AJ11-$AI11-$AH11-$AG11-$AF11-$AE11*(1+GM$3))/$AJ11,Уголь_коэфф!$A:$B,2,1),(GL11-0.05)))</f>
        <v>0.94499999999999995</v>
      </c>
      <c r="GN11" s="102">
        <f>MIN(1,MAX(VLOOKUP(($AJ11-$AI11-$AH11-$AG11-$AF11-$AE11*(1+GN$3))/$AJ11,Уголь_коэфф!$A:$B,2,1),(GM11-0.05)))</f>
        <v>0.94499999999999995</v>
      </c>
      <c r="GO11" s="102">
        <f>MIN(1,MAX(VLOOKUP(($AJ11-$AI11-$AH11-$AG11-$AF11-$AE11*(1+GO$3))/$AJ11,Уголь_коэфф!$A:$B,2,1),(GN11-0.05)))</f>
        <v>0.94499999999999995</v>
      </c>
      <c r="GP11" s="102">
        <f>MIN(1,MAX(VLOOKUP(($AJ11-$AI11-$AH11-$AG11-$AF11-$AE11*(1+GP$3))/$AJ11,Уголь_коэфф!$A:$B,2,1),(GO11-0.05)))</f>
        <v>0.94499999999999995</v>
      </c>
      <c r="GQ11" s="102">
        <f>MIN(1,MAX(VLOOKUP(($AJ11-$AI11-$AH11-$AG11-$AF11-$AE11*(1+GQ$3))/$AJ11,Уголь_коэфф!$A:$B,2,1),(GP11-0.05)))</f>
        <v>0.94</v>
      </c>
      <c r="GR11" s="102">
        <f>MIN(1,MAX(VLOOKUP(($AJ11-$AI11-$AH11-$AG11-$AF11-$AE11*(1+GR$3))/$AJ11,Уголь_коэфф!$A:$B,2,1),(GQ11-0.05)))</f>
        <v>0.94</v>
      </c>
      <c r="GS11" s="102">
        <f>MIN(1,MAX(VLOOKUP(($AJ11-$AI11-$AH11-$AG11-$AF11-$AE11*(1+GS$3))/$AJ11,Уголь_коэфф!$A:$B,2,1),(GR11-0.05)))</f>
        <v>0.94</v>
      </c>
      <c r="GT11" s="102">
        <f>MIN(1,MAX(VLOOKUP(($AJ11-$AI11-$AH11-$AG11-$AF11-$AE11*(1+GT$3))/$AJ11,Уголь_коэфф!$A:$B,2,1),(GS11-0.05)))</f>
        <v>0.94</v>
      </c>
      <c r="GU11" s="102">
        <f>MIN(1,MAX(VLOOKUP(($AJ11-$AI11-$AH11-$AG11-$AF11-$AE11*(1+GU$3))/$AJ11,Уголь_коэфф!$A:$B,2,1),(GT11-0.05)))</f>
        <v>0.93500000000000005</v>
      </c>
      <c r="GV11" s="102">
        <f>MIN(1,MAX(VLOOKUP(($AJ11-$AI11-$AH11-$AG11-$AF11-$AE11*(1+GV$3))/$AJ11,Уголь_коэфф!$A:$B,2,1),(GU11-0.05)))</f>
        <v>0.93500000000000005</v>
      </c>
      <c r="GW11" s="102">
        <f>MIN(1,MAX(VLOOKUP(($AJ11-$AI11-$AH11-$AG11-$AF11-$AE11*(1+GW$3))/$AJ11,Уголь_коэфф!$A:$B,2,1),(GV11-0.05)))</f>
        <v>0.93500000000000005</v>
      </c>
      <c r="GX11" s="102">
        <f>MIN(1,MAX(VLOOKUP(($AJ11-$AI11-$AH11-$AG11-$AF11-$AE11*(1+GX$3))/$AJ11,Уголь_коэфф!$A:$B,2,1),(GW11-0.05)))</f>
        <v>0.93500000000000005</v>
      </c>
      <c r="GY11" s="102">
        <f>MIN(1,MAX(VLOOKUP(($AJ11-$AI11-$AH11-$AG11-$AF11-$AE11*(1+GY$3))/$AJ11,Уголь_коэфф!$A:$B,2,1),(GX11-0.05)))</f>
        <v>0.93</v>
      </c>
      <c r="GZ11" s="102">
        <f>MIN(1,MAX(VLOOKUP(($AJ11-$AI11-$AH11-$AG11-$AF11-$AE11*(1+GZ$3))/$AJ11,Уголь_коэфф!$A:$B,2,1),(GY11-0.05)))</f>
        <v>0.93</v>
      </c>
      <c r="HA11" s="102">
        <f>MIN(1,MAX(VLOOKUP(($AJ11-$AI11-$AH11-$AG11-$AF11-$AE11*(1+HA$3))/$AJ11,Уголь_коэфф!$A:$B,2,1),(GZ11-0.05)))</f>
        <v>0.93</v>
      </c>
      <c r="HB11" s="102">
        <f>MIN(1,MAX(VLOOKUP(($AJ11-$AI11-$AH11-$AG11-$AF11-$AE11*(1+HB$3))/$AJ11,Уголь_коэфф!$A:$B,2,1),(HA11-0.05)))</f>
        <v>0.93</v>
      </c>
      <c r="HC11" s="102">
        <f>MIN(1,MAX(VLOOKUP(($AJ11-$AI11-$AH11-$AG11-$AF11-$AE11*(1+HC$3))/$AJ11,Уголь_коэфф!$A:$B,2,1),(HB11-0.05)))</f>
        <v>0.93</v>
      </c>
      <c r="HD11" s="102">
        <f>MIN(1,MAX(VLOOKUP(($AJ11-$AI11-$AH11-$AG11-$AF11-$AE11*(1+HD$3))/$AJ11,Уголь_коэфф!$A:$B,2,1),(HC11-0.05)))</f>
        <v>0.92500000000000004</v>
      </c>
      <c r="HE11" s="102">
        <f>MIN(1,MAX(VLOOKUP(($AJ11-$AI11-$AH11-$AG11-$AF11-$AE11*(1+HE$3))/$AJ11,Уголь_коэфф!$A:$B,2,1),(HD11-0.05)))</f>
        <v>0.92500000000000004</v>
      </c>
      <c r="HF11" s="102">
        <f>MIN(1,MAX(VLOOKUP(($AJ11-$AI11-$AH11-$AG11-$AF11-$AE11*(1+HF$3))/$AJ11,Уголь_коэфф!$A:$B,2,1),(HE11-0.05)))</f>
        <v>0.92500000000000004</v>
      </c>
      <c r="HG11" s="102">
        <f>MIN(1,MAX(VLOOKUP(($AJ11-$AI11-$AH11-$AG11-$AF11-$AE11*(1+HG$3))/$AJ11,Уголь_коэфф!$A:$B,2,1),(HF11-0.05)))</f>
        <v>0.92500000000000004</v>
      </c>
      <c r="HH11" s="102">
        <f>MIN(1,MAX(VLOOKUP(($AJ11-$AI11-$AH11-$AG11-$AF11-$AE11*(1+HH$3))/$AJ11,Уголь_коэфф!$A:$B,2,1),(HG11-0.05)))</f>
        <v>0.92</v>
      </c>
      <c r="HI11" s="102">
        <f>MIN(1,MAX(VLOOKUP(($AJ11-$AI11-$AH11-$AG11-$AF11-$AE11*(1+HI$3))/$AJ11,Уголь_коэфф!$A:$B,2,1),(HH11-0.05)))</f>
        <v>0.92</v>
      </c>
      <c r="HJ11" s="102">
        <f>MIN(1,MAX(VLOOKUP(($AJ11-$AI11-$AH11-$AG11-$AF11-$AE11*(1+HJ$3))/$AJ11,Уголь_коэфф!$A:$B,2,1),(HI11-0.05)))</f>
        <v>0.92</v>
      </c>
      <c r="HK11" s="102">
        <f>MIN(1,MAX(VLOOKUP(($AJ11-$AI11-$AH11-$AG11-$AF11-$AE11*(1+HK$3))/$AJ11,Уголь_коэфф!$A:$B,2,1),(HJ11-0.05)))</f>
        <v>0.92</v>
      </c>
      <c r="HL11" s="102">
        <f>MIN(1,MAX(VLOOKUP(($AJ11-$AI11-$AH11-$AG11-$AF11-$AE11*(1+HL$3))/$AJ11,Уголь_коэфф!$A:$B,2,1),(HK11-0.05)))</f>
        <v>0.91400000000000003</v>
      </c>
      <c r="HM11" s="102">
        <f>MIN(1,MAX(VLOOKUP(($AJ11-$AI11-$AH11-$AG11-$AF11-$AE11*(1+HM$3))/$AJ11,Уголь_коэфф!$A:$B,2,1),(HL11-0.05)))</f>
        <v>0.91400000000000003</v>
      </c>
      <c r="HN11" s="102">
        <f>MIN(1,MAX(VLOOKUP(($AJ11-$AI11-$AH11-$AG11-$AF11-$AE11*(1+HN$3))/$AJ11,Уголь_коэфф!$A:$B,2,1),(HM11-0.05)))</f>
        <v>0.91400000000000003</v>
      </c>
      <c r="HO11" s="102">
        <f>MIN(1,MAX(VLOOKUP(($AJ11-$AI11-$AH11-$AG11-$AF11-$AE11*(1+HO$3))/$AJ11,Уголь_коэфф!$A:$B,2,1),(HN11-0.05)))</f>
        <v>0.91400000000000003</v>
      </c>
      <c r="HP11" s="102">
        <f>MIN(1,MAX(VLOOKUP(($AJ11-$AI11-$AH11-$AG11-$AF11-$AE11*(1+HP$3))/$AJ11,Уголь_коэфф!$A:$B,2,1),(HO11-0.05)))</f>
        <v>0.91400000000000003</v>
      </c>
      <c r="HQ11" s="102">
        <f>MIN(1,MAX(VLOOKUP(($AJ11-$AI11-$AH11-$AG11-$AF11-$AE11*(1+HQ$3))/$AJ11,Уголь_коэфф!$A:$B,2,1),(HP11-0.05)))</f>
        <v>0.90800000000000003</v>
      </c>
      <c r="HR11" s="102">
        <f>MIN(1,MAX(VLOOKUP(($AJ11-$AI11-$AH11-$AG11-$AF11-$AE11*(1+HR$3))/$AJ11,Уголь_коэфф!$A:$B,2,1),(HQ11-0.05)))</f>
        <v>0.90800000000000003</v>
      </c>
      <c r="HS11" s="102">
        <f>MIN(1,MAX(VLOOKUP(($AJ11-$AI11-$AH11-$AG11-$AF11-$AE11*(1+HS$3))/$AJ11,Уголь_коэфф!$A:$B,2,1),(HR11-0.05)))</f>
        <v>0.90800000000000003</v>
      </c>
      <c r="HT11" s="102">
        <f>MIN(1,MAX(VLOOKUP(($AJ11-$AI11-$AH11-$AG11-$AF11-$AE11*(1+HT$3))/$AJ11,Уголь_коэфф!$A:$B,2,1),(HS11-0.05)))</f>
        <v>0.90800000000000003</v>
      </c>
      <c r="HU11" s="102">
        <f>MIN(1,MAX(VLOOKUP(($AJ11-$AI11-$AH11-$AG11-$AF11-$AE11*(1+HU$3))/$AJ11,Уголь_коэфф!$A:$B,2,1),(HT11-0.05)))</f>
        <v>0.90200000000000002</v>
      </c>
      <c r="HV11" s="102">
        <f>MIN(1,MAX(VLOOKUP(($AJ11-$AI11-$AH11-$AG11-$AF11-$AE11*(1+HV$3))/$AJ11,Уголь_коэфф!$A:$B,2,1),(HU11-0.05)))</f>
        <v>0.90200000000000002</v>
      </c>
      <c r="HW11" s="102">
        <f>MIN(1,MAX(VLOOKUP(($AJ11-$AI11-$AH11-$AG11-$AF11-$AE11*(1+HW$3))/$AJ11,Уголь_коэфф!$A:$B,2,1),(HV11-0.05)))</f>
        <v>0.90200000000000002</v>
      </c>
      <c r="HX11" s="102">
        <f>MIN(1,MAX(VLOOKUP(($AJ11-$AI11-$AH11-$AG11-$AF11-$AE11*(1+HX$3))/$AJ11,Уголь_коэфф!$A:$B,2,1),(HW11-0.05)))</f>
        <v>0.90200000000000002</v>
      </c>
      <c r="HY11" s="102">
        <f>MIN(1,MAX(VLOOKUP(($AJ11-$AI11-$AH11-$AG11-$AF11-$AE11*(1+HY$3))/$AJ11,Уголь_коэфф!$A:$B,2,1),(HX11-0.05)))</f>
        <v>0.89600000000000002</v>
      </c>
      <c r="HZ11" s="102">
        <f>MIN(1,MAX(VLOOKUP(($AJ11-$AI11-$AH11-$AG11-$AF11-$AE11*(1+HZ$3))/$AJ11,Уголь_коэфф!$A:$B,2,1),(HY11-0.05)))</f>
        <v>0.89600000000000002</v>
      </c>
      <c r="IA11" s="102">
        <f>MIN(1,MAX(VLOOKUP(($AJ11-$AI11-$AH11-$AG11-$AF11-$AE11*(1+IA$3))/$AJ11,Уголь_коэфф!$A:$B,2,1),(HZ11-0.05)))</f>
        <v>0.89600000000000002</v>
      </c>
      <c r="IB11" s="102">
        <f>MIN(1,MAX(VLOOKUP(($AJ11-$AI11-$AH11-$AG11-$AF11-$AE11*(1+IB$3))/$AJ11,Уголь_коэфф!$A:$B,2,1),(IA11-0.05)))</f>
        <v>0.89600000000000002</v>
      </c>
      <c r="IC11" s="102">
        <f>MIN(1,MAX(VLOOKUP(($AJ11-$AI11-$AH11-$AG11-$AF11-$AE11*(1+IC$3))/$AJ11,Уголь_коэфф!$A:$B,2,1),(IB11-0.05)))</f>
        <v>0.89600000000000002</v>
      </c>
      <c r="ID11" s="102">
        <f>MIN(1,MAX(VLOOKUP(($AJ11-$AI11-$AH11-$AG11-$AF11-$AE11*(1+ID$3))/$AJ11,Уголь_коэфф!$A:$B,2,1),(IC11-0.05)))</f>
        <v>0.89</v>
      </c>
      <c r="IE11" s="102">
        <f>MIN(1,MAX(VLOOKUP(($AJ11-$AI11-$AH11-$AG11-$AF11-$AE11*(1+IE$3))/$AJ11,Уголь_коэфф!$A:$B,2,1),(ID11-0.05)))</f>
        <v>0.89</v>
      </c>
      <c r="IF11" s="102">
        <f>MIN(1,MAX(VLOOKUP(($AJ11-$AI11-$AH11-$AG11-$AF11-$AE11*(1+IF$3))/$AJ11,Уголь_коэфф!$A:$B,2,1),(IE11-0.05)))</f>
        <v>0.89</v>
      </c>
      <c r="IG11" s="102">
        <f>MIN(1,MAX(VLOOKUP(($AJ11-$AI11-$AH11-$AG11-$AF11-$AE11*(1+IG$3))/$AJ11,Уголь_коэфф!$A:$B,2,1),(IF11-0.05)))</f>
        <v>0.89</v>
      </c>
      <c r="IH11" s="102">
        <f>MIN(1,MAX(VLOOKUP(($AJ11-$AI11-$AH11-$AG11-$AF11-$AE11*(1+IH$3))/$AJ11,Уголь_коэфф!$A:$B,2,1),(IG11-0.05)))</f>
        <v>0.88400000000000001</v>
      </c>
      <c r="II11" s="102">
        <f>MIN(1,MAX(VLOOKUP(($AJ11-$AI11-$AH11-$AG11-$AF11-$AE11*(1+II$3))/$AJ11,Уголь_коэфф!$A:$B,2,1),(IH11-0.05)))</f>
        <v>0.88400000000000001</v>
      </c>
      <c r="IJ11" s="102">
        <f>MIN(1,MAX(VLOOKUP(($AJ11-$AI11-$AH11-$AG11-$AF11-$AE11*(1+IJ$3))/$AJ11,Уголь_коэфф!$A:$B,2,1),(II11-0.05)))</f>
        <v>0.88400000000000001</v>
      </c>
      <c r="IK11" s="102">
        <f>MIN(1,MAX(VLOOKUP(($AJ11-$AI11-$AH11-$AG11-$AF11-$AE11*(1+IK$3))/$AJ11,Уголь_коэфф!$A:$B,2,1),(IJ11-0.05)))</f>
        <v>0.88400000000000001</v>
      </c>
      <c r="IL11" s="102">
        <f>MIN(1,MAX(VLOOKUP(($AJ11-$AI11-$AH11-$AG11-$AF11-$AE11*(1+IL$3))/$AJ11,Уголь_коэфф!$A:$B,2,1),(IK11-0.05)))</f>
        <v>0.878</v>
      </c>
      <c r="IM11" s="102">
        <f>MIN(1,MAX(VLOOKUP(($AJ11-$AI11-$AH11-$AG11-$AF11-$AE11*(1+IM$3))/$AJ11,Уголь_коэфф!$A:$B,2,1),(IL11-0.05)))</f>
        <v>0.878</v>
      </c>
      <c r="IN11" s="102">
        <f>MIN(1,MAX(VLOOKUP(($AJ11-$AI11-$AH11-$AG11-$AF11-$AE11*(1+IN$3))/$AJ11,Уголь_коэфф!$A:$B,2,1),(IM11-0.05)))</f>
        <v>0.878</v>
      </c>
      <c r="IO11" s="102">
        <f>MIN(1,MAX(VLOOKUP(($AJ11-$AI11-$AH11-$AG11-$AF11-$AE11*(1+IO$3))/$AJ11,Уголь_коэфф!$A:$B,2,1),(IN11-0.05)))</f>
        <v>0.878</v>
      </c>
      <c r="IP11" s="102">
        <f>MIN(1,MAX(VLOOKUP(($AJ11-$AI11-$AH11-$AG11-$AF11-$AE11*(1+IP$3))/$AJ11,Уголь_коэфф!$A:$B,2,1),(IO11-0.05)))</f>
        <v>0.878</v>
      </c>
      <c r="IQ11" s="102">
        <f>MIN(1,MAX(VLOOKUP(($AJ11-$AI11-$AH11-$AG11-$AF11-$AE11*(1+IQ$3))/$AJ11,Уголь_коэфф!$A:$B,2,1),(IP11-0.05)))</f>
        <v>0.872</v>
      </c>
      <c r="IR11" s="102">
        <f>MIN(1,MAX(VLOOKUP(($AJ11-$AI11-$AH11-$AG11-$AF11-$AE11*(1+IR$3))/$AJ11,Уголь_коэфф!$A:$B,2,1),(IQ11-0.05)))</f>
        <v>0.872</v>
      </c>
      <c r="IS11" s="102">
        <f t="shared" si="20"/>
        <v>0.97499999999999998</v>
      </c>
      <c r="IT11" s="102">
        <f t="shared" si="7"/>
        <v>0.97499999999999998</v>
      </c>
      <c r="IU11" s="110"/>
    </row>
    <row r="12" spans="1:266" ht="14.6" customHeight="1">
      <c r="A12" t="s">
        <v>241</v>
      </c>
      <c r="B12" s="149">
        <v>1</v>
      </c>
      <c r="C12" s="150" t="s">
        <v>16</v>
      </c>
      <c r="D12" s="151">
        <v>16112</v>
      </c>
      <c r="E12" s="151" t="s">
        <v>28</v>
      </c>
      <c r="F12" s="150" t="s">
        <v>18</v>
      </c>
      <c r="G12" s="150" t="s">
        <v>45</v>
      </c>
      <c r="H12" s="151" t="s">
        <v>34</v>
      </c>
      <c r="I12" s="151" t="s">
        <v>72</v>
      </c>
      <c r="J12" s="151" t="s">
        <v>73</v>
      </c>
      <c r="K12" s="151">
        <v>4637</v>
      </c>
      <c r="L12" s="151" t="s">
        <v>22</v>
      </c>
      <c r="M12" s="151" t="s">
        <v>23</v>
      </c>
      <c r="N12" s="151" t="s">
        <v>24</v>
      </c>
      <c r="O12" s="151" t="s">
        <v>36</v>
      </c>
      <c r="P12" s="156">
        <v>82365518</v>
      </c>
      <c r="Q12" s="152" t="s">
        <v>68</v>
      </c>
      <c r="R12" s="151" t="s">
        <v>69</v>
      </c>
      <c r="S12" s="153">
        <v>1389317</v>
      </c>
      <c r="T12" s="154">
        <v>6442749019</v>
      </c>
      <c r="U12" s="154">
        <v>19610</v>
      </c>
      <c r="V12" s="154"/>
      <c r="W12" s="155">
        <v>2689139106</v>
      </c>
      <c r="X12" s="104">
        <v>69</v>
      </c>
      <c r="Y12" s="104" t="s">
        <v>163</v>
      </c>
      <c r="Z12" s="107">
        <v>11</v>
      </c>
      <c r="AA12" s="107">
        <v>12</v>
      </c>
      <c r="AB12" s="107">
        <v>4</v>
      </c>
      <c r="AC12" s="88">
        <v>2198.94</v>
      </c>
      <c r="AD12" s="88">
        <v>1008.9299999999998</v>
      </c>
      <c r="AE12" s="88">
        <f t="shared" si="22"/>
        <v>3207.87</v>
      </c>
      <c r="AF12" s="89">
        <f>'Цены,перевалка,аренда'!$C$27*SUM(Уголь_эластика_экспорт!Z12+Уголь_эластика_экспорт!AA12+Уголь_эластика_экспорт!AB12)/Уголь_эластика_экспорт!X12</f>
        <v>273.91304347826087</v>
      </c>
      <c r="AG12" s="90">
        <f>SUMIF('Цены,перевалка,аренда'!$A$20:$A$22,Уголь_эластика_экспорт!$O12,'Цены,перевалка,аренда'!$D$20:$D$22)</f>
        <v>991.97149999999988</v>
      </c>
      <c r="AH12" s="47"/>
      <c r="AI12" s="91">
        <v>2736</v>
      </c>
      <c r="AJ12" s="92">
        <f>SUMIF('Цены,перевалка,аренда'!$A$5:$A$17,Уголь_эластика_экспорт!A12,'Цены,перевалка,аренда'!$D$5:$D$17)</f>
        <v>7249.0224999999991</v>
      </c>
      <c r="AK12" s="47">
        <f>AJ12/'Цены,перевалка,аренда'!$C$1</f>
        <v>95</v>
      </c>
      <c r="AL12" s="47">
        <f t="shared" si="9"/>
        <v>4473.7545434782605</v>
      </c>
      <c r="AM12" s="47">
        <f t="shared" si="10"/>
        <v>2775.2679565217386</v>
      </c>
      <c r="AN12" s="47">
        <f t="shared" si="11"/>
        <v>7209.7545434782605</v>
      </c>
      <c r="AO12" s="93">
        <f t="shared" si="12"/>
        <v>5.4170002261323654E-3</v>
      </c>
      <c r="AP12" s="94">
        <f t="shared" si="13"/>
        <v>0.61715280142643525</v>
      </c>
      <c r="AQ12" s="94">
        <f t="shared" si="5"/>
        <v>0.44252449209531358</v>
      </c>
      <c r="AR12" s="94">
        <f t="shared" si="6"/>
        <v>0.71704202115343163</v>
      </c>
      <c r="AS12" s="167">
        <f t="shared" si="14"/>
        <v>0.99</v>
      </c>
      <c r="AT12" s="173">
        <f t="shared" si="15"/>
        <v>1375423.83</v>
      </c>
      <c r="AU12" s="97">
        <v>0.9</v>
      </c>
      <c r="AV12" s="93">
        <f t="shared" si="16"/>
        <v>-3.883544898339903E-2</v>
      </c>
      <c r="AW12" s="94">
        <f t="shared" si="17"/>
        <v>0.66140525063596667</v>
      </c>
      <c r="AX12" s="94">
        <f t="shared" si="18"/>
        <v>0.486776941304845</v>
      </c>
      <c r="AY12" s="94">
        <f t="shared" si="19"/>
        <v>0.73597380854897987</v>
      </c>
      <c r="AZ12" s="102">
        <f>MIN(IF($AU12=100%,1,1+VLOOKUP(($AJ12-$AI12-$AH12-$AG12-$AF12-$AE12*(1+AZ$3))/$AJ12,Уголь_коэфф!$A:$B,2,1)-VLOOKUP($AO12,Уголь_коэфф!$A:$B,2,1)),1+(1-$AU12))</f>
        <v>1.1000000000000001</v>
      </c>
      <c r="BA12" s="102">
        <f>MIN(IF($AU12=100%,1,1+VLOOKUP(($AJ12-$AI12-$AH12-$AG12-$AF12-$AE12*(1+BA$3))/$AJ12,Уголь_коэфф!$A:$B,2,1)-VLOOKUP($AO12,Уголь_коэфф!$A:$B,2,1)),1+(1-$AU12))</f>
        <v>1.1000000000000001</v>
      </c>
      <c r="BB12" s="102">
        <f>MIN(IF($AU12=100%,1,1+VLOOKUP(($AJ12-$AI12-$AH12-$AG12-$AF12-$AE12*(1+BB$3))/$AJ12,Уголь_коэфф!$A:$B,2,1)-VLOOKUP($AO12,Уголь_коэфф!$A:$B,2,1)),1+(1-$AU12))</f>
        <v>1.1000000000000001</v>
      </c>
      <c r="BC12" s="102">
        <f>MIN(IF($AU12=100%,1,1+VLOOKUP(($AJ12-$AI12-$AH12-$AG12-$AF12-$AE12*(1+BC$3))/$AJ12,Уголь_коэфф!$A:$B,2,1)-VLOOKUP($AO12,Уголь_коэфф!$A:$B,2,1)),1+(1-$AU12))</f>
        <v>1.1000000000000001</v>
      </c>
      <c r="BD12" s="102">
        <f>MIN(IF($AU12=100%,1,1+VLOOKUP(($AJ12-$AI12-$AH12-$AG12-$AF12-$AE12*(1+BD$3))/$AJ12,Уголь_коэфф!$A:$B,2,1)-VLOOKUP($AO12,Уголь_коэфф!$A:$B,2,1)),1+(1-$AU12))</f>
        <v>1.0979999999999999</v>
      </c>
      <c r="BE12" s="102">
        <f>MIN(IF($AU12=100%,1,1+VLOOKUP(($AJ12-$AI12-$AH12-$AG12-$AF12-$AE12*(1+BE$3))/$AJ12,Уголь_коэфф!$A:$B,2,1)-VLOOKUP($AO12,Уголь_коэфф!$A:$B,2,1)),1+(1-$AU12))</f>
        <v>1.0979999999999999</v>
      </c>
      <c r="BF12" s="102">
        <f>MIN(IF($AU12=100%,1,1+VLOOKUP(($AJ12-$AI12-$AH12-$AG12-$AF12-$AE12*(1+BF$3))/$AJ12,Уголь_коэфф!$A:$B,2,1)-VLOOKUP($AO12,Уголь_коэфф!$A:$B,2,1)),1+(1-$AU12))</f>
        <v>1.0979999999999999</v>
      </c>
      <c r="BG12" s="102">
        <f>MIN(IF($AU12=100%,1,1+VLOOKUP(($AJ12-$AI12-$AH12-$AG12-$AF12-$AE12*(1+BG$3))/$AJ12,Уголь_коэфф!$A:$B,2,1)-VLOOKUP($AO12,Уголь_коэфф!$A:$B,2,1)),1+(1-$AU12))</f>
        <v>1.0979999999999999</v>
      </c>
      <c r="BH12" s="102">
        <f>MIN(IF($AU12=100%,1,1+VLOOKUP(($AJ12-$AI12-$AH12-$AG12-$AF12-$AE12*(1+BH$3))/$AJ12,Уголь_коэфф!$A:$B,2,1)-VLOOKUP($AO12,Уголь_коэфф!$A:$B,2,1)),1+(1-$AU12))</f>
        <v>1.0920000000000001</v>
      </c>
      <c r="BI12" s="102">
        <f>MIN(IF($AU12=100%,1,1+VLOOKUP(($AJ12-$AI12-$AH12-$AG12-$AF12-$AE12*(1+BI$3))/$AJ12,Уголь_коэфф!$A:$B,2,1)-VLOOKUP($AO12,Уголь_коэфф!$A:$B,2,1)),1+(1-$AU12))</f>
        <v>1.0920000000000001</v>
      </c>
      <c r="BJ12" s="102">
        <f>MIN(IF($AU12=100%,1,1+VLOOKUP(($AJ12-$AI12-$AH12-$AG12-$AF12-$AE12*(1+BJ$3))/$AJ12,Уголь_коэфф!$A:$B,2,1)-VLOOKUP($AO12,Уголь_коэфф!$A:$B,2,1)),1+(1-$AU12))</f>
        <v>1.0920000000000001</v>
      </c>
      <c r="BK12" s="102">
        <f>MIN(IF($AU12=100%,1,1+VLOOKUP(($AJ12-$AI12-$AH12-$AG12-$AF12-$AE12*(1+BK$3))/$AJ12,Уголь_коэфф!$A:$B,2,1)-VLOOKUP($AO12,Уголь_коэфф!$A:$B,2,1)),1+(1-$AU12))</f>
        <v>1.0920000000000001</v>
      </c>
      <c r="BL12" s="102">
        <f>MIN(IF($AU12=100%,1,1+VLOOKUP(($AJ12-$AI12-$AH12-$AG12-$AF12-$AE12*(1+BL$3))/$AJ12,Уголь_коэфф!$A:$B,2,1)-VLOOKUP($AO12,Уголь_коэфф!$A:$B,2,1)),1+(1-$AU12))</f>
        <v>1.0920000000000001</v>
      </c>
      <c r="BM12" s="102">
        <f>MIN(IF($AU12=100%,1,1+VLOOKUP(($AJ12-$AI12-$AH12-$AG12-$AF12-$AE12*(1+BM$3))/$AJ12,Уголь_коэфф!$A:$B,2,1)-VLOOKUP($AO12,Уголь_коэфф!$A:$B,2,1)),1+(1-$AU12))</f>
        <v>1.0860000000000003</v>
      </c>
      <c r="BN12" s="102">
        <f>MIN(IF($AU12=100%,1,1+VLOOKUP(($AJ12-$AI12-$AH12-$AG12-$AF12-$AE12*(1+BN$3))/$AJ12,Уголь_коэфф!$A:$B,2,1)-VLOOKUP($AO12,Уголь_коэфф!$A:$B,2,1)),1+(1-$AU12))</f>
        <v>1.0860000000000003</v>
      </c>
      <c r="BO12" s="102">
        <f>MIN(IF($AU12=100%,1,1+VLOOKUP(($AJ12-$AI12-$AH12-$AG12-$AF12-$AE12*(1+BO$3))/$AJ12,Уголь_коэфф!$A:$B,2,1)-VLOOKUP($AO12,Уголь_коэфф!$A:$B,2,1)),1+(1-$AU12))</f>
        <v>1.0860000000000003</v>
      </c>
      <c r="BP12" s="102">
        <f>MIN(IF($AU12=100%,1,1+VLOOKUP(($AJ12-$AI12-$AH12-$AG12-$AF12-$AE12*(1+BP$3))/$AJ12,Уголь_коэфф!$A:$B,2,1)-VLOOKUP($AO12,Уголь_коэфф!$A:$B,2,1)),1+(1-$AU12))</f>
        <v>1.0860000000000003</v>
      </c>
      <c r="BQ12" s="102">
        <f>MIN(IF($AU12=100%,1,1+VLOOKUP(($AJ12-$AI12-$AH12-$AG12-$AF12-$AE12*(1+BQ$3))/$AJ12,Уголь_коэфф!$A:$B,2,1)-VLOOKUP($AO12,Уголь_коэфф!$A:$B,2,1)),1+(1-$AU12))</f>
        <v>1.08</v>
      </c>
      <c r="BR12" s="102">
        <f>MIN(IF($AU12=100%,1,1+VLOOKUP(($AJ12-$AI12-$AH12-$AG12-$AF12-$AE12*(1+BR$3))/$AJ12,Уголь_коэфф!$A:$B,2,1)-VLOOKUP($AO12,Уголь_коэфф!$A:$B,2,1)),1+(1-$AU12))</f>
        <v>1.08</v>
      </c>
      <c r="BS12" s="102">
        <f>MIN(IF($AU12=100%,1,1+VLOOKUP(($AJ12-$AI12-$AH12-$AG12-$AF12-$AE12*(1+BS$3))/$AJ12,Уголь_коэфф!$A:$B,2,1)-VLOOKUP($AO12,Уголь_коэфф!$A:$B,2,1)),1+(1-$AU12))</f>
        <v>1.08</v>
      </c>
      <c r="BT12" s="102">
        <f>MIN(IF($AU12=100%,1,1+VLOOKUP(($AJ12-$AI12-$AH12-$AG12-$AF12-$AE12*(1+BT$3))/$AJ12,Уголь_коэфф!$A:$B,2,1)-VLOOKUP($AO12,Уголь_коэфф!$A:$B,2,1)),1+(1-$AU12))</f>
        <v>1.08</v>
      </c>
      <c r="BU12" s="102">
        <f>MIN(IF($AU12=100%,1,1+VLOOKUP(($AJ12-$AI12-$AH12-$AG12-$AF12-$AE12*(1+BU$3))/$AJ12,Уголь_коэфф!$A:$B,2,1)-VLOOKUP($AO12,Уголь_коэфф!$A:$B,2,1)),1+(1-$AU12))</f>
        <v>1.08</v>
      </c>
      <c r="BV12" s="102">
        <f>MIN(IF($AU12=100%,1,1+VLOOKUP(($AJ12-$AI12-$AH12-$AG12-$AF12-$AE12*(1+BV$3))/$AJ12,Уголь_коэфф!$A:$B,2,1)-VLOOKUP($AO12,Уголь_коэфф!$A:$B,2,1)),1+(1-$AU12))</f>
        <v>1.0750000000000002</v>
      </c>
      <c r="BW12" s="102">
        <f>MIN(IF($AU12=100%,1,1+VLOOKUP(($AJ12-$AI12-$AH12-$AG12-$AF12-$AE12*(1+BW$3))/$AJ12,Уголь_коэфф!$A:$B,2,1)-VLOOKUP($AO12,Уголь_коэфф!$A:$B,2,1)),1+(1-$AU12))</f>
        <v>1.0750000000000002</v>
      </c>
      <c r="BX12" s="102">
        <f>MIN(IF($AU12=100%,1,1+VLOOKUP(($AJ12-$AI12-$AH12-$AG12-$AF12-$AE12*(1+BX$3))/$AJ12,Уголь_коэфф!$A:$B,2,1)-VLOOKUP($AO12,Уголь_коэфф!$A:$B,2,1)),1+(1-$AU12))</f>
        <v>1.0750000000000002</v>
      </c>
      <c r="BY12" s="102">
        <f>MIN(IF($AU12=100%,1,1+VLOOKUP(($AJ12-$AI12-$AH12-$AG12-$AF12-$AE12*(1+BY$3))/$AJ12,Уголь_коэфф!$A:$B,2,1)-VLOOKUP($AO12,Уголь_коэфф!$A:$B,2,1)),1+(1-$AU12))</f>
        <v>1.0750000000000002</v>
      </c>
      <c r="BZ12" s="102">
        <f>MIN(IF($AU12=100%,1,1+VLOOKUP(($AJ12-$AI12-$AH12-$AG12-$AF12-$AE12*(1+BZ$3))/$AJ12,Уголь_коэфф!$A:$B,2,1)-VLOOKUP($AO12,Уголь_коэфф!$A:$B,2,1)),1+(1-$AU12))</f>
        <v>1.0700000000000003</v>
      </c>
      <c r="CA12" s="102">
        <f>MIN(IF($AU12=100%,1,1+VLOOKUP(($AJ12-$AI12-$AH12-$AG12-$AF12-$AE12*(1+CA$3))/$AJ12,Уголь_коэфф!$A:$B,2,1)-VLOOKUP($AO12,Уголь_коэфф!$A:$B,2,1)),1+(1-$AU12))</f>
        <v>1.0700000000000003</v>
      </c>
      <c r="CB12" s="102">
        <f>MIN(IF($AU12=100%,1,1+VLOOKUP(($AJ12-$AI12-$AH12-$AG12-$AF12-$AE12*(1+CB$3))/$AJ12,Уголь_коэфф!$A:$B,2,1)-VLOOKUP($AO12,Уголь_коэфф!$A:$B,2,1)),1+(1-$AU12))</f>
        <v>1.0700000000000003</v>
      </c>
      <c r="CC12" s="102">
        <f>MIN(IF($AU12=100%,1,1+VLOOKUP(($AJ12-$AI12-$AH12-$AG12-$AF12-$AE12*(1+CC$3))/$AJ12,Уголь_коэфф!$A:$B,2,1)-VLOOKUP($AO12,Уголь_коэфф!$A:$B,2,1)),1+(1-$AU12))</f>
        <v>1.0700000000000003</v>
      </c>
      <c r="CD12" s="102">
        <f>MIN(IF($AU12=100%,1,1+VLOOKUP(($AJ12-$AI12-$AH12-$AG12-$AF12-$AE12*(1+CD$3))/$AJ12,Уголь_коэфф!$A:$B,2,1)-VLOOKUP($AO12,Уголь_коэфф!$A:$B,2,1)),1+(1-$AU12))</f>
        <v>1.0700000000000003</v>
      </c>
      <c r="CE12" s="102">
        <f>MIN(IF($AU12=100%,1,1+VLOOKUP(($AJ12-$AI12-$AH12-$AG12-$AF12-$AE12*(1+CE$3))/$AJ12,Уголь_коэфф!$A:$B,2,1)-VLOOKUP($AO12,Уголь_коэфф!$A:$B,2,1)),1+(1-$AU12))</f>
        <v>1.0649999999999999</v>
      </c>
      <c r="CF12" s="102">
        <f>MIN(IF($AU12=100%,1,1+VLOOKUP(($AJ12-$AI12-$AH12-$AG12-$AF12-$AE12*(1+CF$3))/$AJ12,Уголь_коэфф!$A:$B,2,1)-VLOOKUP($AO12,Уголь_коэфф!$A:$B,2,1)),1+(1-$AU12))</f>
        <v>1.0649999999999999</v>
      </c>
      <c r="CG12" s="102">
        <f>MIN(IF($AU12=100%,1,1+VLOOKUP(($AJ12-$AI12-$AH12-$AG12-$AF12-$AE12*(1+CG$3))/$AJ12,Уголь_коэфф!$A:$B,2,1)-VLOOKUP($AO12,Уголь_коэфф!$A:$B,2,1)),1+(1-$AU12))</f>
        <v>1.0649999999999999</v>
      </c>
      <c r="CH12" s="102">
        <f>MIN(IF($AU12=100%,1,1+VLOOKUP(($AJ12-$AI12-$AH12-$AG12-$AF12-$AE12*(1+CH$3))/$AJ12,Уголь_коэфф!$A:$B,2,1)-VLOOKUP($AO12,Уголь_коэфф!$A:$B,2,1)),1+(1-$AU12))</f>
        <v>1.0649999999999999</v>
      </c>
      <c r="CI12" s="102">
        <f>MIN(IF($AU12=100%,1,1+VLOOKUP(($AJ12-$AI12-$AH12-$AG12-$AF12-$AE12*(1+CI$3))/$AJ12,Уголь_коэфф!$A:$B,2,1)-VLOOKUP($AO12,Уголь_коэфф!$A:$B,2,1)),1+(1-$AU12))</f>
        <v>1.06</v>
      </c>
      <c r="CJ12" s="102">
        <f>MIN(IF($AU12=100%,1,1+VLOOKUP(($AJ12-$AI12-$AH12-$AG12-$AF12-$AE12*(1+CJ$3))/$AJ12,Уголь_коэфф!$A:$B,2,1)-VLOOKUP($AO12,Уголь_коэфф!$A:$B,2,1)),1+(1-$AU12))</f>
        <v>1.06</v>
      </c>
      <c r="CK12" s="102">
        <f>MIN(IF($AU12=100%,1,1+VLOOKUP(($AJ12-$AI12-$AH12-$AG12-$AF12-$AE12*(1+CK$3))/$AJ12,Уголь_коэфф!$A:$B,2,1)-VLOOKUP($AO12,Уголь_коэфф!$A:$B,2,1)),1+(1-$AU12))</f>
        <v>1.06</v>
      </c>
      <c r="CL12" s="102">
        <f>MIN(IF($AU12=100%,1,1+VLOOKUP(($AJ12-$AI12-$AH12-$AG12-$AF12-$AE12*(1+CL$3))/$AJ12,Уголь_коэфф!$A:$B,2,1)-VLOOKUP($AO12,Уголь_коэфф!$A:$B,2,1)),1+(1-$AU12))</f>
        <v>1.06</v>
      </c>
      <c r="CM12" s="102">
        <f>MIN(IF($AU12=100%,1,1+VLOOKUP(($AJ12-$AI12-$AH12-$AG12-$AF12-$AE12*(1+CM$3))/$AJ12,Уголь_коэфф!$A:$B,2,1)-VLOOKUP($AO12,Уголь_коэфф!$A:$B,2,1)),1+(1-$AU12))</f>
        <v>1.06</v>
      </c>
      <c r="CN12" s="102">
        <f>MIN(IF($AU12=100%,1,1+VLOOKUP(($AJ12-$AI12-$AH12-$AG12-$AF12-$AE12*(1+CN$3))/$AJ12,Уголь_коэфф!$A:$B,2,1)-VLOOKUP($AO12,Уголь_коэфф!$A:$B,2,1)),1+(1-$AU12))</f>
        <v>1.0549999999999997</v>
      </c>
      <c r="CO12" s="102">
        <f>MIN(IF($AU12=100%,1,1+VLOOKUP(($AJ12-$AI12-$AH12-$AG12-$AF12-$AE12*(1+CO$3))/$AJ12,Уголь_коэфф!$A:$B,2,1)-VLOOKUP($AO12,Уголь_коэфф!$A:$B,2,1)),1+(1-$AU12))</f>
        <v>1.0549999999999997</v>
      </c>
      <c r="CP12" s="102">
        <f>MIN(IF($AU12=100%,1,1+VLOOKUP(($AJ12-$AI12-$AH12-$AG12-$AF12-$AE12*(1+CP$3))/$AJ12,Уголь_коэфф!$A:$B,2,1)-VLOOKUP($AO12,Уголь_коэфф!$A:$B,2,1)),1+(1-$AU12))</f>
        <v>1.0549999999999997</v>
      </c>
      <c r="CQ12" s="102">
        <f>MIN(IF($AU12=100%,1,1+VLOOKUP(($AJ12-$AI12-$AH12-$AG12-$AF12-$AE12*(1+CQ$3))/$AJ12,Уголь_коэфф!$A:$B,2,1)-VLOOKUP($AO12,Уголь_коэфф!$A:$B,2,1)),1+(1-$AU12))</f>
        <v>1.0549999999999997</v>
      </c>
      <c r="CR12" s="102">
        <f>MIN(IF($AU12=100%,1,1+VLOOKUP(($AJ12-$AI12-$AH12-$AG12-$AF12-$AE12*(1+CR$3))/$AJ12,Уголь_коэфф!$A:$B,2,1)-VLOOKUP($AO12,Уголь_коэфф!$A:$B,2,1)),1+(1-$AU12))</f>
        <v>1.0499999999999998</v>
      </c>
      <c r="CS12" s="102">
        <f>MIN(IF($AU12=100%,1,1+VLOOKUP(($AJ12-$AI12-$AH12-$AG12-$AF12-$AE12*(1+CS$3))/$AJ12,Уголь_коэфф!$A:$B,2,1)-VLOOKUP($AO12,Уголь_коэфф!$A:$B,2,1)),1+(1-$AU12))</f>
        <v>1.0499999999999998</v>
      </c>
      <c r="CT12" s="102">
        <f>MIN(IF($AU12=100%,1,1+VLOOKUP(($AJ12-$AI12-$AH12-$AG12-$AF12-$AE12*(1+CT$3))/$AJ12,Уголь_коэфф!$A:$B,2,1)-VLOOKUP($AO12,Уголь_коэфф!$A:$B,2,1)),1+(1-$AU12))</f>
        <v>1.0499999999999998</v>
      </c>
      <c r="CU12" s="102">
        <f>MIN(IF($AU12=100%,1,1+VLOOKUP(($AJ12-$AI12-$AH12-$AG12-$AF12-$AE12*(1+CU$3))/$AJ12,Уголь_коэфф!$A:$B,2,1)-VLOOKUP($AO12,Уголь_коэфф!$A:$B,2,1)),1+(1-$AU12))</f>
        <v>1.0499999999999998</v>
      </c>
      <c r="CV12" s="102">
        <f>MIN(IF($AU12=100%,1,1+VLOOKUP(($AJ12-$AI12-$AH12-$AG12-$AF12-$AE12*(1+CV$3))/$AJ12,Уголь_коэфф!$A:$B,2,1)-VLOOKUP($AO12,Уголь_коэфф!$A:$B,2,1)),1+(1-$AU12))</f>
        <v>1.0499999999999998</v>
      </c>
      <c r="CW12" s="102">
        <f>MIN(IF($AU12=100%,1,1+VLOOKUP(($AJ12-$AI12-$AH12-$AG12-$AF12-$AE12*(1+CW$3))/$AJ12,Уголь_коэфф!$A:$B,2,1)-VLOOKUP($AO12,Уголь_коэфф!$A:$B,2,1)),1+(1-$AU12))</f>
        <v>1.0449999999999999</v>
      </c>
      <c r="CX12" s="102">
        <f>MIN(IF($AU12=100%,1,1+VLOOKUP(($AJ12-$AI12-$AH12-$AG12-$AF12-$AE12*(1+CX$3))/$AJ12,Уголь_коэфф!$A:$B,2,1)-VLOOKUP($AO12,Уголь_коэфф!$A:$B,2,1)),1+(1-$AU12))</f>
        <v>1.0449999999999999</v>
      </c>
      <c r="CY12" s="102">
        <f>MIN(IF($AU12=100%,1,1+VLOOKUP(($AJ12-$AI12-$AH12-$AG12-$AF12-$AE12*(1+CY$3))/$AJ12,Уголь_коэфф!$A:$B,2,1)-VLOOKUP($AO12,Уголь_коэфф!$A:$B,2,1)),1+(1-$AU12))</f>
        <v>1.0449999999999999</v>
      </c>
      <c r="CZ12" s="102">
        <f>MIN(IF($AU12=100%,1,1+VLOOKUP(($AJ12-$AI12-$AH12-$AG12-$AF12-$AE12*(1+CZ$3))/$AJ12,Уголь_коэфф!$A:$B,2,1)-VLOOKUP($AO12,Уголь_коэфф!$A:$B,2,1)),1+(1-$AU12))</f>
        <v>1.0449999999999999</v>
      </c>
      <c r="DA12" s="102">
        <f>MIN(IF($AU12=100%,1,1+VLOOKUP(($AJ12-$AI12-$AH12-$AG12-$AF12-$AE12*(1+DA$3))/$AJ12,Уголь_коэфф!$A:$B,2,1)-VLOOKUP($AO12,Уголь_коэфф!$A:$B,2,1)),1+(1-$AU12))</f>
        <v>1.04</v>
      </c>
      <c r="DB12" s="102">
        <f>MIN(IF($AU12=100%,1,1+VLOOKUP(($AJ12-$AI12-$AH12-$AG12-$AF12-$AE12*(1+DB$3))/$AJ12,Уголь_коэфф!$A:$B,2,1)-VLOOKUP($AO12,Уголь_коэфф!$A:$B,2,1)),1+(1-$AU12))</f>
        <v>1.04</v>
      </c>
      <c r="DC12" s="102">
        <f>MIN(IF($AU12=100%,1,1+VLOOKUP(($AJ12-$AI12-$AH12-$AG12-$AF12-$AE12*(1+DC$3))/$AJ12,Уголь_коэфф!$A:$B,2,1)-VLOOKUP($AO12,Уголь_коэфф!$A:$B,2,1)),1+(1-$AU12))</f>
        <v>1.04</v>
      </c>
      <c r="DD12" s="102">
        <f>MIN(IF($AU12=100%,1,1+VLOOKUP(($AJ12-$AI12-$AH12-$AG12-$AF12-$AE12*(1+DD$3))/$AJ12,Уголь_коэфф!$A:$B,2,1)-VLOOKUP($AO12,Уголь_коэфф!$A:$B,2,1)),1+(1-$AU12))</f>
        <v>1.04</v>
      </c>
      <c r="DE12" s="102">
        <f>MIN(IF($AU12=100%,1,1+VLOOKUP(($AJ12-$AI12-$AH12-$AG12-$AF12-$AE12*(1+DE$3))/$AJ12,Уголь_коэфф!$A:$B,2,1)-VLOOKUP($AO12,Уголь_коэфф!$A:$B,2,1)),1+(1-$AU12))</f>
        <v>1.04</v>
      </c>
      <c r="DF12" s="102">
        <f>MIN(IF($AU12=100%,1,1+VLOOKUP(($AJ12-$AI12-$AH12-$AG12-$AF12-$AE12*(1+DF$3))/$AJ12,Уголь_коэфф!$A:$B,2,1)-VLOOKUP($AO12,Уголь_коэфф!$A:$B,2,1)),1+(1-$AU12))</f>
        <v>1.0350000000000001</v>
      </c>
      <c r="DG12" s="102">
        <f>MIN(IF($AU12=100%,1,1+VLOOKUP(($AJ12-$AI12-$AH12-$AG12-$AF12-$AE12*(1+DG$3))/$AJ12,Уголь_коэфф!$A:$B,2,1)-VLOOKUP($AO12,Уголь_коэфф!$A:$B,2,1)),1+(1-$AU12))</f>
        <v>1.0350000000000001</v>
      </c>
      <c r="DH12" s="102">
        <f>MIN(IF($AU12=100%,1,1+VLOOKUP(($AJ12-$AI12-$AH12-$AG12-$AF12-$AE12*(1+DH$3))/$AJ12,Уголь_коэфф!$A:$B,2,1)-VLOOKUP($AO12,Уголь_коэфф!$A:$B,2,1)),1+(1-$AU12))</f>
        <v>1.0350000000000001</v>
      </c>
      <c r="DI12" s="102">
        <f>MIN(IF($AU12=100%,1,1+VLOOKUP(($AJ12-$AI12-$AH12-$AG12-$AF12-$AE12*(1+DI$3))/$AJ12,Уголь_коэфф!$A:$B,2,1)-VLOOKUP($AO12,Уголь_коэфф!$A:$B,2,1)),1+(1-$AU12))</f>
        <v>1.0350000000000001</v>
      </c>
      <c r="DJ12" s="102">
        <f>MIN(IF($AU12=100%,1,1+VLOOKUP(($AJ12-$AI12-$AH12-$AG12-$AF12-$AE12*(1+DJ$3))/$AJ12,Уголь_коэфф!$A:$B,2,1)-VLOOKUP($AO12,Уголь_коэфф!$A:$B,2,1)),1+(1-$AU12))</f>
        <v>1.0300000000000002</v>
      </c>
      <c r="DK12" s="102">
        <f>MIN(IF($AU12=100%,1,1+VLOOKUP(($AJ12-$AI12-$AH12-$AG12-$AF12-$AE12*(1+DK$3))/$AJ12,Уголь_коэфф!$A:$B,2,1)-VLOOKUP($AO12,Уголь_коэфф!$A:$B,2,1)),1+(1-$AU12))</f>
        <v>1.0300000000000002</v>
      </c>
      <c r="DL12" s="102">
        <f>MIN(IF($AU12=100%,1,1+VLOOKUP(($AJ12-$AI12-$AH12-$AG12-$AF12-$AE12*(1+DL$3))/$AJ12,Уголь_коэфф!$A:$B,2,1)-VLOOKUP($AO12,Уголь_коэфф!$A:$B,2,1)),1+(1-$AU12))</f>
        <v>1.0300000000000002</v>
      </c>
      <c r="DM12" s="102">
        <f>MIN(IF($AU12=100%,1,1+VLOOKUP(($AJ12-$AI12-$AH12-$AG12-$AF12-$AE12*(1+DM$3))/$AJ12,Уголь_коэфф!$A:$B,2,1)-VLOOKUP($AO12,Уголь_коэфф!$A:$B,2,1)),1+(1-$AU12))</f>
        <v>1.0300000000000002</v>
      </c>
      <c r="DN12" s="102">
        <f>MIN(IF($AU12=100%,1,1+VLOOKUP(($AJ12-$AI12-$AH12-$AG12-$AF12-$AE12*(1+DN$3))/$AJ12,Уголь_коэфф!$A:$B,2,1)-VLOOKUP($AO12,Уголь_коэфф!$A:$B,2,1)),1+(1-$AU12))</f>
        <v>1.0300000000000002</v>
      </c>
      <c r="DO12" s="102">
        <f>MIN(IF($AU12=100%,1,1+VLOOKUP(($AJ12-$AI12-$AH12-$AG12-$AF12-$AE12*(1+DO$3))/$AJ12,Уголь_коэфф!$A:$B,2,1)-VLOOKUP($AO12,Уголь_коэфф!$A:$B,2,1)),1+(1-$AU12))</f>
        <v>1.0249999999999999</v>
      </c>
      <c r="DP12" s="102">
        <f>MIN(IF($AU12=100%,1,1+VLOOKUP(($AJ12-$AI12-$AH12-$AG12-$AF12-$AE12*(1+DP$3))/$AJ12,Уголь_коэфф!$A:$B,2,1)-VLOOKUP($AO12,Уголь_коэфф!$A:$B,2,1)),1+(1-$AU12))</f>
        <v>1.0249999999999999</v>
      </c>
      <c r="DQ12" s="102">
        <f>MIN(IF($AU12=100%,1,1+VLOOKUP(($AJ12-$AI12-$AH12-$AG12-$AF12-$AE12*(1+DQ$3))/$AJ12,Уголь_коэфф!$A:$B,2,1)-VLOOKUP($AO12,Уголь_коэфф!$A:$B,2,1)),1+(1-$AU12))</f>
        <v>1.0249999999999999</v>
      </c>
      <c r="DR12" s="102">
        <f>MIN(IF($AU12=100%,1,1+VLOOKUP(($AJ12-$AI12-$AH12-$AG12-$AF12-$AE12*(1+DR$3))/$AJ12,Уголь_коэфф!$A:$B,2,1)-VLOOKUP($AO12,Уголь_коэфф!$A:$B,2,1)),1+(1-$AU12))</f>
        <v>1.0249999999999999</v>
      </c>
      <c r="DS12" s="102">
        <f>MIN(IF($AU12=100%,1,1+VLOOKUP(($AJ12-$AI12-$AH12-$AG12-$AF12-$AE12*(1+DS$3))/$AJ12,Уголь_коэфф!$A:$B,2,1)-VLOOKUP($AO12,Уголь_коэфф!$A:$B,2,1)),1+(1-$AU12))</f>
        <v>1.0249999999999999</v>
      </c>
      <c r="DT12" s="102">
        <f>MIN(IF($AU12=100%,1,1+VLOOKUP(($AJ12-$AI12-$AH12-$AG12-$AF12-$AE12*(1+DT$3))/$AJ12,Уголь_коэфф!$A:$B,2,1)-VLOOKUP($AO12,Уголь_коэфф!$A:$B,2,1)),1+(1-$AU12))</f>
        <v>1.0249999999999999</v>
      </c>
      <c r="DU12" s="102">
        <f>MIN(IF($AU12=100%,1,1+VLOOKUP(($AJ12-$AI12-$AH12-$AG12-$AF12-$AE12*(1+DU$3))/$AJ12,Уголь_коэфф!$A:$B,2,1)-VLOOKUP($AO12,Уголь_коэфф!$A:$B,2,1)),1+(1-$AU12))</f>
        <v>1.0249999999999999</v>
      </c>
      <c r="DV12" s="102">
        <f>MIN(IF($AU12=100%,1,1+VLOOKUP(($AJ12-$AI12-$AH12-$AG12-$AF12-$AE12*(1+DV$3))/$AJ12,Уголь_коэфф!$A:$B,2,1)-VLOOKUP($AO12,Уголь_коэфф!$A:$B,2,1)),1+(1-$AU12))</f>
        <v>1.0249999999999999</v>
      </c>
      <c r="DW12" s="102">
        <f>MIN(IF($AU12=100%,1,1+VLOOKUP(($AJ12-$AI12-$AH12-$AG12-$AF12-$AE12*(1+DW$3))/$AJ12,Уголь_коэфф!$A:$B,2,1)-VLOOKUP($AO12,Уголь_коэфф!$A:$B,2,1)),1+(1-$AU12))</f>
        <v>1.0249999999999999</v>
      </c>
      <c r="DX12" s="102">
        <f>MIN(IF($AU12=100%,1,1+VLOOKUP(($AJ12-$AI12-$AH12-$AG12-$AF12-$AE12*(1+DX$3))/$AJ12,Уголь_коэфф!$A:$B,2,1)-VLOOKUP($AO12,Уголь_коэфф!$A:$B,2,1)),1+(1-$AU12))</f>
        <v>1.0249999999999999</v>
      </c>
      <c r="DY12" s="102">
        <f>MIN(IF($AU12=100%,1,1+VLOOKUP(($AJ12-$AI12-$AH12-$AG12-$AF12-$AE12*(1+DY$3))/$AJ12,Уголь_коэфф!$A:$B,2,1)-VLOOKUP($AO12,Уголь_коэфф!$A:$B,2,1)),1+(1-$AU12))</f>
        <v>1.0249999999999999</v>
      </c>
      <c r="DZ12" s="102">
        <f>MIN(IF($AU12=100%,1,1+VLOOKUP(($AJ12-$AI12-$AH12-$AG12-$AF12-$AE12*(1+DZ$3))/$AJ12,Уголь_коэфф!$A:$B,2,1)-VLOOKUP($AO12,Уголь_коэфф!$A:$B,2,1)),1+(1-$AU12))</f>
        <v>1.0249999999999999</v>
      </c>
      <c r="EA12" s="102">
        <f>MIN(IF($AU12=100%,1,1+VLOOKUP(($AJ12-$AI12-$AH12-$AG12-$AF12-$AE12*(1+EA$3))/$AJ12,Уголь_коэфф!$A:$B,2,1)-VLOOKUP($AO12,Уголь_коэфф!$A:$B,2,1)),1+(1-$AU12))</f>
        <v>1.0249999999999999</v>
      </c>
      <c r="EB12" s="102">
        <f>MIN(IF($AU12=100%,1,1+VLOOKUP(($AJ12-$AI12-$AH12-$AG12-$AF12-$AE12*(1+EB$3))/$AJ12,Уголь_коэфф!$A:$B,2,1)-VLOOKUP($AO12,Уголь_коэфф!$A:$B,2,1)),1+(1-$AU12))</f>
        <v>1</v>
      </c>
      <c r="EC12" s="102">
        <f>MIN(IF($AU12=100%,1,1+VLOOKUP(($AJ12-$AI12-$AH12-$AG12-$AF12-$AE12*(1+EC$3))/$AJ12,Уголь_коэфф!$A:$B,2,1)-VLOOKUP($AO12,Уголь_коэфф!$A:$B,2,1)),1+(1-$AU12))</f>
        <v>1</v>
      </c>
      <c r="ED12" s="102">
        <f>MIN(IF($AU12=100%,1,1+VLOOKUP(($AJ12-$AI12-$AH12-$AG12-$AF12-$AE12*(1+ED$3))/$AJ12,Уголь_коэфф!$A:$B,2,1)-VLOOKUP($AO12,Уголь_коэфф!$A:$B,2,1)),1+(1-$AU12))</f>
        <v>1</v>
      </c>
      <c r="EE12" s="102">
        <f>MIN(IF($AU12=100%,1,1+VLOOKUP(($AJ12-$AI12-$AH12-$AG12-$AF12-$AE12*(1+EE$3))/$AJ12,Уголь_коэфф!$A:$B,2,1)-VLOOKUP($AO12,Уголь_коэфф!$A:$B,2,1)),1+(1-$AU12))</f>
        <v>1</v>
      </c>
      <c r="EF12" s="102">
        <f>MIN(IF($AU12=100%,1,1+VLOOKUP(($AJ12-$AI12-$AH12-$AG12-$AF12-$AE12*(1+EF$3))/$AJ12,Уголь_коэфф!$A:$B,2,1)-VLOOKUP($AO12,Уголь_коэфф!$A:$B,2,1)),1+(1-$AU12))</f>
        <v>1</v>
      </c>
      <c r="EG12" s="102">
        <f>MIN(IF($AU12=100%,1,1+VLOOKUP(($AJ12-$AI12-$AH12-$AG12-$AF12-$AE12*(1+EG$3))/$AJ12,Уголь_коэфф!$A:$B,2,1)-VLOOKUP($AO12,Уголь_коэфф!$A:$B,2,1)),1+(1-$AU12))</f>
        <v>1</v>
      </c>
      <c r="EH12" s="102">
        <f>MIN(IF($AU12=100%,1,1+VLOOKUP(($AJ12-$AI12-$AH12-$AG12-$AF12-$AE12*(1+EH$3))/$AJ12,Уголь_коэфф!$A:$B,2,1)-VLOOKUP($AO12,Уголь_коэфф!$A:$B,2,1)),1+(1-$AU12))</f>
        <v>1</v>
      </c>
      <c r="EI12" s="102">
        <f>MIN(IF($AU12=100%,1,1+VLOOKUP(($AJ12-$AI12-$AH12-$AG12-$AF12-$AE12*(1+EI$3))/$AJ12,Уголь_коэфф!$A:$B,2,1)-VLOOKUP($AO12,Уголь_коэфф!$A:$B,2,1)),1+(1-$AU12))</f>
        <v>1</v>
      </c>
      <c r="EJ12" s="102">
        <f>MIN(IF($AU12=100%,1,1+VLOOKUP(($AJ12-$AI12-$AH12-$AG12-$AF12-$AE12*(1+EJ$3))/$AJ12,Уголь_коэфф!$A:$B,2,1)-VLOOKUP($AO12,Уголь_коэфф!$A:$B,2,1)),1+(1-$AU12))</f>
        <v>1</v>
      </c>
      <c r="EK12" s="102">
        <f>MIN(IF($AU12=100%,1,1+VLOOKUP(($AJ12-$AI12-$AH12-$AG12-$AF12-$AE12*(1+EK$3))/$AJ12,Уголь_коэфф!$A:$B,2,1)-VLOOKUP($AO12,Уголь_коэфф!$A:$B,2,1)),1+(1-$AU12))</f>
        <v>1</v>
      </c>
      <c r="EL12" s="102">
        <f>MIN(IF($AU12=100%,1,1+VLOOKUP(($AJ12-$AI12-$AH12-$AG12-$AF12-$AE12*(1+EL$3))/$AJ12,Уголь_коэфф!$A:$B,2,1)-VLOOKUP($AO12,Уголь_коэфф!$A:$B,2,1)),1+(1-$AU12))</f>
        <v>1</v>
      </c>
      <c r="EM12" s="102">
        <f>MIN(IF($AU12=100%,1,1+VLOOKUP(($AJ12-$AI12-$AH12-$AG12-$AF12-$AE12*(1+EM$3))/$AJ12,Уголь_коэфф!$A:$B,2,1)-VLOOKUP($AO12,Уголь_коэфф!$A:$B,2,1)),1+(1-$AU12))</f>
        <v>1</v>
      </c>
      <c r="EN12" s="102">
        <f>MIN(IF($AU12=100%,1,1+VLOOKUP(($AJ12-$AI12-$AH12-$AG12-$AF12-$AE12*(1+EN$3))/$AJ12,Уголь_коэфф!$A:$B,2,1)-VLOOKUP($AO12,Уголь_коэфф!$A:$B,2,1)),1+(1-$AU12))</f>
        <v>1</v>
      </c>
      <c r="EO12" s="102">
        <f>MIN(IF($AU12=100%,1,1+VLOOKUP(($AJ12-$AI12-$AH12-$AG12-$AF12-$AE12*(1+EO$3))/$AJ12,Уголь_коэфф!$A:$B,2,1)-VLOOKUP($AO12,Уголь_коэфф!$A:$B,2,1)),1+(1-$AU12))</f>
        <v>1</v>
      </c>
      <c r="EP12" s="102">
        <f>MIN(IF($AU12=100%,1,1+VLOOKUP(($AJ12-$AI12-$AH12-$AG12-$AF12-$AE12*(1+EP$3))/$AJ12,Уголь_коэфф!$A:$B,2,1)-VLOOKUP($AO12,Уголь_коэфф!$A:$B,2,1)),1+(1-$AU12))</f>
        <v>1</v>
      </c>
      <c r="EQ12" s="102">
        <f>MIN(IF($AU12=100%,1,1+VLOOKUP(($AJ12-$AI12-$AH12-$AG12-$AF12-$AE12*(1+EQ$3))/$AJ12,Уголь_коэфф!$A:$B,2,1)-VLOOKUP($AO12,Уголь_коэфф!$A:$B,2,1)),1+(1-$AU12))</f>
        <v>1</v>
      </c>
      <c r="ER12" s="102">
        <f>MIN(IF($AU12=100%,1,1+VLOOKUP(($AJ12-$AI12-$AH12-$AG12-$AF12-$AE12*(1+ER$3))/$AJ12,Уголь_коэфф!$A:$B,2,1)-VLOOKUP($AO12,Уголь_коэфф!$A:$B,2,1)),1+(1-$AU12))</f>
        <v>1</v>
      </c>
      <c r="ES12" s="102">
        <f>MIN(IF($AU12=100%,1,1+VLOOKUP(($AJ12-$AI12-$AH12-$AG12-$AF12-$AE12*(1+ES$3))/$AJ12,Уголь_коэфф!$A:$B,2,1)-VLOOKUP($AO12,Уголь_коэфф!$A:$B,2,1)),1+(1-$AU12))</f>
        <v>1</v>
      </c>
      <c r="ET12" s="102">
        <f>MIN(IF($AU12=100%,1,1+VLOOKUP(($AJ12-$AI12-$AH12-$AG12-$AF12-$AE12*(1+ET$3))/$AJ12,Уголь_коэфф!$A:$B,2,1)-VLOOKUP($AO12,Уголь_коэфф!$A:$B,2,1)),1+(1-$AU12))</f>
        <v>1</v>
      </c>
      <c r="EU12" s="102">
        <f>MIN(IF($AU12=100%,1,1+VLOOKUP(($AJ12-$AI12-$AH12-$AG12-$AF12-$AE12*(1+EU$3))/$AJ12,Уголь_коэфф!$A:$B,2,1)-VLOOKUP($AO12,Уголь_коэфф!$A:$B,2,1)),1+(1-$AU12))</f>
        <v>1</v>
      </c>
      <c r="EV12" s="103">
        <v>1</v>
      </c>
      <c r="EW12" s="102">
        <f>MIN(1,MAX(VLOOKUP(($AJ12-$AI12-$AH12-$AG12-$AF12-$AE12*(1+EW$3))/$AJ12,Уголь_коэфф!$A:$B,2,1),(EV12-0.05)))</f>
        <v>1</v>
      </c>
      <c r="EX12" s="102">
        <f>MIN(1,MAX(VLOOKUP(($AJ12-$AI12-$AH12-$AG12-$AF12-$AE12*(1+EX$3))/$AJ12,Уголь_коэфф!$A:$B,2,1),(EW12-0.05)))</f>
        <v>1</v>
      </c>
      <c r="EY12" s="102">
        <f>MIN(1,MAX(VLOOKUP(($AJ12-$AI12-$AH12-$AG12-$AF12-$AE12*(1+EY$3))/$AJ12,Уголь_коэфф!$A:$B,2,1),(EX12-0.05)))</f>
        <v>1</v>
      </c>
      <c r="EZ12" s="102">
        <f>MIN(1,MAX(VLOOKUP(($AJ12-$AI12-$AH12-$AG12-$AF12-$AE12*(1+EZ$3))/$AJ12,Уголь_коэфф!$A:$B,2,1),(EY12-0.05)))</f>
        <v>1</v>
      </c>
      <c r="FA12" s="102">
        <f>MIN(1,MAX(VLOOKUP(($AJ12-$AI12-$AH12-$AG12-$AF12-$AE12*(1+FA$3))/$AJ12,Уголь_коэфф!$A:$B,2,1),(EZ12-0.05)))</f>
        <v>1</v>
      </c>
      <c r="FB12" s="102">
        <f>MIN(1,MAX(VLOOKUP(($AJ12-$AI12-$AH12-$AG12-$AF12-$AE12*(1+FB$3))/$AJ12,Уголь_коэфф!$A:$B,2,1),(FA12-0.05)))</f>
        <v>1</v>
      </c>
      <c r="FC12" s="102">
        <f>MIN(1,MAX(VLOOKUP(($AJ12-$AI12-$AH12-$AG12-$AF12-$AE12*(1+FC$3))/$AJ12,Уголь_коэфф!$A:$B,2,1),(FB12-0.05)))</f>
        <v>1</v>
      </c>
      <c r="FD12" s="102">
        <f>MIN(1,MAX(VLOOKUP(($AJ12-$AI12-$AH12-$AG12-$AF12-$AE12*(1+FD$3))/$AJ12,Уголь_коэфф!$A:$B,2,1),(FC12-0.05)))</f>
        <v>1</v>
      </c>
      <c r="FE12" s="102">
        <f>MIN(1,MAX(VLOOKUP(($AJ12-$AI12-$AH12-$AG12-$AF12-$AE12*(1+FE$3))/$AJ12,Уголь_коэфф!$A:$B,2,1),(FD12-0.05)))</f>
        <v>1</v>
      </c>
      <c r="FF12" s="102">
        <f>MIN(1,MAX(VLOOKUP(($AJ12-$AI12-$AH12-$AG12-$AF12-$AE12*(1+FF$3))/$AJ12,Уголь_коэфф!$A:$B,2,1),(FE12-0.05)))</f>
        <v>1</v>
      </c>
      <c r="FG12" s="102">
        <f>MIN(1,MAX(VLOOKUP(($AJ12-$AI12-$AH12-$AG12-$AF12-$AE12*(1+FG$3))/$AJ12,Уголь_коэфф!$A:$B,2,1),(FF12-0.05)))</f>
        <v>1</v>
      </c>
      <c r="FH12" s="102">
        <f>MIN(1,MAX(VLOOKUP(($AJ12-$AI12-$AH12-$AG12-$AF12-$AE12*(1+FH$3))/$AJ12,Уголь_коэфф!$A:$B,2,1),(FG12-0.05)))</f>
        <v>0.995</v>
      </c>
      <c r="FI12" s="102">
        <f>MIN(1,MAX(VLOOKUP(($AJ12-$AI12-$AH12-$AG12-$AF12-$AE12*(1+FI$3))/$AJ12,Уголь_коэфф!$A:$B,2,1),(FH12-0.05)))</f>
        <v>0.995</v>
      </c>
      <c r="FJ12" s="102">
        <f>MIN(1,MAX(VLOOKUP(($AJ12-$AI12-$AH12-$AG12-$AF12-$AE12*(1+FJ$3))/$AJ12,Уголь_коэфф!$A:$B,2,1),(FI12-0.05)))</f>
        <v>0.995</v>
      </c>
      <c r="FK12" s="102">
        <f>MIN(1,MAX(VLOOKUP(($AJ12-$AI12-$AH12-$AG12-$AF12-$AE12*(1+FK$3))/$AJ12,Уголь_коэфф!$A:$B,2,1),(FJ12-0.05)))</f>
        <v>0.995</v>
      </c>
      <c r="FL12" s="102">
        <f>MIN(1,MAX(VLOOKUP(($AJ12-$AI12-$AH12-$AG12-$AF12-$AE12*(1+FL$3))/$AJ12,Уголь_коэфф!$A:$B,2,1),(FK12-0.05)))</f>
        <v>0.995</v>
      </c>
      <c r="FM12" s="102">
        <f>MIN(1,MAX(VLOOKUP(($AJ12-$AI12-$AH12-$AG12-$AF12-$AE12*(1+FM$3))/$AJ12,Уголь_коэфф!$A:$B,2,1),(FL12-0.05)))</f>
        <v>0.99</v>
      </c>
      <c r="FN12" s="102">
        <f>MIN(1,MAX(VLOOKUP(($AJ12-$AI12-$AH12-$AG12-$AF12-$AE12*(1+FN$3))/$AJ12,Уголь_коэфф!$A:$B,2,1),(FM12-0.05)))</f>
        <v>0.99</v>
      </c>
      <c r="FO12" s="102">
        <f>MIN(1,MAX(VLOOKUP(($AJ12-$AI12-$AH12-$AG12-$AF12-$AE12*(1+FO$3))/$AJ12,Уголь_коэфф!$A:$B,2,1),(FN12-0.05)))</f>
        <v>0.99</v>
      </c>
      <c r="FP12" s="102">
        <f>MIN(1,MAX(VLOOKUP(($AJ12-$AI12-$AH12-$AG12-$AF12-$AE12*(1+FP$3))/$AJ12,Уголь_коэфф!$A:$B,2,1),(FO12-0.05)))</f>
        <v>0.99</v>
      </c>
      <c r="FQ12" s="102">
        <f>MIN(1,MAX(VLOOKUP(($AJ12-$AI12-$AH12-$AG12-$AF12-$AE12*(1+FQ$3))/$AJ12,Уголь_коэфф!$A:$B,2,1),(FP12-0.05)))</f>
        <v>0.98499999999999999</v>
      </c>
      <c r="FR12" s="102">
        <f>MIN(1,MAX(VLOOKUP(($AJ12-$AI12-$AH12-$AG12-$AF12-$AE12*(1+FR$3))/$AJ12,Уголь_коэфф!$A:$B,2,1),(FQ12-0.05)))</f>
        <v>0.98499999999999999</v>
      </c>
      <c r="FS12" s="102">
        <f>MIN(1,MAX(VLOOKUP(($AJ12-$AI12-$AH12-$AG12-$AF12-$AE12*(1+FS$3))/$AJ12,Уголь_коэфф!$A:$B,2,1),(FR12-0.05)))</f>
        <v>0.98499999999999999</v>
      </c>
      <c r="FT12" s="102">
        <f>MIN(1,MAX(VLOOKUP(($AJ12-$AI12-$AH12-$AG12-$AF12-$AE12*(1+FT$3))/$AJ12,Уголь_коэфф!$A:$B,2,1),(FS12-0.05)))</f>
        <v>0.98499999999999999</v>
      </c>
      <c r="FU12" s="102">
        <f>MIN(1,MAX(VLOOKUP(($AJ12-$AI12-$AH12-$AG12-$AF12-$AE12*(1+FU$3))/$AJ12,Уголь_коэфф!$A:$B,2,1),(FT12-0.05)))</f>
        <v>0.98499999999999999</v>
      </c>
      <c r="FV12" s="102">
        <f>MIN(1,MAX(VLOOKUP(($AJ12-$AI12-$AH12-$AG12-$AF12-$AE12*(1+FV$3))/$AJ12,Уголь_коэфф!$A:$B,2,1),(FU12-0.05)))</f>
        <v>0.98</v>
      </c>
      <c r="FW12" s="102">
        <f>MIN(1,MAX(VLOOKUP(($AJ12-$AI12-$AH12-$AG12-$AF12-$AE12*(1+FW$3))/$AJ12,Уголь_коэфф!$A:$B,2,1),(FV12-0.05)))</f>
        <v>0.98</v>
      </c>
      <c r="FX12" s="102">
        <f>MIN(1,MAX(VLOOKUP(($AJ12-$AI12-$AH12-$AG12-$AF12-$AE12*(1+FX$3))/$AJ12,Уголь_коэфф!$A:$B,2,1),(FW12-0.05)))</f>
        <v>0.98</v>
      </c>
      <c r="FY12" s="102">
        <f>MIN(1,MAX(VLOOKUP(($AJ12-$AI12-$AH12-$AG12-$AF12-$AE12*(1+FY$3))/$AJ12,Уголь_коэфф!$A:$B,2,1),(FX12-0.05)))</f>
        <v>0.98</v>
      </c>
      <c r="FZ12" s="102">
        <f>MIN(1,MAX(VLOOKUP(($AJ12-$AI12-$AH12-$AG12-$AF12-$AE12*(1+FZ$3))/$AJ12,Уголь_коэфф!$A:$B,2,1),(FY12-0.05)))</f>
        <v>0.97499999999999998</v>
      </c>
      <c r="GA12" s="102">
        <f>MIN(1,MAX(VLOOKUP(($AJ12-$AI12-$AH12-$AG12-$AF12-$AE12*(1+GA$3))/$AJ12,Уголь_коэфф!$A:$B,2,1),(FZ12-0.05)))</f>
        <v>0.97499999999999998</v>
      </c>
      <c r="GB12" s="102">
        <f>MIN(1,MAX(VLOOKUP(($AJ12-$AI12-$AH12-$AG12-$AF12-$AE12*(1+GB$3))/$AJ12,Уголь_коэфф!$A:$B,2,1),(GA12-0.05)))</f>
        <v>0.97499999999999998</v>
      </c>
      <c r="GC12" s="102">
        <f>MIN(1,MAX(VLOOKUP(($AJ12-$AI12-$AH12-$AG12-$AF12-$AE12*(1+GC$3))/$AJ12,Уголь_коэфф!$A:$B,2,1),(GB12-0.05)))</f>
        <v>0.97499999999999998</v>
      </c>
      <c r="GD12" s="102">
        <f>MIN(1,MAX(VLOOKUP(($AJ12-$AI12-$AH12-$AG12-$AF12-$AE12*(1+GD$3))/$AJ12,Уголь_коэфф!$A:$B,2,1),(GC12-0.05)))</f>
        <v>0.97499999999999998</v>
      </c>
      <c r="GE12" s="102">
        <f>MIN(1,MAX(VLOOKUP(($AJ12-$AI12-$AH12-$AG12-$AF12-$AE12*(1+GE$3))/$AJ12,Уголь_коэфф!$A:$B,2,1),(GD12-0.05)))</f>
        <v>0.97</v>
      </c>
      <c r="GF12" s="102">
        <f>MIN(1,MAX(VLOOKUP(($AJ12-$AI12-$AH12-$AG12-$AF12-$AE12*(1+GF$3))/$AJ12,Уголь_коэфф!$A:$B,2,1),(GE12-0.05)))</f>
        <v>0.97</v>
      </c>
      <c r="GG12" s="102">
        <f>MIN(1,MAX(VLOOKUP(($AJ12-$AI12-$AH12-$AG12-$AF12-$AE12*(1+GG$3))/$AJ12,Уголь_коэфф!$A:$B,2,1),(GF12-0.05)))</f>
        <v>0.97</v>
      </c>
      <c r="GH12" s="102">
        <f>MIN(1,MAX(VLOOKUP(($AJ12-$AI12-$AH12-$AG12-$AF12-$AE12*(1+GH$3))/$AJ12,Уголь_коэфф!$A:$B,2,1),(GG12-0.05)))</f>
        <v>0.97</v>
      </c>
      <c r="GI12" s="102">
        <f>MIN(1,MAX(VLOOKUP(($AJ12-$AI12-$AH12-$AG12-$AF12-$AE12*(1+GI$3))/$AJ12,Уголь_коэфф!$A:$B,2,1),(GH12-0.05)))</f>
        <v>0.96499999999999997</v>
      </c>
      <c r="GJ12" s="102">
        <f>MIN(1,MAX(VLOOKUP(($AJ12-$AI12-$AH12-$AG12-$AF12-$AE12*(1+GJ$3))/$AJ12,Уголь_коэфф!$A:$B,2,1),(GI12-0.05)))</f>
        <v>0.96499999999999997</v>
      </c>
      <c r="GK12" s="102">
        <f>MIN(1,MAX(VLOOKUP(($AJ12-$AI12-$AH12-$AG12-$AF12-$AE12*(1+GK$3))/$AJ12,Уголь_коэфф!$A:$B,2,1),(GJ12-0.05)))</f>
        <v>0.96499999999999997</v>
      </c>
      <c r="GL12" s="102">
        <f>MIN(1,MAX(VLOOKUP(($AJ12-$AI12-$AH12-$AG12-$AF12-$AE12*(1+GL$3))/$AJ12,Уголь_коэфф!$A:$B,2,1),(GK12-0.05)))</f>
        <v>0.96499999999999997</v>
      </c>
      <c r="GM12" s="102">
        <f>MIN(1,MAX(VLOOKUP(($AJ12-$AI12-$AH12-$AG12-$AF12-$AE12*(1+GM$3))/$AJ12,Уголь_коэфф!$A:$B,2,1),(GL12-0.05)))</f>
        <v>0.96499999999999997</v>
      </c>
      <c r="GN12" s="102">
        <f>MIN(1,MAX(VLOOKUP(($AJ12-$AI12-$AH12-$AG12-$AF12-$AE12*(1+GN$3))/$AJ12,Уголь_коэфф!$A:$B,2,1),(GM12-0.05)))</f>
        <v>0.96</v>
      </c>
      <c r="GO12" s="102">
        <f>MIN(1,MAX(VLOOKUP(($AJ12-$AI12-$AH12-$AG12-$AF12-$AE12*(1+GO$3))/$AJ12,Уголь_коэфф!$A:$B,2,1),(GN12-0.05)))</f>
        <v>0.96</v>
      </c>
      <c r="GP12" s="102">
        <f>MIN(1,MAX(VLOOKUP(($AJ12-$AI12-$AH12-$AG12-$AF12-$AE12*(1+GP$3))/$AJ12,Уголь_коэфф!$A:$B,2,1),(GO12-0.05)))</f>
        <v>0.96</v>
      </c>
      <c r="GQ12" s="102">
        <f>MIN(1,MAX(VLOOKUP(($AJ12-$AI12-$AH12-$AG12-$AF12-$AE12*(1+GQ$3))/$AJ12,Уголь_коэфф!$A:$B,2,1),(GP12-0.05)))</f>
        <v>0.96</v>
      </c>
      <c r="GR12" s="102">
        <f>MIN(1,MAX(VLOOKUP(($AJ12-$AI12-$AH12-$AG12-$AF12-$AE12*(1+GR$3))/$AJ12,Уголь_коэфф!$A:$B,2,1),(GQ12-0.05)))</f>
        <v>0.95499999999999996</v>
      </c>
      <c r="GS12" s="102">
        <f>MIN(1,MAX(VLOOKUP(($AJ12-$AI12-$AH12-$AG12-$AF12-$AE12*(1+GS$3))/$AJ12,Уголь_коэфф!$A:$B,2,1),(GR12-0.05)))</f>
        <v>0.95499999999999996</v>
      </c>
      <c r="GT12" s="102">
        <f>MIN(1,MAX(VLOOKUP(($AJ12-$AI12-$AH12-$AG12-$AF12-$AE12*(1+GT$3))/$AJ12,Уголь_коэфф!$A:$B,2,1),(GS12-0.05)))</f>
        <v>0.95499999999999996</v>
      </c>
      <c r="GU12" s="102">
        <f>MIN(1,MAX(VLOOKUP(($AJ12-$AI12-$AH12-$AG12-$AF12-$AE12*(1+GU$3))/$AJ12,Уголь_коэфф!$A:$B,2,1),(GT12-0.05)))</f>
        <v>0.95499999999999996</v>
      </c>
      <c r="GV12" s="102">
        <f>MIN(1,MAX(VLOOKUP(($AJ12-$AI12-$AH12-$AG12-$AF12-$AE12*(1+GV$3))/$AJ12,Уголь_коэфф!$A:$B,2,1),(GU12-0.05)))</f>
        <v>0.95499999999999996</v>
      </c>
      <c r="GW12" s="102">
        <f>MIN(1,MAX(VLOOKUP(($AJ12-$AI12-$AH12-$AG12-$AF12-$AE12*(1+GW$3))/$AJ12,Уголь_коэфф!$A:$B,2,1),(GV12-0.05)))</f>
        <v>0.95</v>
      </c>
      <c r="GX12" s="102">
        <f>MIN(1,MAX(VLOOKUP(($AJ12-$AI12-$AH12-$AG12-$AF12-$AE12*(1+GX$3))/$AJ12,Уголь_коэфф!$A:$B,2,1),(GW12-0.05)))</f>
        <v>0.95</v>
      </c>
      <c r="GY12" s="102">
        <f>MIN(1,MAX(VLOOKUP(($AJ12-$AI12-$AH12-$AG12-$AF12-$AE12*(1+GY$3))/$AJ12,Уголь_коэфф!$A:$B,2,1),(GX12-0.05)))</f>
        <v>0.95</v>
      </c>
      <c r="GZ12" s="102">
        <f>MIN(1,MAX(VLOOKUP(($AJ12-$AI12-$AH12-$AG12-$AF12-$AE12*(1+GZ$3))/$AJ12,Уголь_коэфф!$A:$B,2,1),(GY12-0.05)))</f>
        <v>0.95</v>
      </c>
      <c r="HA12" s="102">
        <f>MIN(1,MAX(VLOOKUP(($AJ12-$AI12-$AH12-$AG12-$AF12-$AE12*(1+HA$3))/$AJ12,Уголь_коэфф!$A:$B,2,1),(GZ12-0.05)))</f>
        <v>0.94499999999999995</v>
      </c>
      <c r="HB12" s="102">
        <f>MIN(1,MAX(VLOOKUP(($AJ12-$AI12-$AH12-$AG12-$AF12-$AE12*(1+HB$3))/$AJ12,Уголь_коэфф!$A:$B,2,1),(HA12-0.05)))</f>
        <v>0.94499999999999995</v>
      </c>
      <c r="HC12" s="102">
        <f>MIN(1,MAX(VLOOKUP(($AJ12-$AI12-$AH12-$AG12-$AF12-$AE12*(1+HC$3))/$AJ12,Уголь_коэфф!$A:$B,2,1),(HB12-0.05)))</f>
        <v>0.94499999999999995</v>
      </c>
      <c r="HD12" s="102">
        <f>MIN(1,MAX(VLOOKUP(($AJ12-$AI12-$AH12-$AG12-$AF12-$AE12*(1+HD$3))/$AJ12,Уголь_коэфф!$A:$B,2,1),(HC12-0.05)))</f>
        <v>0.94499999999999995</v>
      </c>
      <c r="HE12" s="102">
        <f>MIN(1,MAX(VLOOKUP(($AJ12-$AI12-$AH12-$AG12-$AF12-$AE12*(1+HE$3))/$AJ12,Уголь_коэфф!$A:$B,2,1),(HD12-0.05)))</f>
        <v>0.94499999999999995</v>
      </c>
      <c r="HF12" s="102">
        <f>MIN(1,MAX(VLOOKUP(($AJ12-$AI12-$AH12-$AG12-$AF12-$AE12*(1+HF$3))/$AJ12,Уголь_коэфф!$A:$B,2,1),(HE12-0.05)))</f>
        <v>0.94</v>
      </c>
      <c r="HG12" s="102">
        <f>MIN(1,MAX(VLOOKUP(($AJ12-$AI12-$AH12-$AG12-$AF12-$AE12*(1+HG$3))/$AJ12,Уголь_коэфф!$A:$B,2,1),(HF12-0.05)))</f>
        <v>0.94</v>
      </c>
      <c r="HH12" s="102">
        <f>MIN(1,MAX(VLOOKUP(($AJ12-$AI12-$AH12-$AG12-$AF12-$AE12*(1+HH$3))/$AJ12,Уголь_коэфф!$A:$B,2,1),(HG12-0.05)))</f>
        <v>0.94</v>
      </c>
      <c r="HI12" s="102">
        <f>MIN(1,MAX(VLOOKUP(($AJ12-$AI12-$AH12-$AG12-$AF12-$AE12*(1+HI$3))/$AJ12,Уголь_коэфф!$A:$B,2,1),(HH12-0.05)))</f>
        <v>0.94</v>
      </c>
      <c r="HJ12" s="102">
        <f>MIN(1,MAX(VLOOKUP(($AJ12-$AI12-$AH12-$AG12-$AF12-$AE12*(1+HJ$3))/$AJ12,Уголь_коэфф!$A:$B,2,1),(HI12-0.05)))</f>
        <v>0.93500000000000005</v>
      </c>
      <c r="HK12" s="102">
        <f>MIN(1,MAX(VLOOKUP(($AJ12-$AI12-$AH12-$AG12-$AF12-$AE12*(1+HK$3))/$AJ12,Уголь_коэфф!$A:$B,2,1),(HJ12-0.05)))</f>
        <v>0.93500000000000005</v>
      </c>
      <c r="HL12" s="102">
        <f>MIN(1,MAX(VLOOKUP(($AJ12-$AI12-$AH12-$AG12-$AF12-$AE12*(1+HL$3))/$AJ12,Уголь_коэфф!$A:$B,2,1),(HK12-0.05)))</f>
        <v>0.93500000000000005</v>
      </c>
      <c r="HM12" s="102">
        <f>MIN(1,MAX(VLOOKUP(($AJ12-$AI12-$AH12-$AG12-$AF12-$AE12*(1+HM$3))/$AJ12,Уголь_коэфф!$A:$B,2,1),(HL12-0.05)))</f>
        <v>0.93500000000000005</v>
      </c>
      <c r="HN12" s="102">
        <f>MIN(1,MAX(VLOOKUP(($AJ12-$AI12-$AH12-$AG12-$AF12-$AE12*(1+HN$3))/$AJ12,Уголь_коэфф!$A:$B,2,1),(HM12-0.05)))</f>
        <v>0.93500000000000005</v>
      </c>
      <c r="HO12" s="102">
        <f>MIN(1,MAX(VLOOKUP(($AJ12-$AI12-$AH12-$AG12-$AF12-$AE12*(1+HO$3))/$AJ12,Уголь_коэфф!$A:$B,2,1),(HN12-0.05)))</f>
        <v>0.93</v>
      </c>
      <c r="HP12" s="102">
        <f>MIN(1,MAX(VLOOKUP(($AJ12-$AI12-$AH12-$AG12-$AF12-$AE12*(1+HP$3))/$AJ12,Уголь_коэфф!$A:$B,2,1),(HO12-0.05)))</f>
        <v>0.93</v>
      </c>
      <c r="HQ12" s="102">
        <f>MIN(1,MAX(VLOOKUP(($AJ12-$AI12-$AH12-$AG12-$AF12-$AE12*(1+HQ$3))/$AJ12,Уголь_коэфф!$A:$B,2,1),(HP12-0.05)))</f>
        <v>0.93</v>
      </c>
      <c r="HR12" s="102">
        <f>MIN(1,MAX(VLOOKUP(($AJ12-$AI12-$AH12-$AG12-$AF12-$AE12*(1+HR$3))/$AJ12,Уголь_коэфф!$A:$B,2,1),(HQ12-0.05)))</f>
        <v>0.93</v>
      </c>
      <c r="HS12" s="102">
        <f>MIN(1,MAX(VLOOKUP(($AJ12-$AI12-$AH12-$AG12-$AF12-$AE12*(1+HS$3))/$AJ12,Уголь_коэфф!$A:$B,2,1),(HR12-0.05)))</f>
        <v>0.92500000000000004</v>
      </c>
      <c r="HT12" s="102">
        <f>MIN(1,MAX(VLOOKUP(($AJ12-$AI12-$AH12-$AG12-$AF12-$AE12*(1+HT$3))/$AJ12,Уголь_коэфф!$A:$B,2,1),(HS12-0.05)))</f>
        <v>0.92500000000000004</v>
      </c>
      <c r="HU12" s="102">
        <f>MIN(1,MAX(VLOOKUP(($AJ12-$AI12-$AH12-$AG12-$AF12-$AE12*(1+HU$3))/$AJ12,Уголь_коэфф!$A:$B,2,1),(HT12-0.05)))</f>
        <v>0.92500000000000004</v>
      </c>
      <c r="HV12" s="102">
        <f>MIN(1,MAX(VLOOKUP(($AJ12-$AI12-$AH12-$AG12-$AF12-$AE12*(1+HV$3))/$AJ12,Уголь_коэфф!$A:$B,2,1),(HU12-0.05)))</f>
        <v>0.92500000000000004</v>
      </c>
      <c r="HW12" s="102">
        <f>MIN(1,MAX(VLOOKUP(($AJ12-$AI12-$AH12-$AG12-$AF12-$AE12*(1+HW$3))/$AJ12,Уголь_коэфф!$A:$B,2,1),(HV12-0.05)))</f>
        <v>0.92500000000000004</v>
      </c>
      <c r="HX12" s="102">
        <f>MIN(1,MAX(VLOOKUP(($AJ12-$AI12-$AH12-$AG12-$AF12-$AE12*(1+HX$3))/$AJ12,Уголь_коэфф!$A:$B,2,1),(HW12-0.05)))</f>
        <v>0.92</v>
      </c>
      <c r="HY12" s="102">
        <f>MIN(1,MAX(VLOOKUP(($AJ12-$AI12-$AH12-$AG12-$AF12-$AE12*(1+HY$3))/$AJ12,Уголь_коэфф!$A:$B,2,1),(HX12-0.05)))</f>
        <v>0.92</v>
      </c>
      <c r="HZ12" s="102">
        <f>MIN(1,MAX(VLOOKUP(($AJ12-$AI12-$AH12-$AG12-$AF12-$AE12*(1+HZ$3))/$AJ12,Уголь_коэфф!$A:$B,2,1),(HY12-0.05)))</f>
        <v>0.92</v>
      </c>
      <c r="IA12" s="102">
        <f>MIN(1,MAX(VLOOKUP(($AJ12-$AI12-$AH12-$AG12-$AF12-$AE12*(1+IA$3))/$AJ12,Уголь_коэфф!$A:$B,2,1),(HZ12-0.05)))</f>
        <v>0.92</v>
      </c>
      <c r="IB12" s="102">
        <f>MIN(1,MAX(VLOOKUP(($AJ12-$AI12-$AH12-$AG12-$AF12-$AE12*(1+IB$3))/$AJ12,Уголь_коэфф!$A:$B,2,1),(IA12-0.05)))</f>
        <v>0.91400000000000003</v>
      </c>
      <c r="IC12" s="102">
        <f>MIN(1,MAX(VLOOKUP(($AJ12-$AI12-$AH12-$AG12-$AF12-$AE12*(1+IC$3))/$AJ12,Уголь_коэфф!$A:$B,2,1),(IB12-0.05)))</f>
        <v>0.91400000000000003</v>
      </c>
      <c r="ID12" s="102">
        <f>MIN(1,MAX(VLOOKUP(($AJ12-$AI12-$AH12-$AG12-$AF12-$AE12*(1+ID$3))/$AJ12,Уголь_коэфф!$A:$B,2,1),(IC12-0.05)))</f>
        <v>0.91400000000000003</v>
      </c>
      <c r="IE12" s="102">
        <f>MIN(1,MAX(VLOOKUP(($AJ12-$AI12-$AH12-$AG12-$AF12-$AE12*(1+IE$3))/$AJ12,Уголь_коэфф!$A:$B,2,1),(ID12-0.05)))</f>
        <v>0.91400000000000003</v>
      </c>
      <c r="IF12" s="102">
        <f>MIN(1,MAX(VLOOKUP(($AJ12-$AI12-$AH12-$AG12-$AF12-$AE12*(1+IF$3))/$AJ12,Уголь_коэфф!$A:$B,2,1),(IE12-0.05)))</f>
        <v>0.91400000000000003</v>
      </c>
      <c r="IG12" s="102">
        <f>MIN(1,MAX(VLOOKUP(($AJ12-$AI12-$AH12-$AG12-$AF12-$AE12*(1+IG$3))/$AJ12,Уголь_коэфф!$A:$B,2,1),(IF12-0.05)))</f>
        <v>0.90800000000000003</v>
      </c>
      <c r="IH12" s="102">
        <f>MIN(1,MAX(VLOOKUP(($AJ12-$AI12-$AH12-$AG12-$AF12-$AE12*(1+IH$3))/$AJ12,Уголь_коэфф!$A:$B,2,1),(IG12-0.05)))</f>
        <v>0.90800000000000003</v>
      </c>
      <c r="II12" s="102">
        <f>MIN(1,MAX(VLOOKUP(($AJ12-$AI12-$AH12-$AG12-$AF12-$AE12*(1+II$3))/$AJ12,Уголь_коэфф!$A:$B,2,1),(IH12-0.05)))</f>
        <v>0.90800000000000003</v>
      </c>
      <c r="IJ12" s="102">
        <f>MIN(1,MAX(VLOOKUP(($AJ12-$AI12-$AH12-$AG12-$AF12-$AE12*(1+IJ$3))/$AJ12,Уголь_коэфф!$A:$B,2,1),(II12-0.05)))</f>
        <v>0.90800000000000003</v>
      </c>
      <c r="IK12" s="102">
        <f>MIN(1,MAX(VLOOKUP(($AJ12-$AI12-$AH12-$AG12-$AF12-$AE12*(1+IK$3))/$AJ12,Уголь_коэфф!$A:$B,2,1),(IJ12-0.05)))</f>
        <v>0.90200000000000002</v>
      </c>
      <c r="IL12" s="102">
        <f>MIN(1,MAX(VLOOKUP(($AJ12-$AI12-$AH12-$AG12-$AF12-$AE12*(1+IL$3))/$AJ12,Уголь_коэфф!$A:$B,2,1),(IK12-0.05)))</f>
        <v>0.90200000000000002</v>
      </c>
      <c r="IM12" s="102">
        <f>MIN(1,MAX(VLOOKUP(($AJ12-$AI12-$AH12-$AG12-$AF12-$AE12*(1+IM$3))/$AJ12,Уголь_коэфф!$A:$B,2,1),(IL12-0.05)))</f>
        <v>0.90200000000000002</v>
      </c>
      <c r="IN12" s="102">
        <f>MIN(1,MAX(VLOOKUP(($AJ12-$AI12-$AH12-$AG12-$AF12-$AE12*(1+IN$3))/$AJ12,Уголь_коэфф!$A:$B,2,1),(IM12-0.05)))</f>
        <v>0.90200000000000002</v>
      </c>
      <c r="IO12" s="102">
        <f>MIN(1,MAX(VLOOKUP(($AJ12-$AI12-$AH12-$AG12-$AF12-$AE12*(1+IO$3))/$AJ12,Уголь_коэфф!$A:$B,2,1),(IN12-0.05)))</f>
        <v>0.90200000000000002</v>
      </c>
      <c r="IP12" s="102">
        <f>MIN(1,MAX(VLOOKUP(($AJ12-$AI12-$AH12-$AG12-$AF12-$AE12*(1+IP$3))/$AJ12,Уголь_коэфф!$A:$B,2,1),(IO12-0.05)))</f>
        <v>0.89600000000000002</v>
      </c>
      <c r="IQ12" s="102">
        <f>MIN(1,MAX(VLOOKUP(($AJ12-$AI12-$AH12-$AG12-$AF12-$AE12*(1+IQ$3))/$AJ12,Уголь_коэфф!$A:$B,2,1),(IP12-0.05)))</f>
        <v>0.89600000000000002</v>
      </c>
      <c r="IR12" s="102">
        <f>MIN(1,MAX(VLOOKUP(($AJ12-$AI12-$AH12-$AG12-$AF12-$AE12*(1+IR$3))/$AJ12,Уголь_коэфф!$A:$B,2,1),(IQ12-0.05)))</f>
        <v>0.89600000000000002</v>
      </c>
      <c r="IS12" s="102">
        <f t="shared" si="20"/>
        <v>0.99</v>
      </c>
      <c r="IT12" s="102">
        <f t="shared" si="7"/>
        <v>0.99</v>
      </c>
      <c r="IU12" s="110"/>
    </row>
    <row r="13" spans="1:266" ht="14.6" customHeight="1">
      <c r="A13" t="s">
        <v>239</v>
      </c>
      <c r="B13" s="36">
        <v>1</v>
      </c>
      <c r="C13" s="34" t="s">
        <v>16</v>
      </c>
      <c r="D13" s="1">
        <v>16111</v>
      </c>
      <c r="E13" s="1" t="s">
        <v>17</v>
      </c>
      <c r="F13" s="34" t="s">
        <v>18</v>
      </c>
      <c r="G13" s="1" t="s">
        <v>19</v>
      </c>
      <c r="H13" s="1" t="s">
        <v>19</v>
      </c>
      <c r="I13" s="1" t="s">
        <v>81</v>
      </c>
      <c r="J13" s="1" t="s">
        <v>82</v>
      </c>
      <c r="K13" s="1">
        <v>2421</v>
      </c>
      <c r="L13" s="1" t="s">
        <v>22</v>
      </c>
      <c r="M13" s="1" t="s">
        <v>23</v>
      </c>
      <c r="N13" s="1" t="s">
        <v>24</v>
      </c>
      <c r="O13" s="1" t="s">
        <v>25</v>
      </c>
      <c r="P13" s="4">
        <v>50029397</v>
      </c>
      <c r="Q13" s="4" t="s">
        <v>83</v>
      </c>
      <c r="R13" s="1" t="s">
        <v>84</v>
      </c>
      <c r="S13" s="49">
        <v>3770445</v>
      </c>
      <c r="T13" s="45">
        <v>9130041724</v>
      </c>
      <c r="U13" s="45">
        <v>50798</v>
      </c>
      <c r="V13" s="45"/>
      <c r="W13" s="51">
        <v>4501908298</v>
      </c>
      <c r="X13" s="104">
        <v>75</v>
      </c>
      <c r="Y13" s="104" t="s">
        <v>163</v>
      </c>
      <c r="Z13" s="107">
        <v>6</v>
      </c>
      <c r="AA13" s="107">
        <v>6</v>
      </c>
      <c r="AB13" s="107">
        <v>4</v>
      </c>
      <c r="AC13" s="88">
        <v>1199.8699999999999</v>
      </c>
      <c r="AD13" s="88">
        <v>560.68000000000006</v>
      </c>
      <c r="AE13" s="88">
        <f>AC13+AD13</f>
        <v>1760.55</v>
      </c>
      <c r="AF13" s="89">
        <f>'Цены,перевалка,аренда'!$C$26*SUM(Уголь_эластика_экспорт!Z13+Уголь_эластика_экспорт!AA13+Уголь_эластика_экспорт!AB13)/Уголь_эластика_экспорт!X13</f>
        <v>213.33333333333334</v>
      </c>
      <c r="AG13" s="90">
        <f>SUMIF('Цены,перевалка,аренда'!$A$20:$A$22,Уголь_эластика_экспорт!$O13,'Цены,перевалка,аренда'!$D$20:$D$22)</f>
        <v>763.05499999999995</v>
      </c>
      <c r="AH13" s="47"/>
      <c r="AI13" s="91">
        <v>3240</v>
      </c>
      <c r="AJ13" s="92">
        <f>SUMIF('Цены,перевалка,аренда'!$A$5:$A$17,Уголь_эластика_экспорт!A13,'Цены,перевалка,аренда'!$D$5:$D$17)</f>
        <v>8546.2160000000003</v>
      </c>
      <c r="AK13" s="47">
        <f>AJ13/'Цены,перевалка,аренда'!$C$1</f>
        <v>112.00000000000001</v>
      </c>
      <c r="AL13" s="47">
        <f t="shared" si="9"/>
        <v>2736.938333333333</v>
      </c>
      <c r="AM13" s="47">
        <f t="shared" si="10"/>
        <v>5809.2776666666668</v>
      </c>
      <c r="AN13" s="47">
        <f t="shared" si="11"/>
        <v>5976.9383333333335</v>
      </c>
      <c r="AO13" s="93">
        <f t="shared" si="12"/>
        <v>0.30063336413058911</v>
      </c>
      <c r="AP13" s="94">
        <f t="shared" si="13"/>
        <v>0.32025148127935604</v>
      </c>
      <c r="AQ13" s="94">
        <f t="shared" si="5"/>
        <v>0.20600345228812375</v>
      </c>
      <c r="AR13" s="94">
        <f t="shared" si="6"/>
        <v>0.64325526759523877</v>
      </c>
      <c r="AS13" s="167">
        <f t="shared" si="14"/>
        <v>1</v>
      </c>
      <c r="AT13" s="173">
        <f t="shared" si="15"/>
        <v>3770445</v>
      </c>
      <c r="AU13" s="97">
        <f>35/40</f>
        <v>0.875</v>
      </c>
      <c r="AV13" s="93">
        <f t="shared" si="16"/>
        <v>0.28003301890177668</v>
      </c>
      <c r="AW13" s="94">
        <f t="shared" si="17"/>
        <v>0.34085182650816842</v>
      </c>
      <c r="AX13" s="94">
        <f t="shared" si="18"/>
        <v>0.22660379751693616</v>
      </c>
      <c r="AY13" s="94">
        <f t="shared" si="19"/>
        <v>0.66481614559136193</v>
      </c>
      <c r="AZ13" s="102">
        <f>MIN(IF($AU13=100%,1,1+VLOOKUP(($AJ13-$AI13-$AH13-$AG13-$AF13-$AE13*(1+AZ$3))/$AJ13,Уголь_коэфф!$A:$B,2,1)-VLOOKUP($AO13,Уголь_коэфф!$A:$B,2,1)),1+(1-$AU13))</f>
        <v>1.0679999999999998</v>
      </c>
      <c r="BA13" s="102">
        <f>MIN(IF($AU13=100%,1,1+VLOOKUP(($AJ13-$AI13-$AH13-$AG13-$AF13-$AE13*(1+BA$3))/$AJ13,Уголь_коэфф!$A:$B,2,1)-VLOOKUP($AO13,Уголь_коэфф!$A:$B,2,1)),1+(1-$AU13))</f>
        <v>1.0679999999999998</v>
      </c>
      <c r="BB13" s="102">
        <f>MIN(IF($AU13=100%,1,1+VLOOKUP(($AJ13-$AI13-$AH13-$AG13-$AF13-$AE13*(1+BB$3))/$AJ13,Уголь_коэфф!$A:$B,2,1)-VLOOKUP($AO13,Уголь_коэфф!$A:$B,2,1)),1+(1-$AU13))</f>
        <v>1.0679999999999998</v>
      </c>
      <c r="BC13" s="102">
        <f>MIN(IF($AU13=100%,1,1+VLOOKUP(($AJ13-$AI13-$AH13-$AG13-$AF13-$AE13*(1+BC$3))/$AJ13,Уголь_коэфф!$A:$B,2,1)-VLOOKUP($AO13,Уголь_коэфф!$A:$B,2,1)),1+(1-$AU13))</f>
        <v>1.0679999999999998</v>
      </c>
      <c r="BD13" s="102">
        <f>MIN(IF($AU13=100%,1,1+VLOOKUP(($AJ13-$AI13-$AH13-$AG13-$AF13-$AE13*(1+BD$3))/$AJ13,Уголь_коэфф!$A:$B,2,1)-VLOOKUP($AO13,Уголь_коэфф!$A:$B,2,1)),1+(1-$AU13))</f>
        <v>1.0610000000000002</v>
      </c>
      <c r="BE13" s="102">
        <f>MIN(IF($AU13=100%,1,1+VLOOKUP(($AJ13-$AI13-$AH13-$AG13-$AF13-$AE13*(1+BE$3))/$AJ13,Уголь_коэфф!$A:$B,2,1)-VLOOKUP($AO13,Уголь_коэфф!$A:$B,2,1)),1+(1-$AU13))</f>
        <v>1.0610000000000002</v>
      </c>
      <c r="BF13" s="102">
        <f>MIN(IF($AU13=100%,1,1+VLOOKUP(($AJ13-$AI13-$AH13-$AG13-$AF13-$AE13*(1+BF$3))/$AJ13,Уголь_коэфф!$A:$B,2,1)-VLOOKUP($AO13,Уголь_коэфф!$A:$B,2,1)),1+(1-$AU13))</f>
        <v>1.0610000000000002</v>
      </c>
      <c r="BG13" s="102">
        <f>MIN(IF($AU13=100%,1,1+VLOOKUP(($AJ13-$AI13-$AH13-$AG13-$AF13-$AE13*(1+BG$3))/$AJ13,Уголь_коэфф!$A:$B,2,1)-VLOOKUP($AO13,Уголь_коэфф!$A:$B,2,1)),1+(1-$AU13))</f>
        <v>1.0610000000000002</v>
      </c>
      <c r="BH13" s="102">
        <f>MIN(IF($AU13=100%,1,1+VLOOKUP(($AJ13-$AI13-$AH13-$AG13-$AF13-$AE13*(1+BH$3))/$AJ13,Уголь_коэфф!$A:$B,2,1)-VLOOKUP($AO13,Уголь_коэфф!$A:$B,2,1)),1+(1-$AU13))</f>
        <v>1.0610000000000002</v>
      </c>
      <c r="BI13" s="102">
        <f>MIN(IF($AU13=100%,1,1+VLOOKUP(($AJ13-$AI13-$AH13-$AG13-$AF13-$AE13*(1+BI$3))/$AJ13,Уголь_коэфф!$A:$B,2,1)-VLOOKUP($AO13,Уголь_коэфф!$A:$B,2,1)),1+(1-$AU13))</f>
        <v>1.0610000000000002</v>
      </c>
      <c r="BJ13" s="102">
        <f>MIN(IF($AU13=100%,1,1+VLOOKUP(($AJ13-$AI13-$AH13-$AG13-$AF13-$AE13*(1+BJ$3))/$AJ13,Уголь_коэфф!$A:$B,2,1)-VLOOKUP($AO13,Уголь_коэфф!$A:$B,2,1)),1+(1-$AU13))</f>
        <v>1.0610000000000002</v>
      </c>
      <c r="BK13" s="102">
        <f>MIN(IF($AU13=100%,1,1+VLOOKUP(($AJ13-$AI13-$AH13-$AG13-$AF13-$AE13*(1+BK$3))/$AJ13,Уголь_коэфф!$A:$B,2,1)-VLOOKUP($AO13,Уголь_коэфф!$A:$B,2,1)),1+(1-$AU13))</f>
        <v>1.0610000000000002</v>
      </c>
      <c r="BL13" s="102">
        <f>MIN(IF($AU13=100%,1,1+VLOOKUP(($AJ13-$AI13-$AH13-$AG13-$AF13-$AE13*(1+BL$3))/$AJ13,Уголь_коэфф!$A:$B,2,1)-VLOOKUP($AO13,Уголь_коэфф!$A:$B,2,1)),1+(1-$AU13))</f>
        <v>1.0610000000000002</v>
      </c>
      <c r="BM13" s="102">
        <f>MIN(IF($AU13=100%,1,1+VLOOKUP(($AJ13-$AI13-$AH13-$AG13-$AF13-$AE13*(1+BM$3))/$AJ13,Уголь_коэфф!$A:$B,2,1)-VLOOKUP($AO13,Уголь_коэфф!$A:$B,2,1)),1+(1-$AU13))</f>
        <v>1.0610000000000002</v>
      </c>
      <c r="BN13" s="102">
        <f>MIN(IF($AU13=100%,1,1+VLOOKUP(($AJ13-$AI13-$AH13-$AG13-$AF13-$AE13*(1+BN$3))/$AJ13,Уголь_коэфф!$A:$B,2,1)-VLOOKUP($AO13,Уголь_коэфф!$A:$B,2,1)),1+(1-$AU13))</f>
        <v>1.054</v>
      </c>
      <c r="BO13" s="102">
        <f>MIN(IF($AU13=100%,1,1+VLOOKUP(($AJ13-$AI13-$AH13-$AG13-$AF13-$AE13*(1+BO$3))/$AJ13,Уголь_коэфф!$A:$B,2,1)-VLOOKUP($AO13,Уголь_коэфф!$A:$B,2,1)),1+(1-$AU13))</f>
        <v>1.054</v>
      </c>
      <c r="BP13" s="102">
        <f>MIN(IF($AU13=100%,1,1+VLOOKUP(($AJ13-$AI13-$AH13-$AG13-$AF13-$AE13*(1+BP$3))/$AJ13,Уголь_коэфф!$A:$B,2,1)-VLOOKUP($AO13,Уголь_коэфф!$A:$B,2,1)),1+(1-$AU13))</f>
        <v>1.054</v>
      </c>
      <c r="BQ13" s="102">
        <f>MIN(IF($AU13=100%,1,1+VLOOKUP(($AJ13-$AI13-$AH13-$AG13-$AF13-$AE13*(1+BQ$3))/$AJ13,Уголь_коэфф!$A:$B,2,1)-VLOOKUP($AO13,Уголь_коэфф!$A:$B,2,1)),1+(1-$AU13))</f>
        <v>1.054</v>
      </c>
      <c r="BR13" s="102">
        <f>MIN(IF($AU13=100%,1,1+VLOOKUP(($AJ13-$AI13-$AH13-$AG13-$AF13-$AE13*(1+BR$3))/$AJ13,Уголь_коэфф!$A:$B,2,1)-VLOOKUP($AO13,Уголь_коэфф!$A:$B,2,1)),1+(1-$AU13))</f>
        <v>1.054</v>
      </c>
      <c r="BS13" s="102">
        <f>MIN(IF($AU13=100%,1,1+VLOOKUP(($AJ13-$AI13-$AH13-$AG13-$AF13-$AE13*(1+BS$3))/$AJ13,Уголь_коэфф!$A:$B,2,1)-VLOOKUP($AO13,Уголь_коэфф!$A:$B,2,1)),1+(1-$AU13))</f>
        <v>1.054</v>
      </c>
      <c r="BT13" s="102">
        <f>MIN(IF($AU13=100%,1,1+VLOOKUP(($AJ13-$AI13-$AH13-$AG13-$AF13-$AE13*(1+BT$3))/$AJ13,Уголь_коэфф!$A:$B,2,1)-VLOOKUP($AO13,Уголь_коэфф!$A:$B,2,1)),1+(1-$AU13))</f>
        <v>1.054</v>
      </c>
      <c r="BU13" s="102">
        <f>MIN(IF($AU13=100%,1,1+VLOOKUP(($AJ13-$AI13-$AH13-$AG13-$AF13-$AE13*(1+BU$3))/$AJ13,Уголь_коэфф!$A:$B,2,1)-VLOOKUP($AO13,Уголь_коэфф!$A:$B,2,1)),1+(1-$AU13))</f>
        <v>1.054</v>
      </c>
      <c r="BV13" s="102">
        <f>MIN(IF($AU13=100%,1,1+VLOOKUP(($AJ13-$AI13-$AH13-$AG13-$AF13-$AE13*(1+BV$3))/$AJ13,Уголь_коэфф!$A:$B,2,1)-VLOOKUP($AO13,Уголь_коэфф!$A:$B,2,1)),1+(1-$AU13))</f>
        <v>1.054</v>
      </c>
      <c r="BW13" s="102">
        <f>MIN(IF($AU13=100%,1,1+VLOOKUP(($AJ13-$AI13-$AH13-$AG13-$AF13-$AE13*(1+BW$3))/$AJ13,Уголь_коэфф!$A:$B,2,1)-VLOOKUP($AO13,Уголь_коэфф!$A:$B,2,1)),1+(1-$AU13))</f>
        <v>1.0469999999999999</v>
      </c>
      <c r="BX13" s="102">
        <f>MIN(IF($AU13=100%,1,1+VLOOKUP(($AJ13-$AI13-$AH13-$AG13-$AF13-$AE13*(1+BX$3))/$AJ13,Уголь_коэфф!$A:$B,2,1)-VLOOKUP($AO13,Уголь_коэфф!$A:$B,2,1)),1+(1-$AU13))</f>
        <v>1.0469999999999999</v>
      </c>
      <c r="BY13" s="102">
        <f>MIN(IF($AU13=100%,1,1+VLOOKUP(($AJ13-$AI13-$AH13-$AG13-$AF13-$AE13*(1+BY$3))/$AJ13,Уголь_коэфф!$A:$B,2,1)-VLOOKUP($AO13,Уголь_коэфф!$A:$B,2,1)),1+(1-$AU13))</f>
        <v>1.0469999999999999</v>
      </c>
      <c r="BZ13" s="102">
        <f>MIN(IF($AU13=100%,1,1+VLOOKUP(($AJ13-$AI13-$AH13-$AG13-$AF13-$AE13*(1+BZ$3))/$AJ13,Уголь_коэфф!$A:$B,2,1)-VLOOKUP($AO13,Уголь_коэфф!$A:$B,2,1)),1+(1-$AU13))</f>
        <v>1.0469999999999999</v>
      </c>
      <c r="CA13" s="102">
        <f>MIN(IF($AU13=100%,1,1+VLOOKUP(($AJ13-$AI13-$AH13-$AG13-$AF13-$AE13*(1+CA$3))/$AJ13,Уголь_коэфф!$A:$B,2,1)-VLOOKUP($AO13,Уголь_коэфф!$A:$B,2,1)),1+(1-$AU13))</f>
        <v>1.0469999999999999</v>
      </c>
      <c r="CB13" s="102">
        <f>MIN(IF($AU13=100%,1,1+VLOOKUP(($AJ13-$AI13-$AH13-$AG13-$AF13-$AE13*(1+CB$3))/$AJ13,Уголь_коэфф!$A:$B,2,1)-VLOOKUP($AO13,Уголь_коэфф!$A:$B,2,1)),1+(1-$AU13))</f>
        <v>1.0469999999999999</v>
      </c>
      <c r="CC13" s="102">
        <f>MIN(IF($AU13=100%,1,1+VLOOKUP(($AJ13-$AI13-$AH13-$AG13-$AF13-$AE13*(1+CC$3))/$AJ13,Уголь_коэфф!$A:$B,2,1)-VLOOKUP($AO13,Уголь_коэфф!$A:$B,2,1)),1+(1-$AU13))</f>
        <v>1.0469999999999999</v>
      </c>
      <c r="CD13" s="102">
        <f>MIN(IF($AU13=100%,1,1+VLOOKUP(($AJ13-$AI13-$AH13-$AG13-$AF13-$AE13*(1+CD$3))/$AJ13,Уголь_коэфф!$A:$B,2,1)-VLOOKUP($AO13,Уголь_коэфф!$A:$B,2,1)),1+(1-$AU13))</f>
        <v>1.0469999999999999</v>
      </c>
      <c r="CE13" s="102">
        <f>MIN(IF($AU13=100%,1,1+VLOOKUP(($AJ13-$AI13-$AH13-$AG13-$AF13-$AE13*(1+CE$3))/$AJ13,Уголь_коэфф!$A:$B,2,1)-VLOOKUP($AO13,Уголь_коэфф!$A:$B,2,1)),1+(1-$AU13))</f>
        <v>1.0469999999999999</v>
      </c>
      <c r="CF13" s="102">
        <f>MIN(IF($AU13=100%,1,1+VLOOKUP(($AJ13-$AI13-$AH13-$AG13-$AF13-$AE13*(1+CF$3))/$AJ13,Уголь_коэфф!$A:$B,2,1)-VLOOKUP($AO13,Уголь_коэфф!$A:$B,2,1)),1+(1-$AU13))</f>
        <v>1.0469999999999999</v>
      </c>
      <c r="CG13" s="102">
        <f>MIN(IF($AU13=100%,1,1+VLOOKUP(($AJ13-$AI13-$AH13-$AG13-$AF13-$AE13*(1+CG$3))/$AJ13,Уголь_коэфф!$A:$B,2,1)-VLOOKUP($AO13,Уголь_коэфф!$A:$B,2,1)),1+(1-$AU13))</f>
        <v>1.0400000000000003</v>
      </c>
      <c r="CH13" s="102">
        <f>MIN(IF($AU13=100%,1,1+VLOOKUP(($AJ13-$AI13-$AH13-$AG13-$AF13-$AE13*(1+CH$3))/$AJ13,Уголь_коэфф!$A:$B,2,1)-VLOOKUP($AO13,Уголь_коэфф!$A:$B,2,1)),1+(1-$AU13))</f>
        <v>1.0400000000000003</v>
      </c>
      <c r="CI13" s="102">
        <f>MIN(IF($AU13=100%,1,1+VLOOKUP(($AJ13-$AI13-$AH13-$AG13-$AF13-$AE13*(1+CI$3))/$AJ13,Уголь_коэфф!$A:$B,2,1)-VLOOKUP($AO13,Уголь_коэфф!$A:$B,2,1)),1+(1-$AU13))</f>
        <v>1.0400000000000003</v>
      </c>
      <c r="CJ13" s="102">
        <f>MIN(IF($AU13=100%,1,1+VLOOKUP(($AJ13-$AI13-$AH13-$AG13-$AF13-$AE13*(1+CJ$3))/$AJ13,Уголь_коэфф!$A:$B,2,1)-VLOOKUP($AO13,Уголь_коэфф!$A:$B,2,1)),1+(1-$AU13))</f>
        <v>1.0400000000000003</v>
      </c>
      <c r="CK13" s="102">
        <f>MIN(IF($AU13=100%,1,1+VLOOKUP(($AJ13-$AI13-$AH13-$AG13-$AF13-$AE13*(1+CK$3))/$AJ13,Уголь_коэфф!$A:$B,2,1)-VLOOKUP($AO13,Уголь_коэфф!$A:$B,2,1)),1+(1-$AU13))</f>
        <v>1.0400000000000003</v>
      </c>
      <c r="CL13" s="102">
        <f>MIN(IF($AU13=100%,1,1+VLOOKUP(($AJ13-$AI13-$AH13-$AG13-$AF13-$AE13*(1+CL$3))/$AJ13,Уголь_коэфф!$A:$B,2,1)-VLOOKUP($AO13,Уголь_коэфф!$A:$B,2,1)),1+(1-$AU13))</f>
        <v>1.0400000000000003</v>
      </c>
      <c r="CM13" s="102">
        <f>MIN(IF($AU13=100%,1,1+VLOOKUP(($AJ13-$AI13-$AH13-$AG13-$AF13-$AE13*(1+CM$3))/$AJ13,Уголь_коэфф!$A:$B,2,1)-VLOOKUP($AO13,Уголь_коэфф!$A:$B,2,1)),1+(1-$AU13))</f>
        <v>1.0400000000000003</v>
      </c>
      <c r="CN13" s="102">
        <f>MIN(IF($AU13=100%,1,1+VLOOKUP(($AJ13-$AI13-$AH13-$AG13-$AF13-$AE13*(1+CN$3))/$AJ13,Уголь_коэфф!$A:$B,2,1)-VLOOKUP($AO13,Уголь_коэфф!$A:$B,2,1)),1+(1-$AU13))</f>
        <v>1.0400000000000003</v>
      </c>
      <c r="CO13" s="102">
        <f>MIN(IF($AU13=100%,1,1+VLOOKUP(($AJ13-$AI13-$AH13-$AG13-$AF13-$AE13*(1+CO$3))/$AJ13,Уголь_коэфф!$A:$B,2,1)-VLOOKUP($AO13,Уголь_коэфф!$A:$B,2,1)),1+(1-$AU13))</f>
        <v>1.0400000000000003</v>
      </c>
      <c r="CP13" s="102">
        <f>MIN(IF($AU13=100%,1,1+VLOOKUP(($AJ13-$AI13-$AH13-$AG13-$AF13-$AE13*(1+CP$3))/$AJ13,Уголь_коэфф!$A:$B,2,1)-VLOOKUP($AO13,Уголь_коэфф!$A:$B,2,1)),1+(1-$AU13))</f>
        <v>1.0400000000000003</v>
      </c>
      <c r="CQ13" s="102">
        <f>MIN(IF($AU13=100%,1,1+VLOOKUP(($AJ13-$AI13-$AH13-$AG13-$AF13-$AE13*(1+CQ$3))/$AJ13,Уголь_коэфф!$A:$B,2,1)-VLOOKUP($AO13,Уголь_коэфф!$A:$B,2,1)),1+(1-$AU13))</f>
        <v>1.0330000000000001</v>
      </c>
      <c r="CR13" s="102">
        <f>MIN(IF($AU13=100%,1,1+VLOOKUP(($AJ13-$AI13-$AH13-$AG13-$AF13-$AE13*(1+CR$3))/$AJ13,Уголь_коэфф!$A:$B,2,1)-VLOOKUP($AO13,Уголь_коэфф!$A:$B,2,1)),1+(1-$AU13))</f>
        <v>1.0330000000000001</v>
      </c>
      <c r="CS13" s="102">
        <f>MIN(IF($AU13=100%,1,1+VLOOKUP(($AJ13-$AI13-$AH13-$AG13-$AF13-$AE13*(1+CS$3))/$AJ13,Уголь_коэфф!$A:$B,2,1)-VLOOKUP($AO13,Уголь_коэфф!$A:$B,2,1)),1+(1-$AU13))</f>
        <v>1.0330000000000001</v>
      </c>
      <c r="CT13" s="102">
        <f>MIN(IF($AU13=100%,1,1+VLOOKUP(($AJ13-$AI13-$AH13-$AG13-$AF13-$AE13*(1+CT$3))/$AJ13,Уголь_коэфф!$A:$B,2,1)-VLOOKUP($AO13,Уголь_коэфф!$A:$B,2,1)),1+(1-$AU13))</f>
        <v>1.0330000000000001</v>
      </c>
      <c r="CU13" s="102">
        <f>MIN(IF($AU13=100%,1,1+VLOOKUP(($AJ13-$AI13-$AH13-$AG13-$AF13-$AE13*(1+CU$3))/$AJ13,Уголь_коэфф!$A:$B,2,1)-VLOOKUP($AO13,Уголь_коэфф!$A:$B,2,1)),1+(1-$AU13))</f>
        <v>1.0330000000000001</v>
      </c>
      <c r="CV13" s="102">
        <f>MIN(IF($AU13=100%,1,1+VLOOKUP(($AJ13-$AI13-$AH13-$AG13-$AF13-$AE13*(1+CV$3))/$AJ13,Уголь_коэфф!$A:$B,2,1)-VLOOKUP($AO13,Уголь_коэфф!$A:$B,2,1)),1+(1-$AU13))</f>
        <v>1.0330000000000001</v>
      </c>
      <c r="CW13" s="102">
        <f>MIN(IF($AU13=100%,1,1+VLOOKUP(($AJ13-$AI13-$AH13-$AG13-$AF13-$AE13*(1+CW$3))/$AJ13,Уголь_коэфф!$A:$B,2,1)-VLOOKUP($AO13,Уголь_коэфф!$A:$B,2,1)),1+(1-$AU13))</f>
        <v>1.0330000000000001</v>
      </c>
      <c r="CX13" s="102">
        <f>MIN(IF($AU13=100%,1,1+VLOOKUP(($AJ13-$AI13-$AH13-$AG13-$AF13-$AE13*(1+CX$3))/$AJ13,Уголь_коэфф!$A:$B,2,1)-VLOOKUP($AO13,Уголь_коэфф!$A:$B,2,1)),1+(1-$AU13))</f>
        <v>1.0330000000000001</v>
      </c>
      <c r="CY13" s="102">
        <f>MIN(IF($AU13=100%,1,1+VLOOKUP(($AJ13-$AI13-$AH13-$AG13-$AF13-$AE13*(1+CY$3))/$AJ13,Уголь_коэфф!$A:$B,2,1)-VLOOKUP($AO13,Уголь_коэфф!$A:$B,2,1)),1+(1-$AU13))</f>
        <v>1.0330000000000001</v>
      </c>
      <c r="CZ13" s="102">
        <f>MIN(IF($AU13=100%,1,1+VLOOKUP(($AJ13-$AI13-$AH13-$AG13-$AF13-$AE13*(1+CZ$3))/$AJ13,Уголь_коэфф!$A:$B,2,1)-VLOOKUP($AO13,Уголь_коэфф!$A:$B,2,1)),1+(1-$AU13))</f>
        <v>1.0330000000000001</v>
      </c>
      <c r="DA13" s="102">
        <f>MIN(IF($AU13=100%,1,1+VLOOKUP(($AJ13-$AI13-$AH13-$AG13-$AF13-$AE13*(1+DA$3))/$AJ13,Уголь_коэфф!$A:$B,2,1)-VLOOKUP($AO13,Уголь_коэфф!$A:$B,2,1)),1+(1-$AU13))</f>
        <v>1.026</v>
      </c>
      <c r="DB13" s="102">
        <f>MIN(IF($AU13=100%,1,1+VLOOKUP(($AJ13-$AI13-$AH13-$AG13-$AF13-$AE13*(1+DB$3))/$AJ13,Уголь_коэфф!$A:$B,2,1)-VLOOKUP($AO13,Уголь_коэфф!$A:$B,2,1)),1+(1-$AU13))</f>
        <v>1.026</v>
      </c>
      <c r="DC13" s="102">
        <f>MIN(IF($AU13=100%,1,1+VLOOKUP(($AJ13-$AI13-$AH13-$AG13-$AF13-$AE13*(1+DC$3))/$AJ13,Уголь_коэфф!$A:$B,2,1)-VLOOKUP($AO13,Уголь_коэфф!$A:$B,2,1)),1+(1-$AU13))</f>
        <v>1.026</v>
      </c>
      <c r="DD13" s="102">
        <f>MIN(IF($AU13=100%,1,1+VLOOKUP(($AJ13-$AI13-$AH13-$AG13-$AF13-$AE13*(1+DD$3))/$AJ13,Уголь_коэфф!$A:$B,2,1)-VLOOKUP($AO13,Уголь_коэфф!$A:$B,2,1)),1+(1-$AU13))</f>
        <v>1.026</v>
      </c>
      <c r="DE13" s="102">
        <f>MIN(IF($AU13=100%,1,1+VLOOKUP(($AJ13-$AI13-$AH13-$AG13-$AF13-$AE13*(1+DE$3))/$AJ13,Уголь_коэфф!$A:$B,2,1)-VLOOKUP($AO13,Уголь_коэфф!$A:$B,2,1)),1+(1-$AU13))</f>
        <v>1.026</v>
      </c>
      <c r="DF13" s="102">
        <f>MIN(IF($AU13=100%,1,1+VLOOKUP(($AJ13-$AI13-$AH13-$AG13-$AF13-$AE13*(1+DF$3))/$AJ13,Уголь_коэфф!$A:$B,2,1)-VLOOKUP($AO13,Уголь_коэфф!$A:$B,2,1)),1+(1-$AU13))</f>
        <v>1.026</v>
      </c>
      <c r="DG13" s="102">
        <f>MIN(IF($AU13=100%,1,1+VLOOKUP(($AJ13-$AI13-$AH13-$AG13-$AF13-$AE13*(1+DG$3))/$AJ13,Уголь_коэфф!$A:$B,2,1)-VLOOKUP($AO13,Уголь_коэфф!$A:$B,2,1)),1+(1-$AU13))</f>
        <v>1.026</v>
      </c>
      <c r="DH13" s="102">
        <f>MIN(IF($AU13=100%,1,1+VLOOKUP(($AJ13-$AI13-$AH13-$AG13-$AF13-$AE13*(1+DH$3))/$AJ13,Уголь_коэфф!$A:$B,2,1)-VLOOKUP($AO13,Уголь_коэфф!$A:$B,2,1)),1+(1-$AU13))</f>
        <v>1.026</v>
      </c>
      <c r="DI13" s="102">
        <f>MIN(IF($AU13=100%,1,1+VLOOKUP(($AJ13-$AI13-$AH13-$AG13-$AF13-$AE13*(1+DI$3))/$AJ13,Уголь_коэфф!$A:$B,2,1)-VLOOKUP($AO13,Уголь_коэфф!$A:$B,2,1)),1+(1-$AU13))</f>
        <v>1.026</v>
      </c>
      <c r="DJ13" s="102">
        <f>MIN(IF($AU13=100%,1,1+VLOOKUP(($AJ13-$AI13-$AH13-$AG13-$AF13-$AE13*(1+DJ$3))/$AJ13,Уголь_коэфф!$A:$B,2,1)-VLOOKUP($AO13,Уголь_коэфф!$A:$B,2,1)),1+(1-$AU13))</f>
        <v>1.0190000000000003</v>
      </c>
      <c r="DK13" s="102">
        <f>MIN(IF($AU13=100%,1,1+VLOOKUP(($AJ13-$AI13-$AH13-$AG13-$AF13-$AE13*(1+DK$3))/$AJ13,Уголь_коэфф!$A:$B,2,1)-VLOOKUP($AO13,Уголь_коэфф!$A:$B,2,1)),1+(1-$AU13))</f>
        <v>1.0190000000000003</v>
      </c>
      <c r="DL13" s="102">
        <f>MIN(IF($AU13=100%,1,1+VLOOKUP(($AJ13-$AI13-$AH13-$AG13-$AF13-$AE13*(1+DL$3))/$AJ13,Уголь_коэфф!$A:$B,2,1)-VLOOKUP($AO13,Уголь_коэфф!$A:$B,2,1)),1+(1-$AU13))</f>
        <v>1.0190000000000003</v>
      </c>
      <c r="DM13" s="102">
        <f>MIN(IF($AU13=100%,1,1+VLOOKUP(($AJ13-$AI13-$AH13-$AG13-$AF13-$AE13*(1+DM$3))/$AJ13,Уголь_коэфф!$A:$B,2,1)-VLOOKUP($AO13,Уголь_коэфф!$A:$B,2,1)),1+(1-$AU13))</f>
        <v>1.0190000000000003</v>
      </c>
      <c r="DN13" s="102">
        <f>MIN(IF($AU13=100%,1,1+VLOOKUP(($AJ13-$AI13-$AH13-$AG13-$AF13-$AE13*(1+DN$3))/$AJ13,Уголь_коэфф!$A:$B,2,1)-VLOOKUP($AO13,Уголь_коэфф!$A:$B,2,1)),1+(1-$AU13))</f>
        <v>1.0190000000000003</v>
      </c>
      <c r="DO13" s="102">
        <f>MIN(IF($AU13=100%,1,1+VLOOKUP(($AJ13-$AI13-$AH13-$AG13-$AF13-$AE13*(1+DO$3))/$AJ13,Уголь_коэфф!$A:$B,2,1)-VLOOKUP($AO13,Уголь_коэфф!$A:$B,2,1)),1+(1-$AU13))</f>
        <v>1.0190000000000003</v>
      </c>
      <c r="DP13" s="102">
        <f>MIN(IF($AU13=100%,1,1+VLOOKUP(($AJ13-$AI13-$AH13-$AG13-$AF13-$AE13*(1+DP$3))/$AJ13,Уголь_коэфф!$A:$B,2,1)-VLOOKUP($AO13,Уголь_коэфф!$A:$B,2,1)),1+(1-$AU13))</f>
        <v>1.0190000000000003</v>
      </c>
      <c r="DQ13" s="102">
        <f>MIN(IF($AU13=100%,1,1+VLOOKUP(($AJ13-$AI13-$AH13-$AG13-$AF13-$AE13*(1+DQ$3))/$AJ13,Уголь_коэфф!$A:$B,2,1)-VLOOKUP($AO13,Уголь_коэфф!$A:$B,2,1)),1+(1-$AU13))</f>
        <v>1.0190000000000003</v>
      </c>
      <c r="DR13" s="102">
        <f>MIN(IF($AU13=100%,1,1+VLOOKUP(($AJ13-$AI13-$AH13-$AG13-$AF13-$AE13*(1+DR$3))/$AJ13,Уголь_коэфф!$A:$B,2,1)-VLOOKUP($AO13,Уголь_коэфф!$A:$B,2,1)),1+(1-$AU13))</f>
        <v>1.0190000000000003</v>
      </c>
      <c r="DS13" s="102">
        <f>MIN(IF($AU13=100%,1,1+VLOOKUP(($AJ13-$AI13-$AH13-$AG13-$AF13-$AE13*(1+DS$3))/$AJ13,Уголь_коэфф!$A:$B,2,1)-VLOOKUP($AO13,Уголь_коэфф!$A:$B,2,1)),1+(1-$AU13))</f>
        <v>1.0190000000000003</v>
      </c>
      <c r="DT13" s="102">
        <f>MIN(IF($AU13=100%,1,1+VLOOKUP(($AJ13-$AI13-$AH13-$AG13-$AF13-$AE13*(1+DT$3))/$AJ13,Уголь_коэфф!$A:$B,2,1)-VLOOKUP($AO13,Уголь_коэфф!$A:$B,2,1)),1+(1-$AU13))</f>
        <v>1.0119999999999998</v>
      </c>
      <c r="DU13" s="102">
        <f>MIN(IF($AU13=100%,1,1+VLOOKUP(($AJ13-$AI13-$AH13-$AG13-$AF13-$AE13*(1+DU$3))/$AJ13,Уголь_коэфф!$A:$B,2,1)-VLOOKUP($AO13,Уголь_коэфф!$A:$B,2,1)),1+(1-$AU13))</f>
        <v>1.0119999999999998</v>
      </c>
      <c r="DV13" s="102">
        <f>MIN(IF($AU13=100%,1,1+VLOOKUP(($AJ13-$AI13-$AH13-$AG13-$AF13-$AE13*(1+DV$3))/$AJ13,Уголь_коэфф!$A:$B,2,1)-VLOOKUP($AO13,Уголь_коэфф!$A:$B,2,1)),1+(1-$AU13))</f>
        <v>1.0119999999999998</v>
      </c>
      <c r="DW13" s="102">
        <f>MIN(IF($AU13=100%,1,1+VLOOKUP(($AJ13-$AI13-$AH13-$AG13-$AF13-$AE13*(1+DW$3))/$AJ13,Уголь_коэфф!$A:$B,2,1)-VLOOKUP($AO13,Уголь_коэфф!$A:$B,2,1)),1+(1-$AU13))</f>
        <v>1.0119999999999998</v>
      </c>
      <c r="DX13" s="102">
        <f>MIN(IF($AU13=100%,1,1+VLOOKUP(($AJ13-$AI13-$AH13-$AG13-$AF13-$AE13*(1+DX$3))/$AJ13,Уголь_коэфф!$A:$B,2,1)-VLOOKUP($AO13,Уголь_коэфф!$A:$B,2,1)),1+(1-$AU13))</f>
        <v>1.0119999999999998</v>
      </c>
      <c r="DY13" s="102">
        <f>MIN(IF($AU13=100%,1,1+VLOOKUP(($AJ13-$AI13-$AH13-$AG13-$AF13-$AE13*(1+DY$3))/$AJ13,Уголь_коэфф!$A:$B,2,1)-VLOOKUP($AO13,Уголь_коэфф!$A:$B,2,1)),1+(1-$AU13))</f>
        <v>1.0119999999999998</v>
      </c>
      <c r="DZ13" s="102">
        <f>MIN(IF($AU13=100%,1,1+VLOOKUP(($AJ13-$AI13-$AH13-$AG13-$AF13-$AE13*(1+DZ$3))/$AJ13,Уголь_коэфф!$A:$B,2,1)-VLOOKUP($AO13,Уголь_коэфф!$A:$B,2,1)),1+(1-$AU13))</f>
        <v>1.0119999999999998</v>
      </c>
      <c r="EA13" s="102">
        <f>MIN(IF($AU13=100%,1,1+VLOOKUP(($AJ13-$AI13-$AH13-$AG13-$AF13-$AE13*(1+EA$3))/$AJ13,Уголь_коэфф!$A:$B,2,1)-VLOOKUP($AO13,Уголь_коэфф!$A:$B,2,1)),1+(1-$AU13))</f>
        <v>1.0119999999999998</v>
      </c>
      <c r="EB13" s="102">
        <f>MIN(IF($AU13=100%,1,1+VLOOKUP(($AJ13-$AI13-$AH13-$AG13-$AF13-$AE13*(1+EB$3))/$AJ13,Уголь_коэфф!$A:$B,2,1)-VLOOKUP($AO13,Уголь_коэфф!$A:$B,2,1)),1+(1-$AU13))</f>
        <v>1.0119999999999998</v>
      </c>
      <c r="EC13" s="102">
        <f>MIN(IF($AU13=100%,1,1+VLOOKUP(($AJ13-$AI13-$AH13-$AG13-$AF13-$AE13*(1+EC$3))/$AJ13,Уголь_коэфф!$A:$B,2,1)-VLOOKUP($AO13,Уголь_коэфф!$A:$B,2,1)),1+(1-$AU13))</f>
        <v>1.0119999999999998</v>
      </c>
      <c r="ED13" s="102">
        <f>MIN(IF($AU13=100%,1,1+VLOOKUP(($AJ13-$AI13-$AH13-$AG13-$AF13-$AE13*(1+ED$3))/$AJ13,Уголь_коэфф!$A:$B,2,1)-VLOOKUP($AO13,Уголь_коэфф!$A:$B,2,1)),1+(1-$AU13))</f>
        <v>1.006</v>
      </c>
      <c r="EE13" s="102">
        <f>MIN(IF($AU13=100%,1,1+VLOOKUP(($AJ13-$AI13-$AH13-$AG13-$AF13-$AE13*(1+EE$3))/$AJ13,Уголь_коэфф!$A:$B,2,1)-VLOOKUP($AO13,Уголь_коэфф!$A:$B,2,1)),1+(1-$AU13))</f>
        <v>1.006</v>
      </c>
      <c r="EF13" s="102">
        <f>MIN(IF($AU13=100%,1,1+VLOOKUP(($AJ13-$AI13-$AH13-$AG13-$AF13-$AE13*(1+EF$3))/$AJ13,Уголь_коэфф!$A:$B,2,1)-VLOOKUP($AO13,Уголь_коэфф!$A:$B,2,1)),1+(1-$AU13))</f>
        <v>1.006</v>
      </c>
      <c r="EG13" s="102">
        <f>MIN(IF($AU13=100%,1,1+VLOOKUP(($AJ13-$AI13-$AH13-$AG13-$AF13-$AE13*(1+EG$3))/$AJ13,Уголь_коэфф!$A:$B,2,1)-VLOOKUP($AO13,Уголь_коэфф!$A:$B,2,1)),1+(1-$AU13))</f>
        <v>1.006</v>
      </c>
      <c r="EH13" s="102">
        <f>MIN(IF($AU13=100%,1,1+VLOOKUP(($AJ13-$AI13-$AH13-$AG13-$AF13-$AE13*(1+EH$3))/$AJ13,Уголь_коэфф!$A:$B,2,1)-VLOOKUP($AO13,Уголь_коэфф!$A:$B,2,1)),1+(1-$AU13))</f>
        <v>1.006</v>
      </c>
      <c r="EI13" s="102">
        <f>MIN(IF($AU13=100%,1,1+VLOOKUP(($AJ13-$AI13-$AH13-$AG13-$AF13-$AE13*(1+EI$3))/$AJ13,Уголь_коэфф!$A:$B,2,1)-VLOOKUP($AO13,Уголь_коэфф!$A:$B,2,1)),1+(1-$AU13))</f>
        <v>1.006</v>
      </c>
      <c r="EJ13" s="102">
        <f>MIN(IF($AU13=100%,1,1+VLOOKUP(($AJ13-$AI13-$AH13-$AG13-$AF13-$AE13*(1+EJ$3))/$AJ13,Уголь_коэфф!$A:$B,2,1)-VLOOKUP($AO13,Уголь_коэфф!$A:$B,2,1)),1+(1-$AU13))</f>
        <v>1.006</v>
      </c>
      <c r="EK13" s="102">
        <f>MIN(IF($AU13=100%,1,1+VLOOKUP(($AJ13-$AI13-$AH13-$AG13-$AF13-$AE13*(1+EK$3))/$AJ13,Уголь_коэфф!$A:$B,2,1)-VLOOKUP($AO13,Уголь_коэфф!$A:$B,2,1)),1+(1-$AU13))</f>
        <v>1.006</v>
      </c>
      <c r="EL13" s="102">
        <f>MIN(IF($AU13=100%,1,1+VLOOKUP(($AJ13-$AI13-$AH13-$AG13-$AF13-$AE13*(1+EL$3))/$AJ13,Уголь_коэфф!$A:$B,2,1)-VLOOKUP($AO13,Уголь_коэфф!$A:$B,2,1)),1+(1-$AU13))</f>
        <v>1.006</v>
      </c>
      <c r="EM13" s="102">
        <f>MIN(IF($AU13=100%,1,1+VLOOKUP(($AJ13-$AI13-$AH13-$AG13-$AF13-$AE13*(1+EM$3))/$AJ13,Уголь_коэфф!$A:$B,2,1)-VLOOKUP($AO13,Уголь_коэфф!$A:$B,2,1)),1+(1-$AU13))</f>
        <v>1.0000000000000002</v>
      </c>
      <c r="EN13" s="102">
        <f>MIN(IF($AU13=100%,1,1+VLOOKUP(($AJ13-$AI13-$AH13-$AG13-$AF13-$AE13*(1+EN$3))/$AJ13,Уголь_коэфф!$A:$B,2,1)-VLOOKUP($AO13,Уголь_коэфф!$A:$B,2,1)),1+(1-$AU13))</f>
        <v>1.0000000000000002</v>
      </c>
      <c r="EO13" s="102">
        <f>MIN(IF($AU13=100%,1,1+VLOOKUP(($AJ13-$AI13-$AH13-$AG13-$AF13-$AE13*(1+EO$3))/$AJ13,Уголь_коэфф!$A:$B,2,1)-VLOOKUP($AO13,Уголь_коэфф!$A:$B,2,1)),1+(1-$AU13))</f>
        <v>1.0000000000000002</v>
      </c>
      <c r="EP13" s="102">
        <f>MIN(IF($AU13=100%,1,1+VLOOKUP(($AJ13-$AI13-$AH13-$AG13-$AF13-$AE13*(1+EP$3))/$AJ13,Уголь_коэфф!$A:$B,2,1)-VLOOKUP($AO13,Уголь_коэфф!$A:$B,2,1)),1+(1-$AU13))</f>
        <v>1.0000000000000002</v>
      </c>
      <c r="EQ13" s="102">
        <f>MIN(IF($AU13=100%,1,1+VLOOKUP(($AJ13-$AI13-$AH13-$AG13-$AF13-$AE13*(1+EQ$3))/$AJ13,Уголь_коэфф!$A:$B,2,1)-VLOOKUP($AO13,Уголь_коэфф!$A:$B,2,1)),1+(1-$AU13))</f>
        <v>1.0000000000000002</v>
      </c>
      <c r="ER13" s="102">
        <f>MIN(IF($AU13=100%,1,1+VLOOKUP(($AJ13-$AI13-$AH13-$AG13-$AF13-$AE13*(1+ER$3))/$AJ13,Уголь_коэфф!$A:$B,2,1)-VLOOKUP($AO13,Уголь_коэфф!$A:$B,2,1)),1+(1-$AU13))</f>
        <v>1.0000000000000002</v>
      </c>
      <c r="ES13" s="102">
        <f>MIN(IF($AU13=100%,1,1+VLOOKUP(($AJ13-$AI13-$AH13-$AG13-$AF13-$AE13*(1+ES$3))/$AJ13,Уголь_коэфф!$A:$B,2,1)-VLOOKUP($AO13,Уголь_коэфф!$A:$B,2,1)),1+(1-$AU13))</f>
        <v>1.0000000000000002</v>
      </c>
      <c r="ET13" s="102">
        <f>MIN(IF($AU13=100%,1,1+VLOOKUP(($AJ13-$AI13-$AH13-$AG13-$AF13-$AE13*(1+ET$3))/$AJ13,Уголь_коэфф!$A:$B,2,1)-VLOOKUP($AO13,Уголь_коэфф!$A:$B,2,1)),1+(1-$AU13))</f>
        <v>1.0000000000000002</v>
      </c>
      <c r="EU13" s="102">
        <f>MIN(IF($AU13=100%,1,1+VLOOKUP(($AJ13-$AI13-$AH13-$AG13-$AF13-$AE13*(1+EU$3))/$AJ13,Уголь_коэфф!$A:$B,2,1)-VLOOKUP($AO13,Уголь_коэфф!$A:$B,2,1)),1+(1-$AU13))</f>
        <v>1.0000000000000002</v>
      </c>
      <c r="EV13" s="103">
        <v>1</v>
      </c>
      <c r="EW13" s="102">
        <f>MIN(1,MAX(VLOOKUP(($AJ13-$AI13-$AH13-$AG13-$AF13-$AE13*(1+EW$3))/$AJ13,Уголь_коэфф!$A:$B,2,1),(EV13-0.05)))</f>
        <v>1</v>
      </c>
      <c r="EX13" s="102">
        <f>MIN(1,MAX(VLOOKUP(($AJ13-$AI13-$AH13-$AG13-$AF13-$AE13*(1+EX$3))/$AJ13,Уголь_коэфф!$A:$B,2,1),(EW13-0.05)))</f>
        <v>1</v>
      </c>
      <c r="EY13" s="102">
        <f>MIN(1,MAX(VLOOKUP(($AJ13-$AI13-$AH13-$AG13-$AF13-$AE13*(1+EY$3))/$AJ13,Уголь_коэфф!$A:$B,2,1),(EX13-0.05)))</f>
        <v>1</v>
      </c>
      <c r="EZ13" s="102">
        <f>MIN(1,MAX(VLOOKUP(($AJ13-$AI13-$AH13-$AG13-$AF13-$AE13*(1+EZ$3))/$AJ13,Уголь_коэфф!$A:$B,2,1),(EY13-0.05)))</f>
        <v>1</v>
      </c>
      <c r="FA13" s="102">
        <f>MIN(1,MAX(VLOOKUP(($AJ13-$AI13-$AH13-$AG13-$AF13-$AE13*(1+FA$3))/$AJ13,Уголь_коэфф!$A:$B,2,1),(EZ13-0.05)))</f>
        <v>1</v>
      </c>
      <c r="FB13" s="102">
        <f>MIN(1,MAX(VLOOKUP(($AJ13-$AI13-$AH13-$AG13-$AF13-$AE13*(1+FB$3))/$AJ13,Уголь_коэфф!$A:$B,2,1),(FA13-0.05)))</f>
        <v>1</v>
      </c>
      <c r="FC13" s="102">
        <f>MIN(1,MAX(VLOOKUP(($AJ13-$AI13-$AH13-$AG13-$AF13-$AE13*(1+FC$3))/$AJ13,Уголь_коэфф!$A:$B,2,1),(FB13-0.05)))</f>
        <v>1</v>
      </c>
      <c r="FD13" s="102">
        <f>MIN(1,MAX(VLOOKUP(($AJ13-$AI13-$AH13-$AG13-$AF13-$AE13*(1+FD$3))/$AJ13,Уголь_коэфф!$A:$B,2,1),(FC13-0.05)))</f>
        <v>1</v>
      </c>
      <c r="FE13" s="102">
        <f>MIN(1,MAX(VLOOKUP(($AJ13-$AI13-$AH13-$AG13-$AF13-$AE13*(1+FE$3))/$AJ13,Уголь_коэфф!$A:$B,2,1),(FD13-0.05)))</f>
        <v>1</v>
      </c>
      <c r="FF13" s="102">
        <f>MIN(1,MAX(VLOOKUP(($AJ13-$AI13-$AH13-$AG13-$AF13-$AE13*(1+FF$3))/$AJ13,Уголь_коэфф!$A:$B,2,1),(FE13-0.05)))</f>
        <v>1</v>
      </c>
      <c r="FG13" s="102">
        <f>MIN(1,MAX(VLOOKUP(($AJ13-$AI13-$AH13-$AG13-$AF13-$AE13*(1+FG$3))/$AJ13,Уголь_коэфф!$A:$B,2,1),(FF13-0.05)))</f>
        <v>1</v>
      </c>
      <c r="FH13" s="102">
        <f>MIN(1,MAX(VLOOKUP(($AJ13-$AI13-$AH13-$AG13-$AF13-$AE13*(1+FH$3))/$AJ13,Уголь_коэфф!$A:$B,2,1),(FG13-0.05)))</f>
        <v>1</v>
      </c>
      <c r="FI13" s="102">
        <f>MIN(1,MAX(VLOOKUP(($AJ13-$AI13-$AH13-$AG13-$AF13-$AE13*(1+FI$3))/$AJ13,Уголь_коэфф!$A:$B,2,1),(FH13-0.05)))</f>
        <v>1</v>
      </c>
      <c r="FJ13" s="102">
        <f>MIN(1,MAX(VLOOKUP(($AJ13-$AI13-$AH13-$AG13-$AF13-$AE13*(1+FJ$3))/$AJ13,Уголь_коэфф!$A:$B,2,1),(FI13-0.05)))</f>
        <v>1</v>
      </c>
      <c r="FK13" s="102">
        <f>MIN(1,MAX(VLOOKUP(($AJ13-$AI13-$AH13-$AG13-$AF13-$AE13*(1+FK$3))/$AJ13,Уголь_коэфф!$A:$B,2,1),(FJ13-0.05)))</f>
        <v>1</v>
      </c>
      <c r="FL13" s="102">
        <f>MIN(1,MAX(VLOOKUP(($AJ13-$AI13-$AH13-$AG13-$AF13-$AE13*(1+FL$3))/$AJ13,Уголь_коэфф!$A:$B,2,1),(FK13-0.05)))</f>
        <v>1</v>
      </c>
      <c r="FM13" s="102">
        <f>MIN(1,MAX(VLOOKUP(($AJ13-$AI13-$AH13-$AG13-$AF13-$AE13*(1+FM$3))/$AJ13,Уголь_коэфф!$A:$B,2,1),(FL13-0.05)))</f>
        <v>1</v>
      </c>
      <c r="FN13" s="102">
        <f>MIN(1,MAX(VLOOKUP(($AJ13-$AI13-$AH13-$AG13-$AF13-$AE13*(1+FN$3))/$AJ13,Уголь_коэфф!$A:$B,2,1),(FM13-0.05)))</f>
        <v>1</v>
      </c>
      <c r="FO13" s="102">
        <f>MIN(1,MAX(VLOOKUP(($AJ13-$AI13-$AH13-$AG13-$AF13-$AE13*(1+FO$3))/$AJ13,Уголь_коэфф!$A:$B,2,1),(FN13-0.05)))</f>
        <v>1</v>
      </c>
      <c r="FP13" s="102">
        <f>MIN(1,MAX(VLOOKUP(($AJ13-$AI13-$AH13-$AG13-$AF13-$AE13*(1+FP$3))/$AJ13,Уголь_коэфф!$A:$B,2,1),(FO13-0.05)))</f>
        <v>1</v>
      </c>
      <c r="FQ13" s="102">
        <f>MIN(1,MAX(VLOOKUP(($AJ13-$AI13-$AH13-$AG13-$AF13-$AE13*(1+FQ$3))/$AJ13,Уголь_коэфф!$A:$B,2,1),(FP13-0.05)))</f>
        <v>1</v>
      </c>
      <c r="FR13" s="102">
        <f>MIN(1,MAX(VLOOKUP(($AJ13-$AI13-$AH13-$AG13-$AF13-$AE13*(1+FR$3))/$AJ13,Уголь_коэфф!$A:$B,2,1),(FQ13-0.05)))</f>
        <v>1</v>
      </c>
      <c r="FS13" s="102">
        <f>MIN(1,MAX(VLOOKUP(($AJ13-$AI13-$AH13-$AG13-$AF13-$AE13*(1+FS$3))/$AJ13,Уголь_коэфф!$A:$B,2,1),(FR13-0.05)))</f>
        <v>1</v>
      </c>
      <c r="FT13" s="102">
        <f>MIN(1,MAX(VLOOKUP(($AJ13-$AI13-$AH13-$AG13-$AF13-$AE13*(1+FT$3))/$AJ13,Уголь_коэфф!$A:$B,2,1),(FS13-0.05)))</f>
        <v>1</v>
      </c>
      <c r="FU13" s="102">
        <f>MIN(1,MAX(VLOOKUP(($AJ13-$AI13-$AH13-$AG13-$AF13-$AE13*(1+FU$3))/$AJ13,Уголь_коэфф!$A:$B,2,1),(FT13-0.05)))</f>
        <v>1</v>
      </c>
      <c r="FV13" s="102">
        <f>MIN(1,MAX(VLOOKUP(($AJ13-$AI13-$AH13-$AG13-$AF13-$AE13*(1+FV$3))/$AJ13,Уголь_коэфф!$A:$B,2,1),(FU13-0.05)))</f>
        <v>1</v>
      </c>
      <c r="FW13" s="102">
        <f>MIN(1,MAX(VLOOKUP(($AJ13-$AI13-$AH13-$AG13-$AF13-$AE13*(1+FW$3))/$AJ13,Уголь_коэфф!$A:$B,2,1),(FV13-0.05)))</f>
        <v>1</v>
      </c>
      <c r="FX13" s="102">
        <f>MIN(1,MAX(VLOOKUP(($AJ13-$AI13-$AH13-$AG13-$AF13-$AE13*(1+FX$3))/$AJ13,Уголь_коэфф!$A:$B,2,1),(FW13-0.05)))</f>
        <v>1</v>
      </c>
      <c r="FY13" s="102">
        <f>MIN(1,MAX(VLOOKUP(($AJ13-$AI13-$AH13-$AG13-$AF13-$AE13*(1+FY$3))/$AJ13,Уголь_коэфф!$A:$B,2,1),(FX13-0.05)))</f>
        <v>1</v>
      </c>
      <c r="FZ13" s="102">
        <f>MIN(1,MAX(VLOOKUP(($AJ13-$AI13-$AH13-$AG13-$AF13-$AE13*(1+FZ$3))/$AJ13,Уголь_коэфф!$A:$B,2,1),(FY13-0.05)))</f>
        <v>1</v>
      </c>
      <c r="GA13" s="102">
        <f>MIN(1,MAX(VLOOKUP(($AJ13-$AI13-$AH13-$AG13-$AF13-$AE13*(1+GA$3))/$AJ13,Уголь_коэфф!$A:$B,2,1),(FZ13-0.05)))</f>
        <v>1</v>
      </c>
      <c r="GB13" s="102">
        <f>MIN(1,MAX(VLOOKUP(($AJ13-$AI13-$AH13-$AG13-$AF13-$AE13*(1+GB$3))/$AJ13,Уголь_коэфф!$A:$B,2,1),(GA13-0.05)))</f>
        <v>1</v>
      </c>
      <c r="GC13" s="102">
        <f>MIN(1,MAX(VLOOKUP(($AJ13-$AI13-$AH13-$AG13-$AF13-$AE13*(1+GC$3))/$AJ13,Уголь_коэфф!$A:$B,2,1),(GB13-0.05)))</f>
        <v>1</v>
      </c>
      <c r="GD13" s="102">
        <f>MIN(1,MAX(VLOOKUP(($AJ13-$AI13-$AH13-$AG13-$AF13-$AE13*(1+GD$3))/$AJ13,Уголь_коэфф!$A:$B,2,1),(GC13-0.05)))</f>
        <v>1</v>
      </c>
      <c r="GE13" s="102">
        <f>MIN(1,MAX(VLOOKUP(($AJ13-$AI13-$AH13-$AG13-$AF13-$AE13*(1+GE$3))/$AJ13,Уголь_коэфф!$A:$B,2,1),(GD13-0.05)))</f>
        <v>1</v>
      </c>
      <c r="GF13" s="102">
        <f>MIN(1,MAX(VLOOKUP(($AJ13-$AI13-$AH13-$AG13-$AF13-$AE13*(1+GF$3))/$AJ13,Уголь_коэфф!$A:$B,2,1),(GE13-0.05)))</f>
        <v>1</v>
      </c>
      <c r="GG13" s="102">
        <f>MIN(1,MAX(VLOOKUP(($AJ13-$AI13-$AH13-$AG13-$AF13-$AE13*(1+GG$3))/$AJ13,Уголь_коэфф!$A:$B,2,1),(GF13-0.05)))</f>
        <v>1</v>
      </c>
      <c r="GH13" s="102">
        <f>MIN(1,MAX(VLOOKUP(($AJ13-$AI13-$AH13-$AG13-$AF13-$AE13*(1+GH$3))/$AJ13,Уголь_коэфф!$A:$B,2,1),(GG13-0.05)))</f>
        <v>1</v>
      </c>
      <c r="GI13" s="102">
        <f>MIN(1,MAX(VLOOKUP(($AJ13-$AI13-$AH13-$AG13-$AF13-$AE13*(1+GI$3))/$AJ13,Уголь_коэфф!$A:$B,2,1),(GH13-0.05)))</f>
        <v>1</v>
      </c>
      <c r="GJ13" s="102">
        <f>MIN(1,MAX(VLOOKUP(($AJ13-$AI13-$AH13-$AG13-$AF13-$AE13*(1+GJ$3))/$AJ13,Уголь_коэфф!$A:$B,2,1),(GI13-0.05)))</f>
        <v>1</v>
      </c>
      <c r="GK13" s="102">
        <f>MIN(1,MAX(VLOOKUP(($AJ13-$AI13-$AH13-$AG13-$AF13-$AE13*(1+GK$3))/$AJ13,Уголь_коэфф!$A:$B,2,1),(GJ13-0.05)))</f>
        <v>1</v>
      </c>
      <c r="GL13" s="102">
        <f>MIN(1,MAX(VLOOKUP(($AJ13-$AI13-$AH13-$AG13-$AF13-$AE13*(1+GL$3))/$AJ13,Уголь_коэфф!$A:$B,2,1),(GK13-0.05)))</f>
        <v>1</v>
      </c>
      <c r="GM13" s="102">
        <f>MIN(1,MAX(VLOOKUP(($AJ13-$AI13-$AH13-$AG13-$AF13-$AE13*(1+GM$3))/$AJ13,Уголь_коэфф!$A:$B,2,1),(GL13-0.05)))</f>
        <v>1</v>
      </c>
      <c r="GN13" s="102">
        <f>MIN(1,MAX(VLOOKUP(($AJ13-$AI13-$AH13-$AG13-$AF13-$AE13*(1+GN$3))/$AJ13,Уголь_коэфф!$A:$B,2,1),(GM13-0.05)))</f>
        <v>1</v>
      </c>
      <c r="GO13" s="102">
        <f>MIN(1,MAX(VLOOKUP(($AJ13-$AI13-$AH13-$AG13-$AF13-$AE13*(1+GO$3))/$AJ13,Уголь_коэфф!$A:$B,2,1),(GN13-0.05)))</f>
        <v>1</v>
      </c>
      <c r="GP13" s="102">
        <f>MIN(1,MAX(VLOOKUP(($AJ13-$AI13-$AH13-$AG13-$AF13-$AE13*(1+GP$3))/$AJ13,Уголь_коэфф!$A:$B,2,1),(GO13-0.05)))</f>
        <v>1</v>
      </c>
      <c r="GQ13" s="102">
        <f>MIN(1,MAX(VLOOKUP(($AJ13-$AI13-$AH13-$AG13-$AF13-$AE13*(1+GQ$3))/$AJ13,Уголь_коэфф!$A:$B,2,1),(GP13-0.05)))</f>
        <v>1</v>
      </c>
      <c r="GR13" s="102">
        <f>MIN(1,MAX(VLOOKUP(($AJ13-$AI13-$AH13-$AG13-$AF13-$AE13*(1+GR$3))/$AJ13,Уголь_коэфф!$A:$B,2,1),(GQ13-0.05)))</f>
        <v>1</v>
      </c>
      <c r="GS13" s="102">
        <f>MIN(1,MAX(VLOOKUP(($AJ13-$AI13-$AH13-$AG13-$AF13-$AE13*(1+GS$3))/$AJ13,Уголь_коэфф!$A:$B,2,1),(GR13-0.05)))</f>
        <v>1</v>
      </c>
      <c r="GT13" s="102">
        <f>MIN(1,MAX(VLOOKUP(($AJ13-$AI13-$AH13-$AG13-$AF13-$AE13*(1+GT$3))/$AJ13,Уголь_коэфф!$A:$B,2,1),(GS13-0.05)))</f>
        <v>1</v>
      </c>
      <c r="GU13" s="102">
        <f>MIN(1,MAX(VLOOKUP(($AJ13-$AI13-$AH13-$AG13-$AF13-$AE13*(1+GU$3))/$AJ13,Уголь_коэфф!$A:$B,2,1),(GT13-0.05)))</f>
        <v>1</v>
      </c>
      <c r="GV13" s="102">
        <f>MIN(1,MAX(VLOOKUP(($AJ13-$AI13-$AH13-$AG13-$AF13-$AE13*(1+GV$3))/$AJ13,Уголь_коэфф!$A:$B,2,1),(GU13-0.05)))</f>
        <v>1</v>
      </c>
      <c r="GW13" s="102">
        <f>MIN(1,MAX(VLOOKUP(($AJ13-$AI13-$AH13-$AG13-$AF13-$AE13*(1+GW$3))/$AJ13,Уголь_коэфф!$A:$B,2,1),(GV13-0.05)))</f>
        <v>1</v>
      </c>
      <c r="GX13" s="102">
        <f>MIN(1,MAX(VLOOKUP(($AJ13-$AI13-$AH13-$AG13-$AF13-$AE13*(1+GX$3))/$AJ13,Уголь_коэфф!$A:$B,2,1),(GW13-0.05)))</f>
        <v>1</v>
      </c>
      <c r="GY13" s="102">
        <f>MIN(1,MAX(VLOOKUP(($AJ13-$AI13-$AH13-$AG13-$AF13-$AE13*(1+GY$3))/$AJ13,Уголь_коэфф!$A:$B,2,1),(GX13-0.05)))</f>
        <v>1</v>
      </c>
      <c r="GZ13" s="102">
        <f>MIN(1,MAX(VLOOKUP(($AJ13-$AI13-$AH13-$AG13-$AF13-$AE13*(1+GZ$3))/$AJ13,Уголь_коэфф!$A:$B,2,1),(GY13-0.05)))</f>
        <v>1</v>
      </c>
      <c r="HA13" s="102">
        <f>MIN(1,MAX(VLOOKUP(($AJ13-$AI13-$AH13-$AG13-$AF13-$AE13*(1+HA$3))/$AJ13,Уголь_коэфф!$A:$B,2,1),(GZ13-0.05)))</f>
        <v>1</v>
      </c>
      <c r="HB13" s="102">
        <f>MIN(1,MAX(VLOOKUP(($AJ13-$AI13-$AH13-$AG13-$AF13-$AE13*(1+HB$3))/$AJ13,Уголь_коэфф!$A:$B,2,1),(HA13-0.05)))</f>
        <v>1</v>
      </c>
      <c r="HC13" s="102">
        <f>MIN(1,MAX(VLOOKUP(($AJ13-$AI13-$AH13-$AG13-$AF13-$AE13*(1+HC$3))/$AJ13,Уголь_коэфф!$A:$B,2,1),(HB13-0.05)))</f>
        <v>1</v>
      </c>
      <c r="HD13" s="102">
        <f>MIN(1,MAX(VLOOKUP(($AJ13-$AI13-$AH13-$AG13-$AF13-$AE13*(1+HD$3))/$AJ13,Уголь_коэфф!$A:$B,2,1),(HC13-0.05)))</f>
        <v>1</v>
      </c>
      <c r="HE13" s="102">
        <f>MIN(1,MAX(VLOOKUP(($AJ13-$AI13-$AH13-$AG13-$AF13-$AE13*(1+HE$3))/$AJ13,Уголь_коэфф!$A:$B,2,1),(HD13-0.05)))</f>
        <v>1</v>
      </c>
      <c r="HF13" s="102">
        <f>MIN(1,MAX(VLOOKUP(($AJ13-$AI13-$AH13-$AG13-$AF13-$AE13*(1+HF$3))/$AJ13,Уголь_коэфф!$A:$B,2,1),(HE13-0.05)))</f>
        <v>1</v>
      </c>
      <c r="HG13" s="102">
        <f>MIN(1,MAX(VLOOKUP(($AJ13-$AI13-$AH13-$AG13-$AF13-$AE13*(1+HG$3))/$AJ13,Уголь_коэфф!$A:$B,2,1),(HF13-0.05)))</f>
        <v>1</v>
      </c>
      <c r="HH13" s="102">
        <f>MIN(1,MAX(VLOOKUP(($AJ13-$AI13-$AH13-$AG13-$AF13-$AE13*(1+HH$3))/$AJ13,Уголь_коэфф!$A:$B,2,1),(HG13-0.05)))</f>
        <v>1</v>
      </c>
      <c r="HI13" s="102">
        <f>MIN(1,MAX(VLOOKUP(($AJ13-$AI13-$AH13-$AG13-$AF13-$AE13*(1+HI$3))/$AJ13,Уголь_коэфф!$A:$B,2,1),(HH13-0.05)))</f>
        <v>1</v>
      </c>
      <c r="HJ13" s="102">
        <f>MIN(1,MAX(VLOOKUP(($AJ13-$AI13-$AH13-$AG13-$AF13-$AE13*(1+HJ$3))/$AJ13,Уголь_коэфф!$A:$B,2,1),(HI13-0.05)))</f>
        <v>1</v>
      </c>
      <c r="HK13" s="102">
        <f>MIN(1,MAX(VLOOKUP(($AJ13-$AI13-$AH13-$AG13-$AF13-$AE13*(1+HK$3))/$AJ13,Уголь_коэфф!$A:$B,2,1),(HJ13-0.05)))</f>
        <v>1</v>
      </c>
      <c r="HL13" s="102">
        <f>MIN(1,MAX(VLOOKUP(($AJ13-$AI13-$AH13-$AG13-$AF13-$AE13*(1+HL$3))/$AJ13,Уголь_коэфф!$A:$B,2,1),(HK13-0.05)))</f>
        <v>1</v>
      </c>
      <c r="HM13" s="102">
        <f>MIN(1,MAX(VLOOKUP(($AJ13-$AI13-$AH13-$AG13-$AF13-$AE13*(1+HM$3))/$AJ13,Уголь_коэфф!$A:$B,2,1),(HL13-0.05)))</f>
        <v>1</v>
      </c>
      <c r="HN13" s="102">
        <f>MIN(1,MAX(VLOOKUP(($AJ13-$AI13-$AH13-$AG13-$AF13-$AE13*(1+HN$3))/$AJ13,Уголь_коэфф!$A:$B,2,1),(HM13-0.05)))</f>
        <v>1</v>
      </c>
      <c r="HO13" s="102">
        <f>MIN(1,MAX(VLOOKUP(($AJ13-$AI13-$AH13-$AG13-$AF13-$AE13*(1+HO$3))/$AJ13,Уголь_коэфф!$A:$B,2,1),(HN13-0.05)))</f>
        <v>1</v>
      </c>
      <c r="HP13" s="102">
        <f>MIN(1,MAX(VLOOKUP(($AJ13-$AI13-$AH13-$AG13-$AF13-$AE13*(1+HP$3))/$AJ13,Уголь_коэфф!$A:$B,2,1),(HO13-0.05)))</f>
        <v>1</v>
      </c>
      <c r="HQ13" s="102">
        <f>MIN(1,MAX(VLOOKUP(($AJ13-$AI13-$AH13-$AG13-$AF13-$AE13*(1+HQ$3))/$AJ13,Уголь_коэфф!$A:$B,2,1),(HP13-0.05)))</f>
        <v>1</v>
      </c>
      <c r="HR13" s="102">
        <f>MIN(1,MAX(VLOOKUP(($AJ13-$AI13-$AH13-$AG13-$AF13-$AE13*(1+HR$3))/$AJ13,Уголь_коэфф!$A:$B,2,1),(HQ13-0.05)))</f>
        <v>1</v>
      </c>
      <c r="HS13" s="102">
        <f>MIN(1,MAX(VLOOKUP(($AJ13-$AI13-$AH13-$AG13-$AF13-$AE13*(1+HS$3))/$AJ13,Уголь_коэфф!$A:$B,2,1),(HR13-0.05)))</f>
        <v>1</v>
      </c>
      <c r="HT13" s="102">
        <f>MIN(1,MAX(VLOOKUP(($AJ13-$AI13-$AH13-$AG13-$AF13-$AE13*(1+HT$3))/$AJ13,Уголь_коэфф!$A:$B,2,1),(HS13-0.05)))</f>
        <v>1</v>
      </c>
      <c r="HU13" s="102">
        <f>MIN(1,MAX(VLOOKUP(($AJ13-$AI13-$AH13-$AG13-$AF13-$AE13*(1+HU$3))/$AJ13,Уголь_коэфф!$A:$B,2,1),(HT13-0.05)))</f>
        <v>1</v>
      </c>
      <c r="HV13" s="102">
        <f>MIN(1,MAX(VLOOKUP(($AJ13-$AI13-$AH13-$AG13-$AF13-$AE13*(1+HV$3))/$AJ13,Уголь_коэфф!$A:$B,2,1),(HU13-0.05)))</f>
        <v>1</v>
      </c>
      <c r="HW13" s="102">
        <f>MIN(1,MAX(VLOOKUP(($AJ13-$AI13-$AH13-$AG13-$AF13-$AE13*(1+HW$3))/$AJ13,Уголь_коэфф!$A:$B,2,1),(HV13-0.05)))</f>
        <v>1</v>
      </c>
      <c r="HX13" s="102">
        <f>MIN(1,MAX(VLOOKUP(($AJ13-$AI13-$AH13-$AG13-$AF13-$AE13*(1+HX$3))/$AJ13,Уголь_коэфф!$A:$B,2,1),(HW13-0.05)))</f>
        <v>1</v>
      </c>
      <c r="HY13" s="102">
        <f>MIN(1,MAX(VLOOKUP(($AJ13-$AI13-$AH13-$AG13-$AF13-$AE13*(1+HY$3))/$AJ13,Уголь_коэфф!$A:$B,2,1),(HX13-0.05)))</f>
        <v>1</v>
      </c>
      <c r="HZ13" s="102">
        <f>MIN(1,MAX(VLOOKUP(($AJ13-$AI13-$AH13-$AG13-$AF13-$AE13*(1+HZ$3))/$AJ13,Уголь_коэфф!$A:$B,2,1),(HY13-0.05)))</f>
        <v>1</v>
      </c>
      <c r="IA13" s="102">
        <f>MIN(1,MAX(VLOOKUP(($AJ13-$AI13-$AH13-$AG13-$AF13-$AE13*(1+IA$3))/$AJ13,Уголь_коэфф!$A:$B,2,1),(HZ13-0.05)))</f>
        <v>1</v>
      </c>
      <c r="IB13" s="102">
        <f>MIN(1,MAX(VLOOKUP(($AJ13-$AI13-$AH13-$AG13-$AF13-$AE13*(1+IB$3))/$AJ13,Уголь_коэфф!$A:$B,2,1),(IA13-0.05)))</f>
        <v>1</v>
      </c>
      <c r="IC13" s="102">
        <f>MIN(1,MAX(VLOOKUP(($AJ13-$AI13-$AH13-$AG13-$AF13-$AE13*(1+IC$3))/$AJ13,Уголь_коэфф!$A:$B,2,1),(IB13-0.05)))</f>
        <v>1</v>
      </c>
      <c r="ID13" s="102">
        <f>MIN(1,MAX(VLOOKUP(($AJ13-$AI13-$AH13-$AG13-$AF13-$AE13*(1+ID$3))/$AJ13,Уголь_коэфф!$A:$B,2,1),(IC13-0.05)))</f>
        <v>1</v>
      </c>
      <c r="IE13" s="102">
        <f>MIN(1,MAX(VLOOKUP(($AJ13-$AI13-$AH13-$AG13-$AF13-$AE13*(1+IE$3))/$AJ13,Уголь_коэфф!$A:$B,2,1),(ID13-0.05)))</f>
        <v>1</v>
      </c>
      <c r="IF13" s="102">
        <f>MIN(1,MAX(VLOOKUP(($AJ13-$AI13-$AH13-$AG13-$AF13-$AE13*(1+IF$3))/$AJ13,Уголь_коэфф!$A:$B,2,1),(IE13-0.05)))</f>
        <v>1</v>
      </c>
      <c r="IG13" s="102">
        <f>MIN(1,MAX(VLOOKUP(($AJ13-$AI13-$AH13-$AG13-$AF13-$AE13*(1+IG$3))/$AJ13,Уголь_коэфф!$A:$B,2,1),(IF13-0.05)))</f>
        <v>1</v>
      </c>
      <c r="IH13" s="102">
        <f>MIN(1,MAX(VLOOKUP(($AJ13-$AI13-$AH13-$AG13-$AF13-$AE13*(1+IH$3))/$AJ13,Уголь_коэфф!$A:$B,2,1),(IG13-0.05)))</f>
        <v>1</v>
      </c>
      <c r="II13" s="102">
        <f>MIN(1,MAX(VLOOKUP(($AJ13-$AI13-$AH13-$AG13-$AF13-$AE13*(1+II$3))/$AJ13,Уголь_коэфф!$A:$B,2,1),(IH13-0.05)))</f>
        <v>1</v>
      </c>
      <c r="IJ13" s="102">
        <f>MIN(1,MAX(VLOOKUP(($AJ13-$AI13-$AH13-$AG13-$AF13-$AE13*(1+IJ$3))/$AJ13,Уголь_коэфф!$A:$B,2,1),(II13-0.05)))</f>
        <v>1</v>
      </c>
      <c r="IK13" s="102">
        <f>MIN(1,MAX(VLOOKUP(($AJ13-$AI13-$AH13-$AG13-$AF13-$AE13*(1+IK$3))/$AJ13,Уголь_коэфф!$A:$B,2,1),(IJ13-0.05)))</f>
        <v>1</v>
      </c>
      <c r="IL13" s="102">
        <f>MIN(1,MAX(VLOOKUP(($AJ13-$AI13-$AH13-$AG13-$AF13-$AE13*(1+IL$3))/$AJ13,Уголь_коэфф!$A:$B,2,1),(IK13-0.05)))</f>
        <v>1</v>
      </c>
      <c r="IM13" s="102">
        <f>MIN(1,MAX(VLOOKUP(($AJ13-$AI13-$AH13-$AG13-$AF13-$AE13*(1+IM$3))/$AJ13,Уголь_коэфф!$A:$B,2,1),(IL13-0.05)))</f>
        <v>1</v>
      </c>
      <c r="IN13" s="102">
        <f>MIN(1,MAX(VLOOKUP(($AJ13-$AI13-$AH13-$AG13-$AF13-$AE13*(1+IN$3))/$AJ13,Уголь_коэфф!$A:$B,2,1),(IM13-0.05)))</f>
        <v>1</v>
      </c>
      <c r="IO13" s="102">
        <f>MIN(1,MAX(VLOOKUP(($AJ13-$AI13-$AH13-$AG13-$AF13-$AE13*(1+IO$3))/$AJ13,Уголь_коэфф!$A:$B,2,1),(IN13-0.05)))</f>
        <v>1</v>
      </c>
      <c r="IP13" s="102">
        <f>MIN(1,MAX(VLOOKUP(($AJ13-$AI13-$AH13-$AG13-$AF13-$AE13*(1+IP$3))/$AJ13,Уголь_коэфф!$A:$B,2,1),(IO13-0.05)))</f>
        <v>1</v>
      </c>
      <c r="IQ13" s="102">
        <f>MIN(1,MAX(VLOOKUP(($AJ13-$AI13-$AH13-$AG13-$AF13-$AE13*(1+IQ$3))/$AJ13,Уголь_коэфф!$A:$B,2,1),(IP13-0.05)))</f>
        <v>1</v>
      </c>
      <c r="IR13" s="102">
        <f>MIN(1,MAX(VLOOKUP(($AJ13-$AI13-$AH13-$AG13-$AF13-$AE13*(1+IR$3))/$AJ13,Уголь_коэфф!$A:$B,2,1),(IQ13-0.05)))</f>
        <v>1</v>
      </c>
      <c r="IS13" s="102">
        <f t="shared" si="20"/>
        <v>1</v>
      </c>
      <c r="IT13" s="102">
        <f t="shared" si="7"/>
        <v>1</v>
      </c>
      <c r="IU13" s="110"/>
    </row>
    <row r="14" spans="1:266" ht="14.6" customHeight="1">
      <c r="A14" t="s">
        <v>242</v>
      </c>
      <c r="B14" s="105">
        <v>1</v>
      </c>
      <c r="C14" s="127" t="s">
        <v>16</v>
      </c>
      <c r="D14" s="128">
        <v>16104</v>
      </c>
      <c r="E14" s="128" t="s">
        <v>88</v>
      </c>
      <c r="F14" s="127" t="s">
        <v>78</v>
      </c>
      <c r="G14" s="128" t="s">
        <v>45</v>
      </c>
      <c r="H14" s="127" t="s">
        <v>19</v>
      </c>
      <c r="I14" s="459" t="s">
        <v>89</v>
      </c>
      <c r="J14" s="128" t="s">
        <v>90</v>
      </c>
      <c r="K14" s="128">
        <v>5820</v>
      </c>
      <c r="L14" s="128" t="s">
        <v>22</v>
      </c>
      <c r="M14" s="128" t="s">
        <v>23</v>
      </c>
      <c r="N14" s="128" t="s">
        <v>24</v>
      </c>
      <c r="O14" s="127" t="s">
        <v>25</v>
      </c>
      <c r="P14" s="129">
        <v>57775656</v>
      </c>
      <c r="Q14" s="129" t="s">
        <v>91</v>
      </c>
      <c r="R14" s="128" t="s">
        <v>92</v>
      </c>
      <c r="S14" s="131">
        <v>1434447</v>
      </c>
      <c r="T14" s="130">
        <v>8349124223</v>
      </c>
      <c r="U14" s="130">
        <v>19225</v>
      </c>
      <c r="V14" s="130"/>
      <c r="W14" s="132">
        <v>3205086675</v>
      </c>
      <c r="X14" s="104">
        <v>75</v>
      </c>
      <c r="Y14" s="104" t="s">
        <v>163</v>
      </c>
      <c r="Z14" s="107">
        <v>13</v>
      </c>
      <c r="AA14" s="107">
        <v>14</v>
      </c>
      <c r="AB14" s="107">
        <v>4</v>
      </c>
      <c r="AC14" s="88">
        <v>2483.44</v>
      </c>
      <c r="AD14" s="88">
        <v>1092.0900000000001</v>
      </c>
      <c r="AE14" s="88">
        <f t="shared" ref="AE14:AE16" si="23">AC14+AD14</f>
        <v>3575.53</v>
      </c>
      <c r="AF14" s="89">
        <f>'Цены,перевалка,аренда'!$C$26*SUM(Уголь_эластика_экспорт!Z14+Уголь_эластика_экспорт!AA14+Уголь_эластика_экспорт!AB14)/Уголь_эластика_экспорт!X14</f>
        <v>413.33333333333331</v>
      </c>
      <c r="AG14" s="90">
        <f>SUMIF('Цены,перевалка,аренда'!$A$20:$A$22,Уголь_эластика_экспорт!$O14,'Цены,перевалка,аренда'!$D$20:$D$22)</f>
        <v>763.05499999999995</v>
      </c>
      <c r="AH14" s="47"/>
      <c r="AI14" s="91">
        <v>3876</v>
      </c>
      <c r="AJ14" s="92">
        <f>SUMIF('Цены,перевалка,аренда'!$A$5:$A$17,Уголь_эластика_экспорт!A14,'Цены,перевалка,аренда'!$D$5:$D$17)</f>
        <v>10911.6865</v>
      </c>
      <c r="AK14" s="47">
        <f>AJ14/'Цены,перевалка,аренда'!$C$1</f>
        <v>143</v>
      </c>
      <c r="AL14" s="47">
        <f t="shared" si="9"/>
        <v>4751.918333333334</v>
      </c>
      <c r="AM14" s="47">
        <f t="shared" si="10"/>
        <v>6159.7681666666658</v>
      </c>
      <c r="AN14" s="47">
        <f t="shared" si="11"/>
        <v>8627.9183333333331</v>
      </c>
      <c r="AO14" s="93">
        <f t="shared" si="12"/>
        <v>0.20929561774586053</v>
      </c>
      <c r="AP14" s="94">
        <f t="shared" si="13"/>
        <v>0.43548889837820526</v>
      </c>
      <c r="AQ14" s="94">
        <f t="shared" si="5"/>
        <v>0.32767895228661492</v>
      </c>
      <c r="AR14" s="94">
        <f t="shared" si="6"/>
        <v>0.75243927803192456</v>
      </c>
      <c r="AS14" s="167">
        <f t="shared" si="14"/>
        <v>1</v>
      </c>
      <c r="AT14" s="173">
        <f t="shared" si="15"/>
        <v>1434447</v>
      </c>
      <c r="AU14" s="97">
        <v>1</v>
      </c>
      <c r="AV14" s="93">
        <f t="shared" si="16"/>
        <v>0.17652772251719889</v>
      </c>
      <c r="AW14" s="94">
        <f t="shared" si="17"/>
        <v>0.46825679360686673</v>
      </c>
      <c r="AX14" s="94">
        <f t="shared" si="18"/>
        <v>0.36044684751527645</v>
      </c>
      <c r="AY14" s="94">
        <f t="shared" si="19"/>
        <v>0.76976319924553194</v>
      </c>
      <c r="AZ14" s="102">
        <f>MIN(IF($AU14=100%,1,1+VLOOKUP(($AJ14-$AI14-$AH14-$AG14-$AF14-$AE14*(1+AZ$3))/$AJ14,Уголь_коэфф!$A:$B,2,1)-VLOOKUP($AO14,Уголь_коэфф!$A:$B,2,1)),1+(1-$AU14))</f>
        <v>1</v>
      </c>
      <c r="BA14" s="102">
        <f>MIN(IF($AU14=100%,1,1+VLOOKUP(($AJ14-$AI14-$AH14-$AG14-$AF14-$AE14*(1+BA$3))/$AJ14,Уголь_коэфф!$A:$B,2,1)-VLOOKUP($AO14,Уголь_коэфф!$A:$B,2,1)),1+(1-$AU14))</f>
        <v>1</v>
      </c>
      <c r="BB14" s="102">
        <f>MIN(IF($AU14=100%,1,1+VLOOKUP(($AJ14-$AI14-$AH14-$AG14-$AF14-$AE14*(1+BB$3))/$AJ14,Уголь_коэфф!$A:$B,2,1)-VLOOKUP($AO14,Уголь_коэфф!$A:$B,2,1)),1+(1-$AU14))</f>
        <v>1</v>
      </c>
      <c r="BC14" s="102">
        <f>MIN(IF($AU14=100%,1,1+VLOOKUP(($AJ14-$AI14-$AH14-$AG14-$AF14-$AE14*(1+BC$3))/$AJ14,Уголь_коэфф!$A:$B,2,1)-VLOOKUP($AO14,Уголь_коэфф!$A:$B,2,1)),1+(1-$AU14))</f>
        <v>1</v>
      </c>
      <c r="BD14" s="102">
        <f>MIN(IF($AU14=100%,1,1+VLOOKUP(($AJ14-$AI14-$AH14-$AG14-$AF14-$AE14*(1+BD$3))/$AJ14,Уголь_коэфф!$A:$B,2,1)-VLOOKUP($AO14,Уголь_коэфф!$A:$B,2,1)),1+(1-$AU14))</f>
        <v>1</v>
      </c>
      <c r="BE14" s="102">
        <f>MIN(IF($AU14=100%,1,1+VLOOKUP(($AJ14-$AI14-$AH14-$AG14-$AF14-$AE14*(1+BE$3))/$AJ14,Уголь_коэфф!$A:$B,2,1)-VLOOKUP($AO14,Уголь_коэфф!$A:$B,2,1)),1+(1-$AU14))</f>
        <v>1</v>
      </c>
      <c r="BF14" s="102">
        <f>MIN(IF($AU14=100%,1,1+VLOOKUP(($AJ14-$AI14-$AH14-$AG14-$AF14-$AE14*(1+BF$3))/$AJ14,Уголь_коэфф!$A:$B,2,1)-VLOOKUP($AO14,Уголь_коэфф!$A:$B,2,1)),1+(1-$AU14))</f>
        <v>1</v>
      </c>
      <c r="BG14" s="102">
        <f>MIN(IF($AU14=100%,1,1+VLOOKUP(($AJ14-$AI14-$AH14-$AG14-$AF14-$AE14*(1+BG$3))/$AJ14,Уголь_коэфф!$A:$B,2,1)-VLOOKUP($AO14,Уголь_коэфф!$A:$B,2,1)),1+(1-$AU14))</f>
        <v>1</v>
      </c>
      <c r="BH14" s="102">
        <f>MIN(IF($AU14=100%,1,1+VLOOKUP(($AJ14-$AI14-$AH14-$AG14-$AF14-$AE14*(1+BH$3))/$AJ14,Уголь_коэфф!$A:$B,2,1)-VLOOKUP($AO14,Уголь_коэфф!$A:$B,2,1)),1+(1-$AU14))</f>
        <v>1</v>
      </c>
      <c r="BI14" s="102">
        <f>MIN(IF($AU14=100%,1,1+VLOOKUP(($AJ14-$AI14-$AH14-$AG14-$AF14-$AE14*(1+BI$3))/$AJ14,Уголь_коэфф!$A:$B,2,1)-VLOOKUP($AO14,Уголь_коэфф!$A:$B,2,1)),1+(1-$AU14))</f>
        <v>1</v>
      </c>
      <c r="BJ14" s="102">
        <f>MIN(IF($AU14=100%,1,1+VLOOKUP(($AJ14-$AI14-$AH14-$AG14-$AF14-$AE14*(1+BJ$3))/$AJ14,Уголь_коэфф!$A:$B,2,1)-VLOOKUP($AO14,Уголь_коэфф!$A:$B,2,1)),1+(1-$AU14))</f>
        <v>1</v>
      </c>
      <c r="BK14" s="102">
        <f>MIN(IF($AU14=100%,1,1+VLOOKUP(($AJ14-$AI14-$AH14-$AG14-$AF14-$AE14*(1+BK$3))/$AJ14,Уголь_коэфф!$A:$B,2,1)-VLOOKUP($AO14,Уголь_коэфф!$A:$B,2,1)),1+(1-$AU14))</f>
        <v>1</v>
      </c>
      <c r="BL14" s="102">
        <f>MIN(IF($AU14=100%,1,1+VLOOKUP(($AJ14-$AI14-$AH14-$AG14-$AF14-$AE14*(1+BL$3))/$AJ14,Уголь_коэфф!$A:$B,2,1)-VLOOKUP($AO14,Уголь_коэфф!$A:$B,2,1)),1+(1-$AU14))</f>
        <v>1</v>
      </c>
      <c r="BM14" s="102">
        <f>MIN(IF($AU14=100%,1,1+VLOOKUP(($AJ14-$AI14-$AH14-$AG14-$AF14-$AE14*(1+BM$3))/$AJ14,Уголь_коэфф!$A:$B,2,1)-VLOOKUP($AO14,Уголь_коэфф!$A:$B,2,1)),1+(1-$AU14))</f>
        <v>1</v>
      </c>
      <c r="BN14" s="102">
        <f>MIN(IF($AU14=100%,1,1+VLOOKUP(($AJ14-$AI14-$AH14-$AG14-$AF14-$AE14*(1+BN$3))/$AJ14,Уголь_коэфф!$A:$B,2,1)-VLOOKUP($AO14,Уголь_коэфф!$A:$B,2,1)),1+(1-$AU14))</f>
        <v>1</v>
      </c>
      <c r="BO14" s="102">
        <f>MIN(IF($AU14=100%,1,1+VLOOKUP(($AJ14-$AI14-$AH14-$AG14-$AF14-$AE14*(1+BO$3))/$AJ14,Уголь_коэфф!$A:$B,2,1)-VLOOKUP($AO14,Уголь_коэфф!$A:$B,2,1)),1+(1-$AU14))</f>
        <v>1</v>
      </c>
      <c r="BP14" s="102">
        <f>MIN(IF($AU14=100%,1,1+VLOOKUP(($AJ14-$AI14-$AH14-$AG14-$AF14-$AE14*(1+BP$3))/$AJ14,Уголь_коэфф!$A:$B,2,1)-VLOOKUP($AO14,Уголь_коэфф!$A:$B,2,1)),1+(1-$AU14))</f>
        <v>1</v>
      </c>
      <c r="BQ14" s="102">
        <f>MIN(IF($AU14=100%,1,1+VLOOKUP(($AJ14-$AI14-$AH14-$AG14-$AF14-$AE14*(1+BQ$3))/$AJ14,Уголь_коэфф!$A:$B,2,1)-VLOOKUP($AO14,Уголь_коэфф!$A:$B,2,1)),1+(1-$AU14))</f>
        <v>1</v>
      </c>
      <c r="BR14" s="102">
        <f>MIN(IF($AU14=100%,1,1+VLOOKUP(($AJ14-$AI14-$AH14-$AG14-$AF14-$AE14*(1+BR$3))/$AJ14,Уголь_коэфф!$A:$B,2,1)-VLOOKUP($AO14,Уголь_коэфф!$A:$B,2,1)),1+(1-$AU14))</f>
        <v>1</v>
      </c>
      <c r="BS14" s="102">
        <f>MIN(IF($AU14=100%,1,1+VLOOKUP(($AJ14-$AI14-$AH14-$AG14-$AF14-$AE14*(1+BS$3))/$AJ14,Уголь_коэфф!$A:$B,2,1)-VLOOKUP($AO14,Уголь_коэфф!$A:$B,2,1)),1+(1-$AU14))</f>
        <v>1</v>
      </c>
      <c r="BT14" s="102">
        <f>MIN(IF($AU14=100%,1,1+VLOOKUP(($AJ14-$AI14-$AH14-$AG14-$AF14-$AE14*(1+BT$3))/$AJ14,Уголь_коэфф!$A:$B,2,1)-VLOOKUP($AO14,Уголь_коэфф!$A:$B,2,1)),1+(1-$AU14))</f>
        <v>1</v>
      </c>
      <c r="BU14" s="102">
        <f>MIN(IF($AU14=100%,1,1+VLOOKUP(($AJ14-$AI14-$AH14-$AG14-$AF14-$AE14*(1+BU$3))/$AJ14,Уголь_коэфф!$A:$B,2,1)-VLOOKUP($AO14,Уголь_коэфф!$A:$B,2,1)),1+(1-$AU14))</f>
        <v>1</v>
      </c>
      <c r="BV14" s="102">
        <f>MIN(IF($AU14=100%,1,1+VLOOKUP(($AJ14-$AI14-$AH14-$AG14-$AF14-$AE14*(1+BV$3))/$AJ14,Уголь_коэфф!$A:$B,2,1)-VLOOKUP($AO14,Уголь_коэфф!$A:$B,2,1)),1+(1-$AU14))</f>
        <v>1</v>
      </c>
      <c r="BW14" s="102">
        <f>MIN(IF($AU14=100%,1,1+VLOOKUP(($AJ14-$AI14-$AH14-$AG14-$AF14-$AE14*(1+BW$3))/$AJ14,Уголь_коэфф!$A:$B,2,1)-VLOOKUP($AO14,Уголь_коэфф!$A:$B,2,1)),1+(1-$AU14))</f>
        <v>1</v>
      </c>
      <c r="BX14" s="102">
        <f>MIN(IF($AU14=100%,1,1+VLOOKUP(($AJ14-$AI14-$AH14-$AG14-$AF14-$AE14*(1+BX$3))/$AJ14,Уголь_коэфф!$A:$B,2,1)-VLOOKUP($AO14,Уголь_коэфф!$A:$B,2,1)),1+(1-$AU14))</f>
        <v>1</v>
      </c>
      <c r="BY14" s="102">
        <f>MIN(IF($AU14=100%,1,1+VLOOKUP(($AJ14-$AI14-$AH14-$AG14-$AF14-$AE14*(1+BY$3))/$AJ14,Уголь_коэфф!$A:$B,2,1)-VLOOKUP($AO14,Уголь_коэфф!$A:$B,2,1)),1+(1-$AU14))</f>
        <v>1</v>
      </c>
      <c r="BZ14" s="102">
        <f>MIN(IF($AU14=100%,1,1+VLOOKUP(($AJ14-$AI14-$AH14-$AG14-$AF14-$AE14*(1+BZ$3))/$AJ14,Уголь_коэфф!$A:$B,2,1)-VLOOKUP($AO14,Уголь_коэфф!$A:$B,2,1)),1+(1-$AU14))</f>
        <v>1</v>
      </c>
      <c r="CA14" s="102">
        <f>MIN(IF($AU14=100%,1,1+VLOOKUP(($AJ14-$AI14-$AH14-$AG14-$AF14-$AE14*(1+CA$3))/$AJ14,Уголь_коэфф!$A:$B,2,1)-VLOOKUP($AO14,Уголь_коэфф!$A:$B,2,1)),1+(1-$AU14))</f>
        <v>1</v>
      </c>
      <c r="CB14" s="102">
        <f>MIN(IF($AU14=100%,1,1+VLOOKUP(($AJ14-$AI14-$AH14-$AG14-$AF14-$AE14*(1+CB$3))/$AJ14,Уголь_коэфф!$A:$B,2,1)-VLOOKUP($AO14,Уголь_коэфф!$A:$B,2,1)),1+(1-$AU14))</f>
        <v>1</v>
      </c>
      <c r="CC14" s="102">
        <f>MIN(IF($AU14=100%,1,1+VLOOKUP(($AJ14-$AI14-$AH14-$AG14-$AF14-$AE14*(1+CC$3))/$AJ14,Уголь_коэфф!$A:$B,2,1)-VLOOKUP($AO14,Уголь_коэфф!$A:$B,2,1)),1+(1-$AU14))</f>
        <v>1</v>
      </c>
      <c r="CD14" s="102">
        <f>MIN(IF($AU14=100%,1,1+VLOOKUP(($AJ14-$AI14-$AH14-$AG14-$AF14-$AE14*(1+CD$3))/$AJ14,Уголь_коэфф!$A:$B,2,1)-VLOOKUP($AO14,Уголь_коэфф!$A:$B,2,1)),1+(1-$AU14))</f>
        <v>1</v>
      </c>
      <c r="CE14" s="102">
        <f>MIN(IF($AU14=100%,1,1+VLOOKUP(($AJ14-$AI14-$AH14-$AG14-$AF14-$AE14*(1+CE$3))/$AJ14,Уголь_коэфф!$A:$B,2,1)-VLOOKUP($AO14,Уголь_коэфф!$A:$B,2,1)),1+(1-$AU14))</f>
        <v>1</v>
      </c>
      <c r="CF14" s="102">
        <f>MIN(IF($AU14=100%,1,1+VLOOKUP(($AJ14-$AI14-$AH14-$AG14-$AF14-$AE14*(1+CF$3))/$AJ14,Уголь_коэфф!$A:$B,2,1)-VLOOKUP($AO14,Уголь_коэфф!$A:$B,2,1)),1+(1-$AU14))</f>
        <v>1</v>
      </c>
      <c r="CG14" s="102">
        <f>MIN(IF($AU14=100%,1,1+VLOOKUP(($AJ14-$AI14-$AH14-$AG14-$AF14-$AE14*(1+CG$3))/$AJ14,Уголь_коэфф!$A:$B,2,1)-VLOOKUP($AO14,Уголь_коэфф!$A:$B,2,1)),1+(1-$AU14))</f>
        <v>1</v>
      </c>
      <c r="CH14" s="102">
        <f>MIN(IF($AU14=100%,1,1+VLOOKUP(($AJ14-$AI14-$AH14-$AG14-$AF14-$AE14*(1+CH$3))/$AJ14,Уголь_коэфф!$A:$B,2,1)-VLOOKUP($AO14,Уголь_коэфф!$A:$B,2,1)),1+(1-$AU14))</f>
        <v>1</v>
      </c>
      <c r="CI14" s="102">
        <f>MIN(IF($AU14=100%,1,1+VLOOKUP(($AJ14-$AI14-$AH14-$AG14-$AF14-$AE14*(1+CI$3))/$AJ14,Уголь_коэфф!$A:$B,2,1)-VLOOKUP($AO14,Уголь_коэфф!$A:$B,2,1)),1+(1-$AU14))</f>
        <v>1</v>
      </c>
      <c r="CJ14" s="102">
        <f>MIN(IF($AU14=100%,1,1+VLOOKUP(($AJ14-$AI14-$AH14-$AG14-$AF14-$AE14*(1+CJ$3))/$AJ14,Уголь_коэфф!$A:$B,2,1)-VLOOKUP($AO14,Уголь_коэфф!$A:$B,2,1)),1+(1-$AU14))</f>
        <v>1</v>
      </c>
      <c r="CK14" s="102">
        <f>MIN(IF($AU14=100%,1,1+VLOOKUP(($AJ14-$AI14-$AH14-$AG14-$AF14-$AE14*(1+CK$3))/$AJ14,Уголь_коэфф!$A:$B,2,1)-VLOOKUP($AO14,Уголь_коэфф!$A:$B,2,1)),1+(1-$AU14))</f>
        <v>1</v>
      </c>
      <c r="CL14" s="102">
        <f>MIN(IF($AU14=100%,1,1+VLOOKUP(($AJ14-$AI14-$AH14-$AG14-$AF14-$AE14*(1+CL$3))/$AJ14,Уголь_коэфф!$A:$B,2,1)-VLOOKUP($AO14,Уголь_коэфф!$A:$B,2,1)),1+(1-$AU14))</f>
        <v>1</v>
      </c>
      <c r="CM14" s="102">
        <f>MIN(IF($AU14=100%,1,1+VLOOKUP(($AJ14-$AI14-$AH14-$AG14-$AF14-$AE14*(1+CM$3))/$AJ14,Уголь_коэфф!$A:$B,2,1)-VLOOKUP($AO14,Уголь_коэфф!$A:$B,2,1)),1+(1-$AU14))</f>
        <v>1</v>
      </c>
      <c r="CN14" s="102">
        <f>MIN(IF($AU14=100%,1,1+VLOOKUP(($AJ14-$AI14-$AH14-$AG14-$AF14-$AE14*(1+CN$3))/$AJ14,Уголь_коэфф!$A:$B,2,1)-VLOOKUP($AO14,Уголь_коэфф!$A:$B,2,1)),1+(1-$AU14))</f>
        <v>1</v>
      </c>
      <c r="CO14" s="102">
        <f>MIN(IF($AU14=100%,1,1+VLOOKUP(($AJ14-$AI14-$AH14-$AG14-$AF14-$AE14*(1+CO$3))/$AJ14,Уголь_коэфф!$A:$B,2,1)-VLOOKUP($AO14,Уголь_коэфф!$A:$B,2,1)),1+(1-$AU14))</f>
        <v>1</v>
      </c>
      <c r="CP14" s="102">
        <f>MIN(IF($AU14=100%,1,1+VLOOKUP(($AJ14-$AI14-$AH14-$AG14-$AF14-$AE14*(1+CP$3))/$AJ14,Уголь_коэфф!$A:$B,2,1)-VLOOKUP($AO14,Уголь_коэфф!$A:$B,2,1)),1+(1-$AU14))</f>
        <v>1</v>
      </c>
      <c r="CQ14" s="102">
        <f>MIN(IF($AU14=100%,1,1+VLOOKUP(($AJ14-$AI14-$AH14-$AG14-$AF14-$AE14*(1+CQ$3))/$AJ14,Уголь_коэфф!$A:$B,2,1)-VLOOKUP($AO14,Уголь_коэфф!$A:$B,2,1)),1+(1-$AU14))</f>
        <v>1</v>
      </c>
      <c r="CR14" s="102">
        <f>MIN(IF($AU14=100%,1,1+VLOOKUP(($AJ14-$AI14-$AH14-$AG14-$AF14-$AE14*(1+CR$3))/$AJ14,Уголь_коэфф!$A:$B,2,1)-VLOOKUP($AO14,Уголь_коэфф!$A:$B,2,1)),1+(1-$AU14))</f>
        <v>1</v>
      </c>
      <c r="CS14" s="102">
        <f>MIN(IF($AU14=100%,1,1+VLOOKUP(($AJ14-$AI14-$AH14-$AG14-$AF14-$AE14*(1+CS$3))/$AJ14,Уголь_коэфф!$A:$B,2,1)-VLOOKUP($AO14,Уголь_коэфф!$A:$B,2,1)),1+(1-$AU14))</f>
        <v>1</v>
      </c>
      <c r="CT14" s="102">
        <f>MIN(IF($AU14=100%,1,1+VLOOKUP(($AJ14-$AI14-$AH14-$AG14-$AF14-$AE14*(1+CT$3))/$AJ14,Уголь_коэфф!$A:$B,2,1)-VLOOKUP($AO14,Уголь_коэфф!$A:$B,2,1)),1+(1-$AU14))</f>
        <v>1</v>
      </c>
      <c r="CU14" s="102">
        <f>MIN(IF($AU14=100%,1,1+VLOOKUP(($AJ14-$AI14-$AH14-$AG14-$AF14-$AE14*(1+CU$3))/$AJ14,Уголь_коэфф!$A:$B,2,1)-VLOOKUP($AO14,Уголь_коэфф!$A:$B,2,1)),1+(1-$AU14))</f>
        <v>1</v>
      </c>
      <c r="CV14" s="102">
        <f>MIN(IF($AU14=100%,1,1+VLOOKUP(($AJ14-$AI14-$AH14-$AG14-$AF14-$AE14*(1+CV$3))/$AJ14,Уголь_коэфф!$A:$B,2,1)-VLOOKUP($AO14,Уголь_коэфф!$A:$B,2,1)),1+(1-$AU14))</f>
        <v>1</v>
      </c>
      <c r="CW14" s="102">
        <f>MIN(IF($AU14=100%,1,1+VLOOKUP(($AJ14-$AI14-$AH14-$AG14-$AF14-$AE14*(1+CW$3))/$AJ14,Уголь_коэфф!$A:$B,2,1)-VLOOKUP($AO14,Уголь_коэфф!$A:$B,2,1)),1+(1-$AU14))</f>
        <v>1</v>
      </c>
      <c r="CX14" s="102">
        <f>MIN(IF($AU14=100%,1,1+VLOOKUP(($AJ14-$AI14-$AH14-$AG14-$AF14-$AE14*(1+CX$3))/$AJ14,Уголь_коэфф!$A:$B,2,1)-VLOOKUP($AO14,Уголь_коэфф!$A:$B,2,1)),1+(1-$AU14))</f>
        <v>1</v>
      </c>
      <c r="CY14" s="102">
        <f>MIN(IF($AU14=100%,1,1+VLOOKUP(($AJ14-$AI14-$AH14-$AG14-$AF14-$AE14*(1+CY$3))/$AJ14,Уголь_коэфф!$A:$B,2,1)-VLOOKUP($AO14,Уголь_коэфф!$A:$B,2,1)),1+(1-$AU14))</f>
        <v>1</v>
      </c>
      <c r="CZ14" s="102">
        <f>MIN(IF($AU14=100%,1,1+VLOOKUP(($AJ14-$AI14-$AH14-$AG14-$AF14-$AE14*(1+CZ$3))/$AJ14,Уголь_коэфф!$A:$B,2,1)-VLOOKUP($AO14,Уголь_коэфф!$A:$B,2,1)),1+(1-$AU14))</f>
        <v>1</v>
      </c>
      <c r="DA14" s="102">
        <f>MIN(IF($AU14=100%,1,1+VLOOKUP(($AJ14-$AI14-$AH14-$AG14-$AF14-$AE14*(1+DA$3))/$AJ14,Уголь_коэфф!$A:$B,2,1)-VLOOKUP($AO14,Уголь_коэфф!$A:$B,2,1)),1+(1-$AU14))</f>
        <v>1</v>
      </c>
      <c r="DB14" s="102">
        <f>MIN(IF($AU14=100%,1,1+VLOOKUP(($AJ14-$AI14-$AH14-$AG14-$AF14-$AE14*(1+DB$3))/$AJ14,Уголь_коэфф!$A:$B,2,1)-VLOOKUP($AO14,Уголь_коэфф!$A:$B,2,1)),1+(1-$AU14))</f>
        <v>1</v>
      </c>
      <c r="DC14" s="102">
        <f>MIN(IF($AU14=100%,1,1+VLOOKUP(($AJ14-$AI14-$AH14-$AG14-$AF14-$AE14*(1+DC$3))/$AJ14,Уголь_коэфф!$A:$B,2,1)-VLOOKUP($AO14,Уголь_коэфф!$A:$B,2,1)),1+(1-$AU14))</f>
        <v>1</v>
      </c>
      <c r="DD14" s="102">
        <f>MIN(IF($AU14=100%,1,1+VLOOKUP(($AJ14-$AI14-$AH14-$AG14-$AF14-$AE14*(1+DD$3))/$AJ14,Уголь_коэфф!$A:$B,2,1)-VLOOKUP($AO14,Уголь_коэфф!$A:$B,2,1)),1+(1-$AU14))</f>
        <v>1</v>
      </c>
      <c r="DE14" s="102">
        <f>MIN(IF($AU14=100%,1,1+VLOOKUP(($AJ14-$AI14-$AH14-$AG14-$AF14-$AE14*(1+DE$3))/$AJ14,Уголь_коэфф!$A:$B,2,1)-VLOOKUP($AO14,Уголь_коэфф!$A:$B,2,1)),1+(1-$AU14))</f>
        <v>1</v>
      </c>
      <c r="DF14" s="102">
        <f>MIN(IF($AU14=100%,1,1+VLOOKUP(($AJ14-$AI14-$AH14-$AG14-$AF14-$AE14*(1+DF$3))/$AJ14,Уголь_коэфф!$A:$B,2,1)-VLOOKUP($AO14,Уголь_коэфф!$A:$B,2,1)),1+(1-$AU14))</f>
        <v>1</v>
      </c>
      <c r="DG14" s="102">
        <f>MIN(IF($AU14=100%,1,1+VLOOKUP(($AJ14-$AI14-$AH14-$AG14-$AF14-$AE14*(1+DG$3))/$AJ14,Уголь_коэфф!$A:$B,2,1)-VLOOKUP($AO14,Уголь_коэфф!$A:$B,2,1)),1+(1-$AU14))</f>
        <v>1</v>
      </c>
      <c r="DH14" s="102">
        <f>MIN(IF($AU14=100%,1,1+VLOOKUP(($AJ14-$AI14-$AH14-$AG14-$AF14-$AE14*(1+DH$3))/$AJ14,Уголь_коэфф!$A:$B,2,1)-VLOOKUP($AO14,Уголь_коэфф!$A:$B,2,1)),1+(1-$AU14))</f>
        <v>1</v>
      </c>
      <c r="DI14" s="102">
        <f>MIN(IF($AU14=100%,1,1+VLOOKUP(($AJ14-$AI14-$AH14-$AG14-$AF14-$AE14*(1+DI$3))/$AJ14,Уголь_коэфф!$A:$B,2,1)-VLOOKUP($AO14,Уголь_коэфф!$A:$B,2,1)),1+(1-$AU14))</f>
        <v>1</v>
      </c>
      <c r="DJ14" s="102">
        <f>MIN(IF($AU14=100%,1,1+VLOOKUP(($AJ14-$AI14-$AH14-$AG14-$AF14-$AE14*(1+DJ$3))/$AJ14,Уголь_коэфф!$A:$B,2,1)-VLOOKUP($AO14,Уголь_коэфф!$A:$B,2,1)),1+(1-$AU14))</f>
        <v>1</v>
      </c>
      <c r="DK14" s="102">
        <f>MIN(IF($AU14=100%,1,1+VLOOKUP(($AJ14-$AI14-$AH14-$AG14-$AF14-$AE14*(1+DK$3))/$AJ14,Уголь_коэфф!$A:$B,2,1)-VLOOKUP($AO14,Уголь_коэфф!$A:$B,2,1)),1+(1-$AU14))</f>
        <v>1</v>
      </c>
      <c r="DL14" s="102">
        <f>MIN(IF($AU14=100%,1,1+VLOOKUP(($AJ14-$AI14-$AH14-$AG14-$AF14-$AE14*(1+DL$3))/$AJ14,Уголь_коэфф!$A:$B,2,1)-VLOOKUP($AO14,Уголь_коэфф!$A:$B,2,1)),1+(1-$AU14))</f>
        <v>1</v>
      </c>
      <c r="DM14" s="102">
        <f>MIN(IF($AU14=100%,1,1+VLOOKUP(($AJ14-$AI14-$AH14-$AG14-$AF14-$AE14*(1+DM$3))/$AJ14,Уголь_коэфф!$A:$B,2,1)-VLOOKUP($AO14,Уголь_коэфф!$A:$B,2,1)),1+(1-$AU14))</f>
        <v>1</v>
      </c>
      <c r="DN14" s="102">
        <f>MIN(IF($AU14=100%,1,1+VLOOKUP(($AJ14-$AI14-$AH14-$AG14-$AF14-$AE14*(1+DN$3))/$AJ14,Уголь_коэфф!$A:$B,2,1)-VLOOKUP($AO14,Уголь_коэфф!$A:$B,2,1)),1+(1-$AU14))</f>
        <v>1</v>
      </c>
      <c r="DO14" s="102">
        <f>MIN(IF($AU14=100%,1,1+VLOOKUP(($AJ14-$AI14-$AH14-$AG14-$AF14-$AE14*(1+DO$3))/$AJ14,Уголь_коэфф!$A:$B,2,1)-VLOOKUP($AO14,Уголь_коэфф!$A:$B,2,1)),1+(1-$AU14))</f>
        <v>1</v>
      </c>
      <c r="DP14" s="102">
        <f>MIN(IF($AU14=100%,1,1+VLOOKUP(($AJ14-$AI14-$AH14-$AG14-$AF14-$AE14*(1+DP$3))/$AJ14,Уголь_коэфф!$A:$B,2,1)-VLOOKUP($AO14,Уголь_коэфф!$A:$B,2,1)),1+(1-$AU14))</f>
        <v>1</v>
      </c>
      <c r="DQ14" s="102">
        <f>MIN(IF($AU14=100%,1,1+VLOOKUP(($AJ14-$AI14-$AH14-$AG14-$AF14-$AE14*(1+DQ$3))/$AJ14,Уголь_коэфф!$A:$B,2,1)-VLOOKUP($AO14,Уголь_коэфф!$A:$B,2,1)),1+(1-$AU14))</f>
        <v>1</v>
      </c>
      <c r="DR14" s="102">
        <f>MIN(IF($AU14=100%,1,1+VLOOKUP(($AJ14-$AI14-$AH14-$AG14-$AF14-$AE14*(1+DR$3))/$AJ14,Уголь_коэфф!$A:$B,2,1)-VLOOKUP($AO14,Уголь_коэфф!$A:$B,2,1)),1+(1-$AU14))</f>
        <v>1</v>
      </c>
      <c r="DS14" s="102">
        <f>MIN(IF($AU14=100%,1,1+VLOOKUP(($AJ14-$AI14-$AH14-$AG14-$AF14-$AE14*(1+DS$3))/$AJ14,Уголь_коэфф!$A:$B,2,1)-VLOOKUP($AO14,Уголь_коэфф!$A:$B,2,1)),1+(1-$AU14))</f>
        <v>1</v>
      </c>
      <c r="DT14" s="102">
        <f>MIN(IF($AU14=100%,1,1+VLOOKUP(($AJ14-$AI14-$AH14-$AG14-$AF14-$AE14*(1+DT$3))/$AJ14,Уголь_коэфф!$A:$B,2,1)-VLOOKUP($AO14,Уголь_коэфф!$A:$B,2,1)),1+(1-$AU14))</f>
        <v>1</v>
      </c>
      <c r="DU14" s="102">
        <f>MIN(IF($AU14=100%,1,1+VLOOKUP(($AJ14-$AI14-$AH14-$AG14-$AF14-$AE14*(1+DU$3))/$AJ14,Уголь_коэфф!$A:$B,2,1)-VLOOKUP($AO14,Уголь_коэфф!$A:$B,2,1)),1+(1-$AU14))</f>
        <v>1</v>
      </c>
      <c r="DV14" s="102">
        <f>MIN(IF($AU14=100%,1,1+VLOOKUP(($AJ14-$AI14-$AH14-$AG14-$AF14-$AE14*(1+DV$3))/$AJ14,Уголь_коэфф!$A:$B,2,1)-VLOOKUP($AO14,Уголь_коэфф!$A:$B,2,1)),1+(1-$AU14))</f>
        <v>1</v>
      </c>
      <c r="DW14" s="102">
        <f>MIN(IF($AU14=100%,1,1+VLOOKUP(($AJ14-$AI14-$AH14-$AG14-$AF14-$AE14*(1+DW$3))/$AJ14,Уголь_коэфф!$A:$B,2,1)-VLOOKUP($AO14,Уголь_коэфф!$A:$B,2,1)),1+(1-$AU14))</f>
        <v>1</v>
      </c>
      <c r="DX14" s="102">
        <f>MIN(IF($AU14=100%,1,1+VLOOKUP(($AJ14-$AI14-$AH14-$AG14-$AF14-$AE14*(1+DX$3))/$AJ14,Уголь_коэфф!$A:$B,2,1)-VLOOKUP($AO14,Уголь_коэфф!$A:$B,2,1)),1+(1-$AU14))</f>
        <v>1</v>
      </c>
      <c r="DY14" s="102">
        <f>MIN(IF($AU14=100%,1,1+VLOOKUP(($AJ14-$AI14-$AH14-$AG14-$AF14-$AE14*(1+DY$3))/$AJ14,Уголь_коэфф!$A:$B,2,1)-VLOOKUP($AO14,Уголь_коэфф!$A:$B,2,1)),1+(1-$AU14))</f>
        <v>1</v>
      </c>
      <c r="DZ14" s="102">
        <f>MIN(IF($AU14=100%,1,1+VLOOKUP(($AJ14-$AI14-$AH14-$AG14-$AF14-$AE14*(1+DZ$3))/$AJ14,Уголь_коэфф!$A:$B,2,1)-VLOOKUP($AO14,Уголь_коэфф!$A:$B,2,1)),1+(1-$AU14))</f>
        <v>1</v>
      </c>
      <c r="EA14" s="102">
        <f>MIN(IF($AU14=100%,1,1+VLOOKUP(($AJ14-$AI14-$AH14-$AG14-$AF14-$AE14*(1+EA$3))/$AJ14,Уголь_коэфф!$A:$B,2,1)-VLOOKUP($AO14,Уголь_коэфф!$A:$B,2,1)),1+(1-$AU14))</f>
        <v>1</v>
      </c>
      <c r="EB14" s="102">
        <f>MIN(IF($AU14=100%,1,1+VLOOKUP(($AJ14-$AI14-$AH14-$AG14-$AF14-$AE14*(1+EB$3))/$AJ14,Уголь_коэфф!$A:$B,2,1)-VLOOKUP($AO14,Уголь_коэфф!$A:$B,2,1)),1+(1-$AU14))</f>
        <v>1</v>
      </c>
      <c r="EC14" s="102">
        <f>MIN(IF($AU14=100%,1,1+VLOOKUP(($AJ14-$AI14-$AH14-$AG14-$AF14-$AE14*(1+EC$3))/$AJ14,Уголь_коэфф!$A:$B,2,1)-VLOOKUP($AO14,Уголь_коэфф!$A:$B,2,1)),1+(1-$AU14))</f>
        <v>1</v>
      </c>
      <c r="ED14" s="102">
        <f>MIN(IF($AU14=100%,1,1+VLOOKUP(($AJ14-$AI14-$AH14-$AG14-$AF14-$AE14*(1+ED$3))/$AJ14,Уголь_коэфф!$A:$B,2,1)-VLOOKUP($AO14,Уголь_коэфф!$A:$B,2,1)),1+(1-$AU14))</f>
        <v>1</v>
      </c>
      <c r="EE14" s="102">
        <f>MIN(IF($AU14=100%,1,1+VLOOKUP(($AJ14-$AI14-$AH14-$AG14-$AF14-$AE14*(1+EE$3))/$AJ14,Уголь_коэфф!$A:$B,2,1)-VLOOKUP($AO14,Уголь_коэфф!$A:$B,2,1)),1+(1-$AU14))</f>
        <v>1</v>
      </c>
      <c r="EF14" s="102">
        <f>MIN(IF($AU14=100%,1,1+VLOOKUP(($AJ14-$AI14-$AH14-$AG14-$AF14-$AE14*(1+EF$3))/$AJ14,Уголь_коэфф!$A:$B,2,1)-VLOOKUP($AO14,Уголь_коэфф!$A:$B,2,1)),1+(1-$AU14))</f>
        <v>1</v>
      </c>
      <c r="EG14" s="102">
        <f>MIN(IF($AU14=100%,1,1+VLOOKUP(($AJ14-$AI14-$AH14-$AG14-$AF14-$AE14*(1+EG$3))/$AJ14,Уголь_коэфф!$A:$B,2,1)-VLOOKUP($AO14,Уголь_коэфф!$A:$B,2,1)),1+(1-$AU14))</f>
        <v>1</v>
      </c>
      <c r="EH14" s="102">
        <f>MIN(IF($AU14=100%,1,1+VLOOKUP(($AJ14-$AI14-$AH14-$AG14-$AF14-$AE14*(1+EH$3))/$AJ14,Уголь_коэфф!$A:$B,2,1)-VLOOKUP($AO14,Уголь_коэфф!$A:$B,2,1)),1+(1-$AU14))</f>
        <v>1</v>
      </c>
      <c r="EI14" s="102">
        <f>MIN(IF($AU14=100%,1,1+VLOOKUP(($AJ14-$AI14-$AH14-$AG14-$AF14-$AE14*(1+EI$3))/$AJ14,Уголь_коэфф!$A:$B,2,1)-VLOOKUP($AO14,Уголь_коэфф!$A:$B,2,1)),1+(1-$AU14))</f>
        <v>1</v>
      </c>
      <c r="EJ14" s="102">
        <f>MIN(IF($AU14=100%,1,1+VLOOKUP(($AJ14-$AI14-$AH14-$AG14-$AF14-$AE14*(1+EJ$3))/$AJ14,Уголь_коэфф!$A:$B,2,1)-VLOOKUP($AO14,Уголь_коэфф!$A:$B,2,1)),1+(1-$AU14))</f>
        <v>1</v>
      </c>
      <c r="EK14" s="102">
        <f>MIN(IF($AU14=100%,1,1+VLOOKUP(($AJ14-$AI14-$AH14-$AG14-$AF14-$AE14*(1+EK$3))/$AJ14,Уголь_коэфф!$A:$B,2,1)-VLOOKUP($AO14,Уголь_коэфф!$A:$B,2,1)),1+(1-$AU14))</f>
        <v>1</v>
      </c>
      <c r="EL14" s="102">
        <f>MIN(IF($AU14=100%,1,1+VLOOKUP(($AJ14-$AI14-$AH14-$AG14-$AF14-$AE14*(1+EL$3))/$AJ14,Уголь_коэфф!$A:$B,2,1)-VLOOKUP($AO14,Уголь_коэфф!$A:$B,2,1)),1+(1-$AU14))</f>
        <v>1</v>
      </c>
      <c r="EM14" s="102">
        <f>MIN(IF($AU14=100%,1,1+VLOOKUP(($AJ14-$AI14-$AH14-$AG14-$AF14-$AE14*(1+EM$3))/$AJ14,Уголь_коэфф!$A:$B,2,1)-VLOOKUP($AO14,Уголь_коэфф!$A:$B,2,1)),1+(1-$AU14))</f>
        <v>1</v>
      </c>
      <c r="EN14" s="102">
        <f>MIN(IF($AU14=100%,1,1+VLOOKUP(($AJ14-$AI14-$AH14-$AG14-$AF14-$AE14*(1+EN$3))/$AJ14,Уголь_коэфф!$A:$B,2,1)-VLOOKUP($AO14,Уголь_коэфф!$A:$B,2,1)),1+(1-$AU14))</f>
        <v>1</v>
      </c>
      <c r="EO14" s="102">
        <f>MIN(IF($AU14=100%,1,1+VLOOKUP(($AJ14-$AI14-$AH14-$AG14-$AF14-$AE14*(1+EO$3))/$AJ14,Уголь_коэфф!$A:$B,2,1)-VLOOKUP($AO14,Уголь_коэфф!$A:$B,2,1)),1+(1-$AU14))</f>
        <v>1</v>
      </c>
      <c r="EP14" s="102">
        <f>MIN(IF($AU14=100%,1,1+VLOOKUP(($AJ14-$AI14-$AH14-$AG14-$AF14-$AE14*(1+EP$3))/$AJ14,Уголь_коэфф!$A:$B,2,1)-VLOOKUP($AO14,Уголь_коэфф!$A:$B,2,1)),1+(1-$AU14))</f>
        <v>1</v>
      </c>
      <c r="EQ14" s="102">
        <f>MIN(IF($AU14=100%,1,1+VLOOKUP(($AJ14-$AI14-$AH14-$AG14-$AF14-$AE14*(1+EQ$3))/$AJ14,Уголь_коэфф!$A:$B,2,1)-VLOOKUP($AO14,Уголь_коэфф!$A:$B,2,1)),1+(1-$AU14))</f>
        <v>1</v>
      </c>
      <c r="ER14" s="102">
        <f>MIN(IF($AU14=100%,1,1+VLOOKUP(($AJ14-$AI14-$AH14-$AG14-$AF14-$AE14*(1+ER$3))/$AJ14,Уголь_коэфф!$A:$B,2,1)-VLOOKUP($AO14,Уголь_коэфф!$A:$B,2,1)),1+(1-$AU14))</f>
        <v>1</v>
      </c>
      <c r="ES14" s="102">
        <f>MIN(IF($AU14=100%,1,1+VLOOKUP(($AJ14-$AI14-$AH14-$AG14-$AF14-$AE14*(1+ES$3))/$AJ14,Уголь_коэфф!$A:$B,2,1)-VLOOKUP($AO14,Уголь_коэфф!$A:$B,2,1)),1+(1-$AU14))</f>
        <v>1</v>
      </c>
      <c r="ET14" s="102">
        <f>MIN(IF($AU14=100%,1,1+VLOOKUP(($AJ14-$AI14-$AH14-$AG14-$AF14-$AE14*(1+ET$3))/$AJ14,Уголь_коэфф!$A:$B,2,1)-VLOOKUP($AO14,Уголь_коэфф!$A:$B,2,1)),1+(1-$AU14))</f>
        <v>1</v>
      </c>
      <c r="EU14" s="102">
        <f>MIN(IF($AU14=100%,1,1+VLOOKUP(($AJ14-$AI14-$AH14-$AG14-$AF14-$AE14*(1+EU$3))/$AJ14,Уголь_коэфф!$A:$B,2,1)-VLOOKUP($AO14,Уголь_коэфф!$A:$B,2,1)),1+(1-$AU14))</f>
        <v>1</v>
      </c>
      <c r="EV14" s="103">
        <v>1</v>
      </c>
      <c r="EW14" s="102">
        <f>MIN(1,MAX(VLOOKUP(($AJ14-$AI14-$AH14-$AG14-$AF14-$AE14*(1+EW$3))/$AJ14,Уголь_коэфф!$A:$B,2,1),(EV14-0.05)))</f>
        <v>1</v>
      </c>
      <c r="EX14" s="102">
        <f>MIN(1,MAX(VLOOKUP(($AJ14-$AI14-$AH14-$AG14-$AF14-$AE14*(1+EX$3))/$AJ14,Уголь_коэфф!$A:$B,2,1),(EW14-0.05)))</f>
        <v>1</v>
      </c>
      <c r="EY14" s="102">
        <f>MIN(1,MAX(VLOOKUP(($AJ14-$AI14-$AH14-$AG14-$AF14-$AE14*(1+EY$3))/$AJ14,Уголь_коэфф!$A:$B,2,1),(EX14-0.05)))</f>
        <v>1</v>
      </c>
      <c r="EZ14" s="102">
        <f>MIN(1,MAX(VLOOKUP(($AJ14-$AI14-$AH14-$AG14-$AF14-$AE14*(1+EZ$3))/$AJ14,Уголь_коэфф!$A:$B,2,1),(EY14-0.05)))</f>
        <v>1</v>
      </c>
      <c r="FA14" s="102">
        <f>MIN(1,MAX(VLOOKUP(($AJ14-$AI14-$AH14-$AG14-$AF14-$AE14*(1+FA$3))/$AJ14,Уголь_коэфф!$A:$B,2,1),(EZ14-0.05)))</f>
        <v>1</v>
      </c>
      <c r="FB14" s="102">
        <f>MIN(1,MAX(VLOOKUP(($AJ14-$AI14-$AH14-$AG14-$AF14-$AE14*(1+FB$3))/$AJ14,Уголь_коэфф!$A:$B,2,1),(FA14-0.05)))</f>
        <v>1</v>
      </c>
      <c r="FC14" s="102">
        <f>MIN(1,MAX(VLOOKUP(($AJ14-$AI14-$AH14-$AG14-$AF14-$AE14*(1+FC$3))/$AJ14,Уголь_коэфф!$A:$B,2,1),(FB14-0.05)))</f>
        <v>1</v>
      </c>
      <c r="FD14" s="102">
        <f>MIN(1,MAX(VLOOKUP(($AJ14-$AI14-$AH14-$AG14-$AF14-$AE14*(1+FD$3))/$AJ14,Уголь_коэфф!$A:$B,2,1),(FC14-0.05)))</f>
        <v>1</v>
      </c>
      <c r="FE14" s="102">
        <f>MIN(1,MAX(VLOOKUP(($AJ14-$AI14-$AH14-$AG14-$AF14-$AE14*(1+FE$3))/$AJ14,Уголь_коэфф!$A:$B,2,1),(FD14-0.05)))</f>
        <v>1</v>
      </c>
      <c r="FF14" s="102">
        <f>MIN(1,MAX(VLOOKUP(($AJ14-$AI14-$AH14-$AG14-$AF14-$AE14*(1+FF$3))/$AJ14,Уголь_коэфф!$A:$B,2,1),(FE14-0.05)))</f>
        <v>1</v>
      </c>
      <c r="FG14" s="102">
        <f>MIN(1,MAX(VLOOKUP(($AJ14-$AI14-$AH14-$AG14-$AF14-$AE14*(1+FG$3))/$AJ14,Уголь_коэфф!$A:$B,2,1),(FF14-0.05)))</f>
        <v>1</v>
      </c>
      <c r="FH14" s="102">
        <f>MIN(1,MAX(VLOOKUP(($AJ14-$AI14-$AH14-$AG14-$AF14-$AE14*(1+FH$3))/$AJ14,Уголь_коэфф!$A:$B,2,1),(FG14-0.05)))</f>
        <v>1</v>
      </c>
      <c r="FI14" s="102">
        <f>MIN(1,MAX(VLOOKUP(($AJ14-$AI14-$AH14-$AG14-$AF14-$AE14*(1+FI$3))/$AJ14,Уголь_коэфф!$A:$B,2,1),(FH14-0.05)))</f>
        <v>1</v>
      </c>
      <c r="FJ14" s="102">
        <f>MIN(1,MAX(VLOOKUP(($AJ14-$AI14-$AH14-$AG14-$AF14-$AE14*(1+FJ$3))/$AJ14,Уголь_коэфф!$A:$B,2,1),(FI14-0.05)))</f>
        <v>1</v>
      </c>
      <c r="FK14" s="102">
        <f>MIN(1,MAX(VLOOKUP(($AJ14-$AI14-$AH14-$AG14-$AF14-$AE14*(1+FK$3))/$AJ14,Уголь_коэфф!$A:$B,2,1),(FJ14-0.05)))</f>
        <v>1</v>
      </c>
      <c r="FL14" s="102">
        <f>MIN(1,MAX(VLOOKUP(($AJ14-$AI14-$AH14-$AG14-$AF14-$AE14*(1+FL$3))/$AJ14,Уголь_коэфф!$A:$B,2,1),(FK14-0.05)))</f>
        <v>1</v>
      </c>
      <c r="FM14" s="102">
        <f>MIN(1,MAX(VLOOKUP(($AJ14-$AI14-$AH14-$AG14-$AF14-$AE14*(1+FM$3))/$AJ14,Уголь_коэфф!$A:$B,2,1),(FL14-0.05)))</f>
        <v>1</v>
      </c>
      <c r="FN14" s="102">
        <f>MIN(1,MAX(VLOOKUP(($AJ14-$AI14-$AH14-$AG14-$AF14-$AE14*(1+FN$3))/$AJ14,Уголь_коэфф!$A:$B,2,1),(FM14-0.05)))</f>
        <v>1</v>
      </c>
      <c r="FO14" s="102">
        <f>MIN(1,MAX(VLOOKUP(($AJ14-$AI14-$AH14-$AG14-$AF14-$AE14*(1+FO$3))/$AJ14,Уголь_коэфф!$A:$B,2,1),(FN14-0.05)))</f>
        <v>1</v>
      </c>
      <c r="FP14" s="102">
        <f>MIN(1,MAX(VLOOKUP(($AJ14-$AI14-$AH14-$AG14-$AF14-$AE14*(1+FP$3))/$AJ14,Уголь_коэфф!$A:$B,2,1),(FO14-0.05)))</f>
        <v>1</v>
      </c>
      <c r="FQ14" s="102">
        <f>MIN(1,MAX(VLOOKUP(($AJ14-$AI14-$AH14-$AG14-$AF14-$AE14*(1+FQ$3))/$AJ14,Уголь_коэфф!$A:$B,2,1),(FP14-0.05)))</f>
        <v>1</v>
      </c>
      <c r="FR14" s="102">
        <f>MIN(1,MAX(VLOOKUP(($AJ14-$AI14-$AH14-$AG14-$AF14-$AE14*(1+FR$3))/$AJ14,Уголь_коэфф!$A:$B,2,1),(FQ14-0.05)))</f>
        <v>1</v>
      </c>
      <c r="FS14" s="102">
        <f>MIN(1,MAX(VLOOKUP(($AJ14-$AI14-$AH14-$AG14-$AF14-$AE14*(1+FS$3))/$AJ14,Уголь_коэфф!$A:$B,2,1),(FR14-0.05)))</f>
        <v>1</v>
      </c>
      <c r="FT14" s="102">
        <f>MIN(1,MAX(VLOOKUP(($AJ14-$AI14-$AH14-$AG14-$AF14-$AE14*(1+FT$3))/$AJ14,Уголь_коэфф!$A:$B,2,1),(FS14-0.05)))</f>
        <v>1</v>
      </c>
      <c r="FU14" s="102">
        <f>MIN(1,MAX(VLOOKUP(($AJ14-$AI14-$AH14-$AG14-$AF14-$AE14*(1+FU$3))/$AJ14,Уголь_коэфф!$A:$B,2,1),(FT14-0.05)))</f>
        <v>1</v>
      </c>
      <c r="FV14" s="102">
        <f>MIN(1,MAX(VLOOKUP(($AJ14-$AI14-$AH14-$AG14-$AF14-$AE14*(1+FV$3))/$AJ14,Уголь_коэфф!$A:$B,2,1),(FU14-0.05)))</f>
        <v>1</v>
      </c>
      <c r="FW14" s="102">
        <f>MIN(1,MAX(VLOOKUP(($AJ14-$AI14-$AH14-$AG14-$AF14-$AE14*(1+FW$3))/$AJ14,Уголь_коэфф!$A:$B,2,1),(FV14-0.05)))</f>
        <v>1</v>
      </c>
      <c r="FX14" s="102">
        <f>MIN(1,MAX(VLOOKUP(($AJ14-$AI14-$AH14-$AG14-$AF14-$AE14*(1+FX$3))/$AJ14,Уголь_коэфф!$A:$B,2,1),(FW14-0.05)))</f>
        <v>1</v>
      </c>
      <c r="FY14" s="102">
        <f>MIN(1,MAX(VLOOKUP(($AJ14-$AI14-$AH14-$AG14-$AF14-$AE14*(1+FY$3))/$AJ14,Уголь_коэфф!$A:$B,2,1),(FX14-0.05)))</f>
        <v>1</v>
      </c>
      <c r="FZ14" s="102">
        <f>MIN(1,MAX(VLOOKUP(($AJ14-$AI14-$AH14-$AG14-$AF14-$AE14*(1+FZ$3))/$AJ14,Уголь_коэфф!$A:$B,2,1),(FY14-0.05)))</f>
        <v>1</v>
      </c>
      <c r="GA14" s="102">
        <f>MIN(1,MAX(VLOOKUP(($AJ14-$AI14-$AH14-$AG14-$AF14-$AE14*(1+GA$3))/$AJ14,Уголь_коэфф!$A:$B,2,1),(FZ14-0.05)))</f>
        <v>1</v>
      </c>
      <c r="GB14" s="102">
        <f>MIN(1,MAX(VLOOKUP(($AJ14-$AI14-$AH14-$AG14-$AF14-$AE14*(1+GB$3))/$AJ14,Уголь_коэфф!$A:$B,2,1),(GA14-0.05)))</f>
        <v>1</v>
      </c>
      <c r="GC14" s="102">
        <f>MIN(1,MAX(VLOOKUP(($AJ14-$AI14-$AH14-$AG14-$AF14-$AE14*(1+GC$3))/$AJ14,Уголь_коэфф!$A:$B,2,1),(GB14-0.05)))</f>
        <v>1</v>
      </c>
      <c r="GD14" s="102">
        <f>MIN(1,MAX(VLOOKUP(($AJ14-$AI14-$AH14-$AG14-$AF14-$AE14*(1+GD$3))/$AJ14,Уголь_коэфф!$A:$B,2,1),(GC14-0.05)))</f>
        <v>1</v>
      </c>
      <c r="GE14" s="102">
        <f>MIN(1,MAX(VLOOKUP(($AJ14-$AI14-$AH14-$AG14-$AF14-$AE14*(1+GE$3))/$AJ14,Уголь_коэфф!$A:$B,2,1),(GD14-0.05)))</f>
        <v>1</v>
      </c>
      <c r="GF14" s="102">
        <f>MIN(1,MAX(VLOOKUP(($AJ14-$AI14-$AH14-$AG14-$AF14-$AE14*(1+GF$3))/$AJ14,Уголь_коэфф!$A:$B,2,1),(GE14-0.05)))</f>
        <v>1</v>
      </c>
      <c r="GG14" s="102">
        <f>MIN(1,MAX(VLOOKUP(($AJ14-$AI14-$AH14-$AG14-$AF14-$AE14*(1+GG$3))/$AJ14,Уголь_коэфф!$A:$B,2,1),(GF14-0.05)))</f>
        <v>1</v>
      </c>
      <c r="GH14" s="102">
        <f>MIN(1,MAX(VLOOKUP(($AJ14-$AI14-$AH14-$AG14-$AF14-$AE14*(1+GH$3))/$AJ14,Уголь_коэфф!$A:$B,2,1),(GG14-0.05)))</f>
        <v>1</v>
      </c>
      <c r="GI14" s="102">
        <f>MIN(1,MAX(VLOOKUP(($AJ14-$AI14-$AH14-$AG14-$AF14-$AE14*(1+GI$3))/$AJ14,Уголь_коэфф!$A:$B,2,1),(GH14-0.05)))</f>
        <v>1</v>
      </c>
      <c r="GJ14" s="102">
        <f>MIN(1,MAX(VLOOKUP(($AJ14-$AI14-$AH14-$AG14-$AF14-$AE14*(1+GJ$3))/$AJ14,Уголь_коэфф!$A:$B,2,1),(GI14-0.05)))</f>
        <v>1</v>
      </c>
      <c r="GK14" s="102">
        <f>MIN(1,MAX(VLOOKUP(($AJ14-$AI14-$AH14-$AG14-$AF14-$AE14*(1+GK$3))/$AJ14,Уголь_коэфф!$A:$B,2,1),(GJ14-0.05)))</f>
        <v>1</v>
      </c>
      <c r="GL14" s="102">
        <f>MIN(1,MAX(VLOOKUP(($AJ14-$AI14-$AH14-$AG14-$AF14-$AE14*(1+GL$3))/$AJ14,Уголь_коэфф!$A:$B,2,1),(GK14-0.05)))</f>
        <v>1</v>
      </c>
      <c r="GM14" s="102">
        <f>MIN(1,MAX(VLOOKUP(($AJ14-$AI14-$AH14-$AG14-$AF14-$AE14*(1+GM$3))/$AJ14,Уголь_коэфф!$A:$B,2,1),(GL14-0.05)))</f>
        <v>1</v>
      </c>
      <c r="GN14" s="102">
        <f>MIN(1,MAX(VLOOKUP(($AJ14-$AI14-$AH14-$AG14-$AF14-$AE14*(1+GN$3))/$AJ14,Уголь_коэфф!$A:$B,2,1),(GM14-0.05)))</f>
        <v>1</v>
      </c>
      <c r="GO14" s="102">
        <f>MIN(1,MAX(VLOOKUP(($AJ14-$AI14-$AH14-$AG14-$AF14-$AE14*(1+GO$3))/$AJ14,Уголь_коэфф!$A:$B,2,1),(GN14-0.05)))</f>
        <v>1</v>
      </c>
      <c r="GP14" s="102">
        <f>MIN(1,MAX(VLOOKUP(($AJ14-$AI14-$AH14-$AG14-$AF14-$AE14*(1+GP$3))/$AJ14,Уголь_коэфф!$A:$B,2,1),(GO14-0.05)))</f>
        <v>1</v>
      </c>
      <c r="GQ14" s="102">
        <f>MIN(1,MAX(VLOOKUP(($AJ14-$AI14-$AH14-$AG14-$AF14-$AE14*(1+GQ$3))/$AJ14,Уголь_коэфф!$A:$B,2,1),(GP14-0.05)))</f>
        <v>1</v>
      </c>
      <c r="GR14" s="102">
        <f>MIN(1,MAX(VLOOKUP(($AJ14-$AI14-$AH14-$AG14-$AF14-$AE14*(1+GR$3))/$AJ14,Уголь_коэфф!$A:$B,2,1),(GQ14-0.05)))</f>
        <v>1</v>
      </c>
      <c r="GS14" s="102">
        <f>MIN(1,MAX(VLOOKUP(($AJ14-$AI14-$AH14-$AG14-$AF14-$AE14*(1+GS$3))/$AJ14,Уголь_коэфф!$A:$B,2,1),(GR14-0.05)))</f>
        <v>1</v>
      </c>
      <c r="GT14" s="102">
        <f>MIN(1,MAX(VLOOKUP(($AJ14-$AI14-$AH14-$AG14-$AF14-$AE14*(1+GT$3))/$AJ14,Уголь_коэфф!$A:$B,2,1),(GS14-0.05)))</f>
        <v>1</v>
      </c>
      <c r="GU14" s="102">
        <f>MIN(1,MAX(VLOOKUP(($AJ14-$AI14-$AH14-$AG14-$AF14-$AE14*(1+GU$3))/$AJ14,Уголь_коэфф!$A:$B,2,1),(GT14-0.05)))</f>
        <v>1</v>
      </c>
      <c r="GV14" s="102">
        <f>MIN(1,MAX(VLOOKUP(($AJ14-$AI14-$AH14-$AG14-$AF14-$AE14*(1+GV$3))/$AJ14,Уголь_коэфф!$A:$B,2,1),(GU14-0.05)))</f>
        <v>1</v>
      </c>
      <c r="GW14" s="102">
        <f>MIN(1,MAX(VLOOKUP(($AJ14-$AI14-$AH14-$AG14-$AF14-$AE14*(1+GW$3))/$AJ14,Уголь_коэфф!$A:$B,2,1),(GV14-0.05)))</f>
        <v>1</v>
      </c>
      <c r="GX14" s="102">
        <f>MIN(1,MAX(VLOOKUP(($AJ14-$AI14-$AH14-$AG14-$AF14-$AE14*(1+GX$3))/$AJ14,Уголь_коэфф!$A:$B,2,1),(GW14-0.05)))</f>
        <v>1</v>
      </c>
      <c r="GY14" s="102">
        <f>MIN(1,MAX(VLOOKUP(($AJ14-$AI14-$AH14-$AG14-$AF14-$AE14*(1+GY$3))/$AJ14,Уголь_коэфф!$A:$B,2,1),(GX14-0.05)))</f>
        <v>1</v>
      </c>
      <c r="GZ14" s="102">
        <f>MIN(1,MAX(VLOOKUP(($AJ14-$AI14-$AH14-$AG14-$AF14-$AE14*(1+GZ$3))/$AJ14,Уголь_коэфф!$A:$B,2,1),(GY14-0.05)))</f>
        <v>1</v>
      </c>
      <c r="HA14" s="102">
        <f>MIN(1,MAX(VLOOKUP(($AJ14-$AI14-$AH14-$AG14-$AF14-$AE14*(1+HA$3))/$AJ14,Уголь_коэфф!$A:$B,2,1),(GZ14-0.05)))</f>
        <v>1</v>
      </c>
      <c r="HB14" s="102">
        <f>MIN(1,MAX(VLOOKUP(($AJ14-$AI14-$AH14-$AG14-$AF14-$AE14*(1+HB$3))/$AJ14,Уголь_коэфф!$A:$B,2,1),(HA14-0.05)))</f>
        <v>1</v>
      </c>
      <c r="HC14" s="102">
        <f>MIN(1,MAX(VLOOKUP(($AJ14-$AI14-$AH14-$AG14-$AF14-$AE14*(1+HC$3))/$AJ14,Уголь_коэфф!$A:$B,2,1),(HB14-0.05)))</f>
        <v>1</v>
      </c>
      <c r="HD14" s="102">
        <f>MIN(1,MAX(VLOOKUP(($AJ14-$AI14-$AH14-$AG14-$AF14-$AE14*(1+HD$3))/$AJ14,Уголь_коэфф!$A:$B,2,1),(HC14-0.05)))</f>
        <v>1</v>
      </c>
      <c r="HE14" s="102">
        <f>MIN(1,MAX(VLOOKUP(($AJ14-$AI14-$AH14-$AG14-$AF14-$AE14*(1+HE$3))/$AJ14,Уголь_коэфф!$A:$B,2,1),(HD14-0.05)))</f>
        <v>1</v>
      </c>
      <c r="HF14" s="102">
        <f>MIN(1,MAX(VLOOKUP(($AJ14-$AI14-$AH14-$AG14-$AF14-$AE14*(1+HF$3))/$AJ14,Уголь_коэфф!$A:$B,2,1),(HE14-0.05)))</f>
        <v>1</v>
      </c>
      <c r="HG14" s="102">
        <f>MIN(1,MAX(VLOOKUP(($AJ14-$AI14-$AH14-$AG14-$AF14-$AE14*(1+HG$3))/$AJ14,Уголь_коэфф!$A:$B,2,1),(HF14-0.05)))</f>
        <v>1</v>
      </c>
      <c r="HH14" s="102">
        <f>MIN(1,MAX(VLOOKUP(($AJ14-$AI14-$AH14-$AG14-$AF14-$AE14*(1+HH$3))/$AJ14,Уголь_коэфф!$A:$B,2,1),(HG14-0.05)))</f>
        <v>1</v>
      </c>
      <c r="HI14" s="102">
        <f>MIN(1,MAX(VLOOKUP(($AJ14-$AI14-$AH14-$AG14-$AF14-$AE14*(1+HI$3))/$AJ14,Уголь_коэфф!$A:$B,2,1),(HH14-0.05)))</f>
        <v>1</v>
      </c>
      <c r="HJ14" s="102">
        <f>MIN(1,MAX(VLOOKUP(($AJ14-$AI14-$AH14-$AG14-$AF14-$AE14*(1+HJ$3))/$AJ14,Уголь_коэфф!$A:$B,2,1),(HI14-0.05)))</f>
        <v>1</v>
      </c>
      <c r="HK14" s="102">
        <f>MIN(1,MAX(VLOOKUP(($AJ14-$AI14-$AH14-$AG14-$AF14-$AE14*(1+HK$3))/$AJ14,Уголь_коэфф!$A:$B,2,1),(HJ14-0.05)))</f>
        <v>1</v>
      </c>
      <c r="HL14" s="102">
        <f>MIN(1,MAX(VLOOKUP(($AJ14-$AI14-$AH14-$AG14-$AF14-$AE14*(1+HL$3))/$AJ14,Уголь_коэфф!$A:$B,2,1),(HK14-0.05)))</f>
        <v>1</v>
      </c>
      <c r="HM14" s="102">
        <f>MIN(1,MAX(VLOOKUP(($AJ14-$AI14-$AH14-$AG14-$AF14-$AE14*(1+HM$3))/$AJ14,Уголь_коэфф!$A:$B,2,1),(HL14-0.05)))</f>
        <v>1</v>
      </c>
      <c r="HN14" s="102">
        <f>MIN(1,MAX(VLOOKUP(($AJ14-$AI14-$AH14-$AG14-$AF14-$AE14*(1+HN$3))/$AJ14,Уголь_коэфф!$A:$B,2,1),(HM14-0.05)))</f>
        <v>1</v>
      </c>
      <c r="HO14" s="102">
        <f>MIN(1,MAX(VLOOKUP(($AJ14-$AI14-$AH14-$AG14-$AF14-$AE14*(1+HO$3))/$AJ14,Уголь_коэфф!$A:$B,2,1),(HN14-0.05)))</f>
        <v>1</v>
      </c>
      <c r="HP14" s="102">
        <f>MIN(1,MAX(VLOOKUP(($AJ14-$AI14-$AH14-$AG14-$AF14-$AE14*(1+HP$3))/$AJ14,Уголь_коэфф!$A:$B,2,1),(HO14-0.05)))</f>
        <v>1</v>
      </c>
      <c r="HQ14" s="102">
        <f>MIN(1,MAX(VLOOKUP(($AJ14-$AI14-$AH14-$AG14-$AF14-$AE14*(1+HQ$3))/$AJ14,Уголь_коэфф!$A:$B,2,1),(HP14-0.05)))</f>
        <v>1</v>
      </c>
      <c r="HR14" s="102">
        <f>MIN(1,MAX(VLOOKUP(($AJ14-$AI14-$AH14-$AG14-$AF14-$AE14*(1+HR$3))/$AJ14,Уголь_коэфф!$A:$B,2,1),(HQ14-0.05)))</f>
        <v>1</v>
      </c>
      <c r="HS14" s="102">
        <f>MIN(1,MAX(VLOOKUP(($AJ14-$AI14-$AH14-$AG14-$AF14-$AE14*(1+HS$3))/$AJ14,Уголь_коэфф!$A:$B,2,1),(HR14-0.05)))</f>
        <v>1</v>
      </c>
      <c r="HT14" s="102">
        <f>MIN(1,MAX(VLOOKUP(($AJ14-$AI14-$AH14-$AG14-$AF14-$AE14*(1+HT$3))/$AJ14,Уголь_коэфф!$A:$B,2,1),(HS14-0.05)))</f>
        <v>1</v>
      </c>
      <c r="HU14" s="102">
        <f>MIN(1,MAX(VLOOKUP(($AJ14-$AI14-$AH14-$AG14-$AF14-$AE14*(1+HU$3))/$AJ14,Уголь_коэфф!$A:$B,2,1),(HT14-0.05)))</f>
        <v>1</v>
      </c>
      <c r="HV14" s="102">
        <f>MIN(1,MAX(VLOOKUP(($AJ14-$AI14-$AH14-$AG14-$AF14-$AE14*(1+HV$3))/$AJ14,Уголь_коэфф!$A:$B,2,1),(HU14-0.05)))</f>
        <v>1</v>
      </c>
      <c r="HW14" s="102">
        <f>MIN(1,MAX(VLOOKUP(($AJ14-$AI14-$AH14-$AG14-$AF14-$AE14*(1+HW$3))/$AJ14,Уголь_коэфф!$A:$B,2,1),(HV14-0.05)))</f>
        <v>1</v>
      </c>
      <c r="HX14" s="102">
        <f>MIN(1,MAX(VLOOKUP(($AJ14-$AI14-$AH14-$AG14-$AF14-$AE14*(1+HX$3))/$AJ14,Уголь_коэфф!$A:$B,2,1),(HW14-0.05)))</f>
        <v>1</v>
      </c>
      <c r="HY14" s="102">
        <f>MIN(1,MAX(VLOOKUP(($AJ14-$AI14-$AH14-$AG14-$AF14-$AE14*(1+HY$3))/$AJ14,Уголь_коэфф!$A:$B,2,1),(HX14-0.05)))</f>
        <v>1</v>
      </c>
      <c r="HZ14" s="102">
        <f>MIN(1,MAX(VLOOKUP(($AJ14-$AI14-$AH14-$AG14-$AF14-$AE14*(1+HZ$3))/$AJ14,Уголь_коэфф!$A:$B,2,1),(HY14-0.05)))</f>
        <v>1</v>
      </c>
      <c r="IA14" s="102">
        <f>MIN(1,MAX(VLOOKUP(($AJ14-$AI14-$AH14-$AG14-$AF14-$AE14*(1+IA$3))/$AJ14,Уголь_коэфф!$A:$B,2,1),(HZ14-0.05)))</f>
        <v>1</v>
      </c>
      <c r="IB14" s="102">
        <f>MIN(1,MAX(VLOOKUP(($AJ14-$AI14-$AH14-$AG14-$AF14-$AE14*(1+IB$3))/$AJ14,Уголь_коэфф!$A:$B,2,1),(IA14-0.05)))</f>
        <v>1</v>
      </c>
      <c r="IC14" s="102">
        <f>MIN(1,MAX(VLOOKUP(($AJ14-$AI14-$AH14-$AG14-$AF14-$AE14*(1+IC$3))/$AJ14,Уголь_коэфф!$A:$B,2,1),(IB14-0.05)))</f>
        <v>1</v>
      </c>
      <c r="ID14" s="102">
        <f>MIN(1,MAX(VLOOKUP(($AJ14-$AI14-$AH14-$AG14-$AF14-$AE14*(1+ID$3))/$AJ14,Уголь_коэфф!$A:$B,2,1),(IC14-0.05)))</f>
        <v>1</v>
      </c>
      <c r="IE14" s="102">
        <f>MIN(1,MAX(VLOOKUP(($AJ14-$AI14-$AH14-$AG14-$AF14-$AE14*(1+IE$3))/$AJ14,Уголь_коэфф!$A:$B,2,1),(ID14-0.05)))</f>
        <v>1</v>
      </c>
      <c r="IF14" s="102">
        <f>MIN(1,MAX(VLOOKUP(($AJ14-$AI14-$AH14-$AG14-$AF14-$AE14*(1+IF$3))/$AJ14,Уголь_коэфф!$A:$B,2,1),(IE14-0.05)))</f>
        <v>1</v>
      </c>
      <c r="IG14" s="102">
        <f>MIN(1,MAX(VLOOKUP(($AJ14-$AI14-$AH14-$AG14-$AF14-$AE14*(1+IG$3))/$AJ14,Уголь_коэфф!$A:$B,2,1),(IF14-0.05)))</f>
        <v>1</v>
      </c>
      <c r="IH14" s="102">
        <f>MIN(1,MAX(VLOOKUP(($AJ14-$AI14-$AH14-$AG14-$AF14-$AE14*(1+IH$3))/$AJ14,Уголь_коэфф!$A:$B,2,1),(IG14-0.05)))</f>
        <v>1</v>
      </c>
      <c r="II14" s="102">
        <f>MIN(1,MAX(VLOOKUP(($AJ14-$AI14-$AH14-$AG14-$AF14-$AE14*(1+II$3))/$AJ14,Уголь_коэфф!$A:$B,2,1),(IH14-0.05)))</f>
        <v>1</v>
      </c>
      <c r="IJ14" s="102">
        <f>MIN(1,MAX(VLOOKUP(($AJ14-$AI14-$AH14-$AG14-$AF14-$AE14*(1+IJ$3))/$AJ14,Уголь_коэфф!$A:$B,2,1),(II14-0.05)))</f>
        <v>1</v>
      </c>
      <c r="IK14" s="102">
        <f>MIN(1,MAX(VLOOKUP(($AJ14-$AI14-$AH14-$AG14-$AF14-$AE14*(1+IK$3))/$AJ14,Уголь_коэфф!$A:$B,2,1),(IJ14-0.05)))</f>
        <v>1</v>
      </c>
      <c r="IL14" s="102">
        <f>MIN(1,MAX(VLOOKUP(($AJ14-$AI14-$AH14-$AG14-$AF14-$AE14*(1+IL$3))/$AJ14,Уголь_коэфф!$A:$B,2,1),(IK14-0.05)))</f>
        <v>1</v>
      </c>
      <c r="IM14" s="102">
        <f>MIN(1,MAX(VLOOKUP(($AJ14-$AI14-$AH14-$AG14-$AF14-$AE14*(1+IM$3))/$AJ14,Уголь_коэфф!$A:$B,2,1),(IL14-0.05)))</f>
        <v>1</v>
      </c>
      <c r="IN14" s="102">
        <f>MIN(1,MAX(VLOOKUP(($AJ14-$AI14-$AH14-$AG14-$AF14-$AE14*(1+IN$3))/$AJ14,Уголь_коэфф!$A:$B,2,1),(IM14-0.05)))</f>
        <v>1</v>
      </c>
      <c r="IO14" s="102">
        <f>MIN(1,MAX(VLOOKUP(($AJ14-$AI14-$AH14-$AG14-$AF14-$AE14*(1+IO$3))/$AJ14,Уголь_коэфф!$A:$B,2,1),(IN14-0.05)))</f>
        <v>1</v>
      </c>
      <c r="IP14" s="102">
        <f>MIN(1,MAX(VLOOKUP(($AJ14-$AI14-$AH14-$AG14-$AF14-$AE14*(1+IP$3))/$AJ14,Уголь_коэфф!$A:$B,2,1),(IO14-0.05)))</f>
        <v>1</v>
      </c>
      <c r="IQ14" s="102">
        <f>MIN(1,MAX(VLOOKUP(($AJ14-$AI14-$AH14-$AG14-$AF14-$AE14*(1+IQ$3))/$AJ14,Уголь_коэфф!$A:$B,2,1),(IP14-0.05)))</f>
        <v>1</v>
      </c>
      <c r="IR14" s="102">
        <f>MIN(1,MAX(VLOOKUP(($AJ14-$AI14-$AH14-$AG14-$AF14-$AE14*(1+IR$3))/$AJ14,Уголь_коэфф!$A:$B,2,1),(IQ14-0.05)))</f>
        <v>1</v>
      </c>
      <c r="IS14" s="102">
        <f t="shared" si="20"/>
        <v>1</v>
      </c>
      <c r="IT14" s="102">
        <f t="shared" si="7"/>
        <v>1</v>
      </c>
      <c r="IU14" s="110"/>
    </row>
    <row r="15" spans="1:266" ht="14.6" customHeight="1">
      <c r="A15" t="s">
        <v>243</v>
      </c>
      <c r="B15" s="105">
        <v>1</v>
      </c>
      <c r="C15" s="127" t="s">
        <v>16</v>
      </c>
      <c r="D15" s="128">
        <v>16104</v>
      </c>
      <c r="E15" s="128" t="s">
        <v>88</v>
      </c>
      <c r="F15" s="127" t="s">
        <v>78</v>
      </c>
      <c r="G15" s="127" t="s">
        <v>45</v>
      </c>
      <c r="H15" s="128" t="s">
        <v>30</v>
      </c>
      <c r="I15" s="128" t="s">
        <v>93</v>
      </c>
      <c r="J15" s="128" t="s">
        <v>53</v>
      </c>
      <c r="K15" s="128">
        <v>4245</v>
      </c>
      <c r="L15" s="128" t="s">
        <v>22</v>
      </c>
      <c r="M15" s="128" t="s">
        <v>23</v>
      </c>
      <c r="N15" s="128" t="s">
        <v>24</v>
      </c>
      <c r="O15" s="128" t="s">
        <v>33</v>
      </c>
      <c r="P15" s="107">
        <v>57775656</v>
      </c>
      <c r="Q15" s="129" t="s">
        <v>91</v>
      </c>
      <c r="R15" s="128" t="s">
        <v>92</v>
      </c>
      <c r="S15" s="131">
        <v>51530</v>
      </c>
      <c r="T15" s="130">
        <v>218745519</v>
      </c>
      <c r="U15" s="130">
        <v>725</v>
      </c>
      <c r="V15" s="130"/>
      <c r="W15" s="132">
        <v>99074483</v>
      </c>
      <c r="X15" s="104">
        <v>69</v>
      </c>
      <c r="Y15" s="104" t="s">
        <v>163</v>
      </c>
      <c r="Z15" s="107">
        <v>11</v>
      </c>
      <c r="AA15" s="107">
        <v>12</v>
      </c>
      <c r="AB15" s="107">
        <v>4</v>
      </c>
      <c r="AC15" s="88">
        <v>2093.25</v>
      </c>
      <c r="AD15" s="88">
        <v>945.01000000000022</v>
      </c>
      <c r="AE15" s="88">
        <f t="shared" si="23"/>
        <v>3038.26</v>
      </c>
      <c r="AF15" s="89">
        <f>'Цены,перевалка,аренда'!$C$27*SUM(Уголь_эластика_экспорт!Z15+Уголь_эластика_экспорт!AA15+Уголь_эластика_экспорт!AB15)/Уголь_эластика_экспорт!X15</f>
        <v>273.91304347826087</v>
      </c>
      <c r="AG15" s="90">
        <f>SUMIF('Цены,перевалка,аренда'!$A$20:$A$22,Уголь_эластика_экспорт!$O15,'Цены,перевалка,аренда'!$D$20:$D$22)</f>
        <v>610.44399999999996</v>
      </c>
      <c r="AH15" s="47"/>
      <c r="AI15" s="91">
        <v>3876</v>
      </c>
      <c r="AJ15" s="92">
        <f>SUMIF('Цены,перевалка,аренда'!$A$5:$A$17,Уголь_эластика_экспорт!A15,'Цены,перевалка,аренда'!$D$5:$D$17)</f>
        <v>8431.7577499999989</v>
      </c>
      <c r="AK15" s="47">
        <f>AJ15/'Цены,перевалка,аренда'!$C$1</f>
        <v>110.49999999999999</v>
      </c>
      <c r="AL15" s="47">
        <f t="shared" si="9"/>
        <v>3922.6170434782612</v>
      </c>
      <c r="AM15" s="47">
        <f t="shared" si="10"/>
        <v>4509.1407065217372</v>
      </c>
      <c r="AN15" s="47">
        <f t="shared" si="11"/>
        <v>7798.6170434782607</v>
      </c>
      <c r="AO15" s="93">
        <f t="shared" si="12"/>
        <v>7.5090002024991553E-2</v>
      </c>
      <c r="AP15" s="94">
        <f t="shared" si="13"/>
        <v>0.46521937178262285</v>
      </c>
      <c r="AQ15" s="94">
        <f t="shared" si="5"/>
        <v>0.36033530493686217</v>
      </c>
      <c r="AR15" s="94">
        <f t="shared" si="6"/>
        <v>0.77454922729492748</v>
      </c>
      <c r="AS15" s="167">
        <f t="shared" si="14"/>
        <v>1</v>
      </c>
      <c r="AT15" s="173">
        <f t="shared" si="15"/>
        <v>51530</v>
      </c>
      <c r="AU15" s="97">
        <v>1</v>
      </c>
      <c r="AV15" s="93">
        <f t="shared" si="16"/>
        <v>3.9056471531305231E-2</v>
      </c>
      <c r="AW15" s="94">
        <f t="shared" si="17"/>
        <v>0.50125290227630914</v>
      </c>
      <c r="AX15" s="94">
        <f t="shared" si="18"/>
        <v>0.39636883543054841</v>
      </c>
      <c r="AY15" s="94">
        <f t="shared" si="19"/>
        <v>0.79075619039918343</v>
      </c>
      <c r="AZ15" s="102">
        <f>MIN(IF($AU15=100%,1,1+VLOOKUP(($AJ15-$AI15-$AH15-$AG15-$AF15-$AE15*(1+AZ$3))/$AJ15,Уголь_коэфф!$A:$B,2,1)-VLOOKUP($AO15,Уголь_коэфф!$A:$B,2,1)),1+(1-$AU15))</f>
        <v>1</v>
      </c>
      <c r="BA15" s="102">
        <f>MIN(IF($AU15=100%,1,1+VLOOKUP(($AJ15-$AI15-$AH15-$AG15-$AF15-$AE15*(1+BA$3))/$AJ15,Уголь_коэфф!$A:$B,2,1)-VLOOKUP($AO15,Уголь_коэфф!$A:$B,2,1)),1+(1-$AU15))</f>
        <v>1</v>
      </c>
      <c r="BB15" s="102">
        <f>MIN(IF($AU15=100%,1,1+VLOOKUP(($AJ15-$AI15-$AH15-$AG15-$AF15-$AE15*(1+BB$3))/$AJ15,Уголь_коэфф!$A:$B,2,1)-VLOOKUP($AO15,Уголь_коэфф!$A:$B,2,1)),1+(1-$AU15))</f>
        <v>1</v>
      </c>
      <c r="BC15" s="102">
        <f>MIN(IF($AU15=100%,1,1+VLOOKUP(($AJ15-$AI15-$AH15-$AG15-$AF15-$AE15*(1+BC$3))/$AJ15,Уголь_коэфф!$A:$B,2,1)-VLOOKUP($AO15,Уголь_коэфф!$A:$B,2,1)),1+(1-$AU15))</f>
        <v>1</v>
      </c>
      <c r="BD15" s="102">
        <f>MIN(IF($AU15=100%,1,1+VLOOKUP(($AJ15-$AI15-$AH15-$AG15-$AF15-$AE15*(1+BD$3))/$AJ15,Уголь_коэфф!$A:$B,2,1)-VLOOKUP($AO15,Уголь_коэфф!$A:$B,2,1)),1+(1-$AU15))</f>
        <v>1</v>
      </c>
      <c r="BE15" s="102">
        <f>MIN(IF($AU15=100%,1,1+VLOOKUP(($AJ15-$AI15-$AH15-$AG15-$AF15-$AE15*(1+BE$3))/$AJ15,Уголь_коэфф!$A:$B,2,1)-VLOOKUP($AO15,Уголь_коэфф!$A:$B,2,1)),1+(1-$AU15))</f>
        <v>1</v>
      </c>
      <c r="BF15" s="102">
        <f>MIN(IF($AU15=100%,1,1+VLOOKUP(($AJ15-$AI15-$AH15-$AG15-$AF15-$AE15*(1+BF$3))/$AJ15,Уголь_коэфф!$A:$B,2,1)-VLOOKUP($AO15,Уголь_коэфф!$A:$B,2,1)),1+(1-$AU15))</f>
        <v>1</v>
      </c>
      <c r="BG15" s="102">
        <f>MIN(IF($AU15=100%,1,1+VLOOKUP(($AJ15-$AI15-$AH15-$AG15-$AF15-$AE15*(1+BG$3))/$AJ15,Уголь_коэфф!$A:$B,2,1)-VLOOKUP($AO15,Уголь_коэфф!$A:$B,2,1)),1+(1-$AU15))</f>
        <v>1</v>
      </c>
      <c r="BH15" s="102">
        <f>MIN(IF($AU15=100%,1,1+VLOOKUP(($AJ15-$AI15-$AH15-$AG15-$AF15-$AE15*(1+BH$3))/$AJ15,Уголь_коэфф!$A:$B,2,1)-VLOOKUP($AO15,Уголь_коэфф!$A:$B,2,1)),1+(1-$AU15))</f>
        <v>1</v>
      </c>
      <c r="BI15" s="102">
        <f>MIN(IF($AU15=100%,1,1+VLOOKUP(($AJ15-$AI15-$AH15-$AG15-$AF15-$AE15*(1+BI$3))/$AJ15,Уголь_коэфф!$A:$B,2,1)-VLOOKUP($AO15,Уголь_коэфф!$A:$B,2,1)),1+(1-$AU15))</f>
        <v>1</v>
      </c>
      <c r="BJ15" s="102">
        <f>MIN(IF($AU15=100%,1,1+VLOOKUP(($AJ15-$AI15-$AH15-$AG15-$AF15-$AE15*(1+BJ$3))/$AJ15,Уголь_коэфф!$A:$B,2,1)-VLOOKUP($AO15,Уголь_коэфф!$A:$B,2,1)),1+(1-$AU15))</f>
        <v>1</v>
      </c>
      <c r="BK15" s="102">
        <f>MIN(IF($AU15=100%,1,1+VLOOKUP(($AJ15-$AI15-$AH15-$AG15-$AF15-$AE15*(1+BK$3))/$AJ15,Уголь_коэфф!$A:$B,2,1)-VLOOKUP($AO15,Уголь_коэфф!$A:$B,2,1)),1+(1-$AU15))</f>
        <v>1</v>
      </c>
      <c r="BL15" s="102">
        <f>MIN(IF($AU15=100%,1,1+VLOOKUP(($AJ15-$AI15-$AH15-$AG15-$AF15-$AE15*(1+BL$3))/$AJ15,Уголь_коэфф!$A:$B,2,1)-VLOOKUP($AO15,Уголь_коэфф!$A:$B,2,1)),1+(1-$AU15))</f>
        <v>1</v>
      </c>
      <c r="BM15" s="102">
        <f>MIN(IF($AU15=100%,1,1+VLOOKUP(($AJ15-$AI15-$AH15-$AG15-$AF15-$AE15*(1+BM$3))/$AJ15,Уголь_коэфф!$A:$B,2,1)-VLOOKUP($AO15,Уголь_коэфф!$A:$B,2,1)),1+(1-$AU15))</f>
        <v>1</v>
      </c>
      <c r="BN15" s="102">
        <f>MIN(IF($AU15=100%,1,1+VLOOKUP(($AJ15-$AI15-$AH15-$AG15-$AF15-$AE15*(1+BN$3))/$AJ15,Уголь_коэфф!$A:$B,2,1)-VLOOKUP($AO15,Уголь_коэфф!$A:$B,2,1)),1+(1-$AU15))</f>
        <v>1</v>
      </c>
      <c r="BO15" s="102">
        <f>MIN(IF($AU15=100%,1,1+VLOOKUP(($AJ15-$AI15-$AH15-$AG15-$AF15-$AE15*(1+BO$3))/$AJ15,Уголь_коэфф!$A:$B,2,1)-VLOOKUP($AO15,Уголь_коэфф!$A:$B,2,1)),1+(1-$AU15))</f>
        <v>1</v>
      </c>
      <c r="BP15" s="102">
        <f>MIN(IF($AU15=100%,1,1+VLOOKUP(($AJ15-$AI15-$AH15-$AG15-$AF15-$AE15*(1+BP$3))/$AJ15,Уголь_коэфф!$A:$B,2,1)-VLOOKUP($AO15,Уголь_коэфф!$A:$B,2,1)),1+(1-$AU15))</f>
        <v>1</v>
      </c>
      <c r="BQ15" s="102">
        <f>MIN(IF($AU15=100%,1,1+VLOOKUP(($AJ15-$AI15-$AH15-$AG15-$AF15-$AE15*(1+BQ$3))/$AJ15,Уголь_коэфф!$A:$B,2,1)-VLOOKUP($AO15,Уголь_коэфф!$A:$B,2,1)),1+(1-$AU15))</f>
        <v>1</v>
      </c>
      <c r="BR15" s="102">
        <f>MIN(IF($AU15=100%,1,1+VLOOKUP(($AJ15-$AI15-$AH15-$AG15-$AF15-$AE15*(1+BR$3))/$AJ15,Уголь_коэфф!$A:$B,2,1)-VLOOKUP($AO15,Уголь_коэфф!$A:$B,2,1)),1+(1-$AU15))</f>
        <v>1</v>
      </c>
      <c r="BS15" s="102">
        <f>MIN(IF($AU15=100%,1,1+VLOOKUP(($AJ15-$AI15-$AH15-$AG15-$AF15-$AE15*(1+BS$3))/$AJ15,Уголь_коэфф!$A:$B,2,1)-VLOOKUP($AO15,Уголь_коэфф!$A:$B,2,1)),1+(1-$AU15))</f>
        <v>1</v>
      </c>
      <c r="BT15" s="102">
        <f>MIN(IF($AU15=100%,1,1+VLOOKUP(($AJ15-$AI15-$AH15-$AG15-$AF15-$AE15*(1+BT$3))/$AJ15,Уголь_коэфф!$A:$B,2,1)-VLOOKUP($AO15,Уголь_коэфф!$A:$B,2,1)),1+(1-$AU15))</f>
        <v>1</v>
      </c>
      <c r="BU15" s="102">
        <f>MIN(IF($AU15=100%,1,1+VLOOKUP(($AJ15-$AI15-$AH15-$AG15-$AF15-$AE15*(1+BU$3))/$AJ15,Уголь_коэфф!$A:$B,2,1)-VLOOKUP($AO15,Уголь_коэфф!$A:$B,2,1)),1+(1-$AU15))</f>
        <v>1</v>
      </c>
      <c r="BV15" s="102">
        <f>MIN(IF($AU15=100%,1,1+VLOOKUP(($AJ15-$AI15-$AH15-$AG15-$AF15-$AE15*(1+BV$3))/$AJ15,Уголь_коэфф!$A:$B,2,1)-VLOOKUP($AO15,Уголь_коэфф!$A:$B,2,1)),1+(1-$AU15))</f>
        <v>1</v>
      </c>
      <c r="BW15" s="102">
        <f>MIN(IF($AU15=100%,1,1+VLOOKUP(($AJ15-$AI15-$AH15-$AG15-$AF15-$AE15*(1+BW$3))/$AJ15,Уголь_коэфф!$A:$B,2,1)-VLOOKUP($AO15,Уголь_коэфф!$A:$B,2,1)),1+(1-$AU15))</f>
        <v>1</v>
      </c>
      <c r="BX15" s="102">
        <f>MIN(IF($AU15=100%,1,1+VLOOKUP(($AJ15-$AI15-$AH15-$AG15-$AF15-$AE15*(1+BX$3))/$AJ15,Уголь_коэфф!$A:$B,2,1)-VLOOKUP($AO15,Уголь_коэфф!$A:$B,2,1)),1+(1-$AU15))</f>
        <v>1</v>
      </c>
      <c r="BY15" s="102">
        <f>MIN(IF($AU15=100%,1,1+VLOOKUP(($AJ15-$AI15-$AH15-$AG15-$AF15-$AE15*(1+BY$3))/$AJ15,Уголь_коэфф!$A:$B,2,1)-VLOOKUP($AO15,Уголь_коэфф!$A:$B,2,1)),1+(1-$AU15))</f>
        <v>1</v>
      </c>
      <c r="BZ15" s="102">
        <f>MIN(IF($AU15=100%,1,1+VLOOKUP(($AJ15-$AI15-$AH15-$AG15-$AF15-$AE15*(1+BZ$3))/$AJ15,Уголь_коэфф!$A:$B,2,1)-VLOOKUP($AO15,Уголь_коэфф!$A:$B,2,1)),1+(1-$AU15))</f>
        <v>1</v>
      </c>
      <c r="CA15" s="102">
        <f>MIN(IF($AU15=100%,1,1+VLOOKUP(($AJ15-$AI15-$AH15-$AG15-$AF15-$AE15*(1+CA$3))/$AJ15,Уголь_коэфф!$A:$B,2,1)-VLOOKUP($AO15,Уголь_коэфф!$A:$B,2,1)),1+(1-$AU15))</f>
        <v>1</v>
      </c>
      <c r="CB15" s="102">
        <f>MIN(IF($AU15=100%,1,1+VLOOKUP(($AJ15-$AI15-$AH15-$AG15-$AF15-$AE15*(1+CB$3))/$AJ15,Уголь_коэфф!$A:$B,2,1)-VLOOKUP($AO15,Уголь_коэфф!$A:$B,2,1)),1+(1-$AU15))</f>
        <v>1</v>
      </c>
      <c r="CC15" s="102">
        <f>MIN(IF($AU15=100%,1,1+VLOOKUP(($AJ15-$AI15-$AH15-$AG15-$AF15-$AE15*(1+CC$3))/$AJ15,Уголь_коэфф!$A:$B,2,1)-VLOOKUP($AO15,Уголь_коэфф!$A:$B,2,1)),1+(1-$AU15))</f>
        <v>1</v>
      </c>
      <c r="CD15" s="102">
        <f>MIN(IF($AU15=100%,1,1+VLOOKUP(($AJ15-$AI15-$AH15-$AG15-$AF15-$AE15*(1+CD$3))/$AJ15,Уголь_коэфф!$A:$B,2,1)-VLOOKUP($AO15,Уголь_коэфф!$A:$B,2,1)),1+(1-$AU15))</f>
        <v>1</v>
      </c>
      <c r="CE15" s="102">
        <f>MIN(IF($AU15=100%,1,1+VLOOKUP(($AJ15-$AI15-$AH15-$AG15-$AF15-$AE15*(1+CE$3))/$AJ15,Уголь_коэфф!$A:$B,2,1)-VLOOKUP($AO15,Уголь_коэфф!$A:$B,2,1)),1+(1-$AU15))</f>
        <v>1</v>
      </c>
      <c r="CF15" s="102">
        <f>MIN(IF($AU15=100%,1,1+VLOOKUP(($AJ15-$AI15-$AH15-$AG15-$AF15-$AE15*(1+CF$3))/$AJ15,Уголь_коэфф!$A:$B,2,1)-VLOOKUP($AO15,Уголь_коэфф!$A:$B,2,1)),1+(1-$AU15))</f>
        <v>1</v>
      </c>
      <c r="CG15" s="102">
        <f>MIN(IF($AU15=100%,1,1+VLOOKUP(($AJ15-$AI15-$AH15-$AG15-$AF15-$AE15*(1+CG$3))/$AJ15,Уголь_коэфф!$A:$B,2,1)-VLOOKUP($AO15,Уголь_коэфф!$A:$B,2,1)),1+(1-$AU15))</f>
        <v>1</v>
      </c>
      <c r="CH15" s="102">
        <f>MIN(IF($AU15=100%,1,1+VLOOKUP(($AJ15-$AI15-$AH15-$AG15-$AF15-$AE15*(1+CH$3))/$AJ15,Уголь_коэфф!$A:$B,2,1)-VLOOKUP($AO15,Уголь_коэфф!$A:$B,2,1)),1+(1-$AU15))</f>
        <v>1</v>
      </c>
      <c r="CI15" s="102">
        <f>MIN(IF($AU15=100%,1,1+VLOOKUP(($AJ15-$AI15-$AH15-$AG15-$AF15-$AE15*(1+CI$3))/$AJ15,Уголь_коэфф!$A:$B,2,1)-VLOOKUP($AO15,Уголь_коэфф!$A:$B,2,1)),1+(1-$AU15))</f>
        <v>1</v>
      </c>
      <c r="CJ15" s="102">
        <f>MIN(IF($AU15=100%,1,1+VLOOKUP(($AJ15-$AI15-$AH15-$AG15-$AF15-$AE15*(1+CJ$3))/$AJ15,Уголь_коэфф!$A:$B,2,1)-VLOOKUP($AO15,Уголь_коэфф!$A:$B,2,1)),1+(1-$AU15))</f>
        <v>1</v>
      </c>
      <c r="CK15" s="102">
        <f>MIN(IF($AU15=100%,1,1+VLOOKUP(($AJ15-$AI15-$AH15-$AG15-$AF15-$AE15*(1+CK$3))/$AJ15,Уголь_коэфф!$A:$B,2,1)-VLOOKUP($AO15,Уголь_коэфф!$A:$B,2,1)),1+(1-$AU15))</f>
        <v>1</v>
      </c>
      <c r="CL15" s="102">
        <f>MIN(IF($AU15=100%,1,1+VLOOKUP(($AJ15-$AI15-$AH15-$AG15-$AF15-$AE15*(1+CL$3))/$AJ15,Уголь_коэфф!$A:$B,2,1)-VLOOKUP($AO15,Уголь_коэфф!$A:$B,2,1)),1+(1-$AU15))</f>
        <v>1</v>
      </c>
      <c r="CM15" s="102">
        <f>MIN(IF($AU15=100%,1,1+VLOOKUP(($AJ15-$AI15-$AH15-$AG15-$AF15-$AE15*(1+CM$3))/$AJ15,Уголь_коэфф!$A:$B,2,1)-VLOOKUP($AO15,Уголь_коэфф!$A:$B,2,1)),1+(1-$AU15))</f>
        <v>1</v>
      </c>
      <c r="CN15" s="102">
        <f>MIN(IF($AU15=100%,1,1+VLOOKUP(($AJ15-$AI15-$AH15-$AG15-$AF15-$AE15*(1+CN$3))/$AJ15,Уголь_коэфф!$A:$B,2,1)-VLOOKUP($AO15,Уголь_коэфф!$A:$B,2,1)),1+(1-$AU15))</f>
        <v>1</v>
      </c>
      <c r="CO15" s="102">
        <f>MIN(IF($AU15=100%,1,1+VLOOKUP(($AJ15-$AI15-$AH15-$AG15-$AF15-$AE15*(1+CO$3))/$AJ15,Уголь_коэфф!$A:$B,2,1)-VLOOKUP($AO15,Уголь_коэфф!$A:$B,2,1)),1+(1-$AU15))</f>
        <v>1</v>
      </c>
      <c r="CP15" s="102">
        <f>MIN(IF($AU15=100%,1,1+VLOOKUP(($AJ15-$AI15-$AH15-$AG15-$AF15-$AE15*(1+CP$3))/$AJ15,Уголь_коэфф!$A:$B,2,1)-VLOOKUP($AO15,Уголь_коэфф!$A:$B,2,1)),1+(1-$AU15))</f>
        <v>1</v>
      </c>
      <c r="CQ15" s="102">
        <f>MIN(IF($AU15=100%,1,1+VLOOKUP(($AJ15-$AI15-$AH15-$AG15-$AF15-$AE15*(1+CQ$3))/$AJ15,Уголь_коэфф!$A:$B,2,1)-VLOOKUP($AO15,Уголь_коэфф!$A:$B,2,1)),1+(1-$AU15))</f>
        <v>1</v>
      </c>
      <c r="CR15" s="102">
        <f>MIN(IF($AU15=100%,1,1+VLOOKUP(($AJ15-$AI15-$AH15-$AG15-$AF15-$AE15*(1+CR$3))/$AJ15,Уголь_коэфф!$A:$B,2,1)-VLOOKUP($AO15,Уголь_коэфф!$A:$B,2,1)),1+(1-$AU15))</f>
        <v>1</v>
      </c>
      <c r="CS15" s="102">
        <f>MIN(IF($AU15=100%,1,1+VLOOKUP(($AJ15-$AI15-$AH15-$AG15-$AF15-$AE15*(1+CS$3))/$AJ15,Уголь_коэфф!$A:$B,2,1)-VLOOKUP($AO15,Уголь_коэфф!$A:$B,2,1)),1+(1-$AU15))</f>
        <v>1</v>
      </c>
      <c r="CT15" s="102">
        <f>MIN(IF($AU15=100%,1,1+VLOOKUP(($AJ15-$AI15-$AH15-$AG15-$AF15-$AE15*(1+CT$3))/$AJ15,Уголь_коэфф!$A:$B,2,1)-VLOOKUP($AO15,Уголь_коэфф!$A:$B,2,1)),1+(1-$AU15))</f>
        <v>1</v>
      </c>
      <c r="CU15" s="102">
        <f>MIN(IF($AU15=100%,1,1+VLOOKUP(($AJ15-$AI15-$AH15-$AG15-$AF15-$AE15*(1+CU$3))/$AJ15,Уголь_коэфф!$A:$B,2,1)-VLOOKUP($AO15,Уголь_коэфф!$A:$B,2,1)),1+(1-$AU15))</f>
        <v>1</v>
      </c>
      <c r="CV15" s="102">
        <f>MIN(IF($AU15=100%,1,1+VLOOKUP(($AJ15-$AI15-$AH15-$AG15-$AF15-$AE15*(1+CV$3))/$AJ15,Уголь_коэфф!$A:$B,2,1)-VLOOKUP($AO15,Уголь_коэфф!$A:$B,2,1)),1+(1-$AU15))</f>
        <v>1</v>
      </c>
      <c r="CW15" s="102">
        <f>MIN(IF($AU15=100%,1,1+VLOOKUP(($AJ15-$AI15-$AH15-$AG15-$AF15-$AE15*(1+CW$3))/$AJ15,Уголь_коэфф!$A:$B,2,1)-VLOOKUP($AO15,Уголь_коэфф!$A:$B,2,1)),1+(1-$AU15))</f>
        <v>1</v>
      </c>
      <c r="CX15" s="102">
        <f>MIN(IF($AU15=100%,1,1+VLOOKUP(($AJ15-$AI15-$AH15-$AG15-$AF15-$AE15*(1+CX$3))/$AJ15,Уголь_коэфф!$A:$B,2,1)-VLOOKUP($AO15,Уголь_коэфф!$A:$B,2,1)),1+(1-$AU15))</f>
        <v>1</v>
      </c>
      <c r="CY15" s="102">
        <f>MIN(IF($AU15=100%,1,1+VLOOKUP(($AJ15-$AI15-$AH15-$AG15-$AF15-$AE15*(1+CY$3))/$AJ15,Уголь_коэфф!$A:$B,2,1)-VLOOKUP($AO15,Уголь_коэфф!$A:$B,2,1)),1+(1-$AU15))</f>
        <v>1</v>
      </c>
      <c r="CZ15" s="102">
        <f>MIN(IF($AU15=100%,1,1+VLOOKUP(($AJ15-$AI15-$AH15-$AG15-$AF15-$AE15*(1+CZ$3))/$AJ15,Уголь_коэфф!$A:$B,2,1)-VLOOKUP($AO15,Уголь_коэфф!$A:$B,2,1)),1+(1-$AU15))</f>
        <v>1</v>
      </c>
      <c r="DA15" s="102">
        <f>MIN(IF($AU15=100%,1,1+VLOOKUP(($AJ15-$AI15-$AH15-$AG15-$AF15-$AE15*(1+DA$3))/$AJ15,Уголь_коэфф!$A:$B,2,1)-VLOOKUP($AO15,Уголь_коэфф!$A:$B,2,1)),1+(1-$AU15))</f>
        <v>1</v>
      </c>
      <c r="DB15" s="102">
        <f>MIN(IF($AU15=100%,1,1+VLOOKUP(($AJ15-$AI15-$AH15-$AG15-$AF15-$AE15*(1+DB$3))/$AJ15,Уголь_коэфф!$A:$B,2,1)-VLOOKUP($AO15,Уголь_коэфф!$A:$B,2,1)),1+(1-$AU15))</f>
        <v>1</v>
      </c>
      <c r="DC15" s="102">
        <f>MIN(IF($AU15=100%,1,1+VLOOKUP(($AJ15-$AI15-$AH15-$AG15-$AF15-$AE15*(1+DC$3))/$AJ15,Уголь_коэфф!$A:$B,2,1)-VLOOKUP($AO15,Уголь_коэфф!$A:$B,2,1)),1+(1-$AU15))</f>
        <v>1</v>
      </c>
      <c r="DD15" s="102">
        <f>MIN(IF($AU15=100%,1,1+VLOOKUP(($AJ15-$AI15-$AH15-$AG15-$AF15-$AE15*(1+DD$3))/$AJ15,Уголь_коэфф!$A:$B,2,1)-VLOOKUP($AO15,Уголь_коэфф!$A:$B,2,1)),1+(1-$AU15))</f>
        <v>1</v>
      </c>
      <c r="DE15" s="102">
        <f>MIN(IF($AU15=100%,1,1+VLOOKUP(($AJ15-$AI15-$AH15-$AG15-$AF15-$AE15*(1+DE$3))/$AJ15,Уголь_коэфф!$A:$B,2,1)-VLOOKUP($AO15,Уголь_коэфф!$A:$B,2,1)),1+(1-$AU15))</f>
        <v>1</v>
      </c>
      <c r="DF15" s="102">
        <f>MIN(IF($AU15=100%,1,1+VLOOKUP(($AJ15-$AI15-$AH15-$AG15-$AF15-$AE15*(1+DF$3))/$AJ15,Уголь_коэфф!$A:$B,2,1)-VLOOKUP($AO15,Уголь_коэфф!$A:$B,2,1)),1+(1-$AU15))</f>
        <v>1</v>
      </c>
      <c r="DG15" s="102">
        <f>MIN(IF($AU15=100%,1,1+VLOOKUP(($AJ15-$AI15-$AH15-$AG15-$AF15-$AE15*(1+DG$3))/$AJ15,Уголь_коэфф!$A:$B,2,1)-VLOOKUP($AO15,Уголь_коэфф!$A:$B,2,1)),1+(1-$AU15))</f>
        <v>1</v>
      </c>
      <c r="DH15" s="102">
        <f>MIN(IF($AU15=100%,1,1+VLOOKUP(($AJ15-$AI15-$AH15-$AG15-$AF15-$AE15*(1+DH$3))/$AJ15,Уголь_коэфф!$A:$B,2,1)-VLOOKUP($AO15,Уголь_коэфф!$A:$B,2,1)),1+(1-$AU15))</f>
        <v>1</v>
      </c>
      <c r="DI15" s="102">
        <f>MIN(IF($AU15=100%,1,1+VLOOKUP(($AJ15-$AI15-$AH15-$AG15-$AF15-$AE15*(1+DI$3))/$AJ15,Уголь_коэфф!$A:$B,2,1)-VLOOKUP($AO15,Уголь_коэфф!$A:$B,2,1)),1+(1-$AU15))</f>
        <v>1</v>
      </c>
      <c r="DJ15" s="102">
        <f>MIN(IF($AU15=100%,1,1+VLOOKUP(($AJ15-$AI15-$AH15-$AG15-$AF15-$AE15*(1+DJ$3))/$AJ15,Уголь_коэфф!$A:$B,2,1)-VLOOKUP($AO15,Уголь_коэфф!$A:$B,2,1)),1+(1-$AU15))</f>
        <v>1</v>
      </c>
      <c r="DK15" s="102">
        <f>MIN(IF($AU15=100%,1,1+VLOOKUP(($AJ15-$AI15-$AH15-$AG15-$AF15-$AE15*(1+DK$3))/$AJ15,Уголь_коэфф!$A:$B,2,1)-VLOOKUP($AO15,Уголь_коэфф!$A:$B,2,1)),1+(1-$AU15))</f>
        <v>1</v>
      </c>
      <c r="DL15" s="102">
        <f>MIN(IF($AU15=100%,1,1+VLOOKUP(($AJ15-$AI15-$AH15-$AG15-$AF15-$AE15*(1+DL$3))/$AJ15,Уголь_коэфф!$A:$B,2,1)-VLOOKUP($AO15,Уголь_коэфф!$A:$B,2,1)),1+(1-$AU15))</f>
        <v>1</v>
      </c>
      <c r="DM15" s="102">
        <f>MIN(IF($AU15=100%,1,1+VLOOKUP(($AJ15-$AI15-$AH15-$AG15-$AF15-$AE15*(1+DM$3))/$AJ15,Уголь_коэфф!$A:$B,2,1)-VLOOKUP($AO15,Уголь_коэфф!$A:$B,2,1)),1+(1-$AU15))</f>
        <v>1</v>
      </c>
      <c r="DN15" s="102">
        <f>MIN(IF($AU15=100%,1,1+VLOOKUP(($AJ15-$AI15-$AH15-$AG15-$AF15-$AE15*(1+DN$3))/$AJ15,Уголь_коэфф!$A:$B,2,1)-VLOOKUP($AO15,Уголь_коэфф!$A:$B,2,1)),1+(1-$AU15))</f>
        <v>1</v>
      </c>
      <c r="DO15" s="102">
        <f>MIN(IF($AU15=100%,1,1+VLOOKUP(($AJ15-$AI15-$AH15-$AG15-$AF15-$AE15*(1+DO$3))/$AJ15,Уголь_коэфф!$A:$B,2,1)-VLOOKUP($AO15,Уголь_коэфф!$A:$B,2,1)),1+(1-$AU15))</f>
        <v>1</v>
      </c>
      <c r="DP15" s="102">
        <f>MIN(IF($AU15=100%,1,1+VLOOKUP(($AJ15-$AI15-$AH15-$AG15-$AF15-$AE15*(1+DP$3))/$AJ15,Уголь_коэфф!$A:$B,2,1)-VLOOKUP($AO15,Уголь_коэфф!$A:$B,2,1)),1+(1-$AU15))</f>
        <v>1</v>
      </c>
      <c r="DQ15" s="102">
        <f>MIN(IF($AU15=100%,1,1+VLOOKUP(($AJ15-$AI15-$AH15-$AG15-$AF15-$AE15*(1+DQ$3))/$AJ15,Уголь_коэфф!$A:$B,2,1)-VLOOKUP($AO15,Уголь_коэфф!$A:$B,2,1)),1+(1-$AU15))</f>
        <v>1</v>
      </c>
      <c r="DR15" s="102">
        <f>MIN(IF($AU15=100%,1,1+VLOOKUP(($AJ15-$AI15-$AH15-$AG15-$AF15-$AE15*(1+DR$3))/$AJ15,Уголь_коэфф!$A:$B,2,1)-VLOOKUP($AO15,Уголь_коэфф!$A:$B,2,1)),1+(1-$AU15))</f>
        <v>1</v>
      </c>
      <c r="DS15" s="102">
        <f>MIN(IF($AU15=100%,1,1+VLOOKUP(($AJ15-$AI15-$AH15-$AG15-$AF15-$AE15*(1+DS$3))/$AJ15,Уголь_коэфф!$A:$B,2,1)-VLOOKUP($AO15,Уголь_коэфф!$A:$B,2,1)),1+(1-$AU15))</f>
        <v>1</v>
      </c>
      <c r="DT15" s="102">
        <f>MIN(IF($AU15=100%,1,1+VLOOKUP(($AJ15-$AI15-$AH15-$AG15-$AF15-$AE15*(1+DT$3))/$AJ15,Уголь_коэфф!$A:$B,2,1)-VLOOKUP($AO15,Уголь_коэфф!$A:$B,2,1)),1+(1-$AU15))</f>
        <v>1</v>
      </c>
      <c r="DU15" s="102">
        <f>MIN(IF($AU15=100%,1,1+VLOOKUP(($AJ15-$AI15-$AH15-$AG15-$AF15-$AE15*(1+DU$3))/$AJ15,Уголь_коэфф!$A:$B,2,1)-VLOOKUP($AO15,Уголь_коэфф!$A:$B,2,1)),1+(1-$AU15))</f>
        <v>1</v>
      </c>
      <c r="DV15" s="102">
        <f>MIN(IF($AU15=100%,1,1+VLOOKUP(($AJ15-$AI15-$AH15-$AG15-$AF15-$AE15*(1+DV$3))/$AJ15,Уголь_коэфф!$A:$B,2,1)-VLOOKUP($AO15,Уголь_коэфф!$A:$B,2,1)),1+(1-$AU15))</f>
        <v>1</v>
      </c>
      <c r="DW15" s="102">
        <f>MIN(IF($AU15=100%,1,1+VLOOKUP(($AJ15-$AI15-$AH15-$AG15-$AF15-$AE15*(1+DW$3))/$AJ15,Уголь_коэфф!$A:$B,2,1)-VLOOKUP($AO15,Уголь_коэфф!$A:$B,2,1)),1+(1-$AU15))</f>
        <v>1</v>
      </c>
      <c r="DX15" s="102">
        <f>MIN(IF($AU15=100%,1,1+VLOOKUP(($AJ15-$AI15-$AH15-$AG15-$AF15-$AE15*(1+DX$3))/$AJ15,Уголь_коэфф!$A:$B,2,1)-VLOOKUP($AO15,Уголь_коэфф!$A:$B,2,1)),1+(1-$AU15))</f>
        <v>1</v>
      </c>
      <c r="DY15" s="102">
        <f>MIN(IF($AU15=100%,1,1+VLOOKUP(($AJ15-$AI15-$AH15-$AG15-$AF15-$AE15*(1+DY$3))/$AJ15,Уголь_коэфф!$A:$B,2,1)-VLOOKUP($AO15,Уголь_коэфф!$A:$B,2,1)),1+(1-$AU15))</f>
        <v>1</v>
      </c>
      <c r="DZ15" s="102">
        <f>MIN(IF($AU15=100%,1,1+VLOOKUP(($AJ15-$AI15-$AH15-$AG15-$AF15-$AE15*(1+DZ$3))/$AJ15,Уголь_коэфф!$A:$B,2,1)-VLOOKUP($AO15,Уголь_коэфф!$A:$B,2,1)),1+(1-$AU15))</f>
        <v>1</v>
      </c>
      <c r="EA15" s="102">
        <f>MIN(IF($AU15=100%,1,1+VLOOKUP(($AJ15-$AI15-$AH15-$AG15-$AF15-$AE15*(1+EA$3))/$AJ15,Уголь_коэфф!$A:$B,2,1)-VLOOKUP($AO15,Уголь_коэфф!$A:$B,2,1)),1+(1-$AU15))</f>
        <v>1</v>
      </c>
      <c r="EB15" s="102">
        <f>MIN(IF($AU15=100%,1,1+VLOOKUP(($AJ15-$AI15-$AH15-$AG15-$AF15-$AE15*(1+EB$3))/$AJ15,Уголь_коэфф!$A:$B,2,1)-VLOOKUP($AO15,Уголь_коэфф!$A:$B,2,1)),1+(1-$AU15))</f>
        <v>1</v>
      </c>
      <c r="EC15" s="102">
        <f>MIN(IF($AU15=100%,1,1+VLOOKUP(($AJ15-$AI15-$AH15-$AG15-$AF15-$AE15*(1+EC$3))/$AJ15,Уголь_коэфф!$A:$B,2,1)-VLOOKUP($AO15,Уголь_коэфф!$A:$B,2,1)),1+(1-$AU15))</f>
        <v>1</v>
      </c>
      <c r="ED15" s="102">
        <f>MIN(IF($AU15=100%,1,1+VLOOKUP(($AJ15-$AI15-$AH15-$AG15-$AF15-$AE15*(1+ED$3))/$AJ15,Уголь_коэфф!$A:$B,2,1)-VLOOKUP($AO15,Уголь_коэфф!$A:$B,2,1)),1+(1-$AU15))</f>
        <v>1</v>
      </c>
      <c r="EE15" s="102">
        <f>MIN(IF($AU15=100%,1,1+VLOOKUP(($AJ15-$AI15-$AH15-$AG15-$AF15-$AE15*(1+EE$3))/$AJ15,Уголь_коэфф!$A:$B,2,1)-VLOOKUP($AO15,Уголь_коэфф!$A:$B,2,1)),1+(1-$AU15))</f>
        <v>1</v>
      </c>
      <c r="EF15" s="102">
        <f>MIN(IF($AU15=100%,1,1+VLOOKUP(($AJ15-$AI15-$AH15-$AG15-$AF15-$AE15*(1+EF$3))/$AJ15,Уголь_коэфф!$A:$B,2,1)-VLOOKUP($AO15,Уголь_коэфф!$A:$B,2,1)),1+(1-$AU15))</f>
        <v>1</v>
      </c>
      <c r="EG15" s="102">
        <f>MIN(IF($AU15=100%,1,1+VLOOKUP(($AJ15-$AI15-$AH15-$AG15-$AF15-$AE15*(1+EG$3))/$AJ15,Уголь_коэфф!$A:$B,2,1)-VLOOKUP($AO15,Уголь_коэфф!$A:$B,2,1)),1+(1-$AU15))</f>
        <v>1</v>
      </c>
      <c r="EH15" s="102">
        <f>MIN(IF($AU15=100%,1,1+VLOOKUP(($AJ15-$AI15-$AH15-$AG15-$AF15-$AE15*(1+EH$3))/$AJ15,Уголь_коэфф!$A:$B,2,1)-VLOOKUP($AO15,Уголь_коэфф!$A:$B,2,1)),1+(1-$AU15))</f>
        <v>1</v>
      </c>
      <c r="EI15" s="102">
        <f>MIN(IF($AU15=100%,1,1+VLOOKUP(($AJ15-$AI15-$AH15-$AG15-$AF15-$AE15*(1+EI$3))/$AJ15,Уголь_коэфф!$A:$B,2,1)-VLOOKUP($AO15,Уголь_коэфф!$A:$B,2,1)),1+(1-$AU15))</f>
        <v>1</v>
      </c>
      <c r="EJ15" s="102">
        <f>MIN(IF($AU15=100%,1,1+VLOOKUP(($AJ15-$AI15-$AH15-$AG15-$AF15-$AE15*(1+EJ$3))/$AJ15,Уголь_коэфф!$A:$B,2,1)-VLOOKUP($AO15,Уголь_коэфф!$A:$B,2,1)),1+(1-$AU15))</f>
        <v>1</v>
      </c>
      <c r="EK15" s="102">
        <f>MIN(IF($AU15=100%,1,1+VLOOKUP(($AJ15-$AI15-$AH15-$AG15-$AF15-$AE15*(1+EK$3))/$AJ15,Уголь_коэфф!$A:$B,2,1)-VLOOKUP($AO15,Уголь_коэфф!$A:$B,2,1)),1+(1-$AU15))</f>
        <v>1</v>
      </c>
      <c r="EL15" s="102">
        <f>MIN(IF($AU15=100%,1,1+VLOOKUP(($AJ15-$AI15-$AH15-$AG15-$AF15-$AE15*(1+EL$3))/$AJ15,Уголь_коэфф!$A:$B,2,1)-VLOOKUP($AO15,Уголь_коэфф!$A:$B,2,1)),1+(1-$AU15))</f>
        <v>1</v>
      </c>
      <c r="EM15" s="102">
        <f>MIN(IF($AU15=100%,1,1+VLOOKUP(($AJ15-$AI15-$AH15-$AG15-$AF15-$AE15*(1+EM$3))/$AJ15,Уголь_коэфф!$A:$B,2,1)-VLOOKUP($AO15,Уголь_коэфф!$A:$B,2,1)),1+(1-$AU15))</f>
        <v>1</v>
      </c>
      <c r="EN15" s="102">
        <f>MIN(IF($AU15=100%,1,1+VLOOKUP(($AJ15-$AI15-$AH15-$AG15-$AF15-$AE15*(1+EN$3))/$AJ15,Уголь_коэфф!$A:$B,2,1)-VLOOKUP($AO15,Уголь_коэфф!$A:$B,2,1)),1+(1-$AU15))</f>
        <v>1</v>
      </c>
      <c r="EO15" s="102">
        <f>MIN(IF($AU15=100%,1,1+VLOOKUP(($AJ15-$AI15-$AH15-$AG15-$AF15-$AE15*(1+EO$3))/$AJ15,Уголь_коэфф!$A:$B,2,1)-VLOOKUP($AO15,Уголь_коэфф!$A:$B,2,1)),1+(1-$AU15))</f>
        <v>1</v>
      </c>
      <c r="EP15" s="102">
        <f>MIN(IF($AU15=100%,1,1+VLOOKUP(($AJ15-$AI15-$AH15-$AG15-$AF15-$AE15*(1+EP$3))/$AJ15,Уголь_коэфф!$A:$B,2,1)-VLOOKUP($AO15,Уголь_коэфф!$A:$B,2,1)),1+(1-$AU15))</f>
        <v>1</v>
      </c>
      <c r="EQ15" s="102">
        <f>MIN(IF($AU15=100%,1,1+VLOOKUP(($AJ15-$AI15-$AH15-$AG15-$AF15-$AE15*(1+EQ$3))/$AJ15,Уголь_коэфф!$A:$B,2,1)-VLOOKUP($AO15,Уголь_коэфф!$A:$B,2,1)),1+(1-$AU15))</f>
        <v>1</v>
      </c>
      <c r="ER15" s="102">
        <f>MIN(IF($AU15=100%,1,1+VLOOKUP(($AJ15-$AI15-$AH15-$AG15-$AF15-$AE15*(1+ER$3))/$AJ15,Уголь_коэфф!$A:$B,2,1)-VLOOKUP($AO15,Уголь_коэфф!$A:$B,2,1)),1+(1-$AU15))</f>
        <v>1</v>
      </c>
      <c r="ES15" s="102">
        <f>MIN(IF($AU15=100%,1,1+VLOOKUP(($AJ15-$AI15-$AH15-$AG15-$AF15-$AE15*(1+ES$3))/$AJ15,Уголь_коэфф!$A:$B,2,1)-VLOOKUP($AO15,Уголь_коэфф!$A:$B,2,1)),1+(1-$AU15))</f>
        <v>1</v>
      </c>
      <c r="ET15" s="102">
        <f>MIN(IF($AU15=100%,1,1+VLOOKUP(($AJ15-$AI15-$AH15-$AG15-$AF15-$AE15*(1+ET$3))/$AJ15,Уголь_коэфф!$A:$B,2,1)-VLOOKUP($AO15,Уголь_коэфф!$A:$B,2,1)),1+(1-$AU15))</f>
        <v>1</v>
      </c>
      <c r="EU15" s="102">
        <f>MIN(IF($AU15=100%,1,1+VLOOKUP(($AJ15-$AI15-$AH15-$AG15-$AF15-$AE15*(1+EU$3))/$AJ15,Уголь_коэфф!$A:$B,2,1)-VLOOKUP($AO15,Уголь_коэфф!$A:$B,2,1)),1+(1-$AU15))</f>
        <v>1</v>
      </c>
      <c r="EV15" s="103">
        <v>1</v>
      </c>
      <c r="EW15" s="102">
        <f>MIN(1,MAX(VLOOKUP(($AJ15-$AI15-$AH15-$AG15-$AF15-$AE15*(1+EW$3))/$AJ15,Уголь_коэфф!$A:$B,2,1),(EV15-0.05)))</f>
        <v>1</v>
      </c>
      <c r="EX15" s="102">
        <f>MIN(1,MAX(VLOOKUP(($AJ15-$AI15-$AH15-$AG15-$AF15-$AE15*(1+EX$3))/$AJ15,Уголь_коэфф!$A:$B,2,1),(EW15-0.05)))</f>
        <v>1</v>
      </c>
      <c r="EY15" s="102">
        <f>MIN(1,MAX(VLOOKUP(($AJ15-$AI15-$AH15-$AG15-$AF15-$AE15*(1+EY$3))/$AJ15,Уголь_коэфф!$A:$B,2,1),(EX15-0.05)))</f>
        <v>1</v>
      </c>
      <c r="EZ15" s="102">
        <f>MIN(1,MAX(VLOOKUP(($AJ15-$AI15-$AH15-$AG15-$AF15-$AE15*(1+EZ$3))/$AJ15,Уголь_коэфф!$A:$B,2,1),(EY15-0.05)))</f>
        <v>1</v>
      </c>
      <c r="FA15" s="102">
        <f>MIN(1,MAX(VLOOKUP(($AJ15-$AI15-$AH15-$AG15-$AF15-$AE15*(1+FA$3))/$AJ15,Уголь_коэфф!$A:$B,2,1),(EZ15-0.05)))</f>
        <v>1</v>
      </c>
      <c r="FB15" s="102">
        <f>MIN(1,MAX(VLOOKUP(($AJ15-$AI15-$AH15-$AG15-$AF15-$AE15*(1+FB$3))/$AJ15,Уголь_коэфф!$A:$B,2,1),(FA15-0.05)))</f>
        <v>1</v>
      </c>
      <c r="FC15" s="102">
        <f>MIN(1,MAX(VLOOKUP(($AJ15-$AI15-$AH15-$AG15-$AF15-$AE15*(1+FC$3))/$AJ15,Уголь_коэфф!$A:$B,2,1),(FB15-0.05)))</f>
        <v>1</v>
      </c>
      <c r="FD15" s="102">
        <f>MIN(1,MAX(VLOOKUP(($AJ15-$AI15-$AH15-$AG15-$AF15-$AE15*(1+FD$3))/$AJ15,Уголь_коэфф!$A:$B,2,1),(FC15-0.05)))</f>
        <v>1</v>
      </c>
      <c r="FE15" s="102">
        <f>MIN(1,MAX(VLOOKUP(($AJ15-$AI15-$AH15-$AG15-$AF15-$AE15*(1+FE$3))/$AJ15,Уголь_коэфф!$A:$B,2,1),(FD15-0.05)))</f>
        <v>1</v>
      </c>
      <c r="FF15" s="102">
        <f>MIN(1,MAX(VLOOKUP(($AJ15-$AI15-$AH15-$AG15-$AF15-$AE15*(1+FF$3))/$AJ15,Уголь_коэфф!$A:$B,2,1),(FE15-0.05)))</f>
        <v>1</v>
      </c>
      <c r="FG15" s="102">
        <f>MIN(1,MAX(VLOOKUP(($AJ15-$AI15-$AH15-$AG15-$AF15-$AE15*(1+FG$3))/$AJ15,Уголь_коэфф!$A:$B,2,1),(FF15-0.05)))</f>
        <v>1</v>
      </c>
      <c r="FH15" s="102">
        <f>MIN(1,MAX(VLOOKUP(($AJ15-$AI15-$AH15-$AG15-$AF15-$AE15*(1+FH$3))/$AJ15,Уголь_коэфф!$A:$B,2,1),(FG15-0.05)))</f>
        <v>1</v>
      </c>
      <c r="FI15" s="102">
        <f>MIN(1,MAX(VLOOKUP(($AJ15-$AI15-$AH15-$AG15-$AF15-$AE15*(1+FI$3))/$AJ15,Уголь_коэфф!$A:$B,2,1),(FH15-0.05)))</f>
        <v>1</v>
      </c>
      <c r="FJ15" s="102">
        <f>MIN(1,MAX(VLOOKUP(($AJ15-$AI15-$AH15-$AG15-$AF15-$AE15*(1+FJ$3))/$AJ15,Уголь_коэфф!$A:$B,2,1),(FI15-0.05)))</f>
        <v>1</v>
      </c>
      <c r="FK15" s="102">
        <f>MIN(1,MAX(VLOOKUP(($AJ15-$AI15-$AH15-$AG15-$AF15-$AE15*(1+FK$3))/$AJ15,Уголь_коэфф!$A:$B,2,1),(FJ15-0.05)))</f>
        <v>1</v>
      </c>
      <c r="FL15" s="102">
        <f>MIN(1,MAX(VLOOKUP(($AJ15-$AI15-$AH15-$AG15-$AF15-$AE15*(1+FL$3))/$AJ15,Уголь_коэфф!$A:$B,2,1),(FK15-0.05)))</f>
        <v>1</v>
      </c>
      <c r="FM15" s="102">
        <f>MIN(1,MAX(VLOOKUP(($AJ15-$AI15-$AH15-$AG15-$AF15-$AE15*(1+FM$3))/$AJ15,Уголь_коэфф!$A:$B,2,1),(FL15-0.05)))</f>
        <v>1</v>
      </c>
      <c r="FN15" s="102">
        <f>MIN(1,MAX(VLOOKUP(($AJ15-$AI15-$AH15-$AG15-$AF15-$AE15*(1+FN$3))/$AJ15,Уголь_коэфф!$A:$B,2,1),(FM15-0.05)))</f>
        <v>1</v>
      </c>
      <c r="FO15" s="102">
        <f>MIN(1,MAX(VLOOKUP(($AJ15-$AI15-$AH15-$AG15-$AF15-$AE15*(1+FO$3))/$AJ15,Уголь_коэфф!$A:$B,2,1),(FN15-0.05)))</f>
        <v>1</v>
      </c>
      <c r="FP15" s="102">
        <f>MIN(1,MAX(VLOOKUP(($AJ15-$AI15-$AH15-$AG15-$AF15-$AE15*(1+FP$3))/$AJ15,Уголь_коэфф!$A:$B,2,1),(FO15-0.05)))</f>
        <v>1</v>
      </c>
      <c r="FQ15" s="102">
        <f>MIN(1,MAX(VLOOKUP(($AJ15-$AI15-$AH15-$AG15-$AF15-$AE15*(1+FQ$3))/$AJ15,Уголь_коэфф!$A:$B,2,1),(FP15-0.05)))</f>
        <v>1</v>
      </c>
      <c r="FR15" s="102">
        <f>MIN(1,MAX(VLOOKUP(($AJ15-$AI15-$AH15-$AG15-$AF15-$AE15*(1+FR$3))/$AJ15,Уголь_коэфф!$A:$B,2,1),(FQ15-0.05)))</f>
        <v>1</v>
      </c>
      <c r="FS15" s="102">
        <f>MIN(1,MAX(VLOOKUP(($AJ15-$AI15-$AH15-$AG15-$AF15-$AE15*(1+FS$3))/$AJ15,Уголь_коэфф!$A:$B,2,1),(FR15-0.05)))</f>
        <v>1</v>
      </c>
      <c r="FT15" s="102">
        <f>MIN(1,MAX(VLOOKUP(($AJ15-$AI15-$AH15-$AG15-$AF15-$AE15*(1+FT$3))/$AJ15,Уголь_коэфф!$A:$B,2,1),(FS15-0.05)))</f>
        <v>1</v>
      </c>
      <c r="FU15" s="102">
        <f>MIN(1,MAX(VLOOKUP(($AJ15-$AI15-$AH15-$AG15-$AF15-$AE15*(1+FU$3))/$AJ15,Уголь_коэфф!$A:$B,2,1),(FT15-0.05)))</f>
        <v>1</v>
      </c>
      <c r="FV15" s="102">
        <f>MIN(1,MAX(VLOOKUP(($AJ15-$AI15-$AH15-$AG15-$AF15-$AE15*(1+FV$3))/$AJ15,Уголь_коэфф!$A:$B,2,1),(FU15-0.05)))</f>
        <v>1</v>
      </c>
      <c r="FW15" s="102">
        <f>MIN(1,MAX(VLOOKUP(($AJ15-$AI15-$AH15-$AG15-$AF15-$AE15*(1+FW$3))/$AJ15,Уголь_коэфф!$A:$B,2,1),(FV15-0.05)))</f>
        <v>1</v>
      </c>
      <c r="FX15" s="102">
        <f>MIN(1,MAX(VLOOKUP(($AJ15-$AI15-$AH15-$AG15-$AF15-$AE15*(1+FX$3))/$AJ15,Уголь_коэфф!$A:$B,2,1),(FW15-0.05)))</f>
        <v>1</v>
      </c>
      <c r="FY15" s="102">
        <f>MIN(1,MAX(VLOOKUP(($AJ15-$AI15-$AH15-$AG15-$AF15-$AE15*(1+FY$3))/$AJ15,Уголь_коэфф!$A:$B,2,1),(FX15-0.05)))</f>
        <v>1</v>
      </c>
      <c r="FZ15" s="102">
        <f>MIN(1,MAX(VLOOKUP(($AJ15-$AI15-$AH15-$AG15-$AF15-$AE15*(1+FZ$3))/$AJ15,Уголь_коэфф!$A:$B,2,1),(FY15-0.05)))</f>
        <v>1</v>
      </c>
      <c r="GA15" s="102">
        <f>MIN(1,MAX(VLOOKUP(($AJ15-$AI15-$AH15-$AG15-$AF15-$AE15*(1+GA$3))/$AJ15,Уголь_коэфф!$A:$B,2,1),(FZ15-0.05)))</f>
        <v>1</v>
      </c>
      <c r="GB15" s="102">
        <f>MIN(1,MAX(VLOOKUP(($AJ15-$AI15-$AH15-$AG15-$AF15-$AE15*(1+GB$3))/$AJ15,Уголь_коэфф!$A:$B,2,1),(GA15-0.05)))</f>
        <v>1</v>
      </c>
      <c r="GC15" s="102">
        <f>MIN(1,MAX(VLOOKUP(($AJ15-$AI15-$AH15-$AG15-$AF15-$AE15*(1+GC$3))/$AJ15,Уголь_коэфф!$A:$B,2,1),(GB15-0.05)))</f>
        <v>1</v>
      </c>
      <c r="GD15" s="102">
        <f>MIN(1,MAX(VLOOKUP(($AJ15-$AI15-$AH15-$AG15-$AF15-$AE15*(1+GD$3))/$AJ15,Уголь_коэфф!$A:$B,2,1),(GC15-0.05)))</f>
        <v>1</v>
      </c>
      <c r="GE15" s="102">
        <f>MIN(1,MAX(VLOOKUP(($AJ15-$AI15-$AH15-$AG15-$AF15-$AE15*(1+GE$3))/$AJ15,Уголь_коэфф!$A:$B,2,1),(GD15-0.05)))</f>
        <v>1</v>
      </c>
      <c r="GF15" s="102">
        <f>MIN(1,MAX(VLOOKUP(($AJ15-$AI15-$AH15-$AG15-$AF15-$AE15*(1+GF$3))/$AJ15,Уголь_коэфф!$A:$B,2,1),(GE15-0.05)))</f>
        <v>1</v>
      </c>
      <c r="GG15" s="102">
        <f>MIN(1,MAX(VLOOKUP(($AJ15-$AI15-$AH15-$AG15-$AF15-$AE15*(1+GG$3))/$AJ15,Уголь_коэфф!$A:$B,2,1),(GF15-0.05)))</f>
        <v>1</v>
      </c>
      <c r="GH15" s="102">
        <f>MIN(1,MAX(VLOOKUP(($AJ15-$AI15-$AH15-$AG15-$AF15-$AE15*(1+GH$3))/$AJ15,Уголь_коэфф!$A:$B,2,1),(GG15-0.05)))</f>
        <v>1</v>
      </c>
      <c r="GI15" s="102">
        <f>MIN(1,MAX(VLOOKUP(($AJ15-$AI15-$AH15-$AG15-$AF15-$AE15*(1+GI$3))/$AJ15,Уголь_коэфф!$A:$B,2,1),(GH15-0.05)))</f>
        <v>1</v>
      </c>
      <c r="GJ15" s="102">
        <f>MIN(1,MAX(VLOOKUP(($AJ15-$AI15-$AH15-$AG15-$AF15-$AE15*(1+GJ$3))/$AJ15,Уголь_коэфф!$A:$B,2,1),(GI15-0.05)))</f>
        <v>1</v>
      </c>
      <c r="GK15" s="102">
        <f>MIN(1,MAX(VLOOKUP(($AJ15-$AI15-$AH15-$AG15-$AF15-$AE15*(1+GK$3))/$AJ15,Уголь_коэфф!$A:$B,2,1),(GJ15-0.05)))</f>
        <v>1</v>
      </c>
      <c r="GL15" s="102">
        <f>MIN(1,MAX(VLOOKUP(($AJ15-$AI15-$AH15-$AG15-$AF15-$AE15*(1+GL$3))/$AJ15,Уголь_коэфф!$A:$B,2,1),(GK15-0.05)))</f>
        <v>1</v>
      </c>
      <c r="GM15" s="102">
        <f>MIN(1,MAX(VLOOKUP(($AJ15-$AI15-$AH15-$AG15-$AF15-$AE15*(1+GM$3))/$AJ15,Уголь_коэфф!$A:$B,2,1),(GL15-0.05)))</f>
        <v>1</v>
      </c>
      <c r="GN15" s="102">
        <f>MIN(1,MAX(VLOOKUP(($AJ15-$AI15-$AH15-$AG15-$AF15-$AE15*(1+GN$3))/$AJ15,Уголь_коэфф!$A:$B,2,1),(GM15-0.05)))</f>
        <v>1</v>
      </c>
      <c r="GO15" s="102">
        <f>MIN(1,MAX(VLOOKUP(($AJ15-$AI15-$AH15-$AG15-$AF15-$AE15*(1+GO$3))/$AJ15,Уголь_коэфф!$A:$B,2,1),(GN15-0.05)))</f>
        <v>1</v>
      </c>
      <c r="GP15" s="102">
        <f>MIN(1,MAX(VLOOKUP(($AJ15-$AI15-$AH15-$AG15-$AF15-$AE15*(1+GP$3))/$AJ15,Уголь_коэфф!$A:$B,2,1),(GO15-0.05)))</f>
        <v>1</v>
      </c>
      <c r="GQ15" s="102">
        <f>MIN(1,MAX(VLOOKUP(($AJ15-$AI15-$AH15-$AG15-$AF15-$AE15*(1+GQ$3))/$AJ15,Уголь_коэфф!$A:$B,2,1),(GP15-0.05)))</f>
        <v>1</v>
      </c>
      <c r="GR15" s="102">
        <f>MIN(1,MAX(VLOOKUP(($AJ15-$AI15-$AH15-$AG15-$AF15-$AE15*(1+GR$3))/$AJ15,Уголь_коэфф!$A:$B,2,1),(GQ15-0.05)))</f>
        <v>1</v>
      </c>
      <c r="GS15" s="102">
        <f>MIN(1,MAX(VLOOKUP(($AJ15-$AI15-$AH15-$AG15-$AF15-$AE15*(1+GS$3))/$AJ15,Уголь_коэфф!$A:$B,2,1),(GR15-0.05)))</f>
        <v>1</v>
      </c>
      <c r="GT15" s="102">
        <f>MIN(1,MAX(VLOOKUP(($AJ15-$AI15-$AH15-$AG15-$AF15-$AE15*(1+GT$3))/$AJ15,Уголь_коэфф!$A:$B,2,1),(GS15-0.05)))</f>
        <v>1</v>
      </c>
      <c r="GU15" s="102">
        <f>MIN(1,MAX(VLOOKUP(($AJ15-$AI15-$AH15-$AG15-$AF15-$AE15*(1+GU$3))/$AJ15,Уголь_коэфф!$A:$B,2,1),(GT15-0.05)))</f>
        <v>1</v>
      </c>
      <c r="GV15" s="102">
        <f>MIN(1,MAX(VLOOKUP(($AJ15-$AI15-$AH15-$AG15-$AF15-$AE15*(1+GV$3))/$AJ15,Уголь_коэфф!$A:$B,2,1),(GU15-0.05)))</f>
        <v>1</v>
      </c>
      <c r="GW15" s="102">
        <f>MIN(1,MAX(VLOOKUP(($AJ15-$AI15-$AH15-$AG15-$AF15-$AE15*(1+GW$3))/$AJ15,Уголь_коэфф!$A:$B,2,1),(GV15-0.05)))</f>
        <v>0.995</v>
      </c>
      <c r="GX15" s="102">
        <f>MIN(1,MAX(VLOOKUP(($AJ15-$AI15-$AH15-$AG15-$AF15-$AE15*(1+GX$3))/$AJ15,Уголь_коэфф!$A:$B,2,1),(GW15-0.05)))</f>
        <v>0.995</v>
      </c>
      <c r="GY15" s="102">
        <f>MIN(1,MAX(VLOOKUP(($AJ15-$AI15-$AH15-$AG15-$AF15-$AE15*(1+GY$3))/$AJ15,Уголь_коэфф!$A:$B,2,1),(GX15-0.05)))</f>
        <v>0.995</v>
      </c>
      <c r="GZ15" s="102">
        <f>MIN(1,MAX(VLOOKUP(($AJ15-$AI15-$AH15-$AG15-$AF15-$AE15*(1+GZ$3))/$AJ15,Уголь_коэфф!$A:$B,2,1),(GY15-0.05)))</f>
        <v>0.995</v>
      </c>
      <c r="HA15" s="102">
        <f>MIN(1,MAX(VLOOKUP(($AJ15-$AI15-$AH15-$AG15-$AF15-$AE15*(1+HA$3))/$AJ15,Уголь_коэфф!$A:$B,2,1),(GZ15-0.05)))</f>
        <v>0.995</v>
      </c>
      <c r="HB15" s="102">
        <f>MIN(1,MAX(VLOOKUP(($AJ15-$AI15-$AH15-$AG15-$AF15-$AE15*(1+HB$3))/$AJ15,Уголь_коэфф!$A:$B,2,1),(HA15-0.05)))</f>
        <v>0.995</v>
      </c>
      <c r="HC15" s="102">
        <f>MIN(1,MAX(VLOOKUP(($AJ15-$AI15-$AH15-$AG15-$AF15-$AE15*(1+HC$3))/$AJ15,Уголь_коэфф!$A:$B,2,1),(HB15-0.05)))</f>
        <v>0.99</v>
      </c>
      <c r="HD15" s="102">
        <f>MIN(1,MAX(VLOOKUP(($AJ15-$AI15-$AH15-$AG15-$AF15-$AE15*(1+HD$3))/$AJ15,Уголь_коэфф!$A:$B,2,1),(HC15-0.05)))</f>
        <v>0.99</v>
      </c>
      <c r="HE15" s="102">
        <f>MIN(1,MAX(VLOOKUP(($AJ15-$AI15-$AH15-$AG15-$AF15-$AE15*(1+HE$3))/$AJ15,Уголь_коэфф!$A:$B,2,1),(HD15-0.05)))</f>
        <v>0.99</v>
      </c>
      <c r="HF15" s="102">
        <f>MIN(1,MAX(VLOOKUP(($AJ15-$AI15-$AH15-$AG15-$AF15-$AE15*(1+HF$3))/$AJ15,Уголь_коэфф!$A:$B,2,1),(HE15-0.05)))</f>
        <v>0.99</v>
      </c>
      <c r="HG15" s="102">
        <f>MIN(1,MAX(VLOOKUP(($AJ15-$AI15-$AH15-$AG15-$AF15-$AE15*(1+HG$3))/$AJ15,Уголь_коэфф!$A:$B,2,1),(HF15-0.05)))</f>
        <v>0.99</v>
      </c>
      <c r="HH15" s="102">
        <f>MIN(1,MAX(VLOOKUP(($AJ15-$AI15-$AH15-$AG15-$AF15-$AE15*(1+HH$3))/$AJ15,Уголь_коэфф!$A:$B,2,1),(HG15-0.05)))</f>
        <v>0.98499999999999999</v>
      </c>
      <c r="HI15" s="102">
        <f>MIN(1,MAX(VLOOKUP(($AJ15-$AI15-$AH15-$AG15-$AF15-$AE15*(1+HI$3))/$AJ15,Уголь_коэфф!$A:$B,2,1),(HH15-0.05)))</f>
        <v>0.98499999999999999</v>
      </c>
      <c r="HJ15" s="102">
        <f>MIN(1,MAX(VLOOKUP(($AJ15-$AI15-$AH15-$AG15-$AF15-$AE15*(1+HJ$3))/$AJ15,Уголь_коэфф!$A:$B,2,1),(HI15-0.05)))</f>
        <v>0.98499999999999999</v>
      </c>
      <c r="HK15" s="102">
        <f>MIN(1,MAX(VLOOKUP(($AJ15-$AI15-$AH15-$AG15-$AF15-$AE15*(1+HK$3))/$AJ15,Уголь_коэфф!$A:$B,2,1),(HJ15-0.05)))</f>
        <v>0.98499999999999999</v>
      </c>
      <c r="HL15" s="102">
        <f>MIN(1,MAX(VLOOKUP(($AJ15-$AI15-$AH15-$AG15-$AF15-$AE15*(1+HL$3))/$AJ15,Уголь_коэфф!$A:$B,2,1),(HK15-0.05)))</f>
        <v>0.98499999999999999</v>
      </c>
      <c r="HM15" s="102">
        <f>MIN(1,MAX(VLOOKUP(($AJ15-$AI15-$AH15-$AG15-$AF15-$AE15*(1+HM$3))/$AJ15,Уголь_коэфф!$A:$B,2,1),(HL15-0.05)))</f>
        <v>0.98499999999999999</v>
      </c>
      <c r="HN15" s="102">
        <f>MIN(1,MAX(VLOOKUP(($AJ15-$AI15-$AH15-$AG15-$AF15-$AE15*(1+HN$3))/$AJ15,Уголь_коэфф!$A:$B,2,1),(HM15-0.05)))</f>
        <v>0.98</v>
      </c>
      <c r="HO15" s="102">
        <f>MIN(1,MAX(VLOOKUP(($AJ15-$AI15-$AH15-$AG15-$AF15-$AE15*(1+HO$3))/$AJ15,Уголь_коэфф!$A:$B,2,1),(HN15-0.05)))</f>
        <v>0.98</v>
      </c>
      <c r="HP15" s="102">
        <f>MIN(1,MAX(VLOOKUP(($AJ15-$AI15-$AH15-$AG15-$AF15-$AE15*(1+HP$3))/$AJ15,Уголь_коэфф!$A:$B,2,1),(HO15-0.05)))</f>
        <v>0.98</v>
      </c>
      <c r="HQ15" s="102">
        <f>MIN(1,MAX(VLOOKUP(($AJ15-$AI15-$AH15-$AG15-$AF15-$AE15*(1+HQ$3))/$AJ15,Уголь_коэфф!$A:$B,2,1),(HP15-0.05)))</f>
        <v>0.98</v>
      </c>
      <c r="HR15" s="102">
        <f>MIN(1,MAX(VLOOKUP(($AJ15-$AI15-$AH15-$AG15-$AF15-$AE15*(1+HR$3))/$AJ15,Уголь_коэфф!$A:$B,2,1),(HQ15-0.05)))</f>
        <v>0.98</v>
      </c>
      <c r="HS15" s="102">
        <f>MIN(1,MAX(VLOOKUP(($AJ15-$AI15-$AH15-$AG15-$AF15-$AE15*(1+HS$3))/$AJ15,Уголь_коэфф!$A:$B,2,1),(HR15-0.05)))</f>
        <v>0.97499999999999998</v>
      </c>
      <c r="HT15" s="102">
        <f>MIN(1,MAX(VLOOKUP(($AJ15-$AI15-$AH15-$AG15-$AF15-$AE15*(1+HT$3))/$AJ15,Уголь_коэфф!$A:$B,2,1),(HS15-0.05)))</f>
        <v>0.97499999999999998</v>
      </c>
      <c r="HU15" s="102">
        <f>MIN(1,MAX(VLOOKUP(($AJ15-$AI15-$AH15-$AG15-$AF15-$AE15*(1+HU$3))/$AJ15,Уголь_коэфф!$A:$B,2,1),(HT15-0.05)))</f>
        <v>0.97499999999999998</v>
      </c>
      <c r="HV15" s="102">
        <f>MIN(1,MAX(VLOOKUP(($AJ15-$AI15-$AH15-$AG15-$AF15-$AE15*(1+HV$3))/$AJ15,Уголь_коэфф!$A:$B,2,1),(HU15-0.05)))</f>
        <v>0.97499999999999998</v>
      </c>
      <c r="HW15" s="102">
        <f>MIN(1,MAX(VLOOKUP(($AJ15-$AI15-$AH15-$AG15-$AF15-$AE15*(1+HW$3))/$AJ15,Уголь_коэфф!$A:$B,2,1),(HV15-0.05)))</f>
        <v>0.97499999999999998</v>
      </c>
      <c r="HX15" s="102">
        <f>MIN(1,MAX(VLOOKUP(($AJ15-$AI15-$AH15-$AG15-$AF15-$AE15*(1+HX$3))/$AJ15,Уголь_коэфф!$A:$B,2,1),(HW15-0.05)))</f>
        <v>0.97499999999999998</v>
      </c>
      <c r="HY15" s="102">
        <f>MIN(1,MAX(VLOOKUP(($AJ15-$AI15-$AH15-$AG15-$AF15-$AE15*(1+HY$3))/$AJ15,Уголь_коэфф!$A:$B,2,1),(HX15-0.05)))</f>
        <v>0.97</v>
      </c>
      <c r="HZ15" s="102">
        <f>MIN(1,MAX(VLOOKUP(($AJ15-$AI15-$AH15-$AG15-$AF15-$AE15*(1+HZ$3))/$AJ15,Уголь_коэфф!$A:$B,2,1),(HY15-0.05)))</f>
        <v>0.97</v>
      </c>
      <c r="IA15" s="102">
        <f>MIN(1,MAX(VLOOKUP(($AJ15-$AI15-$AH15-$AG15-$AF15-$AE15*(1+IA$3))/$AJ15,Уголь_коэфф!$A:$B,2,1),(HZ15-0.05)))</f>
        <v>0.97</v>
      </c>
      <c r="IB15" s="102">
        <f>MIN(1,MAX(VLOOKUP(($AJ15-$AI15-$AH15-$AG15-$AF15-$AE15*(1+IB$3))/$AJ15,Уголь_коэфф!$A:$B,2,1),(IA15-0.05)))</f>
        <v>0.97</v>
      </c>
      <c r="IC15" s="102">
        <f>MIN(1,MAX(VLOOKUP(($AJ15-$AI15-$AH15-$AG15-$AF15-$AE15*(1+IC$3))/$AJ15,Уголь_коэфф!$A:$B,2,1),(IB15-0.05)))</f>
        <v>0.97</v>
      </c>
      <c r="ID15" s="102">
        <f>MIN(1,MAX(VLOOKUP(($AJ15-$AI15-$AH15-$AG15-$AF15-$AE15*(1+ID$3))/$AJ15,Уголь_коэфф!$A:$B,2,1),(IC15-0.05)))</f>
        <v>0.97</v>
      </c>
      <c r="IE15" s="102">
        <f>MIN(1,MAX(VLOOKUP(($AJ15-$AI15-$AH15-$AG15-$AF15-$AE15*(1+IE$3))/$AJ15,Уголь_коэфф!$A:$B,2,1),(ID15-0.05)))</f>
        <v>0.96499999999999997</v>
      </c>
      <c r="IF15" s="102">
        <f>MIN(1,MAX(VLOOKUP(($AJ15-$AI15-$AH15-$AG15-$AF15-$AE15*(1+IF$3))/$AJ15,Уголь_коэфф!$A:$B,2,1),(IE15-0.05)))</f>
        <v>0.96499999999999997</v>
      </c>
      <c r="IG15" s="102">
        <f>MIN(1,MAX(VLOOKUP(($AJ15-$AI15-$AH15-$AG15-$AF15-$AE15*(1+IG$3))/$AJ15,Уголь_коэфф!$A:$B,2,1),(IF15-0.05)))</f>
        <v>0.96499999999999997</v>
      </c>
      <c r="IH15" s="102">
        <f>MIN(1,MAX(VLOOKUP(($AJ15-$AI15-$AH15-$AG15-$AF15-$AE15*(1+IH$3))/$AJ15,Уголь_коэфф!$A:$B,2,1),(IG15-0.05)))</f>
        <v>0.96499999999999997</v>
      </c>
      <c r="II15" s="102">
        <f>MIN(1,MAX(VLOOKUP(($AJ15-$AI15-$AH15-$AG15-$AF15-$AE15*(1+II$3))/$AJ15,Уголь_коэфф!$A:$B,2,1),(IH15-0.05)))</f>
        <v>0.96499999999999997</v>
      </c>
      <c r="IJ15" s="102">
        <f>MIN(1,MAX(VLOOKUP(($AJ15-$AI15-$AH15-$AG15-$AF15-$AE15*(1+IJ$3))/$AJ15,Уголь_коэфф!$A:$B,2,1),(II15-0.05)))</f>
        <v>0.96</v>
      </c>
      <c r="IK15" s="102">
        <f>MIN(1,MAX(VLOOKUP(($AJ15-$AI15-$AH15-$AG15-$AF15-$AE15*(1+IK$3))/$AJ15,Уголь_коэфф!$A:$B,2,1),(IJ15-0.05)))</f>
        <v>0.96</v>
      </c>
      <c r="IL15" s="102">
        <f>MIN(1,MAX(VLOOKUP(($AJ15-$AI15-$AH15-$AG15-$AF15-$AE15*(1+IL$3))/$AJ15,Уголь_коэфф!$A:$B,2,1),(IK15-0.05)))</f>
        <v>0.96</v>
      </c>
      <c r="IM15" s="102">
        <f>MIN(1,MAX(VLOOKUP(($AJ15-$AI15-$AH15-$AG15-$AF15-$AE15*(1+IM$3))/$AJ15,Уголь_коэфф!$A:$B,2,1),(IL15-0.05)))</f>
        <v>0.96</v>
      </c>
      <c r="IN15" s="102">
        <f>MIN(1,MAX(VLOOKUP(($AJ15-$AI15-$AH15-$AG15-$AF15-$AE15*(1+IN$3))/$AJ15,Уголь_коэфф!$A:$B,2,1),(IM15-0.05)))</f>
        <v>0.96</v>
      </c>
      <c r="IO15" s="102">
        <f>MIN(1,MAX(VLOOKUP(($AJ15-$AI15-$AH15-$AG15-$AF15-$AE15*(1+IO$3))/$AJ15,Уголь_коэфф!$A:$B,2,1),(IN15-0.05)))</f>
        <v>0.96</v>
      </c>
      <c r="IP15" s="102">
        <f>MIN(1,MAX(VLOOKUP(($AJ15-$AI15-$AH15-$AG15-$AF15-$AE15*(1+IP$3))/$AJ15,Уголь_коэфф!$A:$B,2,1),(IO15-0.05)))</f>
        <v>0.95499999999999996</v>
      </c>
      <c r="IQ15" s="102">
        <f>MIN(1,MAX(VLOOKUP(($AJ15-$AI15-$AH15-$AG15-$AF15-$AE15*(1+IQ$3))/$AJ15,Уголь_коэфф!$A:$B,2,1),(IP15-0.05)))</f>
        <v>0.95499999999999996</v>
      </c>
      <c r="IR15" s="102">
        <f>MIN(1,MAX(VLOOKUP(($AJ15-$AI15-$AH15-$AG15-$AF15-$AE15*(1+IR$3))/$AJ15,Уголь_коэфф!$A:$B,2,1),(IQ15-0.05)))</f>
        <v>0.95499999999999996</v>
      </c>
      <c r="IS15" s="102">
        <f t="shared" si="20"/>
        <v>1</v>
      </c>
      <c r="IT15" s="102">
        <f t="shared" si="7"/>
        <v>1</v>
      </c>
      <c r="IU15" s="110"/>
    </row>
    <row r="16" spans="1:266" ht="14.6" customHeight="1">
      <c r="A16" t="s">
        <v>244</v>
      </c>
      <c r="B16" s="105">
        <v>1</v>
      </c>
      <c r="C16" s="127" t="s">
        <v>16</v>
      </c>
      <c r="D16" s="128">
        <v>16104</v>
      </c>
      <c r="E16" s="128" t="s">
        <v>88</v>
      </c>
      <c r="F16" s="127" t="s">
        <v>78</v>
      </c>
      <c r="G16" s="127" t="s">
        <v>45</v>
      </c>
      <c r="H16" s="128" t="s">
        <v>34</v>
      </c>
      <c r="I16" s="128" t="s">
        <v>89</v>
      </c>
      <c r="J16" s="128" t="s">
        <v>55</v>
      </c>
      <c r="K16" s="128">
        <v>4677</v>
      </c>
      <c r="L16" s="128" t="s">
        <v>22</v>
      </c>
      <c r="M16" s="128" t="s">
        <v>23</v>
      </c>
      <c r="N16" s="128" t="s">
        <v>24</v>
      </c>
      <c r="O16" s="128" t="s">
        <v>36</v>
      </c>
      <c r="P16" s="107">
        <v>57775656</v>
      </c>
      <c r="Q16" s="129" t="s">
        <v>91</v>
      </c>
      <c r="R16" s="128" t="s">
        <v>92</v>
      </c>
      <c r="S16" s="131">
        <v>595825</v>
      </c>
      <c r="T16" s="130">
        <v>2786924496</v>
      </c>
      <c r="U16" s="130">
        <v>8202</v>
      </c>
      <c r="V16" s="130"/>
      <c r="W16" s="132">
        <v>1167689593</v>
      </c>
      <c r="X16" s="104">
        <v>75</v>
      </c>
      <c r="Y16" s="104" t="s">
        <v>163</v>
      </c>
      <c r="Z16" s="107">
        <v>11</v>
      </c>
      <c r="AA16" s="107">
        <v>12</v>
      </c>
      <c r="AB16" s="107">
        <v>4</v>
      </c>
      <c r="AC16" s="88">
        <v>2090.15</v>
      </c>
      <c r="AD16" s="88">
        <v>928.21</v>
      </c>
      <c r="AE16" s="88">
        <f t="shared" si="23"/>
        <v>3018.36</v>
      </c>
      <c r="AF16" s="89">
        <f>'Цены,перевалка,аренда'!$C$26*SUM(Уголь_эластика_экспорт!Z16+Уголь_эластика_экспорт!AA16+Уголь_эластика_экспорт!AB16)/Уголь_эластика_экспорт!X16</f>
        <v>360</v>
      </c>
      <c r="AG16" s="90">
        <f>SUMIF('Цены,перевалка,аренда'!$A$20:$A$22,Уголь_эластика_экспорт!$O16,'Цены,перевалка,аренда'!$D$20:$D$22)</f>
        <v>991.97149999999988</v>
      </c>
      <c r="AH16" s="47"/>
      <c r="AI16" s="91">
        <v>3876</v>
      </c>
      <c r="AJ16" s="92">
        <f>SUMIF('Цены,перевалка,аренда'!$A$5:$A$17,Уголь_эластика_экспорт!A16,'Цены,перевалка,аренда'!$D$5:$D$17)</f>
        <v>9080.3544999999995</v>
      </c>
      <c r="AK16" s="47">
        <f>AJ16/'Цены,перевалка,аренда'!$C$1</f>
        <v>119</v>
      </c>
      <c r="AL16" s="47">
        <f t="shared" si="9"/>
        <v>4370.3315000000002</v>
      </c>
      <c r="AM16" s="47">
        <f t="shared" si="10"/>
        <v>4710.0229999999992</v>
      </c>
      <c r="AN16" s="47">
        <f t="shared" si="11"/>
        <v>8246.3315000000002</v>
      </c>
      <c r="AO16" s="93">
        <f t="shared" si="12"/>
        <v>9.184916734253043E-2</v>
      </c>
      <c r="AP16" s="94">
        <f t="shared" si="13"/>
        <v>0.48129525119311151</v>
      </c>
      <c r="AQ16" s="94">
        <f t="shared" si="5"/>
        <v>0.33240552447594424</v>
      </c>
      <c r="AR16" s="94">
        <f t="shared" si="6"/>
        <v>0.69064783758394532</v>
      </c>
      <c r="AS16" s="167">
        <f t="shared" si="14"/>
        <v>1</v>
      </c>
      <c r="AT16" s="173">
        <f t="shared" si="15"/>
        <v>595825</v>
      </c>
      <c r="AU16" s="97">
        <v>1</v>
      </c>
      <c r="AV16" s="93">
        <f t="shared" si="16"/>
        <v>5.8608614894936087E-2</v>
      </c>
      <c r="AW16" s="94">
        <f t="shared" si="17"/>
        <v>0.51453580364070595</v>
      </c>
      <c r="AX16" s="94">
        <f t="shared" si="18"/>
        <v>0.36564607692353868</v>
      </c>
      <c r="AY16" s="94">
        <f t="shared" si="19"/>
        <v>0.71063291288251118</v>
      </c>
      <c r="AZ16" s="102">
        <f>MIN(IF($AU16=100%,1,1+VLOOKUP(($AJ16-$AI16-$AH16-$AG16-$AF16-$AE16*(1+AZ$3))/$AJ16,Уголь_коэфф!$A:$B,2,1)-VLOOKUP($AO16,Уголь_коэфф!$A:$B,2,1)),1+(1-$AU16))</f>
        <v>1</v>
      </c>
      <c r="BA16" s="102">
        <f>MIN(IF($AU16=100%,1,1+VLOOKUP(($AJ16-$AI16-$AH16-$AG16-$AF16-$AE16*(1+BA$3))/$AJ16,Уголь_коэфф!$A:$B,2,1)-VLOOKUP($AO16,Уголь_коэфф!$A:$B,2,1)),1+(1-$AU16))</f>
        <v>1</v>
      </c>
      <c r="BB16" s="102">
        <f>MIN(IF($AU16=100%,1,1+VLOOKUP(($AJ16-$AI16-$AH16-$AG16-$AF16-$AE16*(1+BB$3))/$AJ16,Уголь_коэфф!$A:$B,2,1)-VLOOKUP($AO16,Уголь_коэфф!$A:$B,2,1)),1+(1-$AU16))</f>
        <v>1</v>
      </c>
      <c r="BC16" s="102">
        <f>MIN(IF($AU16=100%,1,1+VLOOKUP(($AJ16-$AI16-$AH16-$AG16-$AF16-$AE16*(1+BC$3))/$AJ16,Уголь_коэфф!$A:$B,2,1)-VLOOKUP($AO16,Уголь_коэфф!$A:$B,2,1)),1+(1-$AU16))</f>
        <v>1</v>
      </c>
      <c r="BD16" s="102">
        <f>MIN(IF($AU16=100%,1,1+VLOOKUP(($AJ16-$AI16-$AH16-$AG16-$AF16-$AE16*(1+BD$3))/$AJ16,Уголь_коэфф!$A:$B,2,1)-VLOOKUP($AO16,Уголь_коэфф!$A:$B,2,1)),1+(1-$AU16))</f>
        <v>1</v>
      </c>
      <c r="BE16" s="102">
        <f>MIN(IF($AU16=100%,1,1+VLOOKUP(($AJ16-$AI16-$AH16-$AG16-$AF16-$AE16*(1+BE$3))/$AJ16,Уголь_коэфф!$A:$B,2,1)-VLOOKUP($AO16,Уголь_коэфф!$A:$B,2,1)),1+(1-$AU16))</f>
        <v>1</v>
      </c>
      <c r="BF16" s="102">
        <f>MIN(IF($AU16=100%,1,1+VLOOKUP(($AJ16-$AI16-$AH16-$AG16-$AF16-$AE16*(1+BF$3))/$AJ16,Уголь_коэфф!$A:$B,2,1)-VLOOKUP($AO16,Уголь_коэфф!$A:$B,2,1)),1+(1-$AU16))</f>
        <v>1</v>
      </c>
      <c r="BG16" s="102">
        <f>MIN(IF($AU16=100%,1,1+VLOOKUP(($AJ16-$AI16-$AH16-$AG16-$AF16-$AE16*(1+BG$3))/$AJ16,Уголь_коэфф!$A:$B,2,1)-VLOOKUP($AO16,Уголь_коэфф!$A:$B,2,1)),1+(1-$AU16))</f>
        <v>1</v>
      </c>
      <c r="BH16" s="102">
        <f>MIN(IF($AU16=100%,1,1+VLOOKUP(($AJ16-$AI16-$AH16-$AG16-$AF16-$AE16*(1+BH$3))/$AJ16,Уголь_коэфф!$A:$B,2,1)-VLOOKUP($AO16,Уголь_коэфф!$A:$B,2,1)),1+(1-$AU16))</f>
        <v>1</v>
      </c>
      <c r="BI16" s="102">
        <f>MIN(IF($AU16=100%,1,1+VLOOKUP(($AJ16-$AI16-$AH16-$AG16-$AF16-$AE16*(1+BI$3))/$AJ16,Уголь_коэфф!$A:$B,2,1)-VLOOKUP($AO16,Уголь_коэфф!$A:$B,2,1)),1+(1-$AU16))</f>
        <v>1</v>
      </c>
      <c r="BJ16" s="102">
        <f>MIN(IF($AU16=100%,1,1+VLOOKUP(($AJ16-$AI16-$AH16-$AG16-$AF16-$AE16*(1+BJ$3))/$AJ16,Уголь_коэфф!$A:$B,2,1)-VLOOKUP($AO16,Уголь_коэфф!$A:$B,2,1)),1+(1-$AU16))</f>
        <v>1</v>
      </c>
      <c r="BK16" s="102">
        <f>MIN(IF($AU16=100%,1,1+VLOOKUP(($AJ16-$AI16-$AH16-$AG16-$AF16-$AE16*(1+BK$3))/$AJ16,Уголь_коэфф!$A:$B,2,1)-VLOOKUP($AO16,Уголь_коэфф!$A:$B,2,1)),1+(1-$AU16))</f>
        <v>1</v>
      </c>
      <c r="BL16" s="102">
        <f>MIN(IF($AU16=100%,1,1+VLOOKUP(($AJ16-$AI16-$AH16-$AG16-$AF16-$AE16*(1+BL$3))/$AJ16,Уголь_коэфф!$A:$B,2,1)-VLOOKUP($AO16,Уголь_коэфф!$A:$B,2,1)),1+(1-$AU16))</f>
        <v>1</v>
      </c>
      <c r="BM16" s="102">
        <f>MIN(IF($AU16=100%,1,1+VLOOKUP(($AJ16-$AI16-$AH16-$AG16-$AF16-$AE16*(1+BM$3))/$AJ16,Уголь_коэфф!$A:$B,2,1)-VLOOKUP($AO16,Уголь_коэфф!$A:$B,2,1)),1+(1-$AU16))</f>
        <v>1</v>
      </c>
      <c r="BN16" s="102">
        <f>MIN(IF($AU16=100%,1,1+VLOOKUP(($AJ16-$AI16-$AH16-$AG16-$AF16-$AE16*(1+BN$3))/$AJ16,Уголь_коэфф!$A:$B,2,1)-VLOOKUP($AO16,Уголь_коэфф!$A:$B,2,1)),1+(1-$AU16))</f>
        <v>1</v>
      </c>
      <c r="BO16" s="102">
        <f>MIN(IF($AU16=100%,1,1+VLOOKUP(($AJ16-$AI16-$AH16-$AG16-$AF16-$AE16*(1+BO$3))/$AJ16,Уголь_коэфф!$A:$B,2,1)-VLOOKUP($AO16,Уголь_коэфф!$A:$B,2,1)),1+(1-$AU16))</f>
        <v>1</v>
      </c>
      <c r="BP16" s="102">
        <f>MIN(IF($AU16=100%,1,1+VLOOKUP(($AJ16-$AI16-$AH16-$AG16-$AF16-$AE16*(1+BP$3))/$AJ16,Уголь_коэфф!$A:$B,2,1)-VLOOKUP($AO16,Уголь_коэфф!$A:$B,2,1)),1+(1-$AU16))</f>
        <v>1</v>
      </c>
      <c r="BQ16" s="102">
        <f>MIN(IF($AU16=100%,1,1+VLOOKUP(($AJ16-$AI16-$AH16-$AG16-$AF16-$AE16*(1+BQ$3))/$AJ16,Уголь_коэфф!$A:$B,2,1)-VLOOKUP($AO16,Уголь_коэфф!$A:$B,2,1)),1+(1-$AU16))</f>
        <v>1</v>
      </c>
      <c r="BR16" s="102">
        <f>MIN(IF($AU16=100%,1,1+VLOOKUP(($AJ16-$AI16-$AH16-$AG16-$AF16-$AE16*(1+BR$3))/$AJ16,Уголь_коэфф!$A:$B,2,1)-VLOOKUP($AO16,Уголь_коэфф!$A:$B,2,1)),1+(1-$AU16))</f>
        <v>1</v>
      </c>
      <c r="BS16" s="102">
        <f>MIN(IF($AU16=100%,1,1+VLOOKUP(($AJ16-$AI16-$AH16-$AG16-$AF16-$AE16*(1+BS$3))/$AJ16,Уголь_коэфф!$A:$B,2,1)-VLOOKUP($AO16,Уголь_коэфф!$A:$B,2,1)),1+(1-$AU16))</f>
        <v>1</v>
      </c>
      <c r="BT16" s="102">
        <f>MIN(IF($AU16=100%,1,1+VLOOKUP(($AJ16-$AI16-$AH16-$AG16-$AF16-$AE16*(1+BT$3))/$AJ16,Уголь_коэфф!$A:$B,2,1)-VLOOKUP($AO16,Уголь_коэфф!$A:$B,2,1)),1+(1-$AU16))</f>
        <v>1</v>
      </c>
      <c r="BU16" s="102">
        <f>MIN(IF($AU16=100%,1,1+VLOOKUP(($AJ16-$AI16-$AH16-$AG16-$AF16-$AE16*(1+BU$3))/$AJ16,Уголь_коэфф!$A:$B,2,1)-VLOOKUP($AO16,Уголь_коэфф!$A:$B,2,1)),1+(1-$AU16))</f>
        <v>1</v>
      </c>
      <c r="BV16" s="102">
        <f>MIN(IF($AU16=100%,1,1+VLOOKUP(($AJ16-$AI16-$AH16-$AG16-$AF16-$AE16*(1+BV$3))/$AJ16,Уголь_коэфф!$A:$B,2,1)-VLOOKUP($AO16,Уголь_коэфф!$A:$B,2,1)),1+(1-$AU16))</f>
        <v>1</v>
      </c>
      <c r="BW16" s="102">
        <f>MIN(IF($AU16=100%,1,1+VLOOKUP(($AJ16-$AI16-$AH16-$AG16-$AF16-$AE16*(1+BW$3))/$AJ16,Уголь_коэфф!$A:$B,2,1)-VLOOKUP($AO16,Уголь_коэфф!$A:$B,2,1)),1+(1-$AU16))</f>
        <v>1</v>
      </c>
      <c r="BX16" s="102">
        <f>MIN(IF($AU16=100%,1,1+VLOOKUP(($AJ16-$AI16-$AH16-$AG16-$AF16-$AE16*(1+BX$3))/$AJ16,Уголь_коэфф!$A:$B,2,1)-VLOOKUP($AO16,Уголь_коэфф!$A:$B,2,1)),1+(1-$AU16))</f>
        <v>1</v>
      </c>
      <c r="BY16" s="102">
        <f>MIN(IF($AU16=100%,1,1+VLOOKUP(($AJ16-$AI16-$AH16-$AG16-$AF16-$AE16*(1+BY$3))/$AJ16,Уголь_коэфф!$A:$B,2,1)-VLOOKUP($AO16,Уголь_коэфф!$A:$B,2,1)),1+(1-$AU16))</f>
        <v>1</v>
      </c>
      <c r="BZ16" s="102">
        <f>MIN(IF($AU16=100%,1,1+VLOOKUP(($AJ16-$AI16-$AH16-$AG16-$AF16-$AE16*(1+BZ$3))/$AJ16,Уголь_коэфф!$A:$B,2,1)-VLOOKUP($AO16,Уголь_коэфф!$A:$B,2,1)),1+(1-$AU16))</f>
        <v>1</v>
      </c>
      <c r="CA16" s="102">
        <f>MIN(IF($AU16=100%,1,1+VLOOKUP(($AJ16-$AI16-$AH16-$AG16-$AF16-$AE16*(1+CA$3))/$AJ16,Уголь_коэфф!$A:$B,2,1)-VLOOKUP($AO16,Уголь_коэфф!$A:$B,2,1)),1+(1-$AU16))</f>
        <v>1</v>
      </c>
      <c r="CB16" s="102">
        <f>MIN(IF($AU16=100%,1,1+VLOOKUP(($AJ16-$AI16-$AH16-$AG16-$AF16-$AE16*(1+CB$3))/$AJ16,Уголь_коэфф!$A:$B,2,1)-VLOOKUP($AO16,Уголь_коэфф!$A:$B,2,1)),1+(1-$AU16))</f>
        <v>1</v>
      </c>
      <c r="CC16" s="102">
        <f>MIN(IF($AU16=100%,1,1+VLOOKUP(($AJ16-$AI16-$AH16-$AG16-$AF16-$AE16*(1+CC$3))/$AJ16,Уголь_коэфф!$A:$B,2,1)-VLOOKUP($AO16,Уголь_коэфф!$A:$B,2,1)),1+(1-$AU16))</f>
        <v>1</v>
      </c>
      <c r="CD16" s="102">
        <f>MIN(IF($AU16=100%,1,1+VLOOKUP(($AJ16-$AI16-$AH16-$AG16-$AF16-$AE16*(1+CD$3))/$AJ16,Уголь_коэфф!$A:$B,2,1)-VLOOKUP($AO16,Уголь_коэфф!$A:$B,2,1)),1+(1-$AU16))</f>
        <v>1</v>
      </c>
      <c r="CE16" s="102">
        <f>MIN(IF($AU16=100%,1,1+VLOOKUP(($AJ16-$AI16-$AH16-$AG16-$AF16-$AE16*(1+CE$3))/$AJ16,Уголь_коэфф!$A:$B,2,1)-VLOOKUP($AO16,Уголь_коэфф!$A:$B,2,1)),1+(1-$AU16))</f>
        <v>1</v>
      </c>
      <c r="CF16" s="102">
        <f>MIN(IF($AU16=100%,1,1+VLOOKUP(($AJ16-$AI16-$AH16-$AG16-$AF16-$AE16*(1+CF$3))/$AJ16,Уголь_коэфф!$A:$B,2,1)-VLOOKUP($AO16,Уголь_коэфф!$A:$B,2,1)),1+(1-$AU16))</f>
        <v>1</v>
      </c>
      <c r="CG16" s="102">
        <f>MIN(IF($AU16=100%,1,1+VLOOKUP(($AJ16-$AI16-$AH16-$AG16-$AF16-$AE16*(1+CG$3))/$AJ16,Уголь_коэфф!$A:$B,2,1)-VLOOKUP($AO16,Уголь_коэфф!$A:$B,2,1)),1+(1-$AU16))</f>
        <v>1</v>
      </c>
      <c r="CH16" s="102">
        <f>MIN(IF($AU16=100%,1,1+VLOOKUP(($AJ16-$AI16-$AH16-$AG16-$AF16-$AE16*(1+CH$3))/$AJ16,Уголь_коэфф!$A:$B,2,1)-VLOOKUP($AO16,Уголь_коэфф!$A:$B,2,1)),1+(1-$AU16))</f>
        <v>1</v>
      </c>
      <c r="CI16" s="102">
        <f>MIN(IF($AU16=100%,1,1+VLOOKUP(($AJ16-$AI16-$AH16-$AG16-$AF16-$AE16*(1+CI$3))/$AJ16,Уголь_коэфф!$A:$B,2,1)-VLOOKUP($AO16,Уголь_коэфф!$A:$B,2,1)),1+(1-$AU16))</f>
        <v>1</v>
      </c>
      <c r="CJ16" s="102">
        <f>MIN(IF($AU16=100%,1,1+VLOOKUP(($AJ16-$AI16-$AH16-$AG16-$AF16-$AE16*(1+CJ$3))/$AJ16,Уголь_коэфф!$A:$B,2,1)-VLOOKUP($AO16,Уголь_коэфф!$A:$B,2,1)),1+(1-$AU16))</f>
        <v>1</v>
      </c>
      <c r="CK16" s="102">
        <f>MIN(IF($AU16=100%,1,1+VLOOKUP(($AJ16-$AI16-$AH16-$AG16-$AF16-$AE16*(1+CK$3))/$AJ16,Уголь_коэфф!$A:$B,2,1)-VLOOKUP($AO16,Уголь_коэфф!$A:$B,2,1)),1+(1-$AU16))</f>
        <v>1</v>
      </c>
      <c r="CL16" s="102">
        <f>MIN(IF($AU16=100%,1,1+VLOOKUP(($AJ16-$AI16-$AH16-$AG16-$AF16-$AE16*(1+CL$3))/$AJ16,Уголь_коэфф!$A:$B,2,1)-VLOOKUP($AO16,Уголь_коэфф!$A:$B,2,1)),1+(1-$AU16))</f>
        <v>1</v>
      </c>
      <c r="CM16" s="102">
        <f>MIN(IF($AU16=100%,1,1+VLOOKUP(($AJ16-$AI16-$AH16-$AG16-$AF16-$AE16*(1+CM$3))/$AJ16,Уголь_коэфф!$A:$B,2,1)-VLOOKUP($AO16,Уголь_коэфф!$A:$B,2,1)),1+(1-$AU16))</f>
        <v>1</v>
      </c>
      <c r="CN16" s="102">
        <f>MIN(IF($AU16=100%,1,1+VLOOKUP(($AJ16-$AI16-$AH16-$AG16-$AF16-$AE16*(1+CN$3))/$AJ16,Уголь_коэфф!$A:$B,2,1)-VLOOKUP($AO16,Уголь_коэфф!$A:$B,2,1)),1+(1-$AU16))</f>
        <v>1</v>
      </c>
      <c r="CO16" s="102">
        <f>MIN(IF($AU16=100%,1,1+VLOOKUP(($AJ16-$AI16-$AH16-$AG16-$AF16-$AE16*(1+CO$3))/$AJ16,Уголь_коэфф!$A:$B,2,1)-VLOOKUP($AO16,Уголь_коэфф!$A:$B,2,1)),1+(1-$AU16))</f>
        <v>1</v>
      </c>
      <c r="CP16" s="102">
        <f>MIN(IF($AU16=100%,1,1+VLOOKUP(($AJ16-$AI16-$AH16-$AG16-$AF16-$AE16*(1+CP$3))/$AJ16,Уголь_коэфф!$A:$B,2,1)-VLOOKUP($AO16,Уголь_коэфф!$A:$B,2,1)),1+(1-$AU16))</f>
        <v>1</v>
      </c>
      <c r="CQ16" s="102">
        <f>MIN(IF($AU16=100%,1,1+VLOOKUP(($AJ16-$AI16-$AH16-$AG16-$AF16-$AE16*(1+CQ$3))/$AJ16,Уголь_коэфф!$A:$B,2,1)-VLOOKUP($AO16,Уголь_коэфф!$A:$B,2,1)),1+(1-$AU16))</f>
        <v>1</v>
      </c>
      <c r="CR16" s="102">
        <f>MIN(IF($AU16=100%,1,1+VLOOKUP(($AJ16-$AI16-$AH16-$AG16-$AF16-$AE16*(1+CR$3))/$AJ16,Уголь_коэфф!$A:$B,2,1)-VLOOKUP($AO16,Уголь_коэфф!$A:$B,2,1)),1+(1-$AU16))</f>
        <v>1</v>
      </c>
      <c r="CS16" s="102">
        <f>MIN(IF($AU16=100%,1,1+VLOOKUP(($AJ16-$AI16-$AH16-$AG16-$AF16-$AE16*(1+CS$3))/$AJ16,Уголь_коэфф!$A:$B,2,1)-VLOOKUP($AO16,Уголь_коэфф!$A:$B,2,1)),1+(1-$AU16))</f>
        <v>1</v>
      </c>
      <c r="CT16" s="102">
        <f>MIN(IF($AU16=100%,1,1+VLOOKUP(($AJ16-$AI16-$AH16-$AG16-$AF16-$AE16*(1+CT$3))/$AJ16,Уголь_коэфф!$A:$B,2,1)-VLOOKUP($AO16,Уголь_коэфф!$A:$B,2,1)),1+(1-$AU16))</f>
        <v>1</v>
      </c>
      <c r="CU16" s="102">
        <f>MIN(IF($AU16=100%,1,1+VLOOKUP(($AJ16-$AI16-$AH16-$AG16-$AF16-$AE16*(1+CU$3))/$AJ16,Уголь_коэфф!$A:$B,2,1)-VLOOKUP($AO16,Уголь_коэфф!$A:$B,2,1)),1+(1-$AU16))</f>
        <v>1</v>
      </c>
      <c r="CV16" s="102">
        <f>MIN(IF($AU16=100%,1,1+VLOOKUP(($AJ16-$AI16-$AH16-$AG16-$AF16-$AE16*(1+CV$3))/$AJ16,Уголь_коэфф!$A:$B,2,1)-VLOOKUP($AO16,Уголь_коэфф!$A:$B,2,1)),1+(1-$AU16))</f>
        <v>1</v>
      </c>
      <c r="CW16" s="102">
        <f>MIN(IF($AU16=100%,1,1+VLOOKUP(($AJ16-$AI16-$AH16-$AG16-$AF16-$AE16*(1+CW$3))/$AJ16,Уголь_коэфф!$A:$B,2,1)-VLOOKUP($AO16,Уголь_коэфф!$A:$B,2,1)),1+(1-$AU16))</f>
        <v>1</v>
      </c>
      <c r="CX16" s="102">
        <f>MIN(IF($AU16=100%,1,1+VLOOKUP(($AJ16-$AI16-$AH16-$AG16-$AF16-$AE16*(1+CX$3))/$AJ16,Уголь_коэфф!$A:$B,2,1)-VLOOKUP($AO16,Уголь_коэфф!$A:$B,2,1)),1+(1-$AU16))</f>
        <v>1</v>
      </c>
      <c r="CY16" s="102">
        <f>MIN(IF($AU16=100%,1,1+VLOOKUP(($AJ16-$AI16-$AH16-$AG16-$AF16-$AE16*(1+CY$3))/$AJ16,Уголь_коэфф!$A:$B,2,1)-VLOOKUP($AO16,Уголь_коэфф!$A:$B,2,1)),1+(1-$AU16))</f>
        <v>1</v>
      </c>
      <c r="CZ16" s="102">
        <f>MIN(IF($AU16=100%,1,1+VLOOKUP(($AJ16-$AI16-$AH16-$AG16-$AF16-$AE16*(1+CZ$3))/$AJ16,Уголь_коэфф!$A:$B,2,1)-VLOOKUP($AO16,Уголь_коэфф!$A:$B,2,1)),1+(1-$AU16))</f>
        <v>1</v>
      </c>
      <c r="DA16" s="102">
        <f>MIN(IF($AU16=100%,1,1+VLOOKUP(($AJ16-$AI16-$AH16-$AG16-$AF16-$AE16*(1+DA$3))/$AJ16,Уголь_коэфф!$A:$B,2,1)-VLOOKUP($AO16,Уголь_коэфф!$A:$B,2,1)),1+(1-$AU16))</f>
        <v>1</v>
      </c>
      <c r="DB16" s="102">
        <f>MIN(IF($AU16=100%,1,1+VLOOKUP(($AJ16-$AI16-$AH16-$AG16-$AF16-$AE16*(1+DB$3))/$AJ16,Уголь_коэфф!$A:$B,2,1)-VLOOKUP($AO16,Уголь_коэфф!$A:$B,2,1)),1+(1-$AU16))</f>
        <v>1</v>
      </c>
      <c r="DC16" s="102">
        <f>MIN(IF($AU16=100%,1,1+VLOOKUP(($AJ16-$AI16-$AH16-$AG16-$AF16-$AE16*(1+DC$3))/$AJ16,Уголь_коэфф!$A:$B,2,1)-VLOOKUP($AO16,Уголь_коэфф!$A:$B,2,1)),1+(1-$AU16))</f>
        <v>1</v>
      </c>
      <c r="DD16" s="102">
        <f>MIN(IF($AU16=100%,1,1+VLOOKUP(($AJ16-$AI16-$AH16-$AG16-$AF16-$AE16*(1+DD$3))/$AJ16,Уголь_коэфф!$A:$B,2,1)-VLOOKUP($AO16,Уголь_коэфф!$A:$B,2,1)),1+(1-$AU16))</f>
        <v>1</v>
      </c>
      <c r="DE16" s="102">
        <f>MIN(IF($AU16=100%,1,1+VLOOKUP(($AJ16-$AI16-$AH16-$AG16-$AF16-$AE16*(1+DE$3))/$AJ16,Уголь_коэфф!$A:$B,2,1)-VLOOKUP($AO16,Уголь_коэфф!$A:$B,2,1)),1+(1-$AU16))</f>
        <v>1</v>
      </c>
      <c r="DF16" s="102">
        <f>MIN(IF($AU16=100%,1,1+VLOOKUP(($AJ16-$AI16-$AH16-$AG16-$AF16-$AE16*(1+DF$3))/$AJ16,Уголь_коэфф!$A:$B,2,1)-VLOOKUP($AO16,Уголь_коэфф!$A:$B,2,1)),1+(1-$AU16))</f>
        <v>1</v>
      </c>
      <c r="DG16" s="102">
        <f>MIN(IF($AU16=100%,1,1+VLOOKUP(($AJ16-$AI16-$AH16-$AG16-$AF16-$AE16*(1+DG$3))/$AJ16,Уголь_коэфф!$A:$B,2,1)-VLOOKUP($AO16,Уголь_коэфф!$A:$B,2,1)),1+(1-$AU16))</f>
        <v>1</v>
      </c>
      <c r="DH16" s="102">
        <f>MIN(IF($AU16=100%,1,1+VLOOKUP(($AJ16-$AI16-$AH16-$AG16-$AF16-$AE16*(1+DH$3))/$AJ16,Уголь_коэфф!$A:$B,2,1)-VLOOKUP($AO16,Уголь_коэфф!$A:$B,2,1)),1+(1-$AU16))</f>
        <v>1</v>
      </c>
      <c r="DI16" s="102">
        <f>MIN(IF($AU16=100%,1,1+VLOOKUP(($AJ16-$AI16-$AH16-$AG16-$AF16-$AE16*(1+DI$3))/$AJ16,Уголь_коэфф!$A:$B,2,1)-VLOOKUP($AO16,Уголь_коэфф!$A:$B,2,1)),1+(1-$AU16))</f>
        <v>1</v>
      </c>
      <c r="DJ16" s="102">
        <f>MIN(IF($AU16=100%,1,1+VLOOKUP(($AJ16-$AI16-$AH16-$AG16-$AF16-$AE16*(1+DJ$3))/$AJ16,Уголь_коэфф!$A:$B,2,1)-VLOOKUP($AO16,Уголь_коэфф!$A:$B,2,1)),1+(1-$AU16))</f>
        <v>1</v>
      </c>
      <c r="DK16" s="102">
        <f>MIN(IF($AU16=100%,1,1+VLOOKUP(($AJ16-$AI16-$AH16-$AG16-$AF16-$AE16*(1+DK$3))/$AJ16,Уголь_коэфф!$A:$B,2,1)-VLOOKUP($AO16,Уголь_коэфф!$A:$B,2,1)),1+(1-$AU16))</f>
        <v>1</v>
      </c>
      <c r="DL16" s="102">
        <f>MIN(IF($AU16=100%,1,1+VLOOKUP(($AJ16-$AI16-$AH16-$AG16-$AF16-$AE16*(1+DL$3))/$AJ16,Уголь_коэфф!$A:$B,2,1)-VLOOKUP($AO16,Уголь_коэфф!$A:$B,2,1)),1+(1-$AU16))</f>
        <v>1</v>
      </c>
      <c r="DM16" s="102">
        <f>MIN(IF($AU16=100%,1,1+VLOOKUP(($AJ16-$AI16-$AH16-$AG16-$AF16-$AE16*(1+DM$3))/$AJ16,Уголь_коэфф!$A:$B,2,1)-VLOOKUP($AO16,Уголь_коэфф!$A:$B,2,1)),1+(1-$AU16))</f>
        <v>1</v>
      </c>
      <c r="DN16" s="102">
        <f>MIN(IF($AU16=100%,1,1+VLOOKUP(($AJ16-$AI16-$AH16-$AG16-$AF16-$AE16*(1+DN$3))/$AJ16,Уголь_коэфф!$A:$B,2,1)-VLOOKUP($AO16,Уголь_коэфф!$A:$B,2,1)),1+(1-$AU16))</f>
        <v>1</v>
      </c>
      <c r="DO16" s="102">
        <f>MIN(IF($AU16=100%,1,1+VLOOKUP(($AJ16-$AI16-$AH16-$AG16-$AF16-$AE16*(1+DO$3))/$AJ16,Уголь_коэфф!$A:$B,2,1)-VLOOKUP($AO16,Уголь_коэфф!$A:$B,2,1)),1+(1-$AU16))</f>
        <v>1</v>
      </c>
      <c r="DP16" s="102">
        <f>MIN(IF($AU16=100%,1,1+VLOOKUP(($AJ16-$AI16-$AH16-$AG16-$AF16-$AE16*(1+DP$3))/$AJ16,Уголь_коэфф!$A:$B,2,1)-VLOOKUP($AO16,Уголь_коэфф!$A:$B,2,1)),1+(1-$AU16))</f>
        <v>1</v>
      </c>
      <c r="DQ16" s="102">
        <f>MIN(IF($AU16=100%,1,1+VLOOKUP(($AJ16-$AI16-$AH16-$AG16-$AF16-$AE16*(1+DQ$3))/$AJ16,Уголь_коэфф!$A:$B,2,1)-VLOOKUP($AO16,Уголь_коэфф!$A:$B,2,1)),1+(1-$AU16))</f>
        <v>1</v>
      </c>
      <c r="DR16" s="102">
        <f>MIN(IF($AU16=100%,1,1+VLOOKUP(($AJ16-$AI16-$AH16-$AG16-$AF16-$AE16*(1+DR$3))/$AJ16,Уголь_коэфф!$A:$B,2,1)-VLOOKUP($AO16,Уголь_коэфф!$A:$B,2,1)),1+(1-$AU16))</f>
        <v>1</v>
      </c>
      <c r="DS16" s="102">
        <f>MIN(IF($AU16=100%,1,1+VLOOKUP(($AJ16-$AI16-$AH16-$AG16-$AF16-$AE16*(1+DS$3))/$AJ16,Уголь_коэфф!$A:$B,2,1)-VLOOKUP($AO16,Уголь_коэфф!$A:$B,2,1)),1+(1-$AU16))</f>
        <v>1</v>
      </c>
      <c r="DT16" s="102">
        <f>MIN(IF($AU16=100%,1,1+VLOOKUP(($AJ16-$AI16-$AH16-$AG16-$AF16-$AE16*(1+DT$3))/$AJ16,Уголь_коэфф!$A:$B,2,1)-VLOOKUP($AO16,Уголь_коэфф!$A:$B,2,1)),1+(1-$AU16))</f>
        <v>1</v>
      </c>
      <c r="DU16" s="102">
        <f>MIN(IF($AU16=100%,1,1+VLOOKUP(($AJ16-$AI16-$AH16-$AG16-$AF16-$AE16*(1+DU$3))/$AJ16,Уголь_коэфф!$A:$B,2,1)-VLOOKUP($AO16,Уголь_коэфф!$A:$B,2,1)),1+(1-$AU16))</f>
        <v>1</v>
      </c>
      <c r="DV16" s="102">
        <f>MIN(IF($AU16=100%,1,1+VLOOKUP(($AJ16-$AI16-$AH16-$AG16-$AF16-$AE16*(1+DV$3))/$AJ16,Уголь_коэфф!$A:$B,2,1)-VLOOKUP($AO16,Уголь_коэфф!$A:$B,2,1)),1+(1-$AU16))</f>
        <v>1</v>
      </c>
      <c r="DW16" s="102">
        <f>MIN(IF($AU16=100%,1,1+VLOOKUP(($AJ16-$AI16-$AH16-$AG16-$AF16-$AE16*(1+DW$3))/$AJ16,Уголь_коэфф!$A:$B,2,1)-VLOOKUP($AO16,Уголь_коэфф!$A:$B,2,1)),1+(1-$AU16))</f>
        <v>1</v>
      </c>
      <c r="DX16" s="102">
        <f>MIN(IF($AU16=100%,1,1+VLOOKUP(($AJ16-$AI16-$AH16-$AG16-$AF16-$AE16*(1+DX$3))/$AJ16,Уголь_коэфф!$A:$B,2,1)-VLOOKUP($AO16,Уголь_коэфф!$A:$B,2,1)),1+(1-$AU16))</f>
        <v>1</v>
      </c>
      <c r="DY16" s="102">
        <f>MIN(IF($AU16=100%,1,1+VLOOKUP(($AJ16-$AI16-$AH16-$AG16-$AF16-$AE16*(1+DY$3))/$AJ16,Уголь_коэфф!$A:$B,2,1)-VLOOKUP($AO16,Уголь_коэфф!$A:$B,2,1)),1+(1-$AU16))</f>
        <v>1</v>
      </c>
      <c r="DZ16" s="102">
        <f>MIN(IF($AU16=100%,1,1+VLOOKUP(($AJ16-$AI16-$AH16-$AG16-$AF16-$AE16*(1+DZ$3))/$AJ16,Уголь_коэфф!$A:$B,2,1)-VLOOKUP($AO16,Уголь_коэфф!$A:$B,2,1)),1+(1-$AU16))</f>
        <v>1</v>
      </c>
      <c r="EA16" s="102">
        <f>MIN(IF($AU16=100%,1,1+VLOOKUP(($AJ16-$AI16-$AH16-$AG16-$AF16-$AE16*(1+EA$3))/$AJ16,Уголь_коэфф!$A:$B,2,1)-VLOOKUP($AO16,Уголь_коэфф!$A:$B,2,1)),1+(1-$AU16))</f>
        <v>1</v>
      </c>
      <c r="EB16" s="102">
        <f>MIN(IF($AU16=100%,1,1+VLOOKUP(($AJ16-$AI16-$AH16-$AG16-$AF16-$AE16*(1+EB$3))/$AJ16,Уголь_коэфф!$A:$B,2,1)-VLOOKUP($AO16,Уголь_коэфф!$A:$B,2,1)),1+(1-$AU16))</f>
        <v>1</v>
      </c>
      <c r="EC16" s="102">
        <f>MIN(IF($AU16=100%,1,1+VLOOKUP(($AJ16-$AI16-$AH16-$AG16-$AF16-$AE16*(1+EC$3))/$AJ16,Уголь_коэфф!$A:$B,2,1)-VLOOKUP($AO16,Уголь_коэфф!$A:$B,2,1)),1+(1-$AU16))</f>
        <v>1</v>
      </c>
      <c r="ED16" s="102">
        <f>MIN(IF($AU16=100%,1,1+VLOOKUP(($AJ16-$AI16-$AH16-$AG16-$AF16-$AE16*(1+ED$3))/$AJ16,Уголь_коэфф!$A:$B,2,1)-VLOOKUP($AO16,Уголь_коэфф!$A:$B,2,1)),1+(1-$AU16))</f>
        <v>1</v>
      </c>
      <c r="EE16" s="102">
        <f>MIN(IF($AU16=100%,1,1+VLOOKUP(($AJ16-$AI16-$AH16-$AG16-$AF16-$AE16*(1+EE$3))/$AJ16,Уголь_коэфф!$A:$B,2,1)-VLOOKUP($AO16,Уголь_коэфф!$A:$B,2,1)),1+(1-$AU16))</f>
        <v>1</v>
      </c>
      <c r="EF16" s="102">
        <f>MIN(IF($AU16=100%,1,1+VLOOKUP(($AJ16-$AI16-$AH16-$AG16-$AF16-$AE16*(1+EF$3))/$AJ16,Уголь_коэфф!$A:$B,2,1)-VLOOKUP($AO16,Уголь_коэфф!$A:$B,2,1)),1+(1-$AU16))</f>
        <v>1</v>
      </c>
      <c r="EG16" s="102">
        <f>MIN(IF($AU16=100%,1,1+VLOOKUP(($AJ16-$AI16-$AH16-$AG16-$AF16-$AE16*(1+EG$3))/$AJ16,Уголь_коэфф!$A:$B,2,1)-VLOOKUP($AO16,Уголь_коэфф!$A:$B,2,1)),1+(1-$AU16))</f>
        <v>1</v>
      </c>
      <c r="EH16" s="102">
        <f>MIN(IF($AU16=100%,1,1+VLOOKUP(($AJ16-$AI16-$AH16-$AG16-$AF16-$AE16*(1+EH$3))/$AJ16,Уголь_коэфф!$A:$B,2,1)-VLOOKUP($AO16,Уголь_коэфф!$A:$B,2,1)),1+(1-$AU16))</f>
        <v>1</v>
      </c>
      <c r="EI16" s="102">
        <f>MIN(IF($AU16=100%,1,1+VLOOKUP(($AJ16-$AI16-$AH16-$AG16-$AF16-$AE16*(1+EI$3))/$AJ16,Уголь_коэфф!$A:$B,2,1)-VLOOKUP($AO16,Уголь_коэфф!$A:$B,2,1)),1+(1-$AU16))</f>
        <v>1</v>
      </c>
      <c r="EJ16" s="102">
        <f>MIN(IF($AU16=100%,1,1+VLOOKUP(($AJ16-$AI16-$AH16-$AG16-$AF16-$AE16*(1+EJ$3))/$AJ16,Уголь_коэфф!$A:$B,2,1)-VLOOKUP($AO16,Уголь_коэфф!$A:$B,2,1)),1+(1-$AU16))</f>
        <v>1</v>
      </c>
      <c r="EK16" s="102">
        <f>MIN(IF($AU16=100%,1,1+VLOOKUP(($AJ16-$AI16-$AH16-$AG16-$AF16-$AE16*(1+EK$3))/$AJ16,Уголь_коэфф!$A:$B,2,1)-VLOOKUP($AO16,Уголь_коэфф!$A:$B,2,1)),1+(1-$AU16))</f>
        <v>1</v>
      </c>
      <c r="EL16" s="102">
        <f>MIN(IF($AU16=100%,1,1+VLOOKUP(($AJ16-$AI16-$AH16-$AG16-$AF16-$AE16*(1+EL$3))/$AJ16,Уголь_коэфф!$A:$B,2,1)-VLOOKUP($AO16,Уголь_коэфф!$A:$B,2,1)),1+(1-$AU16))</f>
        <v>1</v>
      </c>
      <c r="EM16" s="102">
        <f>MIN(IF($AU16=100%,1,1+VLOOKUP(($AJ16-$AI16-$AH16-$AG16-$AF16-$AE16*(1+EM$3))/$AJ16,Уголь_коэфф!$A:$B,2,1)-VLOOKUP($AO16,Уголь_коэфф!$A:$B,2,1)),1+(1-$AU16))</f>
        <v>1</v>
      </c>
      <c r="EN16" s="102">
        <f>MIN(IF($AU16=100%,1,1+VLOOKUP(($AJ16-$AI16-$AH16-$AG16-$AF16-$AE16*(1+EN$3))/$AJ16,Уголь_коэфф!$A:$B,2,1)-VLOOKUP($AO16,Уголь_коэфф!$A:$B,2,1)),1+(1-$AU16))</f>
        <v>1</v>
      </c>
      <c r="EO16" s="102">
        <f>MIN(IF($AU16=100%,1,1+VLOOKUP(($AJ16-$AI16-$AH16-$AG16-$AF16-$AE16*(1+EO$3))/$AJ16,Уголь_коэфф!$A:$B,2,1)-VLOOKUP($AO16,Уголь_коэфф!$A:$B,2,1)),1+(1-$AU16))</f>
        <v>1</v>
      </c>
      <c r="EP16" s="102">
        <f>MIN(IF($AU16=100%,1,1+VLOOKUP(($AJ16-$AI16-$AH16-$AG16-$AF16-$AE16*(1+EP$3))/$AJ16,Уголь_коэфф!$A:$B,2,1)-VLOOKUP($AO16,Уголь_коэфф!$A:$B,2,1)),1+(1-$AU16))</f>
        <v>1</v>
      </c>
      <c r="EQ16" s="102">
        <f>MIN(IF($AU16=100%,1,1+VLOOKUP(($AJ16-$AI16-$AH16-$AG16-$AF16-$AE16*(1+EQ$3))/$AJ16,Уголь_коэфф!$A:$B,2,1)-VLOOKUP($AO16,Уголь_коэфф!$A:$B,2,1)),1+(1-$AU16))</f>
        <v>1</v>
      </c>
      <c r="ER16" s="102">
        <f>MIN(IF($AU16=100%,1,1+VLOOKUP(($AJ16-$AI16-$AH16-$AG16-$AF16-$AE16*(1+ER$3))/$AJ16,Уголь_коэфф!$A:$B,2,1)-VLOOKUP($AO16,Уголь_коэфф!$A:$B,2,1)),1+(1-$AU16))</f>
        <v>1</v>
      </c>
      <c r="ES16" s="102">
        <f>MIN(IF($AU16=100%,1,1+VLOOKUP(($AJ16-$AI16-$AH16-$AG16-$AF16-$AE16*(1+ES$3))/$AJ16,Уголь_коэфф!$A:$B,2,1)-VLOOKUP($AO16,Уголь_коэфф!$A:$B,2,1)),1+(1-$AU16))</f>
        <v>1</v>
      </c>
      <c r="ET16" s="102">
        <f>MIN(IF($AU16=100%,1,1+VLOOKUP(($AJ16-$AI16-$AH16-$AG16-$AF16-$AE16*(1+ET$3))/$AJ16,Уголь_коэфф!$A:$B,2,1)-VLOOKUP($AO16,Уголь_коэфф!$A:$B,2,1)),1+(1-$AU16))</f>
        <v>1</v>
      </c>
      <c r="EU16" s="102">
        <f>MIN(IF($AU16=100%,1,1+VLOOKUP(($AJ16-$AI16-$AH16-$AG16-$AF16-$AE16*(1+EU$3))/$AJ16,Уголь_коэфф!$A:$B,2,1)-VLOOKUP($AO16,Уголь_коэфф!$A:$B,2,1)),1+(1-$AU16))</f>
        <v>1</v>
      </c>
      <c r="EV16" s="103">
        <v>1</v>
      </c>
      <c r="EW16" s="102">
        <f>MIN(1,MAX(VLOOKUP(($AJ16-$AI16-$AH16-$AG16-$AF16-$AE16*(1+EW$3))/$AJ16,Уголь_коэфф!$A:$B,2,1),(EV16-0.05)))</f>
        <v>1</v>
      </c>
      <c r="EX16" s="102">
        <f>MIN(1,MAX(VLOOKUP(($AJ16-$AI16-$AH16-$AG16-$AF16-$AE16*(1+EX$3))/$AJ16,Уголь_коэфф!$A:$B,2,1),(EW16-0.05)))</f>
        <v>1</v>
      </c>
      <c r="EY16" s="102">
        <f>MIN(1,MAX(VLOOKUP(($AJ16-$AI16-$AH16-$AG16-$AF16-$AE16*(1+EY$3))/$AJ16,Уголь_коэфф!$A:$B,2,1),(EX16-0.05)))</f>
        <v>1</v>
      </c>
      <c r="EZ16" s="102">
        <f>MIN(1,MAX(VLOOKUP(($AJ16-$AI16-$AH16-$AG16-$AF16-$AE16*(1+EZ$3))/$AJ16,Уголь_коэфф!$A:$B,2,1),(EY16-0.05)))</f>
        <v>1</v>
      </c>
      <c r="FA16" s="102">
        <f>MIN(1,MAX(VLOOKUP(($AJ16-$AI16-$AH16-$AG16-$AF16-$AE16*(1+FA$3))/$AJ16,Уголь_коэфф!$A:$B,2,1),(EZ16-0.05)))</f>
        <v>1</v>
      </c>
      <c r="FB16" s="102">
        <f>MIN(1,MAX(VLOOKUP(($AJ16-$AI16-$AH16-$AG16-$AF16-$AE16*(1+FB$3))/$AJ16,Уголь_коэфф!$A:$B,2,1),(FA16-0.05)))</f>
        <v>1</v>
      </c>
      <c r="FC16" s="102">
        <f>MIN(1,MAX(VLOOKUP(($AJ16-$AI16-$AH16-$AG16-$AF16-$AE16*(1+FC$3))/$AJ16,Уголь_коэфф!$A:$B,2,1),(FB16-0.05)))</f>
        <v>1</v>
      </c>
      <c r="FD16" s="102">
        <f>MIN(1,MAX(VLOOKUP(($AJ16-$AI16-$AH16-$AG16-$AF16-$AE16*(1+FD$3))/$AJ16,Уголь_коэфф!$A:$B,2,1),(FC16-0.05)))</f>
        <v>1</v>
      </c>
      <c r="FE16" s="102">
        <f>MIN(1,MAX(VLOOKUP(($AJ16-$AI16-$AH16-$AG16-$AF16-$AE16*(1+FE$3))/$AJ16,Уголь_коэфф!$A:$B,2,1),(FD16-0.05)))</f>
        <v>1</v>
      </c>
      <c r="FF16" s="102">
        <f>MIN(1,MAX(VLOOKUP(($AJ16-$AI16-$AH16-$AG16-$AF16-$AE16*(1+FF$3))/$AJ16,Уголь_коэфф!$A:$B,2,1),(FE16-0.05)))</f>
        <v>1</v>
      </c>
      <c r="FG16" s="102">
        <f>MIN(1,MAX(VLOOKUP(($AJ16-$AI16-$AH16-$AG16-$AF16-$AE16*(1+FG$3))/$AJ16,Уголь_коэфф!$A:$B,2,1),(FF16-0.05)))</f>
        <v>1</v>
      </c>
      <c r="FH16" s="102">
        <f>MIN(1,MAX(VLOOKUP(($AJ16-$AI16-$AH16-$AG16-$AF16-$AE16*(1+FH$3))/$AJ16,Уголь_коэфф!$A:$B,2,1),(FG16-0.05)))</f>
        <v>1</v>
      </c>
      <c r="FI16" s="102">
        <f>MIN(1,MAX(VLOOKUP(($AJ16-$AI16-$AH16-$AG16-$AF16-$AE16*(1+FI$3))/$AJ16,Уголь_коэфф!$A:$B,2,1),(FH16-0.05)))</f>
        <v>1</v>
      </c>
      <c r="FJ16" s="102">
        <f>MIN(1,MAX(VLOOKUP(($AJ16-$AI16-$AH16-$AG16-$AF16-$AE16*(1+FJ$3))/$AJ16,Уголь_коэфф!$A:$B,2,1),(FI16-0.05)))</f>
        <v>1</v>
      </c>
      <c r="FK16" s="102">
        <f>MIN(1,MAX(VLOOKUP(($AJ16-$AI16-$AH16-$AG16-$AF16-$AE16*(1+FK$3))/$AJ16,Уголь_коэфф!$A:$B,2,1),(FJ16-0.05)))</f>
        <v>1</v>
      </c>
      <c r="FL16" s="102">
        <f>MIN(1,MAX(VLOOKUP(($AJ16-$AI16-$AH16-$AG16-$AF16-$AE16*(1+FL$3))/$AJ16,Уголь_коэфф!$A:$B,2,1),(FK16-0.05)))</f>
        <v>1</v>
      </c>
      <c r="FM16" s="102">
        <f>MIN(1,MAX(VLOOKUP(($AJ16-$AI16-$AH16-$AG16-$AF16-$AE16*(1+FM$3))/$AJ16,Уголь_коэфф!$A:$B,2,1),(FL16-0.05)))</f>
        <v>1</v>
      </c>
      <c r="FN16" s="102">
        <f>MIN(1,MAX(VLOOKUP(($AJ16-$AI16-$AH16-$AG16-$AF16-$AE16*(1+FN$3))/$AJ16,Уголь_коэфф!$A:$B,2,1),(FM16-0.05)))</f>
        <v>1</v>
      </c>
      <c r="FO16" s="102">
        <f>MIN(1,MAX(VLOOKUP(($AJ16-$AI16-$AH16-$AG16-$AF16-$AE16*(1+FO$3))/$AJ16,Уголь_коэфф!$A:$B,2,1),(FN16-0.05)))</f>
        <v>1</v>
      </c>
      <c r="FP16" s="102">
        <f>MIN(1,MAX(VLOOKUP(($AJ16-$AI16-$AH16-$AG16-$AF16-$AE16*(1+FP$3))/$AJ16,Уголь_коэфф!$A:$B,2,1),(FO16-0.05)))</f>
        <v>1</v>
      </c>
      <c r="FQ16" s="102">
        <f>MIN(1,MAX(VLOOKUP(($AJ16-$AI16-$AH16-$AG16-$AF16-$AE16*(1+FQ$3))/$AJ16,Уголь_коэфф!$A:$B,2,1),(FP16-0.05)))</f>
        <v>1</v>
      </c>
      <c r="FR16" s="102">
        <f>MIN(1,MAX(VLOOKUP(($AJ16-$AI16-$AH16-$AG16-$AF16-$AE16*(1+FR$3))/$AJ16,Уголь_коэфф!$A:$B,2,1),(FQ16-0.05)))</f>
        <v>1</v>
      </c>
      <c r="FS16" s="102">
        <f>MIN(1,MAX(VLOOKUP(($AJ16-$AI16-$AH16-$AG16-$AF16-$AE16*(1+FS$3))/$AJ16,Уголь_коэфф!$A:$B,2,1),(FR16-0.05)))</f>
        <v>1</v>
      </c>
      <c r="FT16" s="102">
        <f>MIN(1,MAX(VLOOKUP(($AJ16-$AI16-$AH16-$AG16-$AF16-$AE16*(1+FT$3))/$AJ16,Уголь_коэфф!$A:$B,2,1),(FS16-0.05)))</f>
        <v>1</v>
      </c>
      <c r="FU16" s="102">
        <f>MIN(1,MAX(VLOOKUP(($AJ16-$AI16-$AH16-$AG16-$AF16-$AE16*(1+FU$3))/$AJ16,Уголь_коэфф!$A:$B,2,1),(FT16-0.05)))</f>
        <v>1</v>
      </c>
      <c r="FV16" s="102">
        <f>MIN(1,MAX(VLOOKUP(($AJ16-$AI16-$AH16-$AG16-$AF16-$AE16*(1+FV$3))/$AJ16,Уголь_коэфф!$A:$B,2,1),(FU16-0.05)))</f>
        <v>1</v>
      </c>
      <c r="FW16" s="102">
        <f>MIN(1,MAX(VLOOKUP(($AJ16-$AI16-$AH16-$AG16-$AF16-$AE16*(1+FW$3))/$AJ16,Уголь_коэфф!$A:$B,2,1),(FV16-0.05)))</f>
        <v>1</v>
      </c>
      <c r="FX16" s="102">
        <f>MIN(1,MAX(VLOOKUP(($AJ16-$AI16-$AH16-$AG16-$AF16-$AE16*(1+FX$3))/$AJ16,Уголь_коэфф!$A:$B,2,1),(FW16-0.05)))</f>
        <v>1</v>
      </c>
      <c r="FY16" s="102">
        <f>MIN(1,MAX(VLOOKUP(($AJ16-$AI16-$AH16-$AG16-$AF16-$AE16*(1+FY$3))/$AJ16,Уголь_коэфф!$A:$B,2,1),(FX16-0.05)))</f>
        <v>1</v>
      </c>
      <c r="FZ16" s="102">
        <f>MIN(1,MAX(VLOOKUP(($AJ16-$AI16-$AH16-$AG16-$AF16-$AE16*(1+FZ$3))/$AJ16,Уголь_коэфф!$A:$B,2,1),(FY16-0.05)))</f>
        <v>1</v>
      </c>
      <c r="GA16" s="102">
        <f>MIN(1,MAX(VLOOKUP(($AJ16-$AI16-$AH16-$AG16-$AF16-$AE16*(1+GA$3))/$AJ16,Уголь_коэфф!$A:$B,2,1),(FZ16-0.05)))</f>
        <v>1</v>
      </c>
      <c r="GB16" s="102">
        <f>MIN(1,MAX(VLOOKUP(($AJ16-$AI16-$AH16-$AG16-$AF16-$AE16*(1+GB$3))/$AJ16,Уголь_коэфф!$A:$B,2,1),(GA16-0.05)))</f>
        <v>1</v>
      </c>
      <c r="GC16" s="102">
        <f>MIN(1,MAX(VLOOKUP(($AJ16-$AI16-$AH16-$AG16-$AF16-$AE16*(1+GC$3))/$AJ16,Уголь_коэфф!$A:$B,2,1),(GB16-0.05)))</f>
        <v>1</v>
      </c>
      <c r="GD16" s="102">
        <f>MIN(1,MAX(VLOOKUP(($AJ16-$AI16-$AH16-$AG16-$AF16-$AE16*(1+GD$3))/$AJ16,Уголь_коэфф!$A:$B,2,1),(GC16-0.05)))</f>
        <v>1</v>
      </c>
      <c r="GE16" s="102">
        <f>MIN(1,MAX(VLOOKUP(($AJ16-$AI16-$AH16-$AG16-$AF16-$AE16*(1+GE$3))/$AJ16,Уголь_коэфф!$A:$B,2,1),(GD16-0.05)))</f>
        <v>1</v>
      </c>
      <c r="GF16" s="102">
        <f>MIN(1,MAX(VLOOKUP(($AJ16-$AI16-$AH16-$AG16-$AF16-$AE16*(1+GF$3))/$AJ16,Уголь_коэфф!$A:$B,2,1),(GE16-0.05)))</f>
        <v>1</v>
      </c>
      <c r="GG16" s="102">
        <f>MIN(1,MAX(VLOOKUP(($AJ16-$AI16-$AH16-$AG16-$AF16-$AE16*(1+GG$3))/$AJ16,Уголь_коэфф!$A:$B,2,1),(GF16-0.05)))</f>
        <v>1</v>
      </c>
      <c r="GH16" s="102">
        <f>MIN(1,MAX(VLOOKUP(($AJ16-$AI16-$AH16-$AG16-$AF16-$AE16*(1+GH$3))/$AJ16,Уголь_коэфф!$A:$B,2,1),(GG16-0.05)))</f>
        <v>1</v>
      </c>
      <c r="GI16" s="102">
        <f>MIN(1,MAX(VLOOKUP(($AJ16-$AI16-$AH16-$AG16-$AF16-$AE16*(1+GI$3))/$AJ16,Уголь_коэфф!$A:$B,2,1),(GH16-0.05)))</f>
        <v>1</v>
      </c>
      <c r="GJ16" s="102">
        <f>MIN(1,MAX(VLOOKUP(($AJ16-$AI16-$AH16-$AG16-$AF16-$AE16*(1+GJ$3))/$AJ16,Уголь_коэфф!$A:$B,2,1),(GI16-0.05)))</f>
        <v>1</v>
      </c>
      <c r="GK16" s="102">
        <f>MIN(1,MAX(VLOOKUP(($AJ16-$AI16-$AH16-$AG16-$AF16-$AE16*(1+GK$3))/$AJ16,Уголь_коэфф!$A:$B,2,1),(GJ16-0.05)))</f>
        <v>1</v>
      </c>
      <c r="GL16" s="102">
        <f>MIN(1,MAX(VLOOKUP(($AJ16-$AI16-$AH16-$AG16-$AF16-$AE16*(1+GL$3))/$AJ16,Уголь_коэфф!$A:$B,2,1),(GK16-0.05)))</f>
        <v>1</v>
      </c>
      <c r="GM16" s="102">
        <f>MIN(1,MAX(VLOOKUP(($AJ16-$AI16-$AH16-$AG16-$AF16-$AE16*(1+GM$3))/$AJ16,Уголь_коэфф!$A:$B,2,1),(GL16-0.05)))</f>
        <v>1</v>
      </c>
      <c r="GN16" s="102">
        <f>MIN(1,MAX(VLOOKUP(($AJ16-$AI16-$AH16-$AG16-$AF16-$AE16*(1+GN$3))/$AJ16,Уголь_коэфф!$A:$B,2,1),(GM16-0.05)))</f>
        <v>1</v>
      </c>
      <c r="GO16" s="102">
        <f>MIN(1,MAX(VLOOKUP(($AJ16-$AI16-$AH16-$AG16-$AF16-$AE16*(1+GO$3))/$AJ16,Уголь_коэфф!$A:$B,2,1),(GN16-0.05)))</f>
        <v>1</v>
      </c>
      <c r="GP16" s="102">
        <f>MIN(1,MAX(VLOOKUP(($AJ16-$AI16-$AH16-$AG16-$AF16-$AE16*(1+GP$3))/$AJ16,Уголь_коэфф!$A:$B,2,1),(GO16-0.05)))</f>
        <v>1</v>
      </c>
      <c r="GQ16" s="102">
        <f>MIN(1,MAX(VLOOKUP(($AJ16-$AI16-$AH16-$AG16-$AF16-$AE16*(1+GQ$3))/$AJ16,Уголь_коэфф!$A:$B,2,1),(GP16-0.05)))</f>
        <v>1</v>
      </c>
      <c r="GR16" s="102">
        <f>MIN(1,MAX(VLOOKUP(($AJ16-$AI16-$AH16-$AG16-$AF16-$AE16*(1+GR$3))/$AJ16,Уголь_коэфф!$A:$B,2,1),(GQ16-0.05)))</f>
        <v>1</v>
      </c>
      <c r="GS16" s="102">
        <f>MIN(1,MAX(VLOOKUP(($AJ16-$AI16-$AH16-$AG16-$AF16-$AE16*(1+GS$3))/$AJ16,Уголь_коэфф!$A:$B,2,1),(GR16-0.05)))</f>
        <v>1</v>
      </c>
      <c r="GT16" s="102">
        <f>MIN(1,MAX(VLOOKUP(($AJ16-$AI16-$AH16-$AG16-$AF16-$AE16*(1+GT$3))/$AJ16,Уголь_коэфф!$A:$B,2,1),(GS16-0.05)))</f>
        <v>1</v>
      </c>
      <c r="GU16" s="102">
        <f>MIN(1,MAX(VLOOKUP(($AJ16-$AI16-$AH16-$AG16-$AF16-$AE16*(1+GU$3))/$AJ16,Уголь_коэфф!$A:$B,2,1),(GT16-0.05)))</f>
        <v>1</v>
      </c>
      <c r="GV16" s="102">
        <f>MIN(1,MAX(VLOOKUP(($AJ16-$AI16-$AH16-$AG16-$AF16-$AE16*(1+GV$3))/$AJ16,Уголь_коэфф!$A:$B,2,1),(GU16-0.05)))</f>
        <v>1</v>
      </c>
      <c r="GW16" s="102">
        <f>MIN(1,MAX(VLOOKUP(($AJ16-$AI16-$AH16-$AG16-$AF16-$AE16*(1+GW$3))/$AJ16,Уголь_коэфф!$A:$B,2,1),(GV16-0.05)))</f>
        <v>1</v>
      </c>
      <c r="GX16" s="102">
        <f>MIN(1,MAX(VLOOKUP(($AJ16-$AI16-$AH16-$AG16-$AF16-$AE16*(1+GX$3))/$AJ16,Уголь_коэфф!$A:$B,2,1),(GW16-0.05)))</f>
        <v>1</v>
      </c>
      <c r="GY16" s="102">
        <f>MIN(1,MAX(VLOOKUP(($AJ16-$AI16-$AH16-$AG16-$AF16-$AE16*(1+GY$3))/$AJ16,Уголь_коэфф!$A:$B,2,1),(GX16-0.05)))</f>
        <v>1</v>
      </c>
      <c r="GZ16" s="102">
        <f>MIN(1,MAX(VLOOKUP(($AJ16-$AI16-$AH16-$AG16-$AF16-$AE16*(1+GZ$3))/$AJ16,Уголь_коэфф!$A:$B,2,1),(GY16-0.05)))</f>
        <v>1</v>
      </c>
      <c r="HA16" s="102">
        <f>MIN(1,MAX(VLOOKUP(($AJ16-$AI16-$AH16-$AG16-$AF16-$AE16*(1+HA$3))/$AJ16,Уголь_коэфф!$A:$B,2,1),(GZ16-0.05)))</f>
        <v>1</v>
      </c>
      <c r="HB16" s="102">
        <f>MIN(1,MAX(VLOOKUP(($AJ16-$AI16-$AH16-$AG16-$AF16-$AE16*(1+HB$3))/$AJ16,Уголь_коэфф!$A:$B,2,1),(HA16-0.05)))</f>
        <v>1</v>
      </c>
      <c r="HC16" s="102">
        <f>MIN(1,MAX(VLOOKUP(($AJ16-$AI16-$AH16-$AG16-$AF16-$AE16*(1+HC$3))/$AJ16,Уголь_коэфф!$A:$B,2,1),(HB16-0.05)))</f>
        <v>1</v>
      </c>
      <c r="HD16" s="102">
        <f>MIN(1,MAX(VLOOKUP(($AJ16-$AI16-$AH16-$AG16-$AF16-$AE16*(1+HD$3))/$AJ16,Уголь_коэфф!$A:$B,2,1),(HC16-0.05)))</f>
        <v>1</v>
      </c>
      <c r="HE16" s="102">
        <f>MIN(1,MAX(VLOOKUP(($AJ16-$AI16-$AH16-$AG16-$AF16-$AE16*(1+HE$3))/$AJ16,Уголь_коэфф!$A:$B,2,1),(HD16-0.05)))</f>
        <v>1</v>
      </c>
      <c r="HF16" s="102">
        <f>MIN(1,MAX(VLOOKUP(($AJ16-$AI16-$AH16-$AG16-$AF16-$AE16*(1+HF$3))/$AJ16,Уголь_коэфф!$A:$B,2,1),(HE16-0.05)))</f>
        <v>1</v>
      </c>
      <c r="HG16" s="102">
        <f>MIN(1,MAX(VLOOKUP(($AJ16-$AI16-$AH16-$AG16-$AF16-$AE16*(1+HG$3))/$AJ16,Уголь_коэфф!$A:$B,2,1),(HF16-0.05)))</f>
        <v>1</v>
      </c>
      <c r="HH16" s="102">
        <f>MIN(1,MAX(VLOOKUP(($AJ16-$AI16-$AH16-$AG16-$AF16-$AE16*(1+HH$3))/$AJ16,Уголь_коэфф!$A:$B,2,1),(HG16-0.05)))</f>
        <v>1</v>
      </c>
      <c r="HI16" s="102">
        <f>MIN(1,MAX(VLOOKUP(($AJ16-$AI16-$AH16-$AG16-$AF16-$AE16*(1+HI$3))/$AJ16,Уголь_коэфф!$A:$B,2,1),(HH16-0.05)))</f>
        <v>1</v>
      </c>
      <c r="HJ16" s="102">
        <f>MIN(1,MAX(VLOOKUP(($AJ16-$AI16-$AH16-$AG16-$AF16-$AE16*(1+HJ$3))/$AJ16,Уголь_коэфф!$A:$B,2,1),(HI16-0.05)))</f>
        <v>1</v>
      </c>
      <c r="HK16" s="102">
        <f>MIN(1,MAX(VLOOKUP(($AJ16-$AI16-$AH16-$AG16-$AF16-$AE16*(1+HK$3))/$AJ16,Уголь_коэфф!$A:$B,2,1),(HJ16-0.05)))</f>
        <v>1</v>
      </c>
      <c r="HL16" s="102">
        <f>MIN(1,MAX(VLOOKUP(($AJ16-$AI16-$AH16-$AG16-$AF16-$AE16*(1+HL$3))/$AJ16,Уголь_коэфф!$A:$B,2,1),(HK16-0.05)))</f>
        <v>0.995</v>
      </c>
      <c r="HM16" s="102">
        <f>MIN(1,MAX(VLOOKUP(($AJ16-$AI16-$AH16-$AG16-$AF16-$AE16*(1+HM$3))/$AJ16,Уголь_коэфф!$A:$B,2,1),(HL16-0.05)))</f>
        <v>0.995</v>
      </c>
      <c r="HN16" s="102">
        <f>MIN(1,MAX(VLOOKUP(($AJ16-$AI16-$AH16-$AG16-$AF16-$AE16*(1+HN$3))/$AJ16,Уголь_коэфф!$A:$B,2,1),(HM16-0.05)))</f>
        <v>0.995</v>
      </c>
      <c r="HO16" s="102">
        <f>MIN(1,MAX(VLOOKUP(($AJ16-$AI16-$AH16-$AG16-$AF16-$AE16*(1+HO$3))/$AJ16,Уголь_коэфф!$A:$B,2,1),(HN16-0.05)))</f>
        <v>0.995</v>
      </c>
      <c r="HP16" s="102">
        <f>MIN(1,MAX(VLOOKUP(($AJ16-$AI16-$AH16-$AG16-$AF16-$AE16*(1+HP$3))/$AJ16,Уголь_коэфф!$A:$B,2,1),(HO16-0.05)))</f>
        <v>0.995</v>
      </c>
      <c r="HQ16" s="102">
        <f>MIN(1,MAX(VLOOKUP(($AJ16-$AI16-$AH16-$AG16-$AF16-$AE16*(1+HQ$3))/$AJ16,Уголь_коэфф!$A:$B,2,1),(HP16-0.05)))</f>
        <v>0.995</v>
      </c>
      <c r="HR16" s="102">
        <f>MIN(1,MAX(VLOOKUP(($AJ16-$AI16-$AH16-$AG16-$AF16-$AE16*(1+HR$3))/$AJ16,Уголь_коэфф!$A:$B,2,1),(HQ16-0.05)))</f>
        <v>0.99</v>
      </c>
      <c r="HS16" s="102">
        <f>MIN(1,MAX(VLOOKUP(($AJ16-$AI16-$AH16-$AG16-$AF16-$AE16*(1+HS$3))/$AJ16,Уголь_коэфф!$A:$B,2,1),(HR16-0.05)))</f>
        <v>0.99</v>
      </c>
      <c r="HT16" s="102">
        <f>MIN(1,MAX(VLOOKUP(($AJ16-$AI16-$AH16-$AG16-$AF16-$AE16*(1+HT$3))/$AJ16,Уголь_коэфф!$A:$B,2,1),(HS16-0.05)))</f>
        <v>0.99</v>
      </c>
      <c r="HU16" s="102">
        <f>MIN(1,MAX(VLOOKUP(($AJ16-$AI16-$AH16-$AG16-$AF16-$AE16*(1+HU$3))/$AJ16,Уголь_коэфф!$A:$B,2,1),(HT16-0.05)))</f>
        <v>0.99</v>
      </c>
      <c r="HV16" s="102">
        <f>MIN(1,MAX(VLOOKUP(($AJ16-$AI16-$AH16-$AG16-$AF16-$AE16*(1+HV$3))/$AJ16,Уголь_коэфф!$A:$B,2,1),(HU16-0.05)))</f>
        <v>0.99</v>
      </c>
      <c r="HW16" s="102">
        <f>MIN(1,MAX(VLOOKUP(($AJ16-$AI16-$AH16-$AG16-$AF16-$AE16*(1+HW$3))/$AJ16,Уголь_коэфф!$A:$B,2,1),(HV16-0.05)))</f>
        <v>0.99</v>
      </c>
      <c r="HX16" s="102">
        <f>MIN(1,MAX(VLOOKUP(($AJ16-$AI16-$AH16-$AG16-$AF16-$AE16*(1+HX$3))/$AJ16,Уголь_коэфф!$A:$B,2,1),(HW16-0.05)))</f>
        <v>0.98499999999999999</v>
      </c>
      <c r="HY16" s="102">
        <f>MIN(1,MAX(VLOOKUP(($AJ16-$AI16-$AH16-$AG16-$AF16-$AE16*(1+HY$3))/$AJ16,Уголь_коэфф!$A:$B,2,1),(HX16-0.05)))</f>
        <v>0.98499999999999999</v>
      </c>
      <c r="HZ16" s="102">
        <f>MIN(1,MAX(VLOOKUP(($AJ16-$AI16-$AH16-$AG16-$AF16-$AE16*(1+HZ$3))/$AJ16,Уголь_коэфф!$A:$B,2,1),(HY16-0.05)))</f>
        <v>0.98499999999999999</v>
      </c>
      <c r="IA16" s="102">
        <f>MIN(1,MAX(VLOOKUP(($AJ16-$AI16-$AH16-$AG16-$AF16-$AE16*(1+IA$3))/$AJ16,Уголь_коэфф!$A:$B,2,1),(HZ16-0.05)))</f>
        <v>0.98499999999999999</v>
      </c>
      <c r="IB16" s="102">
        <f>MIN(1,MAX(VLOOKUP(($AJ16-$AI16-$AH16-$AG16-$AF16-$AE16*(1+IB$3))/$AJ16,Уголь_коэфф!$A:$B,2,1),(IA16-0.05)))</f>
        <v>0.98499999999999999</v>
      </c>
      <c r="IC16" s="102">
        <f>MIN(1,MAX(VLOOKUP(($AJ16-$AI16-$AH16-$AG16-$AF16-$AE16*(1+IC$3))/$AJ16,Уголь_коэфф!$A:$B,2,1),(IB16-0.05)))</f>
        <v>0.98499999999999999</v>
      </c>
      <c r="ID16" s="102">
        <f>MIN(1,MAX(VLOOKUP(($AJ16-$AI16-$AH16-$AG16-$AF16-$AE16*(1+ID$3))/$AJ16,Уголь_коэфф!$A:$B,2,1),(IC16-0.05)))</f>
        <v>0.98</v>
      </c>
      <c r="IE16" s="102">
        <f>MIN(1,MAX(VLOOKUP(($AJ16-$AI16-$AH16-$AG16-$AF16-$AE16*(1+IE$3))/$AJ16,Уголь_коэфф!$A:$B,2,1),(ID16-0.05)))</f>
        <v>0.98</v>
      </c>
      <c r="IF16" s="102">
        <f>MIN(1,MAX(VLOOKUP(($AJ16-$AI16-$AH16-$AG16-$AF16-$AE16*(1+IF$3))/$AJ16,Уголь_коэфф!$A:$B,2,1),(IE16-0.05)))</f>
        <v>0.98</v>
      </c>
      <c r="IG16" s="102">
        <f>MIN(1,MAX(VLOOKUP(($AJ16-$AI16-$AH16-$AG16-$AF16-$AE16*(1+IG$3))/$AJ16,Уголь_коэфф!$A:$B,2,1),(IF16-0.05)))</f>
        <v>0.98</v>
      </c>
      <c r="IH16" s="102">
        <f>MIN(1,MAX(VLOOKUP(($AJ16-$AI16-$AH16-$AG16-$AF16-$AE16*(1+IH$3))/$AJ16,Уголь_коэфф!$A:$B,2,1),(IG16-0.05)))</f>
        <v>0.98</v>
      </c>
      <c r="II16" s="102">
        <f>MIN(1,MAX(VLOOKUP(($AJ16-$AI16-$AH16-$AG16-$AF16-$AE16*(1+II$3))/$AJ16,Уголь_коэфф!$A:$B,2,1),(IH16-0.05)))</f>
        <v>0.98</v>
      </c>
      <c r="IJ16" s="102">
        <f>MIN(1,MAX(VLOOKUP(($AJ16-$AI16-$AH16-$AG16-$AF16-$AE16*(1+IJ$3))/$AJ16,Уголь_коэфф!$A:$B,2,1),(II16-0.05)))</f>
        <v>0.97499999999999998</v>
      </c>
      <c r="IK16" s="102">
        <f>MIN(1,MAX(VLOOKUP(($AJ16-$AI16-$AH16-$AG16-$AF16-$AE16*(1+IK$3))/$AJ16,Уголь_коэфф!$A:$B,2,1),(IJ16-0.05)))</f>
        <v>0.97499999999999998</v>
      </c>
      <c r="IL16" s="102">
        <f>MIN(1,MAX(VLOOKUP(($AJ16-$AI16-$AH16-$AG16-$AF16-$AE16*(1+IL$3))/$AJ16,Уголь_коэфф!$A:$B,2,1),(IK16-0.05)))</f>
        <v>0.97499999999999998</v>
      </c>
      <c r="IM16" s="102">
        <f>MIN(1,MAX(VLOOKUP(($AJ16-$AI16-$AH16-$AG16-$AF16-$AE16*(1+IM$3))/$AJ16,Уголь_коэфф!$A:$B,2,1),(IL16-0.05)))</f>
        <v>0.97499999999999998</v>
      </c>
      <c r="IN16" s="102">
        <f>MIN(1,MAX(VLOOKUP(($AJ16-$AI16-$AH16-$AG16-$AF16-$AE16*(1+IN$3))/$AJ16,Уголь_коэфф!$A:$B,2,1),(IM16-0.05)))</f>
        <v>0.97499999999999998</v>
      </c>
      <c r="IO16" s="102">
        <f>MIN(1,MAX(VLOOKUP(($AJ16-$AI16-$AH16-$AG16-$AF16-$AE16*(1+IO$3))/$AJ16,Уголь_коэфф!$A:$B,2,1),(IN16-0.05)))</f>
        <v>0.97499999999999998</v>
      </c>
      <c r="IP16" s="102">
        <f>MIN(1,MAX(VLOOKUP(($AJ16-$AI16-$AH16-$AG16-$AF16-$AE16*(1+IP$3))/$AJ16,Уголь_коэфф!$A:$B,2,1),(IO16-0.05)))</f>
        <v>0.97</v>
      </c>
      <c r="IQ16" s="102">
        <f>MIN(1,MAX(VLOOKUP(($AJ16-$AI16-$AH16-$AG16-$AF16-$AE16*(1+IQ$3))/$AJ16,Уголь_коэфф!$A:$B,2,1),(IP16-0.05)))</f>
        <v>0.97</v>
      </c>
      <c r="IR16" s="102">
        <f>MIN(1,MAX(VLOOKUP(($AJ16-$AI16-$AH16-$AG16-$AF16-$AE16*(1+IR$3))/$AJ16,Уголь_коэфф!$A:$B,2,1),(IQ16-0.05)))</f>
        <v>0.97</v>
      </c>
      <c r="IS16" s="102">
        <f t="shared" si="20"/>
        <v>1</v>
      </c>
      <c r="IT16" s="102">
        <f t="shared" si="7"/>
        <v>1</v>
      </c>
      <c r="IU16" s="110"/>
    </row>
    <row r="17" spans="1:255" ht="29.15" customHeight="1">
      <c r="A17" t="s">
        <v>245</v>
      </c>
      <c r="B17" s="133">
        <v>1</v>
      </c>
      <c r="C17" s="134" t="s">
        <v>16</v>
      </c>
      <c r="D17" s="135">
        <v>16101</v>
      </c>
      <c r="E17" s="135" t="s">
        <v>98</v>
      </c>
      <c r="F17" s="134" t="s">
        <v>99</v>
      </c>
      <c r="G17" s="134" t="s">
        <v>45</v>
      </c>
      <c r="H17" s="135" t="s">
        <v>19</v>
      </c>
      <c r="I17" s="135" t="s">
        <v>100</v>
      </c>
      <c r="J17" s="135" t="s">
        <v>101</v>
      </c>
      <c r="K17" s="135">
        <v>6011</v>
      </c>
      <c r="L17" s="135" t="s">
        <v>22</v>
      </c>
      <c r="M17" s="135" t="s">
        <v>23</v>
      </c>
      <c r="N17" s="135" t="s">
        <v>24</v>
      </c>
      <c r="O17" s="135" t="s">
        <v>25</v>
      </c>
      <c r="P17" s="136">
        <v>53037061</v>
      </c>
      <c r="Q17" s="136" t="s">
        <v>102</v>
      </c>
      <c r="R17" s="135" t="s">
        <v>103</v>
      </c>
      <c r="S17" s="139">
        <v>2022773</v>
      </c>
      <c r="T17" s="137">
        <v>12158690787</v>
      </c>
      <c r="U17" s="137">
        <v>27327</v>
      </c>
      <c r="V17" s="137"/>
      <c r="W17" s="140">
        <v>4731039707</v>
      </c>
      <c r="X17" s="104">
        <v>75</v>
      </c>
      <c r="Y17" s="104" t="s">
        <v>163</v>
      </c>
      <c r="Z17" s="107">
        <v>13</v>
      </c>
      <c r="AA17" s="107">
        <v>13</v>
      </c>
      <c r="AB17" s="107">
        <v>4</v>
      </c>
      <c r="AC17" s="88">
        <v>2564.59</v>
      </c>
      <c r="AD17" s="88">
        <v>1120.5699999999997</v>
      </c>
      <c r="AE17" s="88">
        <f t="shared" ref="AE17:AE19" si="24">AC17+AD17</f>
        <v>3685.16</v>
      </c>
      <c r="AF17" s="89">
        <f>'Цены,перевалка,аренда'!$C$26*SUM(Уголь_эластика_экспорт!Z17+Уголь_эластика_экспорт!AA17+Уголь_эластика_экспорт!AB17)/Уголь_эластика_экспорт!X17</f>
        <v>400</v>
      </c>
      <c r="AG17" s="90">
        <f>SUMIF('Цены,перевалка,аренда'!$A$20:$A$22,Уголь_эластика_экспорт!$O17,'Цены,перевалка,аренда'!$D$20:$D$22)</f>
        <v>763.05499999999995</v>
      </c>
      <c r="AH17" s="47"/>
      <c r="AI17" s="91">
        <v>2771</v>
      </c>
      <c r="AJ17" s="92">
        <f>SUMIF('Цены,перевалка,аренда'!$A$5:$A$17,Уголь_эластика_экспорт!A17,'Цены,перевалка,аренда'!$D$5:$D$17)</f>
        <v>10072.325999999999</v>
      </c>
      <c r="AK17" s="47">
        <f>AJ17/'Цены,перевалка,аренда'!$C$1</f>
        <v>132</v>
      </c>
      <c r="AL17" s="47">
        <f t="shared" si="9"/>
        <v>4848.2150000000001</v>
      </c>
      <c r="AM17" s="47">
        <f t="shared" si="10"/>
        <v>5224.110999999999</v>
      </c>
      <c r="AN17" s="47">
        <f t="shared" si="11"/>
        <v>7619.2150000000001</v>
      </c>
      <c r="AO17" s="93">
        <f t="shared" si="12"/>
        <v>0.2435496031403272</v>
      </c>
      <c r="AP17" s="94">
        <f t="shared" si="13"/>
        <v>0.48134015916482453</v>
      </c>
      <c r="AQ17" s="94">
        <f t="shared" si="5"/>
        <v>0.36586981001210644</v>
      </c>
      <c r="AR17" s="94">
        <f t="shared" si="6"/>
        <v>0.76010655468043387</v>
      </c>
      <c r="AS17" s="167">
        <f t="shared" si="14"/>
        <v>1</v>
      </c>
      <c r="AT17" s="173">
        <f t="shared" si="15"/>
        <v>2022773</v>
      </c>
      <c r="AU17" s="97">
        <f>12.8/13.4</f>
        <v>0.95522388059701491</v>
      </c>
      <c r="AV17" s="93">
        <f t="shared" si="16"/>
        <v>0.20696262213911648</v>
      </c>
      <c r="AW17" s="94">
        <f t="shared" si="17"/>
        <v>0.51792714016603525</v>
      </c>
      <c r="AX17" s="94">
        <f t="shared" si="18"/>
        <v>0.40245679101331716</v>
      </c>
      <c r="AY17" s="94">
        <f t="shared" si="19"/>
        <v>0.77705290918776526</v>
      </c>
      <c r="AZ17" s="102">
        <f>MIN(IF($AU17=100%,1,1+VLOOKUP(($AJ17-$AI17-$AH17-$AG17-$AF17-$AE17*(1+AZ$3))/$AJ17,Уголь_коэфф!$A:$B,2,1)-VLOOKUP($AO17,Уголь_коэфф!$A:$B,2,1)),1+(1-$AU17))</f>
        <v>1.044776119402985</v>
      </c>
      <c r="BA17" s="102">
        <f>MIN(IF($AU17=100%,1,1+VLOOKUP(($AJ17-$AI17-$AH17-$AG17-$AF17-$AE17*(1+BA$3))/$AJ17,Уголь_коэфф!$A:$B,2,1)-VLOOKUP($AO17,Уголь_коэфф!$A:$B,2,1)),1+(1-$AU17))</f>
        <v>1.044776119402985</v>
      </c>
      <c r="BB17" s="102">
        <f>MIN(IF($AU17=100%,1,1+VLOOKUP(($AJ17-$AI17-$AH17-$AG17-$AF17-$AE17*(1+BB$3))/$AJ17,Уголь_коэфф!$A:$B,2,1)-VLOOKUP($AO17,Уголь_коэфф!$A:$B,2,1)),1+(1-$AU17))</f>
        <v>1.044776119402985</v>
      </c>
      <c r="BC17" s="102">
        <f>MIN(IF($AU17=100%,1,1+VLOOKUP(($AJ17-$AI17-$AH17-$AG17-$AF17-$AE17*(1+BC$3))/$AJ17,Уголь_коэфф!$A:$B,2,1)-VLOOKUP($AO17,Уголь_коэфф!$A:$B,2,1)),1+(1-$AU17))</f>
        <v>1.044776119402985</v>
      </c>
      <c r="BD17" s="102">
        <f>MIN(IF($AU17=100%,1,1+VLOOKUP(($AJ17-$AI17-$AH17-$AG17-$AF17-$AE17*(1+BD$3))/$AJ17,Уголь_коэфф!$A:$B,2,1)-VLOOKUP($AO17,Уголь_коэфф!$A:$B,2,1)),1+(1-$AU17))</f>
        <v>1.044776119402985</v>
      </c>
      <c r="BE17" s="102">
        <f>MIN(IF($AU17=100%,1,1+VLOOKUP(($AJ17-$AI17-$AH17-$AG17-$AF17-$AE17*(1+BE$3))/$AJ17,Уголь_коэфф!$A:$B,2,1)-VLOOKUP($AO17,Уголь_коэфф!$A:$B,2,1)),1+(1-$AU17))</f>
        <v>1.044776119402985</v>
      </c>
      <c r="BF17" s="102">
        <f>MIN(IF($AU17=100%,1,1+VLOOKUP(($AJ17-$AI17-$AH17-$AG17-$AF17-$AE17*(1+BF$3))/$AJ17,Уголь_коэфф!$A:$B,2,1)-VLOOKUP($AO17,Уголь_коэфф!$A:$B,2,1)),1+(1-$AU17))</f>
        <v>1.044776119402985</v>
      </c>
      <c r="BG17" s="102">
        <f>MIN(IF($AU17=100%,1,1+VLOOKUP(($AJ17-$AI17-$AH17-$AG17-$AF17-$AE17*(1+BG$3))/$AJ17,Уголь_коэфф!$A:$B,2,1)-VLOOKUP($AO17,Уголь_коэфф!$A:$B,2,1)),1+(1-$AU17))</f>
        <v>1.044776119402985</v>
      </c>
      <c r="BH17" s="102">
        <f>MIN(IF($AU17=100%,1,1+VLOOKUP(($AJ17-$AI17-$AH17-$AG17-$AF17-$AE17*(1+BH$3))/$AJ17,Уголь_коэфф!$A:$B,2,1)-VLOOKUP($AO17,Уголь_коэфф!$A:$B,2,1)),1+(1-$AU17))</f>
        <v>1.044776119402985</v>
      </c>
      <c r="BI17" s="102">
        <f>MIN(IF($AU17=100%,1,1+VLOOKUP(($AJ17-$AI17-$AH17-$AG17-$AF17-$AE17*(1+BI$3))/$AJ17,Уголь_коэфф!$A:$B,2,1)-VLOOKUP($AO17,Уголь_коэфф!$A:$B,2,1)),1+(1-$AU17))</f>
        <v>1.044776119402985</v>
      </c>
      <c r="BJ17" s="102">
        <f>MIN(IF($AU17=100%,1,1+VLOOKUP(($AJ17-$AI17-$AH17-$AG17-$AF17-$AE17*(1+BJ$3))/$AJ17,Уголь_коэфф!$A:$B,2,1)-VLOOKUP($AO17,Уголь_коэфф!$A:$B,2,1)),1+(1-$AU17))</f>
        <v>1.044776119402985</v>
      </c>
      <c r="BK17" s="102">
        <f>MIN(IF($AU17=100%,1,1+VLOOKUP(($AJ17-$AI17-$AH17-$AG17-$AF17-$AE17*(1+BK$3))/$AJ17,Уголь_коэфф!$A:$B,2,1)-VLOOKUP($AO17,Уголь_коэфф!$A:$B,2,1)),1+(1-$AU17))</f>
        <v>1.044776119402985</v>
      </c>
      <c r="BL17" s="102">
        <f>MIN(IF($AU17=100%,1,1+VLOOKUP(($AJ17-$AI17-$AH17-$AG17-$AF17-$AE17*(1+BL$3))/$AJ17,Уголь_коэфф!$A:$B,2,1)-VLOOKUP($AO17,Уголь_коэфф!$A:$B,2,1)),1+(1-$AU17))</f>
        <v>1.044776119402985</v>
      </c>
      <c r="BM17" s="102">
        <f>MIN(IF($AU17=100%,1,1+VLOOKUP(($AJ17-$AI17-$AH17-$AG17-$AF17-$AE17*(1+BM$3))/$AJ17,Уголь_коэфф!$A:$B,2,1)-VLOOKUP($AO17,Уголь_коэфф!$A:$B,2,1)),1+(1-$AU17))</f>
        <v>1.044776119402985</v>
      </c>
      <c r="BN17" s="102">
        <f>MIN(IF($AU17=100%,1,1+VLOOKUP(($AJ17-$AI17-$AH17-$AG17-$AF17-$AE17*(1+BN$3))/$AJ17,Уголь_коэфф!$A:$B,2,1)-VLOOKUP($AO17,Уголь_коэфф!$A:$B,2,1)),1+(1-$AU17))</f>
        <v>1.044776119402985</v>
      </c>
      <c r="BO17" s="102">
        <f>MIN(IF($AU17=100%,1,1+VLOOKUP(($AJ17-$AI17-$AH17-$AG17-$AF17-$AE17*(1+BO$3))/$AJ17,Уголь_коэфф!$A:$B,2,1)-VLOOKUP($AO17,Уголь_коэфф!$A:$B,2,1)),1+(1-$AU17))</f>
        <v>1.044776119402985</v>
      </c>
      <c r="BP17" s="102">
        <f>MIN(IF($AU17=100%,1,1+VLOOKUP(($AJ17-$AI17-$AH17-$AG17-$AF17-$AE17*(1+BP$3))/$AJ17,Уголь_коэфф!$A:$B,2,1)-VLOOKUP($AO17,Уголь_коэфф!$A:$B,2,1)),1+(1-$AU17))</f>
        <v>1.044776119402985</v>
      </c>
      <c r="BQ17" s="102">
        <f>MIN(IF($AU17=100%,1,1+VLOOKUP(($AJ17-$AI17-$AH17-$AG17-$AF17-$AE17*(1+BQ$3))/$AJ17,Уголь_коэфф!$A:$B,2,1)-VLOOKUP($AO17,Уголь_коэфф!$A:$B,2,1)),1+(1-$AU17))</f>
        <v>1.044776119402985</v>
      </c>
      <c r="BR17" s="102">
        <f>MIN(IF($AU17=100%,1,1+VLOOKUP(($AJ17-$AI17-$AH17-$AG17-$AF17-$AE17*(1+BR$3))/$AJ17,Уголь_коэфф!$A:$B,2,1)-VLOOKUP($AO17,Уголь_коэфф!$A:$B,2,1)),1+(1-$AU17))</f>
        <v>1.044776119402985</v>
      </c>
      <c r="BS17" s="102">
        <f>MIN(IF($AU17=100%,1,1+VLOOKUP(($AJ17-$AI17-$AH17-$AG17-$AF17-$AE17*(1+BS$3))/$AJ17,Уголь_коэфф!$A:$B,2,1)-VLOOKUP($AO17,Уголь_коэфф!$A:$B,2,1)),1+(1-$AU17))</f>
        <v>1.044776119402985</v>
      </c>
      <c r="BT17" s="102">
        <f>MIN(IF($AU17=100%,1,1+VLOOKUP(($AJ17-$AI17-$AH17-$AG17-$AF17-$AE17*(1+BT$3))/$AJ17,Уголь_коэфф!$A:$B,2,1)-VLOOKUP($AO17,Уголь_коэфф!$A:$B,2,1)),1+(1-$AU17))</f>
        <v>1.044776119402985</v>
      </c>
      <c r="BU17" s="102">
        <f>MIN(IF($AU17=100%,1,1+VLOOKUP(($AJ17-$AI17-$AH17-$AG17-$AF17-$AE17*(1+BU$3))/$AJ17,Уголь_коэфф!$A:$B,2,1)-VLOOKUP($AO17,Уголь_коэфф!$A:$B,2,1)),1+(1-$AU17))</f>
        <v>1.044776119402985</v>
      </c>
      <c r="BV17" s="102">
        <f>MIN(IF($AU17=100%,1,1+VLOOKUP(($AJ17-$AI17-$AH17-$AG17-$AF17-$AE17*(1+BV$3))/$AJ17,Уголь_коэфф!$A:$B,2,1)-VLOOKUP($AO17,Уголь_коэфф!$A:$B,2,1)),1+(1-$AU17))</f>
        <v>1.044776119402985</v>
      </c>
      <c r="BW17" s="102">
        <f>MIN(IF($AU17=100%,1,1+VLOOKUP(($AJ17-$AI17-$AH17-$AG17-$AF17-$AE17*(1+BW$3))/$AJ17,Уголь_коэфф!$A:$B,2,1)-VLOOKUP($AO17,Уголь_коэфф!$A:$B,2,1)),1+(1-$AU17))</f>
        <v>1.044776119402985</v>
      </c>
      <c r="BX17" s="102">
        <f>MIN(IF($AU17=100%,1,1+VLOOKUP(($AJ17-$AI17-$AH17-$AG17-$AF17-$AE17*(1+BX$3))/$AJ17,Уголь_коэфф!$A:$B,2,1)-VLOOKUP($AO17,Уголь_коэфф!$A:$B,2,1)),1+(1-$AU17))</f>
        <v>1.044776119402985</v>
      </c>
      <c r="BY17" s="102">
        <f>MIN(IF($AU17=100%,1,1+VLOOKUP(($AJ17-$AI17-$AH17-$AG17-$AF17-$AE17*(1+BY$3))/$AJ17,Уголь_коэфф!$A:$B,2,1)-VLOOKUP($AO17,Уголь_коэфф!$A:$B,2,1)),1+(1-$AU17))</f>
        <v>1.044776119402985</v>
      </c>
      <c r="BZ17" s="102">
        <f>MIN(IF($AU17=100%,1,1+VLOOKUP(($AJ17-$AI17-$AH17-$AG17-$AF17-$AE17*(1+BZ$3))/$AJ17,Уголь_коэфф!$A:$B,2,1)-VLOOKUP($AO17,Уголь_коэфф!$A:$B,2,1)),1+(1-$AU17))</f>
        <v>1.044776119402985</v>
      </c>
      <c r="CA17" s="102">
        <f>MIN(IF($AU17=100%,1,1+VLOOKUP(($AJ17-$AI17-$AH17-$AG17-$AF17-$AE17*(1+CA$3))/$AJ17,Уголь_коэфф!$A:$B,2,1)-VLOOKUP($AO17,Уголь_коэфф!$A:$B,2,1)),1+(1-$AU17))</f>
        <v>1.044776119402985</v>
      </c>
      <c r="CB17" s="102">
        <f>MIN(IF($AU17=100%,1,1+VLOOKUP(($AJ17-$AI17-$AH17-$AG17-$AF17-$AE17*(1+CB$3))/$AJ17,Уголь_коэфф!$A:$B,2,1)-VLOOKUP($AO17,Уголь_коэфф!$A:$B,2,1)),1+(1-$AU17))</f>
        <v>1.044776119402985</v>
      </c>
      <c r="CC17" s="102">
        <f>MIN(IF($AU17=100%,1,1+VLOOKUP(($AJ17-$AI17-$AH17-$AG17-$AF17-$AE17*(1+CC$3))/$AJ17,Уголь_коэфф!$A:$B,2,1)-VLOOKUP($AO17,Уголь_коэфф!$A:$B,2,1)),1+(1-$AU17))</f>
        <v>1.044776119402985</v>
      </c>
      <c r="CD17" s="102">
        <f>MIN(IF($AU17=100%,1,1+VLOOKUP(($AJ17-$AI17-$AH17-$AG17-$AF17-$AE17*(1+CD$3))/$AJ17,Уголь_коэфф!$A:$B,2,1)-VLOOKUP($AO17,Уголь_коэфф!$A:$B,2,1)),1+(1-$AU17))</f>
        <v>1.044776119402985</v>
      </c>
      <c r="CE17" s="102">
        <f>MIN(IF($AU17=100%,1,1+VLOOKUP(($AJ17-$AI17-$AH17-$AG17-$AF17-$AE17*(1+CE$3))/$AJ17,Уголь_коэфф!$A:$B,2,1)-VLOOKUP($AO17,Уголь_коэфф!$A:$B,2,1)),1+(1-$AU17))</f>
        <v>1.044776119402985</v>
      </c>
      <c r="CF17" s="102">
        <f>MIN(IF($AU17=100%,1,1+VLOOKUP(($AJ17-$AI17-$AH17-$AG17-$AF17-$AE17*(1+CF$3))/$AJ17,Уголь_коэфф!$A:$B,2,1)-VLOOKUP($AO17,Уголь_коэфф!$A:$B,2,1)),1+(1-$AU17))</f>
        <v>1.044776119402985</v>
      </c>
      <c r="CG17" s="102">
        <f>MIN(IF($AU17=100%,1,1+VLOOKUP(($AJ17-$AI17-$AH17-$AG17-$AF17-$AE17*(1+CG$3))/$AJ17,Уголь_коэфф!$A:$B,2,1)-VLOOKUP($AO17,Уголь_коэфф!$A:$B,2,1)),1+(1-$AU17))</f>
        <v>1.044776119402985</v>
      </c>
      <c r="CH17" s="102">
        <f>MIN(IF($AU17=100%,1,1+VLOOKUP(($AJ17-$AI17-$AH17-$AG17-$AF17-$AE17*(1+CH$3))/$AJ17,Уголь_коэфф!$A:$B,2,1)-VLOOKUP($AO17,Уголь_коэфф!$A:$B,2,1)),1+(1-$AU17))</f>
        <v>1.044776119402985</v>
      </c>
      <c r="CI17" s="102">
        <f>MIN(IF($AU17=100%,1,1+VLOOKUP(($AJ17-$AI17-$AH17-$AG17-$AF17-$AE17*(1+CI$3))/$AJ17,Уголь_коэфф!$A:$B,2,1)-VLOOKUP($AO17,Уголь_коэфф!$A:$B,2,1)),1+(1-$AU17))</f>
        <v>1.044776119402985</v>
      </c>
      <c r="CJ17" s="102">
        <f>MIN(IF($AU17=100%,1,1+VLOOKUP(($AJ17-$AI17-$AH17-$AG17-$AF17-$AE17*(1+CJ$3))/$AJ17,Уголь_коэфф!$A:$B,2,1)-VLOOKUP($AO17,Уголь_коэфф!$A:$B,2,1)),1+(1-$AU17))</f>
        <v>1.044776119402985</v>
      </c>
      <c r="CK17" s="102">
        <f>MIN(IF($AU17=100%,1,1+VLOOKUP(($AJ17-$AI17-$AH17-$AG17-$AF17-$AE17*(1+CK$3))/$AJ17,Уголь_коэфф!$A:$B,2,1)-VLOOKUP($AO17,Уголь_коэфф!$A:$B,2,1)),1+(1-$AU17))</f>
        <v>1.044776119402985</v>
      </c>
      <c r="CL17" s="102">
        <f>MIN(IF($AU17=100%,1,1+VLOOKUP(($AJ17-$AI17-$AH17-$AG17-$AF17-$AE17*(1+CL$3))/$AJ17,Уголь_коэфф!$A:$B,2,1)-VLOOKUP($AO17,Уголь_коэфф!$A:$B,2,1)),1+(1-$AU17))</f>
        <v>1.044776119402985</v>
      </c>
      <c r="CM17" s="102">
        <f>MIN(IF($AU17=100%,1,1+VLOOKUP(($AJ17-$AI17-$AH17-$AG17-$AF17-$AE17*(1+CM$3))/$AJ17,Уголь_коэфф!$A:$B,2,1)-VLOOKUP($AO17,Уголь_коэфф!$A:$B,2,1)),1+(1-$AU17))</f>
        <v>1.044776119402985</v>
      </c>
      <c r="CN17" s="102">
        <f>MIN(IF($AU17=100%,1,1+VLOOKUP(($AJ17-$AI17-$AH17-$AG17-$AF17-$AE17*(1+CN$3))/$AJ17,Уголь_коэфф!$A:$B,2,1)-VLOOKUP($AO17,Уголь_коэфф!$A:$B,2,1)),1+(1-$AU17))</f>
        <v>1.044776119402985</v>
      </c>
      <c r="CO17" s="102">
        <f>MIN(IF($AU17=100%,1,1+VLOOKUP(($AJ17-$AI17-$AH17-$AG17-$AF17-$AE17*(1+CO$3))/$AJ17,Уголь_коэфф!$A:$B,2,1)-VLOOKUP($AO17,Уголь_коэфф!$A:$B,2,1)),1+(1-$AU17))</f>
        <v>1.044776119402985</v>
      </c>
      <c r="CP17" s="102">
        <f>MIN(IF($AU17=100%,1,1+VLOOKUP(($AJ17-$AI17-$AH17-$AG17-$AF17-$AE17*(1+CP$3))/$AJ17,Уголь_коэфф!$A:$B,2,1)-VLOOKUP($AO17,Уголь_коэфф!$A:$B,2,1)),1+(1-$AU17))</f>
        <v>1.044776119402985</v>
      </c>
      <c r="CQ17" s="102">
        <f>MIN(IF($AU17=100%,1,1+VLOOKUP(($AJ17-$AI17-$AH17-$AG17-$AF17-$AE17*(1+CQ$3))/$AJ17,Уголь_коэфф!$A:$B,2,1)-VLOOKUP($AO17,Уголь_коэфф!$A:$B,2,1)),1+(1-$AU17))</f>
        <v>1.044776119402985</v>
      </c>
      <c r="CR17" s="102">
        <f>MIN(IF($AU17=100%,1,1+VLOOKUP(($AJ17-$AI17-$AH17-$AG17-$AF17-$AE17*(1+CR$3))/$AJ17,Уголь_коэфф!$A:$B,2,1)-VLOOKUP($AO17,Уголь_коэфф!$A:$B,2,1)),1+(1-$AU17))</f>
        <v>1.044776119402985</v>
      </c>
      <c r="CS17" s="102">
        <f>MIN(IF($AU17=100%,1,1+VLOOKUP(($AJ17-$AI17-$AH17-$AG17-$AF17-$AE17*(1+CS$3))/$AJ17,Уголь_коэфф!$A:$B,2,1)-VLOOKUP($AO17,Уголь_коэфф!$A:$B,2,1)),1+(1-$AU17))</f>
        <v>1.044776119402985</v>
      </c>
      <c r="CT17" s="102">
        <f>MIN(IF($AU17=100%,1,1+VLOOKUP(($AJ17-$AI17-$AH17-$AG17-$AF17-$AE17*(1+CT$3))/$AJ17,Уголь_коэфф!$A:$B,2,1)-VLOOKUP($AO17,Уголь_коэфф!$A:$B,2,1)),1+(1-$AU17))</f>
        <v>1.044776119402985</v>
      </c>
      <c r="CU17" s="102">
        <f>MIN(IF($AU17=100%,1,1+VLOOKUP(($AJ17-$AI17-$AH17-$AG17-$AF17-$AE17*(1+CU$3))/$AJ17,Уголь_коэфф!$A:$B,2,1)-VLOOKUP($AO17,Уголь_коэфф!$A:$B,2,1)),1+(1-$AU17))</f>
        <v>1.044776119402985</v>
      </c>
      <c r="CV17" s="102">
        <f>MIN(IF($AU17=100%,1,1+VLOOKUP(($AJ17-$AI17-$AH17-$AG17-$AF17-$AE17*(1+CV$3))/$AJ17,Уголь_коэфф!$A:$B,2,1)-VLOOKUP($AO17,Уголь_коэфф!$A:$B,2,1)),1+(1-$AU17))</f>
        <v>1.044776119402985</v>
      </c>
      <c r="CW17" s="102">
        <f>MIN(IF($AU17=100%,1,1+VLOOKUP(($AJ17-$AI17-$AH17-$AG17-$AF17-$AE17*(1+CW$3))/$AJ17,Уголь_коэфф!$A:$B,2,1)-VLOOKUP($AO17,Уголь_коэфф!$A:$B,2,1)),1+(1-$AU17))</f>
        <v>1.044776119402985</v>
      </c>
      <c r="CX17" s="102">
        <f>MIN(IF($AU17=100%,1,1+VLOOKUP(($AJ17-$AI17-$AH17-$AG17-$AF17-$AE17*(1+CX$3))/$AJ17,Уголь_коэфф!$A:$B,2,1)-VLOOKUP($AO17,Уголь_коэфф!$A:$B,2,1)),1+(1-$AU17))</f>
        <v>1.044776119402985</v>
      </c>
      <c r="CY17" s="102">
        <f>MIN(IF($AU17=100%,1,1+VLOOKUP(($AJ17-$AI17-$AH17-$AG17-$AF17-$AE17*(1+CY$3))/$AJ17,Уголь_коэфф!$A:$B,2,1)-VLOOKUP($AO17,Уголь_коэфф!$A:$B,2,1)),1+(1-$AU17))</f>
        <v>1.044776119402985</v>
      </c>
      <c r="CZ17" s="102">
        <f>MIN(IF($AU17=100%,1,1+VLOOKUP(($AJ17-$AI17-$AH17-$AG17-$AF17-$AE17*(1+CZ$3))/$AJ17,Уголь_коэфф!$A:$B,2,1)-VLOOKUP($AO17,Уголь_коэфф!$A:$B,2,1)),1+(1-$AU17))</f>
        <v>1.044776119402985</v>
      </c>
      <c r="DA17" s="102">
        <f>MIN(IF($AU17=100%,1,1+VLOOKUP(($AJ17-$AI17-$AH17-$AG17-$AF17-$AE17*(1+DA$3))/$AJ17,Уголь_коэфф!$A:$B,2,1)-VLOOKUP($AO17,Уголь_коэфф!$A:$B,2,1)),1+(1-$AU17))</f>
        <v>1.044776119402985</v>
      </c>
      <c r="DB17" s="102">
        <f>MIN(IF($AU17=100%,1,1+VLOOKUP(($AJ17-$AI17-$AH17-$AG17-$AF17-$AE17*(1+DB$3))/$AJ17,Уголь_коэфф!$A:$B,2,1)-VLOOKUP($AO17,Уголь_коэфф!$A:$B,2,1)),1+(1-$AU17))</f>
        <v>1.044776119402985</v>
      </c>
      <c r="DC17" s="102">
        <f>MIN(IF($AU17=100%,1,1+VLOOKUP(($AJ17-$AI17-$AH17-$AG17-$AF17-$AE17*(1+DC$3))/$AJ17,Уголь_коэфф!$A:$B,2,1)-VLOOKUP($AO17,Уголь_коэфф!$A:$B,2,1)),1+(1-$AU17))</f>
        <v>1.044776119402985</v>
      </c>
      <c r="DD17" s="102">
        <f>MIN(IF($AU17=100%,1,1+VLOOKUP(($AJ17-$AI17-$AH17-$AG17-$AF17-$AE17*(1+DD$3))/$AJ17,Уголь_коэфф!$A:$B,2,1)-VLOOKUP($AO17,Уголь_коэфф!$A:$B,2,1)),1+(1-$AU17))</f>
        <v>1.044776119402985</v>
      </c>
      <c r="DE17" s="102">
        <f>MIN(IF($AU17=100%,1,1+VLOOKUP(($AJ17-$AI17-$AH17-$AG17-$AF17-$AE17*(1+DE$3))/$AJ17,Уголь_коэфф!$A:$B,2,1)-VLOOKUP($AO17,Уголь_коэфф!$A:$B,2,1)),1+(1-$AU17))</f>
        <v>1.044776119402985</v>
      </c>
      <c r="DF17" s="102">
        <f>MIN(IF($AU17=100%,1,1+VLOOKUP(($AJ17-$AI17-$AH17-$AG17-$AF17-$AE17*(1+DF$3))/$AJ17,Уголь_коэфф!$A:$B,2,1)-VLOOKUP($AO17,Уголь_коэфф!$A:$B,2,1)),1+(1-$AU17))</f>
        <v>1.044776119402985</v>
      </c>
      <c r="DG17" s="102">
        <f>MIN(IF($AU17=100%,1,1+VLOOKUP(($AJ17-$AI17-$AH17-$AG17-$AF17-$AE17*(1+DG$3))/$AJ17,Уголь_коэфф!$A:$B,2,1)-VLOOKUP($AO17,Уголь_коэфф!$A:$B,2,1)),1+(1-$AU17))</f>
        <v>1.0419999999999998</v>
      </c>
      <c r="DH17" s="102">
        <f>MIN(IF($AU17=100%,1,1+VLOOKUP(($AJ17-$AI17-$AH17-$AG17-$AF17-$AE17*(1+DH$3))/$AJ17,Уголь_коэфф!$A:$B,2,1)-VLOOKUP($AO17,Уголь_коэфф!$A:$B,2,1)),1+(1-$AU17))</f>
        <v>1.0419999999999998</v>
      </c>
      <c r="DI17" s="102">
        <f>MIN(IF($AU17=100%,1,1+VLOOKUP(($AJ17-$AI17-$AH17-$AG17-$AF17-$AE17*(1+DI$3))/$AJ17,Уголь_коэфф!$A:$B,2,1)-VLOOKUP($AO17,Уголь_коэфф!$A:$B,2,1)),1+(1-$AU17))</f>
        <v>1.0419999999999998</v>
      </c>
      <c r="DJ17" s="102">
        <f>MIN(IF($AU17=100%,1,1+VLOOKUP(($AJ17-$AI17-$AH17-$AG17-$AF17-$AE17*(1+DJ$3))/$AJ17,Уголь_коэфф!$A:$B,2,1)-VLOOKUP($AO17,Уголь_коэфф!$A:$B,2,1)),1+(1-$AU17))</f>
        <v>1.0419999999999998</v>
      </c>
      <c r="DK17" s="102">
        <f>MIN(IF($AU17=100%,1,1+VLOOKUP(($AJ17-$AI17-$AH17-$AG17-$AF17-$AE17*(1+DK$3))/$AJ17,Уголь_коэфф!$A:$B,2,1)-VLOOKUP($AO17,Уголь_коэфф!$A:$B,2,1)),1+(1-$AU17))</f>
        <v>1.0419999999999998</v>
      </c>
      <c r="DL17" s="102">
        <f>MIN(IF($AU17=100%,1,1+VLOOKUP(($AJ17-$AI17-$AH17-$AG17-$AF17-$AE17*(1+DL$3))/$AJ17,Уголь_коэфф!$A:$B,2,1)-VLOOKUP($AO17,Уголь_коэфф!$A:$B,2,1)),1+(1-$AU17))</f>
        <v>1.036</v>
      </c>
      <c r="DM17" s="102">
        <f>MIN(IF($AU17=100%,1,1+VLOOKUP(($AJ17-$AI17-$AH17-$AG17-$AF17-$AE17*(1+DM$3))/$AJ17,Уголь_коэфф!$A:$B,2,1)-VLOOKUP($AO17,Уголь_коэфф!$A:$B,2,1)),1+(1-$AU17))</f>
        <v>1.036</v>
      </c>
      <c r="DN17" s="102">
        <f>MIN(IF($AU17=100%,1,1+VLOOKUP(($AJ17-$AI17-$AH17-$AG17-$AF17-$AE17*(1+DN$3))/$AJ17,Уголь_коэфф!$A:$B,2,1)-VLOOKUP($AO17,Уголь_коэфф!$A:$B,2,1)),1+(1-$AU17))</f>
        <v>1.036</v>
      </c>
      <c r="DO17" s="102">
        <f>MIN(IF($AU17=100%,1,1+VLOOKUP(($AJ17-$AI17-$AH17-$AG17-$AF17-$AE17*(1+DO$3))/$AJ17,Уголь_коэфф!$A:$B,2,1)-VLOOKUP($AO17,Уголь_коэфф!$A:$B,2,1)),1+(1-$AU17))</f>
        <v>1.036</v>
      </c>
      <c r="DP17" s="102">
        <f>MIN(IF($AU17=100%,1,1+VLOOKUP(($AJ17-$AI17-$AH17-$AG17-$AF17-$AE17*(1+DP$3))/$AJ17,Уголь_коэфф!$A:$B,2,1)-VLOOKUP($AO17,Уголь_коэфф!$A:$B,2,1)),1+(1-$AU17))</f>
        <v>1.036</v>
      </c>
      <c r="DQ17" s="102">
        <f>MIN(IF($AU17=100%,1,1+VLOOKUP(($AJ17-$AI17-$AH17-$AG17-$AF17-$AE17*(1+DQ$3))/$AJ17,Уголь_коэфф!$A:$B,2,1)-VLOOKUP($AO17,Уголь_коэфф!$A:$B,2,1)),1+(1-$AU17))</f>
        <v>1.036</v>
      </c>
      <c r="DR17" s="102">
        <f>MIN(IF($AU17=100%,1,1+VLOOKUP(($AJ17-$AI17-$AH17-$AG17-$AF17-$AE17*(1+DR$3))/$AJ17,Уголь_коэфф!$A:$B,2,1)-VLOOKUP($AO17,Уголь_коэфф!$A:$B,2,1)),1+(1-$AU17))</f>
        <v>1.0299999999999998</v>
      </c>
      <c r="DS17" s="102">
        <f>MIN(IF($AU17=100%,1,1+VLOOKUP(($AJ17-$AI17-$AH17-$AG17-$AF17-$AE17*(1+DS$3))/$AJ17,Уголь_коэфф!$A:$B,2,1)-VLOOKUP($AO17,Уголь_коэфф!$A:$B,2,1)),1+(1-$AU17))</f>
        <v>1.0299999999999998</v>
      </c>
      <c r="DT17" s="102">
        <f>MIN(IF($AU17=100%,1,1+VLOOKUP(($AJ17-$AI17-$AH17-$AG17-$AF17-$AE17*(1+DT$3))/$AJ17,Уголь_коэфф!$A:$B,2,1)-VLOOKUP($AO17,Уголь_коэфф!$A:$B,2,1)),1+(1-$AU17))</f>
        <v>1.0299999999999998</v>
      </c>
      <c r="DU17" s="102">
        <f>MIN(IF($AU17=100%,1,1+VLOOKUP(($AJ17-$AI17-$AH17-$AG17-$AF17-$AE17*(1+DU$3))/$AJ17,Уголь_коэфф!$A:$B,2,1)-VLOOKUP($AO17,Уголь_коэфф!$A:$B,2,1)),1+(1-$AU17))</f>
        <v>1.0299999999999998</v>
      </c>
      <c r="DV17" s="102">
        <f>MIN(IF($AU17=100%,1,1+VLOOKUP(($AJ17-$AI17-$AH17-$AG17-$AF17-$AE17*(1+DV$3))/$AJ17,Уголь_коэфф!$A:$B,2,1)-VLOOKUP($AO17,Уголь_коэфф!$A:$B,2,1)),1+(1-$AU17))</f>
        <v>1.0299999999999998</v>
      </c>
      <c r="DW17" s="102">
        <f>MIN(IF($AU17=100%,1,1+VLOOKUP(($AJ17-$AI17-$AH17-$AG17-$AF17-$AE17*(1+DW$3))/$AJ17,Уголь_коэфф!$A:$B,2,1)-VLOOKUP($AO17,Уголь_коэфф!$A:$B,2,1)),1+(1-$AU17))</f>
        <v>1.0239999999999996</v>
      </c>
      <c r="DX17" s="102">
        <f>MIN(IF($AU17=100%,1,1+VLOOKUP(($AJ17-$AI17-$AH17-$AG17-$AF17-$AE17*(1+DX$3))/$AJ17,Уголь_коэфф!$A:$B,2,1)-VLOOKUP($AO17,Уголь_коэфф!$A:$B,2,1)),1+(1-$AU17))</f>
        <v>1.0239999999999996</v>
      </c>
      <c r="DY17" s="102">
        <f>MIN(IF($AU17=100%,1,1+VLOOKUP(($AJ17-$AI17-$AH17-$AG17-$AF17-$AE17*(1+DY$3))/$AJ17,Уголь_коэфф!$A:$B,2,1)-VLOOKUP($AO17,Уголь_коэфф!$A:$B,2,1)),1+(1-$AU17))</f>
        <v>1.0239999999999996</v>
      </c>
      <c r="DZ17" s="102">
        <f>MIN(IF($AU17=100%,1,1+VLOOKUP(($AJ17-$AI17-$AH17-$AG17-$AF17-$AE17*(1+DZ$3))/$AJ17,Уголь_коэфф!$A:$B,2,1)-VLOOKUP($AO17,Уголь_коэфф!$A:$B,2,1)),1+(1-$AU17))</f>
        <v>1.0239999999999996</v>
      </c>
      <c r="EA17" s="102">
        <f>MIN(IF($AU17=100%,1,1+VLOOKUP(($AJ17-$AI17-$AH17-$AG17-$AF17-$AE17*(1+EA$3))/$AJ17,Уголь_коэфф!$A:$B,2,1)-VLOOKUP($AO17,Уголь_коэфф!$A:$B,2,1)),1+(1-$AU17))</f>
        <v>1.0239999999999996</v>
      </c>
      <c r="EB17" s="102">
        <f>MIN(IF($AU17=100%,1,1+VLOOKUP(($AJ17-$AI17-$AH17-$AG17-$AF17-$AE17*(1+EB$3))/$AJ17,Уголь_коэфф!$A:$B,2,1)-VLOOKUP($AO17,Уголь_коэфф!$A:$B,2,1)),1+(1-$AU17))</f>
        <v>1.0239999999999996</v>
      </c>
      <c r="EC17" s="102">
        <f>MIN(IF($AU17=100%,1,1+VLOOKUP(($AJ17-$AI17-$AH17-$AG17-$AF17-$AE17*(1+EC$3))/$AJ17,Уголь_коэфф!$A:$B,2,1)-VLOOKUP($AO17,Уголь_коэфф!$A:$B,2,1)),1+(1-$AU17))</f>
        <v>1.0179999999999998</v>
      </c>
      <c r="ED17" s="102">
        <f>MIN(IF($AU17=100%,1,1+VLOOKUP(($AJ17-$AI17-$AH17-$AG17-$AF17-$AE17*(1+ED$3))/$AJ17,Уголь_коэфф!$A:$B,2,1)-VLOOKUP($AO17,Уголь_коэфф!$A:$B,2,1)),1+(1-$AU17))</f>
        <v>1.0179999999999998</v>
      </c>
      <c r="EE17" s="102">
        <f>MIN(IF($AU17=100%,1,1+VLOOKUP(($AJ17-$AI17-$AH17-$AG17-$AF17-$AE17*(1+EE$3))/$AJ17,Уголь_коэфф!$A:$B,2,1)-VLOOKUP($AO17,Уголь_коэфф!$A:$B,2,1)),1+(1-$AU17))</f>
        <v>1.0179999999999998</v>
      </c>
      <c r="EF17" s="102">
        <f>MIN(IF($AU17=100%,1,1+VLOOKUP(($AJ17-$AI17-$AH17-$AG17-$AF17-$AE17*(1+EF$3))/$AJ17,Уголь_коэфф!$A:$B,2,1)-VLOOKUP($AO17,Уголь_коэфф!$A:$B,2,1)),1+(1-$AU17))</f>
        <v>1.0179999999999998</v>
      </c>
      <c r="EG17" s="102">
        <f>MIN(IF($AU17=100%,1,1+VLOOKUP(($AJ17-$AI17-$AH17-$AG17-$AF17-$AE17*(1+EG$3))/$AJ17,Уголь_коэфф!$A:$B,2,1)-VLOOKUP($AO17,Уголь_коэфф!$A:$B,2,1)),1+(1-$AU17))</f>
        <v>1.0179999999999998</v>
      </c>
      <c r="EH17" s="102">
        <f>MIN(IF($AU17=100%,1,1+VLOOKUP(($AJ17-$AI17-$AH17-$AG17-$AF17-$AE17*(1+EH$3))/$AJ17,Уголь_коэфф!$A:$B,2,1)-VLOOKUP($AO17,Уголь_коэфф!$A:$B,2,1)),1+(1-$AU17))</f>
        <v>1.012</v>
      </c>
      <c r="EI17" s="102">
        <f>MIN(IF($AU17=100%,1,1+VLOOKUP(($AJ17-$AI17-$AH17-$AG17-$AF17-$AE17*(1+EI$3))/$AJ17,Уголь_коэфф!$A:$B,2,1)-VLOOKUP($AO17,Уголь_коэфф!$A:$B,2,1)),1+(1-$AU17))</f>
        <v>1.012</v>
      </c>
      <c r="EJ17" s="102">
        <f>MIN(IF($AU17=100%,1,1+VLOOKUP(($AJ17-$AI17-$AH17-$AG17-$AF17-$AE17*(1+EJ$3))/$AJ17,Уголь_коэфф!$A:$B,2,1)-VLOOKUP($AO17,Уголь_коэфф!$A:$B,2,1)),1+(1-$AU17))</f>
        <v>1.012</v>
      </c>
      <c r="EK17" s="102">
        <f>MIN(IF($AU17=100%,1,1+VLOOKUP(($AJ17-$AI17-$AH17-$AG17-$AF17-$AE17*(1+EK$3))/$AJ17,Уголь_коэфф!$A:$B,2,1)-VLOOKUP($AO17,Уголь_коэфф!$A:$B,2,1)),1+(1-$AU17))</f>
        <v>1.012</v>
      </c>
      <c r="EL17" s="102">
        <f>MIN(IF($AU17=100%,1,1+VLOOKUP(($AJ17-$AI17-$AH17-$AG17-$AF17-$AE17*(1+EL$3))/$AJ17,Уголь_коэфф!$A:$B,2,1)-VLOOKUP($AO17,Уголь_коэфф!$A:$B,2,1)),1+(1-$AU17))</f>
        <v>1.012</v>
      </c>
      <c r="EM17" s="102">
        <f>MIN(IF($AU17=100%,1,1+VLOOKUP(($AJ17-$AI17-$AH17-$AG17-$AF17-$AE17*(1+EM$3))/$AJ17,Уголь_коэфф!$A:$B,2,1)-VLOOKUP($AO17,Уголь_коэфф!$A:$B,2,1)),1+(1-$AU17))</f>
        <v>1.012</v>
      </c>
      <c r="EN17" s="102">
        <f>MIN(IF($AU17=100%,1,1+VLOOKUP(($AJ17-$AI17-$AH17-$AG17-$AF17-$AE17*(1+EN$3))/$AJ17,Уголь_коэфф!$A:$B,2,1)-VLOOKUP($AO17,Уголь_коэфф!$A:$B,2,1)),1+(1-$AU17))</f>
        <v>1.0059999999999998</v>
      </c>
      <c r="EO17" s="102">
        <f>MIN(IF($AU17=100%,1,1+VLOOKUP(($AJ17-$AI17-$AH17-$AG17-$AF17-$AE17*(1+EO$3))/$AJ17,Уголь_коэфф!$A:$B,2,1)-VLOOKUP($AO17,Уголь_коэфф!$A:$B,2,1)),1+(1-$AU17))</f>
        <v>1.0059999999999998</v>
      </c>
      <c r="EP17" s="102">
        <f>MIN(IF($AU17=100%,1,1+VLOOKUP(($AJ17-$AI17-$AH17-$AG17-$AF17-$AE17*(1+EP$3))/$AJ17,Уголь_коэфф!$A:$B,2,1)-VLOOKUP($AO17,Уголь_коэфф!$A:$B,2,1)),1+(1-$AU17))</f>
        <v>1.0059999999999998</v>
      </c>
      <c r="EQ17" s="102">
        <f>MIN(IF($AU17=100%,1,1+VLOOKUP(($AJ17-$AI17-$AH17-$AG17-$AF17-$AE17*(1+EQ$3))/$AJ17,Уголь_коэфф!$A:$B,2,1)-VLOOKUP($AO17,Уголь_коэфф!$A:$B,2,1)),1+(1-$AU17))</f>
        <v>1.0059999999999998</v>
      </c>
      <c r="ER17" s="102">
        <f>MIN(IF($AU17=100%,1,1+VLOOKUP(($AJ17-$AI17-$AH17-$AG17-$AF17-$AE17*(1+ER$3))/$AJ17,Уголь_коэфф!$A:$B,2,1)-VLOOKUP($AO17,Уголь_коэфф!$A:$B,2,1)),1+(1-$AU17))</f>
        <v>1.0059999999999998</v>
      </c>
      <c r="ES17" s="102">
        <f>MIN(IF($AU17=100%,1,1+VLOOKUP(($AJ17-$AI17-$AH17-$AG17-$AF17-$AE17*(1+ES$3))/$AJ17,Уголь_коэфф!$A:$B,2,1)-VLOOKUP($AO17,Уголь_коэфф!$A:$B,2,1)),1+(1-$AU17))</f>
        <v>1</v>
      </c>
      <c r="ET17" s="102">
        <f>MIN(IF($AU17=100%,1,1+VLOOKUP(($AJ17-$AI17-$AH17-$AG17-$AF17-$AE17*(1+ET$3))/$AJ17,Уголь_коэфф!$A:$B,2,1)-VLOOKUP($AO17,Уголь_коэфф!$A:$B,2,1)),1+(1-$AU17))</f>
        <v>1</v>
      </c>
      <c r="EU17" s="102">
        <f>MIN(IF($AU17=100%,1,1+VLOOKUP(($AJ17-$AI17-$AH17-$AG17-$AF17-$AE17*(1+EU$3))/$AJ17,Уголь_коэфф!$A:$B,2,1)-VLOOKUP($AO17,Уголь_коэфф!$A:$B,2,1)),1+(1-$AU17))</f>
        <v>1</v>
      </c>
      <c r="EV17" s="103">
        <v>1</v>
      </c>
      <c r="EW17" s="102">
        <f>MIN(1,MAX(VLOOKUP(($AJ17-$AI17-$AH17-$AG17-$AF17-$AE17*(1+EW$3))/$AJ17,Уголь_коэфф!$A:$B,2,1),(EV17-0.05)))</f>
        <v>1</v>
      </c>
      <c r="EX17" s="102">
        <f>MIN(1,MAX(VLOOKUP(($AJ17-$AI17-$AH17-$AG17-$AF17-$AE17*(1+EX$3))/$AJ17,Уголь_коэфф!$A:$B,2,1),(EW17-0.05)))</f>
        <v>1</v>
      </c>
      <c r="EY17" s="102">
        <f>MIN(1,MAX(VLOOKUP(($AJ17-$AI17-$AH17-$AG17-$AF17-$AE17*(1+EY$3))/$AJ17,Уголь_коэфф!$A:$B,2,1),(EX17-0.05)))</f>
        <v>1</v>
      </c>
      <c r="EZ17" s="102">
        <f>MIN(1,MAX(VLOOKUP(($AJ17-$AI17-$AH17-$AG17-$AF17-$AE17*(1+EZ$3))/$AJ17,Уголь_коэфф!$A:$B,2,1),(EY17-0.05)))</f>
        <v>1</v>
      </c>
      <c r="FA17" s="102">
        <f>MIN(1,MAX(VLOOKUP(($AJ17-$AI17-$AH17-$AG17-$AF17-$AE17*(1+FA$3))/$AJ17,Уголь_коэфф!$A:$B,2,1),(EZ17-0.05)))</f>
        <v>1</v>
      </c>
      <c r="FB17" s="102">
        <f>MIN(1,MAX(VLOOKUP(($AJ17-$AI17-$AH17-$AG17-$AF17-$AE17*(1+FB$3))/$AJ17,Уголь_коэфф!$A:$B,2,1),(FA17-0.05)))</f>
        <v>1</v>
      </c>
      <c r="FC17" s="102">
        <f>MIN(1,MAX(VLOOKUP(($AJ17-$AI17-$AH17-$AG17-$AF17-$AE17*(1+FC$3))/$AJ17,Уголь_коэфф!$A:$B,2,1),(FB17-0.05)))</f>
        <v>1</v>
      </c>
      <c r="FD17" s="102">
        <f>MIN(1,MAX(VLOOKUP(($AJ17-$AI17-$AH17-$AG17-$AF17-$AE17*(1+FD$3))/$AJ17,Уголь_коэфф!$A:$B,2,1),(FC17-0.05)))</f>
        <v>1</v>
      </c>
      <c r="FE17" s="102">
        <f>MIN(1,MAX(VLOOKUP(($AJ17-$AI17-$AH17-$AG17-$AF17-$AE17*(1+FE$3))/$AJ17,Уголь_коэфф!$A:$B,2,1),(FD17-0.05)))</f>
        <v>1</v>
      </c>
      <c r="FF17" s="102">
        <f>MIN(1,MAX(VLOOKUP(($AJ17-$AI17-$AH17-$AG17-$AF17-$AE17*(1+FF$3))/$AJ17,Уголь_коэфф!$A:$B,2,1),(FE17-0.05)))</f>
        <v>1</v>
      </c>
      <c r="FG17" s="102">
        <f>MIN(1,MAX(VLOOKUP(($AJ17-$AI17-$AH17-$AG17-$AF17-$AE17*(1+FG$3))/$AJ17,Уголь_коэфф!$A:$B,2,1),(FF17-0.05)))</f>
        <v>1</v>
      </c>
      <c r="FH17" s="102">
        <f>MIN(1,MAX(VLOOKUP(($AJ17-$AI17-$AH17-$AG17-$AF17-$AE17*(1+FH$3))/$AJ17,Уголь_коэфф!$A:$B,2,1),(FG17-0.05)))</f>
        <v>1</v>
      </c>
      <c r="FI17" s="102">
        <f>MIN(1,MAX(VLOOKUP(($AJ17-$AI17-$AH17-$AG17-$AF17-$AE17*(1+FI$3))/$AJ17,Уголь_коэфф!$A:$B,2,1),(FH17-0.05)))</f>
        <v>1</v>
      </c>
      <c r="FJ17" s="102">
        <f>MIN(1,MAX(VLOOKUP(($AJ17-$AI17-$AH17-$AG17-$AF17-$AE17*(1+FJ$3))/$AJ17,Уголь_коэфф!$A:$B,2,1),(FI17-0.05)))</f>
        <v>1</v>
      </c>
      <c r="FK17" s="102">
        <f>MIN(1,MAX(VLOOKUP(($AJ17-$AI17-$AH17-$AG17-$AF17-$AE17*(1+FK$3))/$AJ17,Уголь_коэфф!$A:$B,2,1),(FJ17-0.05)))</f>
        <v>1</v>
      </c>
      <c r="FL17" s="102">
        <f>MIN(1,MAX(VLOOKUP(($AJ17-$AI17-$AH17-$AG17-$AF17-$AE17*(1+FL$3))/$AJ17,Уголь_коэфф!$A:$B,2,1),(FK17-0.05)))</f>
        <v>1</v>
      </c>
      <c r="FM17" s="102">
        <f>MIN(1,MAX(VLOOKUP(($AJ17-$AI17-$AH17-$AG17-$AF17-$AE17*(1+FM$3))/$AJ17,Уголь_коэфф!$A:$B,2,1),(FL17-0.05)))</f>
        <v>1</v>
      </c>
      <c r="FN17" s="102">
        <f>MIN(1,MAX(VLOOKUP(($AJ17-$AI17-$AH17-$AG17-$AF17-$AE17*(1+FN$3))/$AJ17,Уголь_коэфф!$A:$B,2,1),(FM17-0.05)))</f>
        <v>1</v>
      </c>
      <c r="FO17" s="102">
        <f>MIN(1,MAX(VLOOKUP(($AJ17-$AI17-$AH17-$AG17-$AF17-$AE17*(1+FO$3))/$AJ17,Уголь_коэфф!$A:$B,2,1),(FN17-0.05)))</f>
        <v>1</v>
      </c>
      <c r="FP17" s="102">
        <f>MIN(1,MAX(VLOOKUP(($AJ17-$AI17-$AH17-$AG17-$AF17-$AE17*(1+FP$3))/$AJ17,Уголь_коэфф!$A:$B,2,1),(FO17-0.05)))</f>
        <v>1</v>
      </c>
      <c r="FQ17" s="102">
        <f>MIN(1,MAX(VLOOKUP(($AJ17-$AI17-$AH17-$AG17-$AF17-$AE17*(1+FQ$3))/$AJ17,Уголь_коэфф!$A:$B,2,1),(FP17-0.05)))</f>
        <v>1</v>
      </c>
      <c r="FR17" s="102">
        <f>MIN(1,MAX(VLOOKUP(($AJ17-$AI17-$AH17-$AG17-$AF17-$AE17*(1+FR$3))/$AJ17,Уголь_коэфф!$A:$B,2,1),(FQ17-0.05)))</f>
        <v>1</v>
      </c>
      <c r="FS17" s="102">
        <f>MIN(1,MAX(VLOOKUP(($AJ17-$AI17-$AH17-$AG17-$AF17-$AE17*(1+FS$3))/$AJ17,Уголь_коэфф!$A:$B,2,1),(FR17-0.05)))</f>
        <v>1</v>
      </c>
      <c r="FT17" s="102">
        <f>MIN(1,MAX(VLOOKUP(($AJ17-$AI17-$AH17-$AG17-$AF17-$AE17*(1+FT$3))/$AJ17,Уголь_коэфф!$A:$B,2,1),(FS17-0.05)))</f>
        <v>1</v>
      </c>
      <c r="FU17" s="102">
        <f>MIN(1,MAX(VLOOKUP(($AJ17-$AI17-$AH17-$AG17-$AF17-$AE17*(1+FU$3))/$AJ17,Уголь_коэфф!$A:$B,2,1),(FT17-0.05)))</f>
        <v>1</v>
      </c>
      <c r="FV17" s="102">
        <f>MIN(1,MAX(VLOOKUP(($AJ17-$AI17-$AH17-$AG17-$AF17-$AE17*(1+FV$3))/$AJ17,Уголь_коэфф!$A:$B,2,1),(FU17-0.05)))</f>
        <v>1</v>
      </c>
      <c r="FW17" s="102">
        <f>MIN(1,MAX(VLOOKUP(($AJ17-$AI17-$AH17-$AG17-$AF17-$AE17*(1+FW$3))/$AJ17,Уголь_коэфф!$A:$B,2,1),(FV17-0.05)))</f>
        <v>1</v>
      </c>
      <c r="FX17" s="102">
        <f>MIN(1,MAX(VLOOKUP(($AJ17-$AI17-$AH17-$AG17-$AF17-$AE17*(1+FX$3))/$AJ17,Уголь_коэфф!$A:$B,2,1),(FW17-0.05)))</f>
        <v>1</v>
      </c>
      <c r="FY17" s="102">
        <f>MIN(1,MAX(VLOOKUP(($AJ17-$AI17-$AH17-$AG17-$AF17-$AE17*(1+FY$3))/$AJ17,Уголь_коэфф!$A:$B,2,1),(FX17-0.05)))</f>
        <v>1</v>
      </c>
      <c r="FZ17" s="102">
        <f>MIN(1,MAX(VLOOKUP(($AJ17-$AI17-$AH17-$AG17-$AF17-$AE17*(1+FZ$3))/$AJ17,Уголь_коэфф!$A:$B,2,1),(FY17-0.05)))</f>
        <v>1</v>
      </c>
      <c r="GA17" s="102">
        <f>MIN(1,MAX(VLOOKUP(($AJ17-$AI17-$AH17-$AG17-$AF17-$AE17*(1+GA$3))/$AJ17,Уголь_коэфф!$A:$B,2,1),(FZ17-0.05)))</f>
        <v>1</v>
      </c>
      <c r="GB17" s="102">
        <f>MIN(1,MAX(VLOOKUP(($AJ17-$AI17-$AH17-$AG17-$AF17-$AE17*(1+GB$3))/$AJ17,Уголь_коэфф!$A:$B,2,1),(GA17-0.05)))</f>
        <v>1</v>
      </c>
      <c r="GC17" s="102">
        <f>MIN(1,MAX(VLOOKUP(($AJ17-$AI17-$AH17-$AG17-$AF17-$AE17*(1+GC$3))/$AJ17,Уголь_коэфф!$A:$B,2,1),(GB17-0.05)))</f>
        <v>1</v>
      </c>
      <c r="GD17" s="102">
        <f>MIN(1,MAX(VLOOKUP(($AJ17-$AI17-$AH17-$AG17-$AF17-$AE17*(1+GD$3))/$AJ17,Уголь_коэфф!$A:$B,2,1),(GC17-0.05)))</f>
        <v>1</v>
      </c>
      <c r="GE17" s="102">
        <f>MIN(1,MAX(VLOOKUP(($AJ17-$AI17-$AH17-$AG17-$AF17-$AE17*(1+GE$3))/$AJ17,Уголь_коэфф!$A:$B,2,1),(GD17-0.05)))</f>
        <v>1</v>
      </c>
      <c r="GF17" s="102">
        <f>MIN(1,MAX(VLOOKUP(($AJ17-$AI17-$AH17-$AG17-$AF17-$AE17*(1+GF$3))/$AJ17,Уголь_коэфф!$A:$B,2,1),(GE17-0.05)))</f>
        <v>1</v>
      </c>
      <c r="GG17" s="102">
        <f>MIN(1,MAX(VLOOKUP(($AJ17-$AI17-$AH17-$AG17-$AF17-$AE17*(1+GG$3))/$AJ17,Уголь_коэфф!$A:$B,2,1),(GF17-0.05)))</f>
        <v>1</v>
      </c>
      <c r="GH17" s="102">
        <f>MIN(1,MAX(VLOOKUP(($AJ17-$AI17-$AH17-$AG17-$AF17-$AE17*(1+GH$3))/$AJ17,Уголь_коэфф!$A:$B,2,1),(GG17-0.05)))</f>
        <v>1</v>
      </c>
      <c r="GI17" s="102">
        <f>MIN(1,MAX(VLOOKUP(($AJ17-$AI17-$AH17-$AG17-$AF17-$AE17*(1+GI$3))/$AJ17,Уголь_коэфф!$A:$B,2,1),(GH17-0.05)))</f>
        <v>1</v>
      </c>
      <c r="GJ17" s="102">
        <f>MIN(1,MAX(VLOOKUP(($AJ17-$AI17-$AH17-$AG17-$AF17-$AE17*(1+GJ$3))/$AJ17,Уголь_коэфф!$A:$B,2,1),(GI17-0.05)))</f>
        <v>1</v>
      </c>
      <c r="GK17" s="102">
        <f>MIN(1,MAX(VLOOKUP(($AJ17-$AI17-$AH17-$AG17-$AF17-$AE17*(1+GK$3))/$AJ17,Уголь_коэфф!$A:$B,2,1),(GJ17-0.05)))</f>
        <v>1</v>
      </c>
      <c r="GL17" s="102">
        <f>MIN(1,MAX(VLOOKUP(($AJ17-$AI17-$AH17-$AG17-$AF17-$AE17*(1+GL$3))/$AJ17,Уголь_коэфф!$A:$B,2,1),(GK17-0.05)))</f>
        <v>1</v>
      </c>
      <c r="GM17" s="102">
        <f>MIN(1,MAX(VLOOKUP(($AJ17-$AI17-$AH17-$AG17-$AF17-$AE17*(1+GM$3))/$AJ17,Уголь_коэфф!$A:$B,2,1),(GL17-0.05)))</f>
        <v>1</v>
      </c>
      <c r="GN17" s="102">
        <f>MIN(1,MAX(VLOOKUP(($AJ17-$AI17-$AH17-$AG17-$AF17-$AE17*(1+GN$3))/$AJ17,Уголь_коэфф!$A:$B,2,1),(GM17-0.05)))</f>
        <v>1</v>
      </c>
      <c r="GO17" s="102">
        <f>MIN(1,MAX(VLOOKUP(($AJ17-$AI17-$AH17-$AG17-$AF17-$AE17*(1+GO$3))/$AJ17,Уголь_коэфф!$A:$B,2,1),(GN17-0.05)))</f>
        <v>1</v>
      </c>
      <c r="GP17" s="102">
        <f>MIN(1,MAX(VLOOKUP(($AJ17-$AI17-$AH17-$AG17-$AF17-$AE17*(1+GP$3))/$AJ17,Уголь_коэфф!$A:$B,2,1),(GO17-0.05)))</f>
        <v>1</v>
      </c>
      <c r="GQ17" s="102">
        <f>MIN(1,MAX(VLOOKUP(($AJ17-$AI17-$AH17-$AG17-$AF17-$AE17*(1+GQ$3))/$AJ17,Уголь_коэфф!$A:$B,2,1),(GP17-0.05)))</f>
        <v>1</v>
      </c>
      <c r="GR17" s="102">
        <f>MIN(1,MAX(VLOOKUP(($AJ17-$AI17-$AH17-$AG17-$AF17-$AE17*(1+GR$3))/$AJ17,Уголь_коэфф!$A:$B,2,1),(GQ17-0.05)))</f>
        <v>1</v>
      </c>
      <c r="GS17" s="102">
        <f>MIN(1,MAX(VLOOKUP(($AJ17-$AI17-$AH17-$AG17-$AF17-$AE17*(1+GS$3))/$AJ17,Уголь_коэфф!$A:$B,2,1),(GR17-0.05)))</f>
        <v>1</v>
      </c>
      <c r="GT17" s="102">
        <f>MIN(1,MAX(VLOOKUP(($AJ17-$AI17-$AH17-$AG17-$AF17-$AE17*(1+GT$3))/$AJ17,Уголь_коэфф!$A:$B,2,1),(GS17-0.05)))</f>
        <v>1</v>
      </c>
      <c r="GU17" s="102">
        <f>MIN(1,MAX(VLOOKUP(($AJ17-$AI17-$AH17-$AG17-$AF17-$AE17*(1+GU$3))/$AJ17,Уголь_коэфф!$A:$B,2,1),(GT17-0.05)))</f>
        <v>1</v>
      </c>
      <c r="GV17" s="102">
        <f>MIN(1,MAX(VLOOKUP(($AJ17-$AI17-$AH17-$AG17-$AF17-$AE17*(1+GV$3))/$AJ17,Уголь_коэфф!$A:$B,2,1),(GU17-0.05)))</f>
        <v>1</v>
      </c>
      <c r="GW17" s="102">
        <f>MIN(1,MAX(VLOOKUP(($AJ17-$AI17-$AH17-$AG17-$AF17-$AE17*(1+GW$3))/$AJ17,Уголь_коэфф!$A:$B,2,1),(GV17-0.05)))</f>
        <v>1</v>
      </c>
      <c r="GX17" s="102">
        <f>MIN(1,MAX(VLOOKUP(($AJ17-$AI17-$AH17-$AG17-$AF17-$AE17*(1+GX$3))/$AJ17,Уголь_коэфф!$A:$B,2,1),(GW17-0.05)))</f>
        <v>1</v>
      </c>
      <c r="GY17" s="102">
        <f>MIN(1,MAX(VLOOKUP(($AJ17-$AI17-$AH17-$AG17-$AF17-$AE17*(1+GY$3))/$AJ17,Уголь_коэфф!$A:$B,2,1),(GX17-0.05)))</f>
        <v>1</v>
      </c>
      <c r="GZ17" s="102">
        <f>MIN(1,MAX(VLOOKUP(($AJ17-$AI17-$AH17-$AG17-$AF17-$AE17*(1+GZ$3))/$AJ17,Уголь_коэфф!$A:$B,2,1),(GY17-0.05)))</f>
        <v>1</v>
      </c>
      <c r="HA17" s="102">
        <f>MIN(1,MAX(VLOOKUP(($AJ17-$AI17-$AH17-$AG17-$AF17-$AE17*(1+HA$3))/$AJ17,Уголь_коэфф!$A:$B,2,1),(GZ17-0.05)))</f>
        <v>1</v>
      </c>
      <c r="HB17" s="102">
        <f>MIN(1,MAX(VLOOKUP(($AJ17-$AI17-$AH17-$AG17-$AF17-$AE17*(1+HB$3))/$AJ17,Уголь_коэфф!$A:$B,2,1),(HA17-0.05)))</f>
        <v>1</v>
      </c>
      <c r="HC17" s="102">
        <f>MIN(1,MAX(VLOOKUP(($AJ17-$AI17-$AH17-$AG17-$AF17-$AE17*(1+HC$3))/$AJ17,Уголь_коэфф!$A:$B,2,1),(HB17-0.05)))</f>
        <v>1</v>
      </c>
      <c r="HD17" s="102">
        <f>MIN(1,MAX(VLOOKUP(($AJ17-$AI17-$AH17-$AG17-$AF17-$AE17*(1+HD$3))/$AJ17,Уголь_коэфф!$A:$B,2,1),(HC17-0.05)))</f>
        <v>1</v>
      </c>
      <c r="HE17" s="102">
        <f>MIN(1,MAX(VLOOKUP(($AJ17-$AI17-$AH17-$AG17-$AF17-$AE17*(1+HE$3))/$AJ17,Уголь_коэфф!$A:$B,2,1),(HD17-0.05)))</f>
        <v>1</v>
      </c>
      <c r="HF17" s="102">
        <f>MIN(1,MAX(VLOOKUP(($AJ17-$AI17-$AH17-$AG17-$AF17-$AE17*(1+HF$3))/$AJ17,Уголь_коэфф!$A:$B,2,1),(HE17-0.05)))</f>
        <v>1</v>
      </c>
      <c r="HG17" s="102">
        <f>MIN(1,MAX(VLOOKUP(($AJ17-$AI17-$AH17-$AG17-$AF17-$AE17*(1+HG$3))/$AJ17,Уголь_коэфф!$A:$B,2,1),(HF17-0.05)))</f>
        <v>1</v>
      </c>
      <c r="HH17" s="102">
        <f>MIN(1,MAX(VLOOKUP(($AJ17-$AI17-$AH17-$AG17-$AF17-$AE17*(1+HH$3))/$AJ17,Уголь_коэфф!$A:$B,2,1),(HG17-0.05)))</f>
        <v>1</v>
      </c>
      <c r="HI17" s="102">
        <f>MIN(1,MAX(VLOOKUP(($AJ17-$AI17-$AH17-$AG17-$AF17-$AE17*(1+HI$3))/$AJ17,Уголь_коэфф!$A:$B,2,1),(HH17-0.05)))</f>
        <v>1</v>
      </c>
      <c r="HJ17" s="102">
        <f>MIN(1,MAX(VLOOKUP(($AJ17-$AI17-$AH17-$AG17-$AF17-$AE17*(1+HJ$3))/$AJ17,Уголь_коэфф!$A:$B,2,1),(HI17-0.05)))</f>
        <v>1</v>
      </c>
      <c r="HK17" s="102">
        <f>MIN(1,MAX(VLOOKUP(($AJ17-$AI17-$AH17-$AG17-$AF17-$AE17*(1+HK$3))/$AJ17,Уголь_коэфф!$A:$B,2,1),(HJ17-0.05)))</f>
        <v>1</v>
      </c>
      <c r="HL17" s="102">
        <f>MIN(1,MAX(VLOOKUP(($AJ17-$AI17-$AH17-$AG17-$AF17-$AE17*(1+HL$3))/$AJ17,Уголь_коэфф!$A:$B,2,1),(HK17-0.05)))</f>
        <v>1</v>
      </c>
      <c r="HM17" s="102">
        <f>MIN(1,MAX(VLOOKUP(($AJ17-$AI17-$AH17-$AG17-$AF17-$AE17*(1+HM$3))/$AJ17,Уголь_коэфф!$A:$B,2,1),(HL17-0.05)))</f>
        <v>1</v>
      </c>
      <c r="HN17" s="102">
        <f>MIN(1,MAX(VLOOKUP(($AJ17-$AI17-$AH17-$AG17-$AF17-$AE17*(1+HN$3))/$AJ17,Уголь_коэфф!$A:$B,2,1),(HM17-0.05)))</f>
        <v>1</v>
      </c>
      <c r="HO17" s="102">
        <f>MIN(1,MAX(VLOOKUP(($AJ17-$AI17-$AH17-$AG17-$AF17-$AE17*(1+HO$3))/$AJ17,Уголь_коэфф!$A:$B,2,1),(HN17-0.05)))</f>
        <v>1</v>
      </c>
      <c r="HP17" s="102">
        <f>MIN(1,MAX(VLOOKUP(($AJ17-$AI17-$AH17-$AG17-$AF17-$AE17*(1+HP$3))/$AJ17,Уголь_коэфф!$A:$B,2,1),(HO17-0.05)))</f>
        <v>1</v>
      </c>
      <c r="HQ17" s="102">
        <f>MIN(1,MAX(VLOOKUP(($AJ17-$AI17-$AH17-$AG17-$AF17-$AE17*(1+HQ$3))/$AJ17,Уголь_коэфф!$A:$B,2,1),(HP17-0.05)))</f>
        <v>1</v>
      </c>
      <c r="HR17" s="102">
        <f>MIN(1,MAX(VLOOKUP(($AJ17-$AI17-$AH17-$AG17-$AF17-$AE17*(1+HR$3))/$AJ17,Уголь_коэфф!$A:$B,2,1),(HQ17-0.05)))</f>
        <v>1</v>
      </c>
      <c r="HS17" s="102">
        <f>MIN(1,MAX(VLOOKUP(($AJ17-$AI17-$AH17-$AG17-$AF17-$AE17*(1+HS$3))/$AJ17,Уголь_коэфф!$A:$B,2,1),(HR17-0.05)))</f>
        <v>1</v>
      </c>
      <c r="HT17" s="102">
        <f>MIN(1,MAX(VLOOKUP(($AJ17-$AI17-$AH17-$AG17-$AF17-$AE17*(1+HT$3))/$AJ17,Уголь_коэфф!$A:$B,2,1),(HS17-0.05)))</f>
        <v>1</v>
      </c>
      <c r="HU17" s="102">
        <f>MIN(1,MAX(VLOOKUP(($AJ17-$AI17-$AH17-$AG17-$AF17-$AE17*(1+HU$3))/$AJ17,Уголь_коэфф!$A:$B,2,1),(HT17-0.05)))</f>
        <v>1</v>
      </c>
      <c r="HV17" s="102">
        <f>MIN(1,MAX(VLOOKUP(($AJ17-$AI17-$AH17-$AG17-$AF17-$AE17*(1+HV$3))/$AJ17,Уголь_коэфф!$A:$B,2,1),(HU17-0.05)))</f>
        <v>1</v>
      </c>
      <c r="HW17" s="102">
        <f>MIN(1,MAX(VLOOKUP(($AJ17-$AI17-$AH17-$AG17-$AF17-$AE17*(1+HW$3))/$AJ17,Уголь_коэфф!$A:$B,2,1),(HV17-0.05)))</f>
        <v>1</v>
      </c>
      <c r="HX17" s="102">
        <f>MIN(1,MAX(VLOOKUP(($AJ17-$AI17-$AH17-$AG17-$AF17-$AE17*(1+HX$3))/$AJ17,Уголь_коэфф!$A:$B,2,1),(HW17-0.05)))</f>
        <v>1</v>
      </c>
      <c r="HY17" s="102">
        <f>MIN(1,MAX(VLOOKUP(($AJ17-$AI17-$AH17-$AG17-$AF17-$AE17*(1+HY$3))/$AJ17,Уголь_коэфф!$A:$B,2,1),(HX17-0.05)))</f>
        <v>1</v>
      </c>
      <c r="HZ17" s="102">
        <f>MIN(1,MAX(VLOOKUP(($AJ17-$AI17-$AH17-$AG17-$AF17-$AE17*(1+HZ$3))/$AJ17,Уголь_коэфф!$A:$B,2,1),(HY17-0.05)))</f>
        <v>1</v>
      </c>
      <c r="IA17" s="102">
        <f>MIN(1,MAX(VLOOKUP(($AJ17-$AI17-$AH17-$AG17-$AF17-$AE17*(1+IA$3))/$AJ17,Уголь_коэфф!$A:$B,2,1),(HZ17-0.05)))</f>
        <v>1</v>
      </c>
      <c r="IB17" s="102">
        <f>MIN(1,MAX(VLOOKUP(($AJ17-$AI17-$AH17-$AG17-$AF17-$AE17*(1+IB$3))/$AJ17,Уголь_коэфф!$A:$B,2,1),(IA17-0.05)))</f>
        <v>1</v>
      </c>
      <c r="IC17" s="102">
        <f>MIN(1,MAX(VLOOKUP(($AJ17-$AI17-$AH17-$AG17-$AF17-$AE17*(1+IC$3))/$AJ17,Уголь_коэфф!$A:$B,2,1),(IB17-0.05)))</f>
        <v>1</v>
      </c>
      <c r="ID17" s="102">
        <f>MIN(1,MAX(VLOOKUP(($AJ17-$AI17-$AH17-$AG17-$AF17-$AE17*(1+ID$3))/$AJ17,Уголь_коэфф!$A:$B,2,1),(IC17-0.05)))</f>
        <v>1</v>
      </c>
      <c r="IE17" s="102">
        <f>MIN(1,MAX(VLOOKUP(($AJ17-$AI17-$AH17-$AG17-$AF17-$AE17*(1+IE$3))/$AJ17,Уголь_коэфф!$A:$B,2,1),(ID17-0.05)))</f>
        <v>1</v>
      </c>
      <c r="IF17" s="102">
        <f>MIN(1,MAX(VLOOKUP(($AJ17-$AI17-$AH17-$AG17-$AF17-$AE17*(1+IF$3))/$AJ17,Уголь_коэфф!$A:$B,2,1),(IE17-0.05)))</f>
        <v>1</v>
      </c>
      <c r="IG17" s="102">
        <f>MIN(1,MAX(VLOOKUP(($AJ17-$AI17-$AH17-$AG17-$AF17-$AE17*(1+IG$3))/$AJ17,Уголь_коэфф!$A:$B,2,1),(IF17-0.05)))</f>
        <v>1</v>
      </c>
      <c r="IH17" s="102">
        <f>MIN(1,MAX(VLOOKUP(($AJ17-$AI17-$AH17-$AG17-$AF17-$AE17*(1+IH$3))/$AJ17,Уголь_коэфф!$A:$B,2,1),(IG17-0.05)))</f>
        <v>1</v>
      </c>
      <c r="II17" s="102">
        <f>MIN(1,MAX(VLOOKUP(($AJ17-$AI17-$AH17-$AG17-$AF17-$AE17*(1+II$3))/$AJ17,Уголь_коэфф!$A:$B,2,1),(IH17-0.05)))</f>
        <v>1</v>
      </c>
      <c r="IJ17" s="102">
        <f>MIN(1,MAX(VLOOKUP(($AJ17-$AI17-$AH17-$AG17-$AF17-$AE17*(1+IJ$3))/$AJ17,Уголь_коэфф!$A:$B,2,1),(II17-0.05)))</f>
        <v>1</v>
      </c>
      <c r="IK17" s="102">
        <f>MIN(1,MAX(VLOOKUP(($AJ17-$AI17-$AH17-$AG17-$AF17-$AE17*(1+IK$3))/$AJ17,Уголь_коэфф!$A:$B,2,1),(IJ17-0.05)))</f>
        <v>1</v>
      </c>
      <c r="IL17" s="102">
        <f>MIN(1,MAX(VLOOKUP(($AJ17-$AI17-$AH17-$AG17-$AF17-$AE17*(1+IL$3))/$AJ17,Уголь_коэфф!$A:$B,2,1),(IK17-0.05)))</f>
        <v>1</v>
      </c>
      <c r="IM17" s="102">
        <f>MIN(1,MAX(VLOOKUP(($AJ17-$AI17-$AH17-$AG17-$AF17-$AE17*(1+IM$3))/$AJ17,Уголь_коэфф!$A:$B,2,1),(IL17-0.05)))</f>
        <v>1</v>
      </c>
      <c r="IN17" s="102">
        <f>MIN(1,MAX(VLOOKUP(($AJ17-$AI17-$AH17-$AG17-$AF17-$AE17*(1+IN$3))/$AJ17,Уголь_коэфф!$A:$B,2,1),(IM17-0.05)))</f>
        <v>1</v>
      </c>
      <c r="IO17" s="102">
        <f>MIN(1,MAX(VLOOKUP(($AJ17-$AI17-$AH17-$AG17-$AF17-$AE17*(1+IO$3))/$AJ17,Уголь_коэфф!$A:$B,2,1),(IN17-0.05)))</f>
        <v>1</v>
      </c>
      <c r="IP17" s="102">
        <f>MIN(1,MAX(VLOOKUP(($AJ17-$AI17-$AH17-$AG17-$AF17-$AE17*(1+IP$3))/$AJ17,Уголь_коэфф!$A:$B,2,1),(IO17-0.05)))</f>
        <v>1</v>
      </c>
      <c r="IQ17" s="102">
        <f>MIN(1,MAX(VLOOKUP(($AJ17-$AI17-$AH17-$AG17-$AF17-$AE17*(1+IQ$3))/$AJ17,Уголь_коэфф!$A:$B,2,1),(IP17-0.05)))</f>
        <v>1</v>
      </c>
      <c r="IR17" s="102">
        <f>MIN(1,MAX(VLOOKUP(($AJ17-$AI17-$AH17-$AG17-$AF17-$AE17*(1+IR$3))/$AJ17,Уголь_коэфф!$A:$B,2,1),(IQ17-0.05)))</f>
        <v>1</v>
      </c>
      <c r="IS17" s="102">
        <f t="shared" si="20"/>
        <v>1</v>
      </c>
      <c r="IT17" s="102">
        <f t="shared" si="7"/>
        <v>1</v>
      </c>
      <c r="IU17" s="110"/>
    </row>
    <row r="18" spans="1:255" ht="29.15" customHeight="1">
      <c r="A18" t="s">
        <v>240</v>
      </c>
      <c r="B18" s="133">
        <v>1</v>
      </c>
      <c r="C18" s="134" t="s">
        <v>16</v>
      </c>
      <c r="D18" s="135">
        <v>16118</v>
      </c>
      <c r="E18" s="135" t="s">
        <v>65</v>
      </c>
      <c r="F18" s="134" t="s">
        <v>18</v>
      </c>
      <c r="G18" s="134" t="s">
        <v>45</v>
      </c>
      <c r="H18" s="135" t="s">
        <v>30</v>
      </c>
      <c r="I18" s="135" t="s">
        <v>104</v>
      </c>
      <c r="J18" s="135" t="s">
        <v>53</v>
      </c>
      <c r="K18" s="135">
        <v>4305</v>
      </c>
      <c r="L18" s="135" t="s">
        <v>22</v>
      </c>
      <c r="M18" s="135" t="s">
        <v>23</v>
      </c>
      <c r="N18" s="135" t="s">
        <v>24</v>
      </c>
      <c r="O18" s="135" t="s">
        <v>33</v>
      </c>
      <c r="P18" s="138">
        <v>53037061</v>
      </c>
      <c r="Q18" s="136" t="s">
        <v>102</v>
      </c>
      <c r="R18" s="135" t="s">
        <v>103</v>
      </c>
      <c r="S18" s="139">
        <v>1764884</v>
      </c>
      <c r="T18" s="137">
        <v>7596988312</v>
      </c>
      <c r="U18" s="137">
        <v>25207</v>
      </c>
      <c r="V18" s="137"/>
      <c r="W18" s="140">
        <v>3294467080</v>
      </c>
      <c r="X18" s="104">
        <v>69</v>
      </c>
      <c r="Y18" s="104" t="s">
        <v>163</v>
      </c>
      <c r="Z18" s="107">
        <v>11</v>
      </c>
      <c r="AA18" s="107">
        <v>12</v>
      </c>
      <c r="AB18" s="107">
        <v>4</v>
      </c>
      <c r="AC18" s="88">
        <v>2093.25</v>
      </c>
      <c r="AD18" s="88">
        <v>945.01000000000022</v>
      </c>
      <c r="AE18" s="88">
        <f t="shared" si="24"/>
        <v>3038.26</v>
      </c>
      <c r="AF18" s="89">
        <f>'Цены,перевалка,аренда'!$C$27*SUM(Уголь_эластика_экспорт!Z18+Уголь_эластика_экспорт!AA18+Уголь_эластика_экспорт!AB18)/Уголь_эластика_экспорт!X18</f>
        <v>273.91304347826087</v>
      </c>
      <c r="AG18" s="90">
        <f>SUMIF('Цены,перевалка,аренда'!$A$20:$A$22,Уголь_эластика_экспорт!$O18,'Цены,перевалка,аренда'!$D$20:$D$22)</f>
        <v>610.44399999999996</v>
      </c>
      <c r="AH18" s="47"/>
      <c r="AI18" s="91">
        <v>2800</v>
      </c>
      <c r="AJ18" s="92">
        <f>SUMIF('Цены,перевалка,аренда'!$A$5:$A$17,Уголь_эластика_экспорт!A18,'Цены,перевалка,аренда'!$D$5:$D$17)</f>
        <v>6485.9674999999997</v>
      </c>
      <c r="AK18" s="47">
        <f>AJ18/'Цены,перевалка,аренда'!$C$1</f>
        <v>85</v>
      </c>
      <c r="AL18" s="47">
        <f t="shared" si="9"/>
        <v>3922.6170434782612</v>
      </c>
      <c r="AM18" s="47">
        <f t="shared" si="10"/>
        <v>2563.3504565217386</v>
      </c>
      <c r="AN18" s="47">
        <f t="shared" si="11"/>
        <v>6722.6170434782616</v>
      </c>
      <c r="AO18" s="93">
        <f t="shared" si="12"/>
        <v>-3.6486390577544811E-2</v>
      </c>
      <c r="AP18" s="94">
        <f t="shared" si="13"/>
        <v>0.60478518331740971</v>
      </c>
      <c r="AQ18" s="94">
        <f t="shared" si="5"/>
        <v>0.46843589641792072</v>
      </c>
      <c r="AR18" s="94">
        <f t="shared" si="6"/>
        <v>0.77454922729492748</v>
      </c>
      <c r="AS18" s="167">
        <f t="shared" si="14"/>
        <v>0.96499999999999997</v>
      </c>
      <c r="AT18" s="173">
        <f t="shared" si="15"/>
        <v>1703113.06</v>
      </c>
      <c r="AU18" s="97">
        <f t="shared" ref="AU18:AU19" si="25">12.8/13.4</f>
        <v>0.95522388059701491</v>
      </c>
      <c r="AV18" s="93">
        <f t="shared" si="16"/>
        <v>-8.332998021933688E-2</v>
      </c>
      <c r="AW18" s="94">
        <f t="shared" si="17"/>
        <v>0.65162877295920185</v>
      </c>
      <c r="AX18" s="94">
        <f t="shared" si="18"/>
        <v>0.51527948605971285</v>
      </c>
      <c r="AY18" s="94">
        <f t="shared" si="19"/>
        <v>0.79075619039918343</v>
      </c>
      <c r="AZ18" s="102">
        <f>MIN(IF($AU18=100%,1,1+VLOOKUP(($AJ18-$AI18-$AH18-$AG18-$AF18-$AE18*(1+AZ$3))/$AJ18,Уголь_коэфф!$A:$B,2,1)-VLOOKUP($AO18,Уголь_коэфф!$A:$B,2,1)),1+(1-$AU18))</f>
        <v>1.044776119402985</v>
      </c>
      <c r="BA18" s="102">
        <f>MIN(IF($AU18=100%,1,1+VLOOKUP(($AJ18-$AI18-$AH18-$AG18-$AF18-$AE18*(1+BA$3))/$AJ18,Уголь_коэфф!$A:$B,2,1)-VLOOKUP($AO18,Уголь_коэфф!$A:$B,2,1)),1+(1-$AU18))</f>
        <v>1.044776119402985</v>
      </c>
      <c r="BB18" s="102">
        <f>MIN(IF($AU18=100%,1,1+VLOOKUP(($AJ18-$AI18-$AH18-$AG18-$AF18-$AE18*(1+BB$3))/$AJ18,Уголь_коэфф!$A:$B,2,1)-VLOOKUP($AO18,Уголь_коэфф!$A:$B,2,1)),1+(1-$AU18))</f>
        <v>1.044776119402985</v>
      </c>
      <c r="BC18" s="102">
        <f>MIN(IF($AU18=100%,1,1+VLOOKUP(($AJ18-$AI18-$AH18-$AG18-$AF18-$AE18*(1+BC$3))/$AJ18,Уголь_коэфф!$A:$B,2,1)-VLOOKUP($AO18,Уголь_коэфф!$A:$B,2,1)),1+(1-$AU18))</f>
        <v>1.044776119402985</v>
      </c>
      <c r="BD18" s="102">
        <f>MIN(IF($AU18=100%,1,1+VLOOKUP(($AJ18-$AI18-$AH18-$AG18-$AF18-$AE18*(1+BD$3))/$AJ18,Уголь_коэфф!$A:$B,2,1)-VLOOKUP($AO18,Уголь_коэфф!$A:$B,2,1)),1+(1-$AU18))</f>
        <v>1.044776119402985</v>
      </c>
      <c r="BE18" s="102">
        <f>MIN(IF($AU18=100%,1,1+VLOOKUP(($AJ18-$AI18-$AH18-$AG18-$AF18-$AE18*(1+BE$3))/$AJ18,Уголь_коэфф!$A:$B,2,1)-VLOOKUP($AO18,Уголь_коэфф!$A:$B,2,1)),1+(1-$AU18))</f>
        <v>1.044776119402985</v>
      </c>
      <c r="BF18" s="102">
        <f>MIN(IF($AU18=100%,1,1+VLOOKUP(($AJ18-$AI18-$AH18-$AG18-$AF18-$AE18*(1+BF$3))/$AJ18,Уголь_коэфф!$A:$B,2,1)-VLOOKUP($AO18,Уголь_коэфф!$A:$B,2,1)),1+(1-$AU18))</f>
        <v>1.044776119402985</v>
      </c>
      <c r="BG18" s="102">
        <f>MIN(IF($AU18=100%,1,1+VLOOKUP(($AJ18-$AI18-$AH18-$AG18-$AF18-$AE18*(1+BG$3))/$AJ18,Уголь_коэфф!$A:$B,2,1)-VLOOKUP($AO18,Уголь_коэфф!$A:$B,2,1)),1+(1-$AU18))</f>
        <v>1.044776119402985</v>
      </c>
      <c r="BH18" s="102">
        <f>MIN(IF($AU18=100%,1,1+VLOOKUP(($AJ18-$AI18-$AH18-$AG18-$AF18-$AE18*(1+BH$3))/$AJ18,Уголь_коэфф!$A:$B,2,1)-VLOOKUP($AO18,Уголь_коэфф!$A:$B,2,1)),1+(1-$AU18))</f>
        <v>1.044776119402985</v>
      </c>
      <c r="BI18" s="102">
        <f>MIN(IF($AU18=100%,1,1+VLOOKUP(($AJ18-$AI18-$AH18-$AG18-$AF18-$AE18*(1+BI$3))/$AJ18,Уголь_коэфф!$A:$B,2,1)-VLOOKUP($AO18,Уголь_коэфф!$A:$B,2,1)),1+(1-$AU18))</f>
        <v>1.044776119402985</v>
      </c>
      <c r="BJ18" s="102">
        <f>MIN(IF($AU18=100%,1,1+VLOOKUP(($AJ18-$AI18-$AH18-$AG18-$AF18-$AE18*(1+BJ$3))/$AJ18,Уголь_коэфф!$A:$B,2,1)-VLOOKUP($AO18,Уголь_коэфф!$A:$B,2,1)),1+(1-$AU18))</f>
        <v>1.044776119402985</v>
      </c>
      <c r="BK18" s="102">
        <f>MIN(IF($AU18=100%,1,1+VLOOKUP(($AJ18-$AI18-$AH18-$AG18-$AF18-$AE18*(1+BK$3))/$AJ18,Уголь_коэфф!$A:$B,2,1)-VLOOKUP($AO18,Уголь_коэфф!$A:$B,2,1)),1+(1-$AU18))</f>
        <v>1.044776119402985</v>
      </c>
      <c r="BL18" s="102">
        <f>MIN(IF($AU18=100%,1,1+VLOOKUP(($AJ18-$AI18-$AH18-$AG18-$AF18-$AE18*(1+BL$3))/$AJ18,Уголь_коэфф!$A:$B,2,1)-VLOOKUP($AO18,Уголь_коэфф!$A:$B,2,1)),1+(1-$AU18))</f>
        <v>1.044776119402985</v>
      </c>
      <c r="BM18" s="102">
        <f>MIN(IF($AU18=100%,1,1+VLOOKUP(($AJ18-$AI18-$AH18-$AG18-$AF18-$AE18*(1+BM$3))/$AJ18,Уголь_коэфф!$A:$B,2,1)-VLOOKUP($AO18,Уголь_коэфф!$A:$B,2,1)),1+(1-$AU18))</f>
        <v>1.044776119402985</v>
      </c>
      <c r="BN18" s="102">
        <f>MIN(IF($AU18=100%,1,1+VLOOKUP(($AJ18-$AI18-$AH18-$AG18-$AF18-$AE18*(1+BN$3))/$AJ18,Уголь_коэфф!$A:$B,2,1)-VLOOKUP($AO18,Уголь_коэфф!$A:$B,2,1)),1+(1-$AU18))</f>
        <v>1.044776119402985</v>
      </c>
      <c r="BO18" s="102">
        <f>MIN(IF($AU18=100%,1,1+VLOOKUP(($AJ18-$AI18-$AH18-$AG18-$AF18-$AE18*(1+BO$3))/$AJ18,Уголь_коэфф!$A:$B,2,1)-VLOOKUP($AO18,Уголь_коэфф!$A:$B,2,1)),1+(1-$AU18))</f>
        <v>1.044776119402985</v>
      </c>
      <c r="BP18" s="102">
        <f>MIN(IF($AU18=100%,1,1+VLOOKUP(($AJ18-$AI18-$AH18-$AG18-$AF18-$AE18*(1+BP$3))/$AJ18,Уголь_коэфф!$A:$B,2,1)-VLOOKUP($AO18,Уголь_коэфф!$A:$B,2,1)),1+(1-$AU18))</f>
        <v>1.044776119402985</v>
      </c>
      <c r="BQ18" s="102">
        <f>MIN(IF($AU18=100%,1,1+VLOOKUP(($AJ18-$AI18-$AH18-$AG18-$AF18-$AE18*(1+BQ$3))/$AJ18,Уголь_коэфф!$A:$B,2,1)-VLOOKUP($AO18,Уголь_коэфф!$A:$B,2,1)),1+(1-$AU18))</f>
        <v>1.044776119402985</v>
      </c>
      <c r="BR18" s="102">
        <f>MIN(IF($AU18=100%,1,1+VLOOKUP(($AJ18-$AI18-$AH18-$AG18-$AF18-$AE18*(1+BR$3))/$AJ18,Уголь_коэфф!$A:$B,2,1)-VLOOKUP($AO18,Уголь_коэфф!$A:$B,2,1)),1+(1-$AU18))</f>
        <v>1.044776119402985</v>
      </c>
      <c r="BS18" s="102">
        <f>MIN(IF($AU18=100%,1,1+VLOOKUP(($AJ18-$AI18-$AH18-$AG18-$AF18-$AE18*(1+BS$3))/$AJ18,Уголь_коэфф!$A:$B,2,1)-VLOOKUP($AO18,Уголь_коэфф!$A:$B,2,1)),1+(1-$AU18))</f>
        <v>1.044776119402985</v>
      </c>
      <c r="BT18" s="102">
        <f>MIN(IF($AU18=100%,1,1+VLOOKUP(($AJ18-$AI18-$AH18-$AG18-$AF18-$AE18*(1+BT$3))/$AJ18,Уголь_коэфф!$A:$B,2,1)-VLOOKUP($AO18,Уголь_коэфф!$A:$B,2,1)),1+(1-$AU18))</f>
        <v>1.044776119402985</v>
      </c>
      <c r="BU18" s="102">
        <f>MIN(IF($AU18=100%,1,1+VLOOKUP(($AJ18-$AI18-$AH18-$AG18-$AF18-$AE18*(1+BU$3))/$AJ18,Уголь_коэфф!$A:$B,2,1)-VLOOKUP($AO18,Уголь_коэфф!$A:$B,2,1)),1+(1-$AU18))</f>
        <v>1.044776119402985</v>
      </c>
      <c r="BV18" s="102">
        <f>MIN(IF($AU18=100%,1,1+VLOOKUP(($AJ18-$AI18-$AH18-$AG18-$AF18-$AE18*(1+BV$3))/$AJ18,Уголь_коэфф!$A:$B,2,1)-VLOOKUP($AO18,Уголь_коэфф!$A:$B,2,1)),1+(1-$AU18))</f>
        <v>1.044776119402985</v>
      </c>
      <c r="BW18" s="102">
        <f>MIN(IF($AU18=100%,1,1+VLOOKUP(($AJ18-$AI18-$AH18-$AG18-$AF18-$AE18*(1+BW$3))/$AJ18,Уголь_коэфф!$A:$B,2,1)-VLOOKUP($AO18,Уголь_коэфф!$A:$B,2,1)),1+(1-$AU18))</f>
        <v>1.044776119402985</v>
      </c>
      <c r="BX18" s="102">
        <f>MIN(IF($AU18=100%,1,1+VLOOKUP(($AJ18-$AI18-$AH18-$AG18-$AF18-$AE18*(1+BX$3))/$AJ18,Уголь_коэфф!$A:$B,2,1)-VLOOKUP($AO18,Уголь_коэфф!$A:$B,2,1)),1+(1-$AU18))</f>
        <v>1.044776119402985</v>
      </c>
      <c r="BY18" s="102">
        <f>MIN(IF($AU18=100%,1,1+VLOOKUP(($AJ18-$AI18-$AH18-$AG18-$AF18-$AE18*(1+BY$3))/$AJ18,Уголь_коэфф!$A:$B,2,1)-VLOOKUP($AO18,Уголь_коэфф!$A:$B,2,1)),1+(1-$AU18))</f>
        <v>1.044776119402985</v>
      </c>
      <c r="BZ18" s="102">
        <f>MIN(IF($AU18=100%,1,1+VLOOKUP(($AJ18-$AI18-$AH18-$AG18-$AF18-$AE18*(1+BZ$3))/$AJ18,Уголь_коэфф!$A:$B,2,1)-VLOOKUP($AO18,Уголь_коэфф!$A:$B,2,1)),1+(1-$AU18))</f>
        <v>1.044776119402985</v>
      </c>
      <c r="CA18" s="102">
        <f>MIN(IF($AU18=100%,1,1+VLOOKUP(($AJ18-$AI18-$AH18-$AG18-$AF18-$AE18*(1+CA$3))/$AJ18,Уголь_коэфф!$A:$B,2,1)-VLOOKUP($AO18,Уголь_коэфф!$A:$B,2,1)),1+(1-$AU18))</f>
        <v>1.044776119402985</v>
      </c>
      <c r="CB18" s="102">
        <f>MIN(IF($AU18=100%,1,1+VLOOKUP(($AJ18-$AI18-$AH18-$AG18-$AF18-$AE18*(1+CB$3))/$AJ18,Уголь_коэфф!$A:$B,2,1)-VLOOKUP($AO18,Уголь_коэфф!$A:$B,2,1)),1+(1-$AU18))</f>
        <v>1.044776119402985</v>
      </c>
      <c r="CC18" s="102">
        <f>MIN(IF($AU18=100%,1,1+VLOOKUP(($AJ18-$AI18-$AH18-$AG18-$AF18-$AE18*(1+CC$3))/$AJ18,Уголь_коэфф!$A:$B,2,1)-VLOOKUP($AO18,Уголь_коэфф!$A:$B,2,1)),1+(1-$AU18))</f>
        <v>1.044776119402985</v>
      </c>
      <c r="CD18" s="102">
        <f>MIN(IF($AU18=100%,1,1+VLOOKUP(($AJ18-$AI18-$AH18-$AG18-$AF18-$AE18*(1+CD$3))/$AJ18,Уголь_коэфф!$A:$B,2,1)-VLOOKUP($AO18,Уголь_коэфф!$A:$B,2,1)),1+(1-$AU18))</f>
        <v>1.044776119402985</v>
      </c>
      <c r="CE18" s="102">
        <f>MIN(IF($AU18=100%,1,1+VLOOKUP(($AJ18-$AI18-$AH18-$AG18-$AF18-$AE18*(1+CE$3))/$AJ18,Уголь_коэфф!$A:$B,2,1)-VLOOKUP($AO18,Уголь_коэфф!$A:$B,2,1)),1+(1-$AU18))</f>
        <v>1.044776119402985</v>
      </c>
      <c r="CF18" s="102">
        <f>MIN(IF($AU18=100%,1,1+VLOOKUP(($AJ18-$AI18-$AH18-$AG18-$AF18-$AE18*(1+CF$3))/$AJ18,Уголь_коэфф!$A:$B,2,1)-VLOOKUP($AO18,Уголь_коэфф!$A:$B,2,1)),1+(1-$AU18))</f>
        <v>1.044776119402985</v>
      </c>
      <c r="CG18" s="102">
        <f>MIN(IF($AU18=100%,1,1+VLOOKUP(($AJ18-$AI18-$AH18-$AG18-$AF18-$AE18*(1+CG$3))/$AJ18,Уголь_коэфф!$A:$B,2,1)-VLOOKUP($AO18,Уголь_коэфф!$A:$B,2,1)),1+(1-$AU18))</f>
        <v>1.044776119402985</v>
      </c>
      <c r="CH18" s="102">
        <f>MIN(IF($AU18=100%,1,1+VLOOKUP(($AJ18-$AI18-$AH18-$AG18-$AF18-$AE18*(1+CH$3))/$AJ18,Уголь_коэфф!$A:$B,2,1)-VLOOKUP($AO18,Уголь_коэфф!$A:$B,2,1)),1+(1-$AU18))</f>
        <v>1.044776119402985</v>
      </c>
      <c r="CI18" s="102">
        <f>MIN(IF($AU18=100%,1,1+VLOOKUP(($AJ18-$AI18-$AH18-$AG18-$AF18-$AE18*(1+CI$3))/$AJ18,Уголь_коэфф!$A:$B,2,1)-VLOOKUP($AO18,Уголь_коэфф!$A:$B,2,1)),1+(1-$AU18))</f>
        <v>1.044776119402985</v>
      </c>
      <c r="CJ18" s="102">
        <f>MIN(IF($AU18=100%,1,1+VLOOKUP(($AJ18-$AI18-$AH18-$AG18-$AF18-$AE18*(1+CJ$3))/$AJ18,Уголь_коэфф!$A:$B,2,1)-VLOOKUP($AO18,Уголь_коэфф!$A:$B,2,1)),1+(1-$AU18))</f>
        <v>1.044776119402985</v>
      </c>
      <c r="CK18" s="102">
        <f>MIN(IF($AU18=100%,1,1+VLOOKUP(($AJ18-$AI18-$AH18-$AG18-$AF18-$AE18*(1+CK$3))/$AJ18,Уголь_коэфф!$A:$B,2,1)-VLOOKUP($AO18,Уголь_коэфф!$A:$B,2,1)),1+(1-$AU18))</f>
        <v>1.044776119402985</v>
      </c>
      <c r="CL18" s="102">
        <f>MIN(IF($AU18=100%,1,1+VLOOKUP(($AJ18-$AI18-$AH18-$AG18-$AF18-$AE18*(1+CL$3))/$AJ18,Уголь_коэфф!$A:$B,2,1)-VLOOKUP($AO18,Уголь_коэфф!$A:$B,2,1)),1+(1-$AU18))</f>
        <v>1.044776119402985</v>
      </c>
      <c r="CM18" s="102">
        <f>MIN(IF($AU18=100%,1,1+VLOOKUP(($AJ18-$AI18-$AH18-$AG18-$AF18-$AE18*(1+CM$3))/$AJ18,Уголь_коэфф!$A:$B,2,1)-VLOOKUP($AO18,Уголь_коэфф!$A:$B,2,1)),1+(1-$AU18))</f>
        <v>1.044776119402985</v>
      </c>
      <c r="CN18" s="102">
        <f>MIN(IF($AU18=100%,1,1+VLOOKUP(($AJ18-$AI18-$AH18-$AG18-$AF18-$AE18*(1+CN$3))/$AJ18,Уголь_коэфф!$A:$B,2,1)-VLOOKUP($AO18,Уголь_коэфф!$A:$B,2,1)),1+(1-$AU18))</f>
        <v>1.044776119402985</v>
      </c>
      <c r="CO18" s="102">
        <f>MIN(IF($AU18=100%,1,1+VLOOKUP(($AJ18-$AI18-$AH18-$AG18-$AF18-$AE18*(1+CO$3))/$AJ18,Уголь_коэфф!$A:$B,2,1)-VLOOKUP($AO18,Уголь_коэфф!$A:$B,2,1)),1+(1-$AU18))</f>
        <v>1.044776119402985</v>
      </c>
      <c r="CP18" s="102">
        <f>MIN(IF($AU18=100%,1,1+VLOOKUP(($AJ18-$AI18-$AH18-$AG18-$AF18-$AE18*(1+CP$3))/$AJ18,Уголь_коэфф!$A:$B,2,1)-VLOOKUP($AO18,Уголь_коэфф!$A:$B,2,1)),1+(1-$AU18))</f>
        <v>1.044776119402985</v>
      </c>
      <c r="CQ18" s="102">
        <f>MIN(IF($AU18=100%,1,1+VLOOKUP(($AJ18-$AI18-$AH18-$AG18-$AF18-$AE18*(1+CQ$3))/$AJ18,Уголь_коэфф!$A:$B,2,1)-VLOOKUP($AO18,Уголь_коэфф!$A:$B,2,1)),1+(1-$AU18))</f>
        <v>1.044776119402985</v>
      </c>
      <c r="CR18" s="102">
        <f>MIN(IF($AU18=100%,1,1+VLOOKUP(($AJ18-$AI18-$AH18-$AG18-$AF18-$AE18*(1+CR$3))/$AJ18,Уголь_коэфф!$A:$B,2,1)-VLOOKUP($AO18,Уголь_коэфф!$A:$B,2,1)),1+(1-$AU18))</f>
        <v>1.044776119402985</v>
      </c>
      <c r="CS18" s="102">
        <f>MIN(IF($AU18=100%,1,1+VLOOKUP(($AJ18-$AI18-$AH18-$AG18-$AF18-$AE18*(1+CS$3))/$AJ18,Уголь_коэфф!$A:$B,2,1)-VLOOKUP($AO18,Уголь_коэфф!$A:$B,2,1)),1+(1-$AU18))</f>
        <v>1.044776119402985</v>
      </c>
      <c r="CT18" s="102">
        <f>MIN(IF($AU18=100%,1,1+VLOOKUP(($AJ18-$AI18-$AH18-$AG18-$AF18-$AE18*(1+CT$3))/$AJ18,Уголь_коэфф!$A:$B,2,1)-VLOOKUP($AO18,Уголь_коэфф!$A:$B,2,1)),1+(1-$AU18))</f>
        <v>1.0400000000000003</v>
      </c>
      <c r="CU18" s="102">
        <f>MIN(IF($AU18=100%,1,1+VLOOKUP(($AJ18-$AI18-$AH18-$AG18-$AF18-$AE18*(1+CU$3))/$AJ18,Уголь_коэфф!$A:$B,2,1)-VLOOKUP($AO18,Уголь_коэфф!$A:$B,2,1)),1+(1-$AU18))</f>
        <v>1.0400000000000003</v>
      </c>
      <c r="CV18" s="102">
        <f>MIN(IF($AU18=100%,1,1+VLOOKUP(($AJ18-$AI18-$AH18-$AG18-$AF18-$AE18*(1+CV$3))/$AJ18,Уголь_коэфф!$A:$B,2,1)-VLOOKUP($AO18,Уголь_коэфф!$A:$B,2,1)),1+(1-$AU18))</f>
        <v>1.0400000000000003</v>
      </c>
      <c r="CW18" s="102">
        <f>MIN(IF($AU18=100%,1,1+VLOOKUP(($AJ18-$AI18-$AH18-$AG18-$AF18-$AE18*(1+CW$3))/$AJ18,Уголь_коэфф!$A:$B,2,1)-VLOOKUP($AO18,Уголь_коэфф!$A:$B,2,1)),1+(1-$AU18))</f>
        <v>1.0400000000000003</v>
      </c>
      <c r="CX18" s="102">
        <f>MIN(IF($AU18=100%,1,1+VLOOKUP(($AJ18-$AI18-$AH18-$AG18-$AF18-$AE18*(1+CX$3))/$AJ18,Уголь_коэфф!$A:$B,2,1)-VLOOKUP($AO18,Уголь_коэфф!$A:$B,2,1)),1+(1-$AU18))</f>
        <v>1.0400000000000003</v>
      </c>
      <c r="CY18" s="102">
        <f>MIN(IF($AU18=100%,1,1+VLOOKUP(($AJ18-$AI18-$AH18-$AG18-$AF18-$AE18*(1+CY$3))/$AJ18,Уголь_коэфф!$A:$B,2,1)-VLOOKUP($AO18,Уголь_коэфф!$A:$B,2,1)),1+(1-$AU18))</f>
        <v>1.0349999999999999</v>
      </c>
      <c r="CZ18" s="102">
        <f>MIN(IF($AU18=100%,1,1+VLOOKUP(($AJ18-$AI18-$AH18-$AG18-$AF18-$AE18*(1+CZ$3))/$AJ18,Уголь_коэфф!$A:$B,2,1)-VLOOKUP($AO18,Уголь_коэфф!$A:$B,2,1)),1+(1-$AU18))</f>
        <v>1.0349999999999999</v>
      </c>
      <c r="DA18" s="102">
        <f>MIN(IF($AU18=100%,1,1+VLOOKUP(($AJ18-$AI18-$AH18-$AG18-$AF18-$AE18*(1+DA$3))/$AJ18,Уголь_коэфф!$A:$B,2,1)-VLOOKUP($AO18,Уголь_коэфф!$A:$B,2,1)),1+(1-$AU18))</f>
        <v>1.0349999999999999</v>
      </c>
      <c r="DB18" s="102">
        <f>MIN(IF($AU18=100%,1,1+VLOOKUP(($AJ18-$AI18-$AH18-$AG18-$AF18-$AE18*(1+DB$3))/$AJ18,Уголь_коэфф!$A:$B,2,1)-VLOOKUP($AO18,Уголь_коэфф!$A:$B,2,1)),1+(1-$AU18))</f>
        <v>1.0349999999999999</v>
      </c>
      <c r="DC18" s="102">
        <f>MIN(IF($AU18=100%,1,1+VLOOKUP(($AJ18-$AI18-$AH18-$AG18-$AF18-$AE18*(1+DC$3))/$AJ18,Уголь_коэфф!$A:$B,2,1)-VLOOKUP($AO18,Уголь_коэфф!$A:$B,2,1)),1+(1-$AU18))</f>
        <v>1.0349999999999999</v>
      </c>
      <c r="DD18" s="102">
        <f>MIN(IF($AU18=100%,1,1+VLOOKUP(($AJ18-$AI18-$AH18-$AG18-$AF18-$AE18*(1+DD$3))/$AJ18,Уголь_коэфф!$A:$B,2,1)-VLOOKUP($AO18,Уголь_коэфф!$A:$B,2,1)),1+(1-$AU18))</f>
        <v>1.0349999999999999</v>
      </c>
      <c r="DE18" s="102">
        <f>MIN(IF($AU18=100%,1,1+VLOOKUP(($AJ18-$AI18-$AH18-$AG18-$AF18-$AE18*(1+DE$3))/$AJ18,Уголь_коэфф!$A:$B,2,1)-VLOOKUP($AO18,Уголь_коэфф!$A:$B,2,1)),1+(1-$AU18))</f>
        <v>1.0349999999999999</v>
      </c>
      <c r="DF18" s="102">
        <f>MIN(IF($AU18=100%,1,1+VLOOKUP(($AJ18-$AI18-$AH18-$AG18-$AF18-$AE18*(1+DF$3))/$AJ18,Уголь_коэфф!$A:$B,2,1)-VLOOKUP($AO18,Уголь_коэфф!$A:$B,2,1)),1+(1-$AU18))</f>
        <v>1.0349999999999999</v>
      </c>
      <c r="DG18" s="102">
        <f>MIN(IF($AU18=100%,1,1+VLOOKUP(($AJ18-$AI18-$AH18-$AG18-$AF18-$AE18*(1+DG$3))/$AJ18,Уголь_коэфф!$A:$B,2,1)-VLOOKUP($AO18,Уголь_коэфф!$A:$B,2,1)),1+(1-$AU18))</f>
        <v>1.0349999999999999</v>
      </c>
      <c r="DH18" s="102">
        <f>MIN(IF($AU18=100%,1,1+VLOOKUP(($AJ18-$AI18-$AH18-$AG18-$AF18-$AE18*(1+DH$3))/$AJ18,Уголь_коэфф!$A:$B,2,1)-VLOOKUP($AO18,Уголь_коэфф!$A:$B,2,1)),1+(1-$AU18))</f>
        <v>1.0349999999999999</v>
      </c>
      <c r="DI18" s="102">
        <f>MIN(IF($AU18=100%,1,1+VLOOKUP(($AJ18-$AI18-$AH18-$AG18-$AF18-$AE18*(1+DI$3))/$AJ18,Уголь_коэфф!$A:$B,2,1)-VLOOKUP($AO18,Уголь_коэфф!$A:$B,2,1)),1+(1-$AU18))</f>
        <v>1.0349999999999999</v>
      </c>
      <c r="DJ18" s="102">
        <f>MIN(IF($AU18=100%,1,1+VLOOKUP(($AJ18-$AI18-$AH18-$AG18-$AF18-$AE18*(1+DJ$3))/$AJ18,Уголь_коэфф!$A:$B,2,1)-VLOOKUP($AO18,Уголь_коэфф!$A:$B,2,1)),1+(1-$AU18))</f>
        <v>1.0349999999999999</v>
      </c>
      <c r="DK18" s="102">
        <f>MIN(IF($AU18=100%,1,1+VLOOKUP(($AJ18-$AI18-$AH18-$AG18-$AF18-$AE18*(1+DK$3))/$AJ18,Уголь_коэфф!$A:$B,2,1)-VLOOKUP($AO18,Уголь_коэфф!$A:$B,2,1)),1+(1-$AU18))</f>
        <v>1.0349999999999999</v>
      </c>
      <c r="DL18" s="102">
        <f>MIN(IF($AU18=100%,1,1+VLOOKUP(($AJ18-$AI18-$AH18-$AG18-$AF18-$AE18*(1+DL$3))/$AJ18,Уголь_коэфф!$A:$B,2,1)-VLOOKUP($AO18,Уголь_коэфф!$A:$B,2,1)),1+(1-$AU18))</f>
        <v>1.01</v>
      </c>
      <c r="DM18" s="102">
        <f>MIN(IF($AU18=100%,1,1+VLOOKUP(($AJ18-$AI18-$AH18-$AG18-$AF18-$AE18*(1+DM$3))/$AJ18,Уголь_коэфф!$A:$B,2,1)-VLOOKUP($AO18,Уголь_коэфф!$A:$B,2,1)),1+(1-$AU18))</f>
        <v>1.01</v>
      </c>
      <c r="DN18" s="102">
        <f>MIN(IF($AU18=100%,1,1+VLOOKUP(($AJ18-$AI18-$AH18-$AG18-$AF18-$AE18*(1+DN$3))/$AJ18,Уголь_коэфф!$A:$B,2,1)-VLOOKUP($AO18,Уголь_коэфф!$A:$B,2,1)),1+(1-$AU18))</f>
        <v>1.01</v>
      </c>
      <c r="DO18" s="102">
        <f>MIN(IF($AU18=100%,1,1+VLOOKUP(($AJ18-$AI18-$AH18-$AG18-$AF18-$AE18*(1+DO$3))/$AJ18,Уголь_коэфф!$A:$B,2,1)-VLOOKUP($AO18,Уголь_коэфф!$A:$B,2,1)),1+(1-$AU18))</f>
        <v>1.01</v>
      </c>
      <c r="DP18" s="102">
        <f>MIN(IF($AU18=100%,1,1+VLOOKUP(($AJ18-$AI18-$AH18-$AG18-$AF18-$AE18*(1+DP$3))/$AJ18,Уголь_коэфф!$A:$B,2,1)-VLOOKUP($AO18,Уголь_коэфф!$A:$B,2,1)),1+(1-$AU18))</f>
        <v>1.01</v>
      </c>
      <c r="DQ18" s="102">
        <f>MIN(IF($AU18=100%,1,1+VLOOKUP(($AJ18-$AI18-$AH18-$AG18-$AF18-$AE18*(1+DQ$3))/$AJ18,Уголь_коэфф!$A:$B,2,1)-VLOOKUP($AO18,Уголь_коэфф!$A:$B,2,1)),1+(1-$AU18))</f>
        <v>1.01</v>
      </c>
      <c r="DR18" s="102">
        <f>MIN(IF($AU18=100%,1,1+VLOOKUP(($AJ18-$AI18-$AH18-$AG18-$AF18-$AE18*(1+DR$3))/$AJ18,Уголь_коэфф!$A:$B,2,1)-VLOOKUP($AO18,Уголь_коэфф!$A:$B,2,1)),1+(1-$AU18))</f>
        <v>1.01</v>
      </c>
      <c r="DS18" s="102">
        <f>MIN(IF($AU18=100%,1,1+VLOOKUP(($AJ18-$AI18-$AH18-$AG18-$AF18-$AE18*(1+DS$3))/$AJ18,Уголь_коэфф!$A:$B,2,1)-VLOOKUP($AO18,Уголь_коэфф!$A:$B,2,1)),1+(1-$AU18))</f>
        <v>1.01</v>
      </c>
      <c r="DT18" s="102">
        <f>MIN(IF($AU18=100%,1,1+VLOOKUP(($AJ18-$AI18-$AH18-$AG18-$AF18-$AE18*(1+DT$3))/$AJ18,Уголь_коэфф!$A:$B,2,1)-VLOOKUP($AO18,Уголь_коэфф!$A:$B,2,1)),1+(1-$AU18))</f>
        <v>1.01</v>
      </c>
      <c r="DU18" s="102">
        <f>MIN(IF($AU18=100%,1,1+VLOOKUP(($AJ18-$AI18-$AH18-$AG18-$AF18-$AE18*(1+DU$3))/$AJ18,Уголь_коэфф!$A:$B,2,1)-VLOOKUP($AO18,Уголь_коэфф!$A:$B,2,1)),1+(1-$AU18))</f>
        <v>1.01</v>
      </c>
      <c r="DV18" s="102">
        <f>MIN(IF($AU18=100%,1,1+VLOOKUP(($AJ18-$AI18-$AH18-$AG18-$AF18-$AE18*(1+DV$3))/$AJ18,Уголь_коэфф!$A:$B,2,1)-VLOOKUP($AO18,Уголь_коэфф!$A:$B,2,1)),1+(1-$AU18))</f>
        <v>1.01</v>
      </c>
      <c r="DW18" s="102">
        <f>MIN(IF($AU18=100%,1,1+VLOOKUP(($AJ18-$AI18-$AH18-$AG18-$AF18-$AE18*(1+DW$3))/$AJ18,Уголь_коэфф!$A:$B,2,1)-VLOOKUP($AO18,Уголь_коэфф!$A:$B,2,1)),1+(1-$AU18))</f>
        <v>1.01</v>
      </c>
      <c r="DX18" s="102">
        <f>MIN(IF($AU18=100%,1,1+VLOOKUP(($AJ18-$AI18-$AH18-$AG18-$AF18-$AE18*(1+DX$3))/$AJ18,Уголь_коэфф!$A:$B,2,1)-VLOOKUP($AO18,Уголь_коэфф!$A:$B,2,1)),1+(1-$AU18))</f>
        <v>1.01</v>
      </c>
      <c r="DY18" s="102">
        <f>MIN(IF($AU18=100%,1,1+VLOOKUP(($AJ18-$AI18-$AH18-$AG18-$AF18-$AE18*(1+DY$3))/$AJ18,Уголь_коэфф!$A:$B,2,1)-VLOOKUP($AO18,Уголь_коэфф!$A:$B,2,1)),1+(1-$AU18))</f>
        <v>1.01</v>
      </c>
      <c r="DZ18" s="102">
        <f>MIN(IF($AU18=100%,1,1+VLOOKUP(($AJ18-$AI18-$AH18-$AG18-$AF18-$AE18*(1+DZ$3))/$AJ18,Уголь_коэфф!$A:$B,2,1)-VLOOKUP($AO18,Уголь_коэфф!$A:$B,2,1)),1+(1-$AU18))</f>
        <v>1.01</v>
      </c>
      <c r="EA18" s="102">
        <f>MIN(IF($AU18=100%,1,1+VLOOKUP(($AJ18-$AI18-$AH18-$AG18-$AF18-$AE18*(1+EA$3))/$AJ18,Уголь_коэфф!$A:$B,2,1)-VLOOKUP($AO18,Уголь_коэфф!$A:$B,2,1)),1+(1-$AU18))</f>
        <v>1.01</v>
      </c>
      <c r="EB18" s="102">
        <f>MIN(IF($AU18=100%,1,1+VLOOKUP(($AJ18-$AI18-$AH18-$AG18-$AF18-$AE18*(1+EB$3))/$AJ18,Уголь_коэфф!$A:$B,2,1)-VLOOKUP($AO18,Уголь_коэфф!$A:$B,2,1)),1+(1-$AU18))</f>
        <v>1.01</v>
      </c>
      <c r="EC18" s="102">
        <f>MIN(IF($AU18=100%,1,1+VLOOKUP(($AJ18-$AI18-$AH18-$AG18-$AF18-$AE18*(1+EC$3))/$AJ18,Уголь_коэфф!$A:$B,2,1)-VLOOKUP($AO18,Уголь_коэфф!$A:$B,2,1)),1+(1-$AU18))</f>
        <v>1.01</v>
      </c>
      <c r="ED18" s="102">
        <f>MIN(IF($AU18=100%,1,1+VLOOKUP(($AJ18-$AI18-$AH18-$AG18-$AF18-$AE18*(1+ED$3))/$AJ18,Уголь_коэфф!$A:$B,2,1)-VLOOKUP($AO18,Уголь_коэфф!$A:$B,2,1)),1+(1-$AU18))</f>
        <v>1.01</v>
      </c>
      <c r="EE18" s="102">
        <f>MIN(IF($AU18=100%,1,1+VLOOKUP(($AJ18-$AI18-$AH18-$AG18-$AF18-$AE18*(1+EE$3))/$AJ18,Уголь_коэфф!$A:$B,2,1)-VLOOKUP($AO18,Уголь_коэфф!$A:$B,2,1)),1+(1-$AU18))</f>
        <v>1.01</v>
      </c>
      <c r="EF18" s="102">
        <f>MIN(IF($AU18=100%,1,1+VLOOKUP(($AJ18-$AI18-$AH18-$AG18-$AF18-$AE18*(1+EF$3))/$AJ18,Уголь_коэфф!$A:$B,2,1)-VLOOKUP($AO18,Уголь_коэфф!$A:$B,2,1)),1+(1-$AU18))</f>
        <v>1.01</v>
      </c>
      <c r="EG18" s="102">
        <f>MIN(IF($AU18=100%,1,1+VLOOKUP(($AJ18-$AI18-$AH18-$AG18-$AF18-$AE18*(1+EG$3))/$AJ18,Уголь_коэфф!$A:$B,2,1)-VLOOKUP($AO18,Уголь_коэфф!$A:$B,2,1)),1+(1-$AU18))</f>
        <v>1.01</v>
      </c>
      <c r="EH18" s="102">
        <f>MIN(IF($AU18=100%,1,1+VLOOKUP(($AJ18-$AI18-$AH18-$AG18-$AF18-$AE18*(1+EH$3))/$AJ18,Уголь_коэфф!$A:$B,2,1)-VLOOKUP($AO18,Уголь_коэфф!$A:$B,2,1)),1+(1-$AU18))</f>
        <v>1.01</v>
      </c>
      <c r="EI18" s="102">
        <f>MIN(IF($AU18=100%,1,1+VLOOKUP(($AJ18-$AI18-$AH18-$AG18-$AF18-$AE18*(1+EI$3))/$AJ18,Уголь_коэфф!$A:$B,2,1)-VLOOKUP($AO18,Уголь_коэфф!$A:$B,2,1)),1+(1-$AU18))</f>
        <v>1.01</v>
      </c>
      <c r="EJ18" s="102">
        <f>MIN(IF($AU18=100%,1,1+VLOOKUP(($AJ18-$AI18-$AH18-$AG18-$AF18-$AE18*(1+EJ$3))/$AJ18,Уголь_коэфф!$A:$B,2,1)-VLOOKUP($AO18,Уголь_коэфф!$A:$B,2,1)),1+(1-$AU18))</f>
        <v>1.01</v>
      </c>
      <c r="EK18" s="102">
        <f>MIN(IF($AU18=100%,1,1+VLOOKUP(($AJ18-$AI18-$AH18-$AG18-$AF18-$AE18*(1+EK$3))/$AJ18,Уголь_коэфф!$A:$B,2,1)-VLOOKUP($AO18,Уголь_коэфф!$A:$B,2,1)),1+(1-$AU18))</f>
        <v>1.01</v>
      </c>
      <c r="EL18" s="102">
        <f>MIN(IF($AU18=100%,1,1+VLOOKUP(($AJ18-$AI18-$AH18-$AG18-$AF18-$AE18*(1+EL$3))/$AJ18,Уголь_коэфф!$A:$B,2,1)-VLOOKUP($AO18,Уголь_коэфф!$A:$B,2,1)),1+(1-$AU18))</f>
        <v>1.01</v>
      </c>
      <c r="EM18" s="102">
        <f>MIN(IF($AU18=100%,1,1+VLOOKUP(($AJ18-$AI18-$AH18-$AG18-$AF18-$AE18*(1+EM$3))/$AJ18,Уголь_коэфф!$A:$B,2,1)-VLOOKUP($AO18,Уголь_коэфф!$A:$B,2,1)),1+(1-$AU18))</f>
        <v>1.01</v>
      </c>
      <c r="EN18" s="102">
        <f>MIN(IF($AU18=100%,1,1+VLOOKUP(($AJ18-$AI18-$AH18-$AG18-$AF18-$AE18*(1+EN$3))/$AJ18,Уголь_коэфф!$A:$B,2,1)-VLOOKUP($AO18,Уголь_коэфф!$A:$B,2,1)),1+(1-$AU18))</f>
        <v>1.01</v>
      </c>
      <c r="EO18" s="102">
        <f>MIN(IF($AU18=100%,1,1+VLOOKUP(($AJ18-$AI18-$AH18-$AG18-$AF18-$AE18*(1+EO$3))/$AJ18,Уголь_коэфф!$A:$B,2,1)-VLOOKUP($AO18,Уголь_коэфф!$A:$B,2,1)),1+(1-$AU18))</f>
        <v>1.0050000000000001</v>
      </c>
      <c r="EP18" s="102">
        <f>MIN(IF($AU18=100%,1,1+VLOOKUP(($AJ18-$AI18-$AH18-$AG18-$AF18-$AE18*(1+EP$3))/$AJ18,Уголь_коэфф!$A:$B,2,1)-VLOOKUP($AO18,Уголь_коэфф!$A:$B,2,1)),1+(1-$AU18))</f>
        <v>1.0050000000000001</v>
      </c>
      <c r="EQ18" s="102">
        <f>MIN(IF($AU18=100%,1,1+VLOOKUP(($AJ18-$AI18-$AH18-$AG18-$AF18-$AE18*(1+EQ$3))/$AJ18,Уголь_коэфф!$A:$B,2,1)-VLOOKUP($AO18,Уголь_коэфф!$A:$B,2,1)),1+(1-$AU18))</f>
        <v>1.0050000000000001</v>
      </c>
      <c r="ER18" s="102">
        <f>MIN(IF($AU18=100%,1,1+VLOOKUP(($AJ18-$AI18-$AH18-$AG18-$AF18-$AE18*(1+ER$3))/$AJ18,Уголь_коэфф!$A:$B,2,1)-VLOOKUP($AO18,Уголь_коэфф!$A:$B,2,1)),1+(1-$AU18))</f>
        <v>1.0050000000000001</v>
      </c>
      <c r="ES18" s="102">
        <f>MIN(IF($AU18=100%,1,1+VLOOKUP(($AJ18-$AI18-$AH18-$AG18-$AF18-$AE18*(1+ES$3))/$AJ18,Уголь_коэфф!$A:$B,2,1)-VLOOKUP($AO18,Уголь_коэфф!$A:$B,2,1)),1+(1-$AU18))</f>
        <v>1.0050000000000001</v>
      </c>
      <c r="ET18" s="102">
        <f>MIN(IF($AU18=100%,1,1+VLOOKUP(($AJ18-$AI18-$AH18-$AG18-$AF18-$AE18*(1+ET$3))/$AJ18,Уголь_коэфф!$A:$B,2,1)-VLOOKUP($AO18,Уголь_коэфф!$A:$B,2,1)),1+(1-$AU18))</f>
        <v>1</v>
      </c>
      <c r="EU18" s="102">
        <f>MIN(IF($AU18=100%,1,1+VLOOKUP(($AJ18-$AI18-$AH18-$AG18-$AF18-$AE18*(1+EU$3))/$AJ18,Уголь_коэфф!$A:$B,2,1)-VLOOKUP($AO18,Уголь_коэфф!$A:$B,2,1)),1+(1-$AU18))</f>
        <v>1</v>
      </c>
      <c r="EV18" s="103">
        <v>1</v>
      </c>
      <c r="EW18" s="102">
        <f>MIN(1,MAX(VLOOKUP(($AJ18-$AI18-$AH18-$AG18-$AF18-$AE18*(1+EW$3))/$AJ18,Уголь_коэфф!$A:$B,2,1),(EV18-0.05)))</f>
        <v>0.99</v>
      </c>
      <c r="EX18" s="102">
        <f>MIN(1,MAX(VLOOKUP(($AJ18-$AI18-$AH18-$AG18-$AF18-$AE18*(1+EX$3))/$AJ18,Уголь_коэфф!$A:$B,2,1),(EW18-0.05)))</f>
        <v>0.98499999999999999</v>
      </c>
      <c r="EY18" s="102">
        <f>MIN(1,MAX(VLOOKUP(($AJ18-$AI18-$AH18-$AG18-$AF18-$AE18*(1+EY$3))/$AJ18,Уголь_коэфф!$A:$B,2,1),(EX18-0.05)))</f>
        <v>0.98499999999999999</v>
      </c>
      <c r="EZ18" s="102">
        <f>MIN(1,MAX(VLOOKUP(($AJ18-$AI18-$AH18-$AG18-$AF18-$AE18*(1+EZ$3))/$AJ18,Уголь_коэфф!$A:$B,2,1),(EY18-0.05)))</f>
        <v>0.98499999999999999</v>
      </c>
      <c r="FA18" s="102">
        <f>MIN(1,MAX(VLOOKUP(($AJ18-$AI18-$AH18-$AG18-$AF18-$AE18*(1+FA$3))/$AJ18,Уголь_коэфф!$A:$B,2,1),(EZ18-0.05)))</f>
        <v>0.98499999999999999</v>
      </c>
      <c r="FB18" s="102">
        <f>MIN(1,MAX(VLOOKUP(($AJ18-$AI18-$AH18-$AG18-$AF18-$AE18*(1+FB$3))/$AJ18,Уголь_коэфф!$A:$B,2,1),(FA18-0.05)))</f>
        <v>0.98</v>
      </c>
      <c r="FC18" s="102">
        <f>MIN(1,MAX(VLOOKUP(($AJ18-$AI18-$AH18-$AG18-$AF18-$AE18*(1+FC$3))/$AJ18,Уголь_коэфф!$A:$B,2,1),(FB18-0.05)))</f>
        <v>0.98</v>
      </c>
      <c r="FD18" s="102">
        <f>MIN(1,MAX(VLOOKUP(($AJ18-$AI18-$AH18-$AG18-$AF18-$AE18*(1+FD$3))/$AJ18,Уголь_коэфф!$A:$B,2,1),(FC18-0.05)))</f>
        <v>0.98</v>
      </c>
      <c r="FE18" s="102">
        <f>MIN(1,MAX(VLOOKUP(($AJ18-$AI18-$AH18-$AG18-$AF18-$AE18*(1+FE$3))/$AJ18,Уголь_коэфф!$A:$B,2,1),(FD18-0.05)))</f>
        <v>0.98</v>
      </c>
      <c r="FF18" s="102">
        <f>MIN(1,MAX(VLOOKUP(($AJ18-$AI18-$AH18-$AG18-$AF18-$AE18*(1+FF$3))/$AJ18,Уголь_коэфф!$A:$B,2,1),(FE18-0.05)))</f>
        <v>0.98</v>
      </c>
      <c r="FG18" s="102">
        <f>MIN(1,MAX(VLOOKUP(($AJ18-$AI18-$AH18-$AG18-$AF18-$AE18*(1+FG$3))/$AJ18,Уголь_коэфф!$A:$B,2,1),(FF18-0.05)))</f>
        <v>0.97499999999999998</v>
      </c>
      <c r="FH18" s="102">
        <f>MIN(1,MAX(VLOOKUP(($AJ18-$AI18-$AH18-$AG18-$AF18-$AE18*(1+FH$3))/$AJ18,Уголь_коэфф!$A:$B,2,1),(FG18-0.05)))</f>
        <v>0.97499999999999998</v>
      </c>
      <c r="FI18" s="102">
        <f>MIN(1,MAX(VLOOKUP(($AJ18-$AI18-$AH18-$AG18-$AF18-$AE18*(1+FI$3))/$AJ18,Уголь_коэфф!$A:$B,2,1),(FH18-0.05)))</f>
        <v>0.97499999999999998</v>
      </c>
      <c r="FJ18" s="102">
        <f>MIN(1,MAX(VLOOKUP(($AJ18-$AI18-$AH18-$AG18-$AF18-$AE18*(1+FJ$3))/$AJ18,Уголь_коэфф!$A:$B,2,1),(FI18-0.05)))</f>
        <v>0.97499999999999998</v>
      </c>
      <c r="FK18" s="102">
        <f>MIN(1,MAX(VLOOKUP(($AJ18-$AI18-$AH18-$AG18-$AF18-$AE18*(1+FK$3))/$AJ18,Уголь_коэфф!$A:$B,2,1),(FJ18-0.05)))</f>
        <v>0.97</v>
      </c>
      <c r="FL18" s="102">
        <f>MIN(1,MAX(VLOOKUP(($AJ18-$AI18-$AH18-$AG18-$AF18-$AE18*(1+FL$3))/$AJ18,Уголь_коэфф!$A:$B,2,1),(FK18-0.05)))</f>
        <v>0.97</v>
      </c>
      <c r="FM18" s="102">
        <f>MIN(1,MAX(VLOOKUP(($AJ18-$AI18-$AH18-$AG18-$AF18-$AE18*(1+FM$3))/$AJ18,Уголь_коэфф!$A:$B,2,1),(FL18-0.05)))</f>
        <v>0.97</v>
      </c>
      <c r="FN18" s="102">
        <f>MIN(1,MAX(VLOOKUP(($AJ18-$AI18-$AH18-$AG18-$AF18-$AE18*(1+FN$3))/$AJ18,Уголь_коэфф!$A:$B,2,1),(FM18-0.05)))</f>
        <v>0.97</v>
      </c>
      <c r="FO18" s="102">
        <f>MIN(1,MAX(VLOOKUP(($AJ18-$AI18-$AH18-$AG18-$AF18-$AE18*(1+FO$3))/$AJ18,Уголь_коэфф!$A:$B,2,1),(FN18-0.05)))</f>
        <v>0.96499999999999997</v>
      </c>
      <c r="FP18" s="102">
        <f>MIN(1,MAX(VLOOKUP(($AJ18-$AI18-$AH18-$AG18-$AF18-$AE18*(1+FP$3))/$AJ18,Уголь_коэфф!$A:$B,2,1),(FO18-0.05)))</f>
        <v>0.96499999999999997</v>
      </c>
      <c r="FQ18" s="102">
        <f>MIN(1,MAX(VLOOKUP(($AJ18-$AI18-$AH18-$AG18-$AF18-$AE18*(1+FQ$3))/$AJ18,Уголь_коэфф!$A:$B,2,1),(FP18-0.05)))</f>
        <v>0.96499999999999997</v>
      </c>
      <c r="FR18" s="102">
        <f>MIN(1,MAX(VLOOKUP(($AJ18-$AI18-$AH18-$AG18-$AF18-$AE18*(1+FR$3))/$AJ18,Уголь_коэфф!$A:$B,2,1),(FQ18-0.05)))</f>
        <v>0.96499999999999997</v>
      </c>
      <c r="FS18" s="102">
        <f>MIN(1,MAX(VLOOKUP(($AJ18-$AI18-$AH18-$AG18-$AF18-$AE18*(1+FS$3))/$AJ18,Уголь_коэфф!$A:$B,2,1),(FR18-0.05)))</f>
        <v>0.96</v>
      </c>
      <c r="FT18" s="102">
        <f>MIN(1,MAX(VLOOKUP(($AJ18-$AI18-$AH18-$AG18-$AF18-$AE18*(1+FT$3))/$AJ18,Уголь_коэфф!$A:$B,2,1),(FS18-0.05)))</f>
        <v>0.96</v>
      </c>
      <c r="FU18" s="102">
        <f>MIN(1,MAX(VLOOKUP(($AJ18-$AI18-$AH18-$AG18-$AF18-$AE18*(1+FU$3))/$AJ18,Уголь_коэфф!$A:$B,2,1),(FT18-0.05)))</f>
        <v>0.96</v>
      </c>
      <c r="FV18" s="102">
        <f>MIN(1,MAX(VLOOKUP(($AJ18-$AI18-$AH18-$AG18-$AF18-$AE18*(1+FV$3))/$AJ18,Уголь_коэфф!$A:$B,2,1),(FU18-0.05)))</f>
        <v>0.96</v>
      </c>
      <c r="FW18" s="102">
        <f>MIN(1,MAX(VLOOKUP(($AJ18-$AI18-$AH18-$AG18-$AF18-$AE18*(1+FW$3))/$AJ18,Уголь_коэфф!$A:$B,2,1),(FV18-0.05)))</f>
        <v>0.96</v>
      </c>
      <c r="FX18" s="102">
        <f>MIN(1,MAX(VLOOKUP(($AJ18-$AI18-$AH18-$AG18-$AF18-$AE18*(1+FX$3))/$AJ18,Уголь_коэфф!$A:$B,2,1),(FW18-0.05)))</f>
        <v>0.95499999999999996</v>
      </c>
      <c r="FY18" s="102">
        <f>MIN(1,MAX(VLOOKUP(($AJ18-$AI18-$AH18-$AG18-$AF18-$AE18*(1+FY$3))/$AJ18,Уголь_коэфф!$A:$B,2,1),(FX18-0.05)))</f>
        <v>0.95499999999999996</v>
      </c>
      <c r="FZ18" s="102">
        <f>MIN(1,MAX(VLOOKUP(($AJ18-$AI18-$AH18-$AG18-$AF18-$AE18*(1+FZ$3))/$AJ18,Уголь_коэфф!$A:$B,2,1),(FY18-0.05)))</f>
        <v>0.95499999999999996</v>
      </c>
      <c r="GA18" s="102">
        <f>MIN(1,MAX(VLOOKUP(($AJ18-$AI18-$AH18-$AG18-$AF18-$AE18*(1+GA$3))/$AJ18,Уголь_коэфф!$A:$B,2,1),(FZ18-0.05)))</f>
        <v>0.95499999999999996</v>
      </c>
      <c r="GB18" s="102">
        <f>MIN(1,MAX(VLOOKUP(($AJ18-$AI18-$AH18-$AG18-$AF18-$AE18*(1+GB$3))/$AJ18,Уголь_коэфф!$A:$B,2,1),(GA18-0.05)))</f>
        <v>0.95</v>
      </c>
      <c r="GC18" s="102">
        <f>MIN(1,MAX(VLOOKUP(($AJ18-$AI18-$AH18-$AG18-$AF18-$AE18*(1+GC$3))/$AJ18,Уголь_коэфф!$A:$B,2,1),(GB18-0.05)))</f>
        <v>0.95</v>
      </c>
      <c r="GD18" s="102">
        <f>MIN(1,MAX(VLOOKUP(($AJ18-$AI18-$AH18-$AG18-$AF18-$AE18*(1+GD$3))/$AJ18,Уголь_коэфф!$A:$B,2,1),(GC18-0.05)))</f>
        <v>0.95</v>
      </c>
      <c r="GE18" s="102">
        <f>MIN(1,MAX(VLOOKUP(($AJ18-$AI18-$AH18-$AG18-$AF18-$AE18*(1+GE$3))/$AJ18,Уголь_коэфф!$A:$B,2,1),(GD18-0.05)))</f>
        <v>0.95</v>
      </c>
      <c r="GF18" s="102">
        <f>MIN(1,MAX(VLOOKUP(($AJ18-$AI18-$AH18-$AG18-$AF18-$AE18*(1+GF$3))/$AJ18,Уголь_коэфф!$A:$B,2,1),(GE18-0.05)))</f>
        <v>0.94499999999999995</v>
      </c>
      <c r="GG18" s="102">
        <f>MIN(1,MAX(VLOOKUP(($AJ18-$AI18-$AH18-$AG18-$AF18-$AE18*(1+GG$3))/$AJ18,Уголь_коэфф!$A:$B,2,1),(GF18-0.05)))</f>
        <v>0.94499999999999995</v>
      </c>
      <c r="GH18" s="102">
        <f>MIN(1,MAX(VLOOKUP(($AJ18-$AI18-$AH18-$AG18-$AF18-$AE18*(1+GH$3))/$AJ18,Уголь_коэфф!$A:$B,2,1),(GG18-0.05)))</f>
        <v>0.94499999999999995</v>
      </c>
      <c r="GI18" s="102">
        <f>MIN(1,MAX(VLOOKUP(($AJ18-$AI18-$AH18-$AG18-$AF18-$AE18*(1+GI$3))/$AJ18,Уголь_коэфф!$A:$B,2,1),(GH18-0.05)))</f>
        <v>0.94499999999999995</v>
      </c>
      <c r="GJ18" s="102">
        <f>MIN(1,MAX(VLOOKUP(($AJ18-$AI18-$AH18-$AG18-$AF18-$AE18*(1+GJ$3))/$AJ18,Уголь_коэфф!$A:$B,2,1),(GI18-0.05)))</f>
        <v>0.94</v>
      </c>
      <c r="GK18" s="102">
        <f>MIN(1,MAX(VLOOKUP(($AJ18-$AI18-$AH18-$AG18-$AF18-$AE18*(1+GK$3))/$AJ18,Уголь_коэфф!$A:$B,2,1),(GJ18-0.05)))</f>
        <v>0.94</v>
      </c>
      <c r="GL18" s="102">
        <f>MIN(1,MAX(VLOOKUP(($AJ18-$AI18-$AH18-$AG18-$AF18-$AE18*(1+GL$3))/$AJ18,Уголь_коэфф!$A:$B,2,1),(GK18-0.05)))</f>
        <v>0.94</v>
      </c>
      <c r="GM18" s="102">
        <f>MIN(1,MAX(VLOOKUP(($AJ18-$AI18-$AH18-$AG18-$AF18-$AE18*(1+GM$3))/$AJ18,Уголь_коэфф!$A:$B,2,1),(GL18-0.05)))</f>
        <v>0.94</v>
      </c>
      <c r="GN18" s="102">
        <f>MIN(1,MAX(VLOOKUP(($AJ18-$AI18-$AH18-$AG18-$AF18-$AE18*(1+GN$3))/$AJ18,Уголь_коэфф!$A:$B,2,1),(GM18-0.05)))</f>
        <v>0.94</v>
      </c>
      <c r="GO18" s="102">
        <f>MIN(1,MAX(VLOOKUP(($AJ18-$AI18-$AH18-$AG18-$AF18-$AE18*(1+GO$3))/$AJ18,Уголь_коэфф!$A:$B,2,1),(GN18-0.05)))</f>
        <v>0.93500000000000005</v>
      </c>
      <c r="GP18" s="102">
        <f>MIN(1,MAX(VLOOKUP(($AJ18-$AI18-$AH18-$AG18-$AF18-$AE18*(1+GP$3))/$AJ18,Уголь_коэфф!$A:$B,2,1),(GO18-0.05)))</f>
        <v>0.93500000000000005</v>
      </c>
      <c r="GQ18" s="102">
        <f>MIN(1,MAX(VLOOKUP(($AJ18-$AI18-$AH18-$AG18-$AF18-$AE18*(1+GQ$3))/$AJ18,Уголь_коэфф!$A:$B,2,1),(GP18-0.05)))</f>
        <v>0.93500000000000005</v>
      </c>
      <c r="GR18" s="102">
        <f>MIN(1,MAX(VLOOKUP(($AJ18-$AI18-$AH18-$AG18-$AF18-$AE18*(1+GR$3))/$AJ18,Уголь_коэфф!$A:$B,2,1),(GQ18-0.05)))</f>
        <v>0.93500000000000005</v>
      </c>
      <c r="GS18" s="102">
        <f>MIN(1,MAX(VLOOKUP(($AJ18-$AI18-$AH18-$AG18-$AF18-$AE18*(1+GS$3))/$AJ18,Уголь_коэфф!$A:$B,2,1),(GR18-0.05)))</f>
        <v>0.93</v>
      </c>
      <c r="GT18" s="102">
        <f>MIN(1,MAX(VLOOKUP(($AJ18-$AI18-$AH18-$AG18-$AF18-$AE18*(1+GT$3))/$AJ18,Уголь_коэфф!$A:$B,2,1),(GS18-0.05)))</f>
        <v>0.93</v>
      </c>
      <c r="GU18" s="102">
        <f>MIN(1,MAX(VLOOKUP(($AJ18-$AI18-$AH18-$AG18-$AF18-$AE18*(1+GU$3))/$AJ18,Уголь_коэфф!$A:$B,2,1),(GT18-0.05)))</f>
        <v>0.93</v>
      </c>
      <c r="GV18" s="102">
        <f>MIN(1,MAX(VLOOKUP(($AJ18-$AI18-$AH18-$AG18-$AF18-$AE18*(1+GV$3))/$AJ18,Уголь_коэфф!$A:$B,2,1),(GU18-0.05)))</f>
        <v>0.93</v>
      </c>
      <c r="GW18" s="102">
        <f>MIN(1,MAX(VLOOKUP(($AJ18-$AI18-$AH18-$AG18-$AF18-$AE18*(1+GW$3))/$AJ18,Уголь_коэфф!$A:$B,2,1),(GV18-0.05)))</f>
        <v>0.92500000000000004</v>
      </c>
      <c r="GX18" s="102">
        <f>MIN(1,MAX(VLOOKUP(($AJ18-$AI18-$AH18-$AG18-$AF18-$AE18*(1+GX$3))/$AJ18,Уголь_коэфф!$A:$B,2,1),(GW18-0.05)))</f>
        <v>0.92500000000000004</v>
      </c>
      <c r="GY18" s="102">
        <f>MIN(1,MAX(VLOOKUP(($AJ18-$AI18-$AH18-$AG18-$AF18-$AE18*(1+GY$3))/$AJ18,Уголь_коэфф!$A:$B,2,1),(GX18-0.05)))</f>
        <v>0.92500000000000004</v>
      </c>
      <c r="GZ18" s="102">
        <f>MIN(1,MAX(VLOOKUP(($AJ18-$AI18-$AH18-$AG18-$AF18-$AE18*(1+GZ$3))/$AJ18,Уголь_коэфф!$A:$B,2,1),(GY18-0.05)))</f>
        <v>0.92500000000000004</v>
      </c>
      <c r="HA18" s="102">
        <f>MIN(1,MAX(VLOOKUP(($AJ18-$AI18-$AH18-$AG18-$AF18-$AE18*(1+HA$3))/$AJ18,Уголь_коэфф!$A:$B,2,1),(GZ18-0.05)))</f>
        <v>0.92500000000000004</v>
      </c>
      <c r="HB18" s="102">
        <f>MIN(1,MAX(VLOOKUP(($AJ18-$AI18-$AH18-$AG18-$AF18-$AE18*(1+HB$3))/$AJ18,Уголь_коэфф!$A:$B,2,1),(HA18-0.05)))</f>
        <v>0.92</v>
      </c>
      <c r="HC18" s="102">
        <f>MIN(1,MAX(VLOOKUP(($AJ18-$AI18-$AH18-$AG18-$AF18-$AE18*(1+HC$3))/$AJ18,Уголь_коэфф!$A:$B,2,1),(HB18-0.05)))</f>
        <v>0.92</v>
      </c>
      <c r="HD18" s="102">
        <f>MIN(1,MAX(VLOOKUP(($AJ18-$AI18-$AH18-$AG18-$AF18-$AE18*(1+HD$3))/$AJ18,Уголь_коэфф!$A:$B,2,1),(HC18-0.05)))</f>
        <v>0.92</v>
      </c>
      <c r="HE18" s="102">
        <f>MIN(1,MAX(VLOOKUP(($AJ18-$AI18-$AH18-$AG18-$AF18-$AE18*(1+HE$3))/$AJ18,Уголь_коэфф!$A:$B,2,1),(HD18-0.05)))</f>
        <v>0.92</v>
      </c>
      <c r="HF18" s="102">
        <f>MIN(1,MAX(VLOOKUP(($AJ18-$AI18-$AH18-$AG18-$AF18-$AE18*(1+HF$3))/$AJ18,Уголь_коэфф!$A:$B,2,1),(HE18-0.05)))</f>
        <v>0.91400000000000003</v>
      </c>
      <c r="HG18" s="102">
        <f>MIN(1,MAX(VLOOKUP(($AJ18-$AI18-$AH18-$AG18-$AF18-$AE18*(1+HG$3))/$AJ18,Уголь_коэфф!$A:$B,2,1),(HF18-0.05)))</f>
        <v>0.91400000000000003</v>
      </c>
      <c r="HH18" s="102">
        <f>MIN(1,MAX(VLOOKUP(($AJ18-$AI18-$AH18-$AG18-$AF18-$AE18*(1+HH$3))/$AJ18,Уголь_коэфф!$A:$B,2,1),(HG18-0.05)))</f>
        <v>0.91400000000000003</v>
      </c>
      <c r="HI18" s="102">
        <f>MIN(1,MAX(VLOOKUP(($AJ18-$AI18-$AH18-$AG18-$AF18-$AE18*(1+HI$3))/$AJ18,Уголь_коэфф!$A:$B,2,1),(HH18-0.05)))</f>
        <v>0.91400000000000003</v>
      </c>
      <c r="HJ18" s="102">
        <f>MIN(1,MAX(VLOOKUP(($AJ18-$AI18-$AH18-$AG18-$AF18-$AE18*(1+HJ$3))/$AJ18,Уголь_коэфф!$A:$B,2,1),(HI18-0.05)))</f>
        <v>0.90800000000000003</v>
      </c>
      <c r="HK18" s="102">
        <f>MIN(1,MAX(VLOOKUP(($AJ18-$AI18-$AH18-$AG18-$AF18-$AE18*(1+HK$3))/$AJ18,Уголь_коэфф!$A:$B,2,1),(HJ18-0.05)))</f>
        <v>0.90800000000000003</v>
      </c>
      <c r="HL18" s="102">
        <f>MIN(1,MAX(VLOOKUP(($AJ18-$AI18-$AH18-$AG18-$AF18-$AE18*(1+HL$3))/$AJ18,Уголь_коэфф!$A:$B,2,1),(HK18-0.05)))</f>
        <v>0.90800000000000003</v>
      </c>
      <c r="HM18" s="102">
        <f>MIN(1,MAX(VLOOKUP(($AJ18-$AI18-$AH18-$AG18-$AF18-$AE18*(1+HM$3))/$AJ18,Уголь_коэфф!$A:$B,2,1),(HL18-0.05)))</f>
        <v>0.90800000000000003</v>
      </c>
      <c r="HN18" s="102">
        <f>MIN(1,MAX(VLOOKUP(($AJ18-$AI18-$AH18-$AG18-$AF18-$AE18*(1+HN$3))/$AJ18,Уголь_коэфф!$A:$B,2,1),(HM18-0.05)))</f>
        <v>0.90200000000000002</v>
      </c>
      <c r="HO18" s="102">
        <f>MIN(1,MAX(VLOOKUP(($AJ18-$AI18-$AH18-$AG18-$AF18-$AE18*(1+HO$3))/$AJ18,Уголь_коэфф!$A:$B,2,1),(HN18-0.05)))</f>
        <v>0.90200000000000002</v>
      </c>
      <c r="HP18" s="102">
        <f>MIN(1,MAX(VLOOKUP(($AJ18-$AI18-$AH18-$AG18-$AF18-$AE18*(1+HP$3))/$AJ18,Уголь_коэфф!$A:$B,2,1),(HO18-0.05)))</f>
        <v>0.90200000000000002</v>
      </c>
      <c r="HQ18" s="102">
        <f>MIN(1,MAX(VLOOKUP(($AJ18-$AI18-$AH18-$AG18-$AF18-$AE18*(1+HQ$3))/$AJ18,Уголь_коэфф!$A:$B,2,1),(HP18-0.05)))</f>
        <v>0.90200000000000002</v>
      </c>
      <c r="HR18" s="102">
        <f>MIN(1,MAX(VLOOKUP(($AJ18-$AI18-$AH18-$AG18-$AF18-$AE18*(1+HR$3))/$AJ18,Уголь_коэфф!$A:$B,2,1),(HQ18-0.05)))</f>
        <v>0.90200000000000002</v>
      </c>
      <c r="HS18" s="102">
        <f>MIN(1,MAX(VLOOKUP(($AJ18-$AI18-$AH18-$AG18-$AF18-$AE18*(1+HS$3))/$AJ18,Уголь_коэфф!$A:$B,2,1),(HR18-0.05)))</f>
        <v>0.89600000000000002</v>
      </c>
      <c r="HT18" s="102">
        <f>MIN(1,MAX(VLOOKUP(($AJ18-$AI18-$AH18-$AG18-$AF18-$AE18*(1+HT$3))/$AJ18,Уголь_коэфф!$A:$B,2,1),(HS18-0.05)))</f>
        <v>0.89600000000000002</v>
      </c>
      <c r="HU18" s="102">
        <f>MIN(1,MAX(VLOOKUP(($AJ18-$AI18-$AH18-$AG18-$AF18-$AE18*(1+HU$3))/$AJ18,Уголь_коэфф!$A:$B,2,1),(HT18-0.05)))</f>
        <v>0.89600000000000002</v>
      </c>
      <c r="HV18" s="102">
        <f>MIN(1,MAX(VLOOKUP(($AJ18-$AI18-$AH18-$AG18-$AF18-$AE18*(1+HV$3))/$AJ18,Уголь_коэфф!$A:$B,2,1),(HU18-0.05)))</f>
        <v>0.89600000000000002</v>
      </c>
      <c r="HW18" s="102">
        <f>MIN(1,MAX(VLOOKUP(($AJ18-$AI18-$AH18-$AG18-$AF18-$AE18*(1+HW$3))/$AJ18,Уголь_коэфф!$A:$B,2,1),(HV18-0.05)))</f>
        <v>0.89</v>
      </c>
      <c r="HX18" s="102">
        <f>MIN(1,MAX(VLOOKUP(($AJ18-$AI18-$AH18-$AG18-$AF18-$AE18*(1+HX$3))/$AJ18,Уголь_коэфф!$A:$B,2,1),(HW18-0.05)))</f>
        <v>0.89</v>
      </c>
      <c r="HY18" s="102">
        <f>MIN(1,MAX(VLOOKUP(($AJ18-$AI18-$AH18-$AG18-$AF18-$AE18*(1+HY$3))/$AJ18,Уголь_коэфф!$A:$B,2,1),(HX18-0.05)))</f>
        <v>0.89</v>
      </c>
      <c r="HZ18" s="102">
        <f>MIN(1,MAX(VLOOKUP(($AJ18-$AI18-$AH18-$AG18-$AF18-$AE18*(1+HZ$3))/$AJ18,Уголь_коэфф!$A:$B,2,1),(HY18-0.05)))</f>
        <v>0.89</v>
      </c>
      <c r="IA18" s="102">
        <f>MIN(1,MAX(VLOOKUP(($AJ18-$AI18-$AH18-$AG18-$AF18-$AE18*(1+IA$3))/$AJ18,Уголь_коэфф!$A:$B,2,1),(HZ18-0.05)))</f>
        <v>0.88400000000000001</v>
      </c>
      <c r="IB18" s="102">
        <f>MIN(1,MAX(VLOOKUP(($AJ18-$AI18-$AH18-$AG18-$AF18-$AE18*(1+IB$3))/$AJ18,Уголь_коэфф!$A:$B,2,1),(IA18-0.05)))</f>
        <v>0.88400000000000001</v>
      </c>
      <c r="IC18" s="102">
        <f>MIN(1,MAX(VLOOKUP(($AJ18-$AI18-$AH18-$AG18-$AF18-$AE18*(1+IC$3))/$AJ18,Уголь_коэфф!$A:$B,2,1),(IB18-0.05)))</f>
        <v>0.88400000000000001</v>
      </c>
      <c r="ID18" s="102">
        <f>MIN(1,MAX(VLOOKUP(($AJ18-$AI18-$AH18-$AG18-$AF18-$AE18*(1+ID$3))/$AJ18,Уголь_коэфф!$A:$B,2,1),(IC18-0.05)))</f>
        <v>0.88400000000000001</v>
      </c>
      <c r="IE18" s="102">
        <f>MIN(1,MAX(VLOOKUP(($AJ18-$AI18-$AH18-$AG18-$AF18-$AE18*(1+IE$3))/$AJ18,Уголь_коэфф!$A:$B,2,1),(ID18-0.05)))</f>
        <v>0.878</v>
      </c>
      <c r="IF18" s="102">
        <f>MIN(1,MAX(VLOOKUP(($AJ18-$AI18-$AH18-$AG18-$AF18-$AE18*(1+IF$3))/$AJ18,Уголь_коэфф!$A:$B,2,1),(IE18-0.05)))</f>
        <v>0.878</v>
      </c>
      <c r="IG18" s="102">
        <f>MIN(1,MAX(VLOOKUP(($AJ18-$AI18-$AH18-$AG18-$AF18-$AE18*(1+IG$3))/$AJ18,Уголь_коэфф!$A:$B,2,1),(IF18-0.05)))</f>
        <v>0.878</v>
      </c>
      <c r="IH18" s="102">
        <f>MIN(1,MAX(VLOOKUP(($AJ18-$AI18-$AH18-$AG18-$AF18-$AE18*(1+IH$3))/$AJ18,Уголь_коэфф!$A:$B,2,1),(IG18-0.05)))</f>
        <v>0.878</v>
      </c>
      <c r="II18" s="102">
        <f>MIN(1,MAX(VLOOKUP(($AJ18-$AI18-$AH18-$AG18-$AF18-$AE18*(1+II$3))/$AJ18,Уголь_коэфф!$A:$B,2,1),(IH18-0.05)))</f>
        <v>0.878</v>
      </c>
      <c r="IJ18" s="102">
        <f>MIN(1,MAX(VLOOKUP(($AJ18-$AI18-$AH18-$AG18-$AF18-$AE18*(1+IJ$3))/$AJ18,Уголь_коэфф!$A:$B,2,1),(II18-0.05)))</f>
        <v>0.872</v>
      </c>
      <c r="IK18" s="102">
        <f>MIN(1,MAX(VLOOKUP(($AJ18-$AI18-$AH18-$AG18-$AF18-$AE18*(1+IK$3))/$AJ18,Уголь_коэфф!$A:$B,2,1),(IJ18-0.05)))</f>
        <v>0.872</v>
      </c>
      <c r="IL18" s="102">
        <f>MIN(1,MAX(VLOOKUP(($AJ18-$AI18-$AH18-$AG18-$AF18-$AE18*(1+IL$3))/$AJ18,Уголь_коэфф!$A:$B,2,1),(IK18-0.05)))</f>
        <v>0.872</v>
      </c>
      <c r="IM18" s="102">
        <f>MIN(1,MAX(VLOOKUP(($AJ18-$AI18-$AH18-$AG18-$AF18-$AE18*(1+IM$3))/$AJ18,Уголь_коэфф!$A:$B,2,1),(IL18-0.05)))</f>
        <v>0.872</v>
      </c>
      <c r="IN18" s="102">
        <f>MIN(1,MAX(VLOOKUP(($AJ18-$AI18-$AH18-$AG18-$AF18-$AE18*(1+IN$3))/$AJ18,Уголь_коэфф!$A:$B,2,1),(IM18-0.05)))</f>
        <v>0.86599999999999999</v>
      </c>
      <c r="IO18" s="102">
        <f>MIN(1,MAX(VLOOKUP(($AJ18-$AI18-$AH18-$AG18-$AF18-$AE18*(1+IO$3))/$AJ18,Уголь_коэфф!$A:$B,2,1),(IN18-0.05)))</f>
        <v>0.86599999999999999</v>
      </c>
      <c r="IP18" s="102">
        <f>MIN(1,MAX(VLOOKUP(($AJ18-$AI18-$AH18-$AG18-$AF18-$AE18*(1+IP$3))/$AJ18,Уголь_коэфф!$A:$B,2,1),(IO18-0.05)))</f>
        <v>0.86599999999999999</v>
      </c>
      <c r="IQ18" s="102">
        <f>MIN(1,MAX(VLOOKUP(($AJ18-$AI18-$AH18-$AG18-$AF18-$AE18*(1+IQ$3))/$AJ18,Уголь_коэфф!$A:$B,2,1),(IP18-0.05)))</f>
        <v>0.86599999999999999</v>
      </c>
      <c r="IR18" s="102">
        <f>MIN(1,MAX(VLOOKUP(($AJ18-$AI18-$AH18-$AG18-$AF18-$AE18*(1+IR$3))/$AJ18,Уголь_коэфф!$A:$B,2,1),(IQ18-0.05)))</f>
        <v>0.86</v>
      </c>
      <c r="IS18" s="102">
        <f t="shared" si="20"/>
        <v>0.96499999999999997</v>
      </c>
      <c r="IT18" s="102">
        <f t="shared" si="7"/>
        <v>0.96499999999999997</v>
      </c>
      <c r="IU18" s="110"/>
    </row>
    <row r="19" spans="1:255" ht="29.15" customHeight="1">
      <c r="A19" t="s">
        <v>241</v>
      </c>
      <c r="B19" s="133">
        <v>1</v>
      </c>
      <c r="C19" s="134" t="s">
        <v>16</v>
      </c>
      <c r="D19" s="135">
        <v>16118</v>
      </c>
      <c r="E19" s="135" t="s">
        <v>65</v>
      </c>
      <c r="F19" s="134" t="s">
        <v>18</v>
      </c>
      <c r="G19" s="134" t="s">
        <v>45</v>
      </c>
      <c r="H19" s="135" t="s">
        <v>34</v>
      </c>
      <c r="I19" s="134" t="s">
        <v>104</v>
      </c>
      <c r="J19" s="135" t="s">
        <v>105</v>
      </c>
      <c r="K19" s="135">
        <v>4838</v>
      </c>
      <c r="L19" s="135" t="s">
        <v>22</v>
      </c>
      <c r="M19" s="135" t="s">
        <v>23</v>
      </c>
      <c r="N19" s="135" t="s">
        <v>24</v>
      </c>
      <c r="O19" s="135" t="s">
        <v>36</v>
      </c>
      <c r="P19" s="138">
        <v>53037061</v>
      </c>
      <c r="Q19" s="136" t="s">
        <v>102</v>
      </c>
      <c r="R19" s="135" t="s">
        <v>103</v>
      </c>
      <c r="S19" s="139">
        <v>76356</v>
      </c>
      <c r="T19" s="137">
        <v>369416028</v>
      </c>
      <c r="U19" s="137">
        <v>1098</v>
      </c>
      <c r="V19" s="137"/>
      <c r="W19" s="140">
        <v>153835830</v>
      </c>
      <c r="X19" s="104">
        <v>69</v>
      </c>
      <c r="Y19" s="104" t="s">
        <v>163</v>
      </c>
      <c r="Z19" s="107">
        <v>11</v>
      </c>
      <c r="AA19" s="107">
        <v>12</v>
      </c>
      <c r="AB19" s="107">
        <v>4</v>
      </c>
      <c r="AC19" s="88">
        <v>2247.13</v>
      </c>
      <c r="AD19" s="88">
        <v>1039.8800000000001</v>
      </c>
      <c r="AE19" s="88">
        <f t="shared" si="24"/>
        <v>3287.01</v>
      </c>
      <c r="AF19" s="89">
        <f>'Цены,перевалка,аренда'!$C$27*SUM(Уголь_эластика_экспорт!Z19+Уголь_эластика_экспорт!AA19+Уголь_эластика_экспорт!AB19)/Уголь_эластика_экспорт!X19</f>
        <v>273.91304347826087</v>
      </c>
      <c r="AG19" s="90">
        <f>SUMIF('Цены,перевалка,аренда'!$A$20:$A$22,Уголь_эластика_экспорт!$O19,'Цены,перевалка,аренда'!$D$20:$D$22)</f>
        <v>991.97149999999988</v>
      </c>
      <c r="AH19" s="47"/>
      <c r="AI19" s="91">
        <v>2800</v>
      </c>
      <c r="AJ19" s="92">
        <f>SUMIF('Цены,перевалка,аренда'!$A$5:$A$17,Уголь_эластика_экспорт!A19,'Цены,перевалка,аренда'!$D$5:$D$17)</f>
        <v>7249.0224999999991</v>
      </c>
      <c r="AK19" s="47">
        <f>AJ19/'Цены,перевалка,аренда'!$C$1</f>
        <v>95</v>
      </c>
      <c r="AL19" s="47">
        <f t="shared" si="9"/>
        <v>4552.8945434782609</v>
      </c>
      <c r="AM19" s="47">
        <f t="shared" si="10"/>
        <v>2696.1279565217383</v>
      </c>
      <c r="AN19" s="47">
        <f t="shared" si="11"/>
        <v>7352.8945434782609</v>
      </c>
      <c r="AO19" s="93">
        <f t="shared" si="12"/>
        <v>-1.4329110370158424E-2</v>
      </c>
      <c r="AP19" s="94">
        <f t="shared" si="13"/>
        <v>0.62807013545319545</v>
      </c>
      <c r="AQ19" s="94">
        <f t="shared" si="5"/>
        <v>0.45344182612207379</v>
      </c>
      <c r="AR19" s="94">
        <f t="shared" si="6"/>
        <v>0.72196049537506601</v>
      </c>
      <c r="AS19" s="167">
        <f t="shared" si="14"/>
        <v>0.98</v>
      </c>
      <c r="AT19" s="173">
        <f t="shared" si="15"/>
        <v>74828.88</v>
      </c>
      <c r="AU19" s="97">
        <f t="shared" si="25"/>
        <v>0.95522388059701491</v>
      </c>
      <c r="AV19" s="93">
        <f t="shared" si="16"/>
        <v>-5.9673292982365927E-2</v>
      </c>
      <c r="AW19" s="94">
        <f t="shared" si="17"/>
        <v>0.67341431806540297</v>
      </c>
      <c r="AX19" s="94">
        <f t="shared" si="18"/>
        <v>0.49878600873428125</v>
      </c>
      <c r="AY19" s="94">
        <f t="shared" si="19"/>
        <v>0.74068221502507237</v>
      </c>
      <c r="AZ19" s="102">
        <f>MIN(IF($AU19=100%,1,1+VLOOKUP(($AJ19-$AI19-$AH19-$AG19-$AF19-$AE19*(1+AZ$3))/$AJ19,Уголь_коэфф!$A:$B,2,1)-VLOOKUP($AO19,Уголь_коэфф!$A:$B,2,1)),1+(1-$AU19))</f>
        <v>1.044776119402985</v>
      </c>
      <c r="BA19" s="102">
        <f>MIN(IF($AU19=100%,1,1+VLOOKUP(($AJ19-$AI19-$AH19-$AG19-$AF19-$AE19*(1+BA$3))/$AJ19,Уголь_коэфф!$A:$B,2,1)-VLOOKUP($AO19,Уголь_коэфф!$A:$B,2,1)),1+(1-$AU19))</f>
        <v>1.044776119402985</v>
      </c>
      <c r="BB19" s="102">
        <f>MIN(IF($AU19=100%,1,1+VLOOKUP(($AJ19-$AI19-$AH19-$AG19-$AF19-$AE19*(1+BB$3))/$AJ19,Уголь_коэфф!$A:$B,2,1)-VLOOKUP($AO19,Уголь_коэфф!$A:$B,2,1)),1+(1-$AU19))</f>
        <v>1.044776119402985</v>
      </c>
      <c r="BC19" s="102">
        <f>MIN(IF($AU19=100%,1,1+VLOOKUP(($AJ19-$AI19-$AH19-$AG19-$AF19-$AE19*(1+BC$3))/$AJ19,Уголь_коэфф!$A:$B,2,1)-VLOOKUP($AO19,Уголь_коэфф!$A:$B,2,1)),1+(1-$AU19))</f>
        <v>1.044776119402985</v>
      </c>
      <c r="BD19" s="102">
        <f>MIN(IF($AU19=100%,1,1+VLOOKUP(($AJ19-$AI19-$AH19-$AG19-$AF19-$AE19*(1+BD$3))/$AJ19,Уголь_коэфф!$A:$B,2,1)-VLOOKUP($AO19,Уголь_коэфф!$A:$B,2,1)),1+(1-$AU19))</f>
        <v>1.044776119402985</v>
      </c>
      <c r="BE19" s="102">
        <f>MIN(IF($AU19=100%,1,1+VLOOKUP(($AJ19-$AI19-$AH19-$AG19-$AF19-$AE19*(1+BE$3))/$AJ19,Уголь_коэфф!$A:$B,2,1)-VLOOKUP($AO19,Уголь_коэфф!$A:$B,2,1)),1+(1-$AU19))</f>
        <v>1.044776119402985</v>
      </c>
      <c r="BF19" s="102">
        <f>MIN(IF($AU19=100%,1,1+VLOOKUP(($AJ19-$AI19-$AH19-$AG19-$AF19-$AE19*(1+BF$3))/$AJ19,Уголь_коэфф!$A:$B,2,1)-VLOOKUP($AO19,Уголь_коэфф!$A:$B,2,1)),1+(1-$AU19))</f>
        <v>1.044776119402985</v>
      </c>
      <c r="BG19" s="102">
        <f>MIN(IF($AU19=100%,1,1+VLOOKUP(($AJ19-$AI19-$AH19-$AG19-$AF19-$AE19*(1+BG$3))/$AJ19,Уголь_коэфф!$A:$B,2,1)-VLOOKUP($AO19,Уголь_коэфф!$A:$B,2,1)),1+(1-$AU19))</f>
        <v>1.044776119402985</v>
      </c>
      <c r="BH19" s="102">
        <f>MIN(IF($AU19=100%,1,1+VLOOKUP(($AJ19-$AI19-$AH19-$AG19-$AF19-$AE19*(1+BH$3))/$AJ19,Уголь_коэфф!$A:$B,2,1)-VLOOKUP($AO19,Уголь_коэфф!$A:$B,2,1)),1+(1-$AU19))</f>
        <v>1.044776119402985</v>
      </c>
      <c r="BI19" s="102">
        <f>MIN(IF($AU19=100%,1,1+VLOOKUP(($AJ19-$AI19-$AH19-$AG19-$AF19-$AE19*(1+BI$3))/$AJ19,Уголь_коэфф!$A:$B,2,1)-VLOOKUP($AO19,Уголь_коэфф!$A:$B,2,1)),1+(1-$AU19))</f>
        <v>1.044776119402985</v>
      </c>
      <c r="BJ19" s="102">
        <f>MIN(IF($AU19=100%,1,1+VLOOKUP(($AJ19-$AI19-$AH19-$AG19-$AF19-$AE19*(1+BJ$3))/$AJ19,Уголь_коэфф!$A:$B,2,1)-VLOOKUP($AO19,Уголь_коэфф!$A:$B,2,1)),1+(1-$AU19))</f>
        <v>1.044776119402985</v>
      </c>
      <c r="BK19" s="102">
        <f>MIN(IF($AU19=100%,1,1+VLOOKUP(($AJ19-$AI19-$AH19-$AG19-$AF19-$AE19*(1+BK$3))/$AJ19,Уголь_коэфф!$A:$B,2,1)-VLOOKUP($AO19,Уголь_коэфф!$A:$B,2,1)),1+(1-$AU19))</f>
        <v>1.044776119402985</v>
      </c>
      <c r="BL19" s="102">
        <f>MIN(IF($AU19=100%,1,1+VLOOKUP(($AJ19-$AI19-$AH19-$AG19-$AF19-$AE19*(1+BL$3))/$AJ19,Уголь_коэфф!$A:$B,2,1)-VLOOKUP($AO19,Уголь_коэфф!$A:$B,2,1)),1+(1-$AU19))</f>
        <v>1.044776119402985</v>
      </c>
      <c r="BM19" s="102">
        <f>MIN(IF($AU19=100%,1,1+VLOOKUP(($AJ19-$AI19-$AH19-$AG19-$AF19-$AE19*(1+BM$3))/$AJ19,Уголь_коэфф!$A:$B,2,1)-VLOOKUP($AO19,Уголь_коэфф!$A:$B,2,1)),1+(1-$AU19))</f>
        <v>1.044776119402985</v>
      </c>
      <c r="BN19" s="102">
        <f>MIN(IF($AU19=100%,1,1+VLOOKUP(($AJ19-$AI19-$AH19-$AG19-$AF19-$AE19*(1+BN$3))/$AJ19,Уголь_коэфф!$A:$B,2,1)-VLOOKUP($AO19,Уголь_коэфф!$A:$B,2,1)),1+(1-$AU19))</f>
        <v>1.044776119402985</v>
      </c>
      <c r="BO19" s="102">
        <f>MIN(IF($AU19=100%,1,1+VLOOKUP(($AJ19-$AI19-$AH19-$AG19-$AF19-$AE19*(1+BO$3))/$AJ19,Уголь_коэфф!$A:$B,2,1)-VLOOKUP($AO19,Уголь_коэфф!$A:$B,2,1)),1+(1-$AU19))</f>
        <v>1.044776119402985</v>
      </c>
      <c r="BP19" s="102">
        <f>MIN(IF($AU19=100%,1,1+VLOOKUP(($AJ19-$AI19-$AH19-$AG19-$AF19-$AE19*(1+BP$3))/$AJ19,Уголь_коэфф!$A:$B,2,1)-VLOOKUP($AO19,Уголь_коэфф!$A:$B,2,1)),1+(1-$AU19))</f>
        <v>1.044776119402985</v>
      </c>
      <c r="BQ19" s="102">
        <f>MIN(IF($AU19=100%,1,1+VLOOKUP(($AJ19-$AI19-$AH19-$AG19-$AF19-$AE19*(1+BQ$3))/$AJ19,Уголь_коэфф!$A:$B,2,1)-VLOOKUP($AO19,Уголь_коэфф!$A:$B,2,1)),1+(1-$AU19))</f>
        <v>1.044776119402985</v>
      </c>
      <c r="BR19" s="102">
        <f>MIN(IF($AU19=100%,1,1+VLOOKUP(($AJ19-$AI19-$AH19-$AG19-$AF19-$AE19*(1+BR$3))/$AJ19,Уголь_коэфф!$A:$B,2,1)-VLOOKUP($AO19,Уголь_коэфф!$A:$B,2,1)),1+(1-$AU19))</f>
        <v>1.044776119402985</v>
      </c>
      <c r="BS19" s="102">
        <f>MIN(IF($AU19=100%,1,1+VLOOKUP(($AJ19-$AI19-$AH19-$AG19-$AF19-$AE19*(1+BS$3))/$AJ19,Уголь_коэфф!$A:$B,2,1)-VLOOKUP($AO19,Уголь_коэфф!$A:$B,2,1)),1+(1-$AU19))</f>
        <v>1.044776119402985</v>
      </c>
      <c r="BT19" s="102">
        <f>MIN(IF($AU19=100%,1,1+VLOOKUP(($AJ19-$AI19-$AH19-$AG19-$AF19-$AE19*(1+BT$3))/$AJ19,Уголь_коэфф!$A:$B,2,1)-VLOOKUP($AO19,Уголь_коэфф!$A:$B,2,1)),1+(1-$AU19))</f>
        <v>1.044776119402985</v>
      </c>
      <c r="BU19" s="102">
        <f>MIN(IF($AU19=100%,1,1+VLOOKUP(($AJ19-$AI19-$AH19-$AG19-$AF19-$AE19*(1+BU$3))/$AJ19,Уголь_коэфф!$A:$B,2,1)-VLOOKUP($AO19,Уголь_коэфф!$A:$B,2,1)),1+(1-$AU19))</f>
        <v>1.044776119402985</v>
      </c>
      <c r="BV19" s="102">
        <f>MIN(IF($AU19=100%,1,1+VLOOKUP(($AJ19-$AI19-$AH19-$AG19-$AF19-$AE19*(1+BV$3))/$AJ19,Уголь_коэфф!$A:$B,2,1)-VLOOKUP($AO19,Уголь_коэфф!$A:$B,2,1)),1+(1-$AU19))</f>
        <v>1.044776119402985</v>
      </c>
      <c r="BW19" s="102">
        <f>MIN(IF($AU19=100%,1,1+VLOOKUP(($AJ19-$AI19-$AH19-$AG19-$AF19-$AE19*(1+BW$3))/$AJ19,Уголь_коэфф!$A:$B,2,1)-VLOOKUP($AO19,Уголь_коэфф!$A:$B,2,1)),1+(1-$AU19))</f>
        <v>1.044776119402985</v>
      </c>
      <c r="BX19" s="102">
        <f>MIN(IF($AU19=100%,1,1+VLOOKUP(($AJ19-$AI19-$AH19-$AG19-$AF19-$AE19*(1+BX$3))/$AJ19,Уголь_коэфф!$A:$B,2,1)-VLOOKUP($AO19,Уголь_коэфф!$A:$B,2,1)),1+(1-$AU19))</f>
        <v>1.044776119402985</v>
      </c>
      <c r="BY19" s="102">
        <f>MIN(IF($AU19=100%,1,1+VLOOKUP(($AJ19-$AI19-$AH19-$AG19-$AF19-$AE19*(1+BY$3))/$AJ19,Уголь_коэфф!$A:$B,2,1)-VLOOKUP($AO19,Уголь_коэфф!$A:$B,2,1)),1+(1-$AU19))</f>
        <v>1.044776119402985</v>
      </c>
      <c r="BZ19" s="102">
        <f>MIN(IF($AU19=100%,1,1+VLOOKUP(($AJ19-$AI19-$AH19-$AG19-$AF19-$AE19*(1+BZ$3))/$AJ19,Уголь_коэфф!$A:$B,2,1)-VLOOKUP($AO19,Уголь_коэфф!$A:$B,2,1)),1+(1-$AU19))</f>
        <v>1.044776119402985</v>
      </c>
      <c r="CA19" s="102">
        <f>MIN(IF($AU19=100%,1,1+VLOOKUP(($AJ19-$AI19-$AH19-$AG19-$AF19-$AE19*(1+CA$3))/$AJ19,Уголь_коэфф!$A:$B,2,1)-VLOOKUP($AO19,Уголь_коэфф!$A:$B,2,1)),1+(1-$AU19))</f>
        <v>1.044776119402985</v>
      </c>
      <c r="CB19" s="102">
        <f>MIN(IF($AU19=100%,1,1+VLOOKUP(($AJ19-$AI19-$AH19-$AG19-$AF19-$AE19*(1+CB$3))/$AJ19,Уголь_коэфф!$A:$B,2,1)-VLOOKUP($AO19,Уголь_коэфф!$A:$B,2,1)),1+(1-$AU19))</f>
        <v>1.044776119402985</v>
      </c>
      <c r="CC19" s="102">
        <f>MIN(IF($AU19=100%,1,1+VLOOKUP(($AJ19-$AI19-$AH19-$AG19-$AF19-$AE19*(1+CC$3))/$AJ19,Уголь_коэфф!$A:$B,2,1)-VLOOKUP($AO19,Уголь_коэфф!$A:$B,2,1)),1+(1-$AU19))</f>
        <v>1.044776119402985</v>
      </c>
      <c r="CD19" s="102">
        <f>MIN(IF($AU19=100%,1,1+VLOOKUP(($AJ19-$AI19-$AH19-$AG19-$AF19-$AE19*(1+CD$3))/$AJ19,Уголь_коэфф!$A:$B,2,1)-VLOOKUP($AO19,Уголь_коэфф!$A:$B,2,1)),1+(1-$AU19))</f>
        <v>1.044776119402985</v>
      </c>
      <c r="CE19" s="102">
        <f>MIN(IF($AU19=100%,1,1+VLOOKUP(($AJ19-$AI19-$AH19-$AG19-$AF19-$AE19*(1+CE$3))/$AJ19,Уголь_коэфф!$A:$B,2,1)-VLOOKUP($AO19,Уголь_коэфф!$A:$B,2,1)),1+(1-$AU19))</f>
        <v>1.044776119402985</v>
      </c>
      <c r="CF19" s="102">
        <f>MIN(IF($AU19=100%,1,1+VLOOKUP(($AJ19-$AI19-$AH19-$AG19-$AF19-$AE19*(1+CF$3))/$AJ19,Уголь_коэфф!$A:$B,2,1)-VLOOKUP($AO19,Уголь_коэфф!$A:$B,2,1)),1+(1-$AU19))</f>
        <v>1.044776119402985</v>
      </c>
      <c r="CG19" s="102">
        <f>MIN(IF($AU19=100%,1,1+VLOOKUP(($AJ19-$AI19-$AH19-$AG19-$AF19-$AE19*(1+CG$3))/$AJ19,Уголь_коэфф!$A:$B,2,1)-VLOOKUP($AO19,Уголь_коэфф!$A:$B,2,1)),1+(1-$AU19))</f>
        <v>1.044776119402985</v>
      </c>
      <c r="CH19" s="102">
        <f>MIN(IF($AU19=100%,1,1+VLOOKUP(($AJ19-$AI19-$AH19-$AG19-$AF19-$AE19*(1+CH$3))/$AJ19,Уголь_коэфф!$A:$B,2,1)-VLOOKUP($AO19,Уголь_коэфф!$A:$B,2,1)),1+(1-$AU19))</f>
        <v>1.044776119402985</v>
      </c>
      <c r="CI19" s="102">
        <f>MIN(IF($AU19=100%,1,1+VLOOKUP(($AJ19-$AI19-$AH19-$AG19-$AF19-$AE19*(1+CI$3))/$AJ19,Уголь_коэфф!$A:$B,2,1)-VLOOKUP($AO19,Уголь_коэфф!$A:$B,2,1)),1+(1-$AU19))</f>
        <v>1.044776119402985</v>
      </c>
      <c r="CJ19" s="102">
        <f>MIN(IF($AU19=100%,1,1+VLOOKUP(($AJ19-$AI19-$AH19-$AG19-$AF19-$AE19*(1+CJ$3))/$AJ19,Уголь_коэфф!$A:$B,2,1)-VLOOKUP($AO19,Уголь_коэфф!$A:$B,2,1)),1+(1-$AU19))</f>
        <v>1.044776119402985</v>
      </c>
      <c r="CK19" s="102">
        <f>MIN(IF($AU19=100%,1,1+VLOOKUP(($AJ19-$AI19-$AH19-$AG19-$AF19-$AE19*(1+CK$3))/$AJ19,Уголь_коэфф!$A:$B,2,1)-VLOOKUP($AO19,Уголь_коэфф!$A:$B,2,1)),1+(1-$AU19))</f>
        <v>1.044776119402985</v>
      </c>
      <c r="CL19" s="102">
        <f>MIN(IF($AU19=100%,1,1+VLOOKUP(($AJ19-$AI19-$AH19-$AG19-$AF19-$AE19*(1+CL$3))/$AJ19,Уголь_коэфф!$A:$B,2,1)-VLOOKUP($AO19,Уголь_коэфф!$A:$B,2,1)),1+(1-$AU19))</f>
        <v>1.044776119402985</v>
      </c>
      <c r="CM19" s="102">
        <f>MIN(IF($AU19=100%,1,1+VLOOKUP(($AJ19-$AI19-$AH19-$AG19-$AF19-$AE19*(1+CM$3))/$AJ19,Уголь_коэфф!$A:$B,2,1)-VLOOKUP($AO19,Уголь_коэфф!$A:$B,2,1)),1+(1-$AU19))</f>
        <v>1.044776119402985</v>
      </c>
      <c r="CN19" s="102">
        <f>MIN(IF($AU19=100%,1,1+VLOOKUP(($AJ19-$AI19-$AH19-$AG19-$AF19-$AE19*(1+CN$3))/$AJ19,Уголь_коэфф!$A:$B,2,1)-VLOOKUP($AO19,Уголь_коэфф!$A:$B,2,1)),1+(1-$AU19))</f>
        <v>1.044776119402985</v>
      </c>
      <c r="CO19" s="102">
        <f>MIN(IF($AU19=100%,1,1+VLOOKUP(($AJ19-$AI19-$AH19-$AG19-$AF19-$AE19*(1+CO$3))/$AJ19,Уголь_коэфф!$A:$B,2,1)-VLOOKUP($AO19,Уголь_коэфф!$A:$B,2,1)),1+(1-$AU19))</f>
        <v>1.044776119402985</v>
      </c>
      <c r="CP19" s="102">
        <f>MIN(IF($AU19=100%,1,1+VLOOKUP(($AJ19-$AI19-$AH19-$AG19-$AF19-$AE19*(1+CP$3))/$AJ19,Уголь_коэфф!$A:$B,2,1)-VLOOKUP($AO19,Уголь_коэфф!$A:$B,2,1)),1+(1-$AU19))</f>
        <v>1.044776119402985</v>
      </c>
      <c r="CQ19" s="102">
        <f>MIN(IF($AU19=100%,1,1+VLOOKUP(($AJ19-$AI19-$AH19-$AG19-$AF19-$AE19*(1+CQ$3))/$AJ19,Уголь_коэфф!$A:$B,2,1)-VLOOKUP($AO19,Уголь_коэфф!$A:$B,2,1)),1+(1-$AU19))</f>
        <v>1.044776119402985</v>
      </c>
      <c r="CR19" s="102">
        <f>MIN(IF($AU19=100%,1,1+VLOOKUP(($AJ19-$AI19-$AH19-$AG19-$AF19-$AE19*(1+CR$3))/$AJ19,Уголь_коэфф!$A:$B,2,1)-VLOOKUP($AO19,Уголь_коэфф!$A:$B,2,1)),1+(1-$AU19))</f>
        <v>1.044776119402985</v>
      </c>
      <c r="CS19" s="102">
        <f>MIN(IF($AU19=100%,1,1+VLOOKUP(($AJ19-$AI19-$AH19-$AG19-$AF19-$AE19*(1+CS$3))/$AJ19,Уголь_коэфф!$A:$B,2,1)-VLOOKUP($AO19,Уголь_коэфф!$A:$B,2,1)),1+(1-$AU19))</f>
        <v>1.044776119402985</v>
      </c>
      <c r="CT19" s="102">
        <f>MIN(IF($AU19=100%,1,1+VLOOKUP(($AJ19-$AI19-$AH19-$AG19-$AF19-$AE19*(1+CT$3))/$AJ19,Уголь_коэфф!$A:$B,2,1)-VLOOKUP($AO19,Уголь_коэфф!$A:$B,2,1)),1+(1-$AU19))</f>
        <v>1.04</v>
      </c>
      <c r="CU19" s="102">
        <f>MIN(IF($AU19=100%,1,1+VLOOKUP(($AJ19-$AI19-$AH19-$AG19-$AF19-$AE19*(1+CU$3))/$AJ19,Уголь_коэфф!$A:$B,2,1)-VLOOKUP($AO19,Уголь_коэфф!$A:$B,2,1)),1+(1-$AU19))</f>
        <v>1.04</v>
      </c>
      <c r="CV19" s="102">
        <f>MIN(IF($AU19=100%,1,1+VLOOKUP(($AJ19-$AI19-$AH19-$AG19-$AF19-$AE19*(1+CV$3))/$AJ19,Уголь_коэфф!$A:$B,2,1)-VLOOKUP($AO19,Уголь_коэфф!$A:$B,2,1)),1+(1-$AU19))</f>
        <v>1.04</v>
      </c>
      <c r="CW19" s="102">
        <f>MIN(IF($AU19=100%,1,1+VLOOKUP(($AJ19-$AI19-$AH19-$AG19-$AF19-$AE19*(1+CW$3))/$AJ19,Уголь_коэфф!$A:$B,2,1)-VLOOKUP($AO19,Уголь_коэфф!$A:$B,2,1)),1+(1-$AU19))</f>
        <v>1.04</v>
      </c>
      <c r="CX19" s="102">
        <f>MIN(IF($AU19=100%,1,1+VLOOKUP(($AJ19-$AI19-$AH19-$AG19-$AF19-$AE19*(1+CX$3))/$AJ19,Уголь_коэфф!$A:$B,2,1)-VLOOKUP($AO19,Уголь_коэфф!$A:$B,2,1)),1+(1-$AU19))</f>
        <v>1.0350000000000001</v>
      </c>
      <c r="CY19" s="102">
        <f>MIN(IF($AU19=100%,1,1+VLOOKUP(($AJ19-$AI19-$AH19-$AG19-$AF19-$AE19*(1+CY$3))/$AJ19,Уголь_коэфф!$A:$B,2,1)-VLOOKUP($AO19,Уголь_коэфф!$A:$B,2,1)),1+(1-$AU19))</f>
        <v>1.0350000000000001</v>
      </c>
      <c r="CZ19" s="102">
        <f>MIN(IF($AU19=100%,1,1+VLOOKUP(($AJ19-$AI19-$AH19-$AG19-$AF19-$AE19*(1+CZ$3))/$AJ19,Уголь_коэфф!$A:$B,2,1)-VLOOKUP($AO19,Уголь_коэфф!$A:$B,2,1)),1+(1-$AU19))</f>
        <v>1.0350000000000001</v>
      </c>
      <c r="DA19" s="102">
        <f>MIN(IF($AU19=100%,1,1+VLOOKUP(($AJ19-$AI19-$AH19-$AG19-$AF19-$AE19*(1+DA$3))/$AJ19,Уголь_коэфф!$A:$B,2,1)-VLOOKUP($AO19,Уголь_коэфф!$A:$B,2,1)),1+(1-$AU19))</f>
        <v>1.0350000000000001</v>
      </c>
      <c r="DB19" s="102">
        <f>MIN(IF($AU19=100%,1,1+VLOOKUP(($AJ19-$AI19-$AH19-$AG19-$AF19-$AE19*(1+DB$3))/$AJ19,Уголь_коэфф!$A:$B,2,1)-VLOOKUP($AO19,Уголь_коэфф!$A:$B,2,1)),1+(1-$AU19))</f>
        <v>1.0300000000000002</v>
      </c>
      <c r="DC19" s="102">
        <f>MIN(IF($AU19=100%,1,1+VLOOKUP(($AJ19-$AI19-$AH19-$AG19-$AF19-$AE19*(1+DC$3))/$AJ19,Уголь_коэфф!$A:$B,2,1)-VLOOKUP($AO19,Уголь_коэфф!$A:$B,2,1)),1+(1-$AU19))</f>
        <v>1.0300000000000002</v>
      </c>
      <c r="DD19" s="102">
        <f>MIN(IF($AU19=100%,1,1+VLOOKUP(($AJ19-$AI19-$AH19-$AG19-$AF19-$AE19*(1+DD$3))/$AJ19,Уголь_коэфф!$A:$B,2,1)-VLOOKUP($AO19,Уголь_коэфф!$A:$B,2,1)),1+(1-$AU19))</f>
        <v>1.0300000000000002</v>
      </c>
      <c r="DE19" s="102">
        <f>MIN(IF($AU19=100%,1,1+VLOOKUP(($AJ19-$AI19-$AH19-$AG19-$AF19-$AE19*(1+DE$3))/$AJ19,Уголь_коэфф!$A:$B,2,1)-VLOOKUP($AO19,Уголь_коэфф!$A:$B,2,1)),1+(1-$AU19))</f>
        <v>1.0300000000000002</v>
      </c>
      <c r="DF19" s="102">
        <f>MIN(IF($AU19=100%,1,1+VLOOKUP(($AJ19-$AI19-$AH19-$AG19-$AF19-$AE19*(1+DF$3))/$AJ19,Уголь_коэфф!$A:$B,2,1)-VLOOKUP($AO19,Уголь_коэфф!$A:$B,2,1)),1+(1-$AU19))</f>
        <v>1.0300000000000002</v>
      </c>
      <c r="DG19" s="102">
        <f>MIN(IF($AU19=100%,1,1+VLOOKUP(($AJ19-$AI19-$AH19-$AG19-$AF19-$AE19*(1+DG$3))/$AJ19,Уголь_коэфф!$A:$B,2,1)-VLOOKUP($AO19,Уголь_коэфф!$A:$B,2,1)),1+(1-$AU19))</f>
        <v>1.0249999999999999</v>
      </c>
      <c r="DH19" s="102">
        <f>MIN(IF($AU19=100%,1,1+VLOOKUP(($AJ19-$AI19-$AH19-$AG19-$AF19-$AE19*(1+DH$3))/$AJ19,Уголь_коэфф!$A:$B,2,1)-VLOOKUP($AO19,Уголь_коэфф!$A:$B,2,1)),1+(1-$AU19))</f>
        <v>1.0249999999999999</v>
      </c>
      <c r="DI19" s="102">
        <f>MIN(IF($AU19=100%,1,1+VLOOKUP(($AJ19-$AI19-$AH19-$AG19-$AF19-$AE19*(1+DI$3))/$AJ19,Уголь_коэфф!$A:$B,2,1)-VLOOKUP($AO19,Уголь_коэфф!$A:$B,2,1)),1+(1-$AU19))</f>
        <v>1.0249999999999999</v>
      </c>
      <c r="DJ19" s="102">
        <f>MIN(IF($AU19=100%,1,1+VLOOKUP(($AJ19-$AI19-$AH19-$AG19-$AF19-$AE19*(1+DJ$3))/$AJ19,Уголь_коэфф!$A:$B,2,1)-VLOOKUP($AO19,Уголь_коэфф!$A:$B,2,1)),1+(1-$AU19))</f>
        <v>1.0249999999999999</v>
      </c>
      <c r="DK19" s="102">
        <f>MIN(IF($AU19=100%,1,1+VLOOKUP(($AJ19-$AI19-$AH19-$AG19-$AF19-$AE19*(1+DK$3))/$AJ19,Уголь_коэфф!$A:$B,2,1)-VLOOKUP($AO19,Уголь_коэфф!$A:$B,2,1)),1+(1-$AU19))</f>
        <v>1.0249999999999999</v>
      </c>
      <c r="DL19" s="102">
        <f>MIN(IF($AU19=100%,1,1+VLOOKUP(($AJ19-$AI19-$AH19-$AG19-$AF19-$AE19*(1+DL$3))/$AJ19,Уголь_коэфф!$A:$B,2,1)-VLOOKUP($AO19,Уголь_коэфф!$A:$B,2,1)),1+(1-$AU19))</f>
        <v>1.0249999999999999</v>
      </c>
      <c r="DM19" s="102">
        <f>MIN(IF($AU19=100%,1,1+VLOOKUP(($AJ19-$AI19-$AH19-$AG19-$AF19-$AE19*(1+DM$3))/$AJ19,Уголь_коэфф!$A:$B,2,1)-VLOOKUP($AO19,Уголь_коэфф!$A:$B,2,1)),1+(1-$AU19))</f>
        <v>1.0249999999999999</v>
      </c>
      <c r="DN19" s="102">
        <f>MIN(IF($AU19=100%,1,1+VLOOKUP(($AJ19-$AI19-$AH19-$AG19-$AF19-$AE19*(1+DN$3))/$AJ19,Уголь_коэфф!$A:$B,2,1)-VLOOKUP($AO19,Уголь_коэфф!$A:$B,2,1)),1+(1-$AU19))</f>
        <v>1.0249999999999999</v>
      </c>
      <c r="DO19" s="102">
        <f>MIN(IF($AU19=100%,1,1+VLOOKUP(($AJ19-$AI19-$AH19-$AG19-$AF19-$AE19*(1+DO$3))/$AJ19,Уголь_коэфф!$A:$B,2,1)-VLOOKUP($AO19,Уголь_коэфф!$A:$B,2,1)),1+(1-$AU19))</f>
        <v>1.0249999999999999</v>
      </c>
      <c r="DP19" s="102">
        <f>MIN(IF($AU19=100%,1,1+VLOOKUP(($AJ19-$AI19-$AH19-$AG19-$AF19-$AE19*(1+DP$3))/$AJ19,Уголь_коэфф!$A:$B,2,1)-VLOOKUP($AO19,Уголь_коэфф!$A:$B,2,1)),1+(1-$AU19))</f>
        <v>1.0249999999999999</v>
      </c>
      <c r="DQ19" s="102">
        <f>MIN(IF($AU19=100%,1,1+VLOOKUP(($AJ19-$AI19-$AH19-$AG19-$AF19-$AE19*(1+DQ$3))/$AJ19,Уголь_коэфф!$A:$B,2,1)-VLOOKUP($AO19,Уголь_коэфф!$A:$B,2,1)),1+(1-$AU19))</f>
        <v>1.0249999999999999</v>
      </c>
      <c r="DR19" s="102">
        <f>MIN(IF($AU19=100%,1,1+VLOOKUP(($AJ19-$AI19-$AH19-$AG19-$AF19-$AE19*(1+DR$3))/$AJ19,Уголь_коэфф!$A:$B,2,1)-VLOOKUP($AO19,Уголь_коэфф!$A:$B,2,1)),1+(1-$AU19))</f>
        <v>1.0249999999999999</v>
      </c>
      <c r="DS19" s="102">
        <f>MIN(IF($AU19=100%,1,1+VLOOKUP(($AJ19-$AI19-$AH19-$AG19-$AF19-$AE19*(1+DS$3))/$AJ19,Уголь_коэфф!$A:$B,2,1)-VLOOKUP($AO19,Уголь_коэфф!$A:$B,2,1)),1+(1-$AU19))</f>
        <v>1.0249999999999999</v>
      </c>
      <c r="DT19" s="102">
        <f>MIN(IF($AU19=100%,1,1+VLOOKUP(($AJ19-$AI19-$AH19-$AG19-$AF19-$AE19*(1+DT$3))/$AJ19,Уголь_коэфф!$A:$B,2,1)-VLOOKUP($AO19,Уголь_коэфф!$A:$B,2,1)),1+(1-$AU19))</f>
        <v>1</v>
      </c>
      <c r="DU19" s="102">
        <f>MIN(IF($AU19=100%,1,1+VLOOKUP(($AJ19-$AI19-$AH19-$AG19-$AF19-$AE19*(1+DU$3))/$AJ19,Уголь_коэфф!$A:$B,2,1)-VLOOKUP($AO19,Уголь_коэфф!$A:$B,2,1)),1+(1-$AU19))</f>
        <v>1</v>
      </c>
      <c r="DV19" s="102">
        <f>MIN(IF($AU19=100%,1,1+VLOOKUP(($AJ19-$AI19-$AH19-$AG19-$AF19-$AE19*(1+DV$3))/$AJ19,Уголь_коэфф!$A:$B,2,1)-VLOOKUP($AO19,Уголь_коэфф!$A:$B,2,1)),1+(1-$AU19))</f>
        <v>1</v>
      </c>
      <c r="DW19" s="102">
        <f>MIN(IF($AU19=100%,1,1+VLOOKUP(($AJ19-$AI19-$AH19-$AG19-$AF19-$AE19*(1+DW$3))/$AJ19,Уголь_коэфф!$A:$B,2,1)-VLOOKUP($AO19,Уголь_коэфф!$A:$B,2,1)),1+(1-$AU19))</f>
        <v>1</v>
      </c>
      <c r="DX19" s="102">
        <f>MIN(IF($AU19=100%,1,1+VLOOKUP(($AJ19-$AI19-$AH19-$AG19-$AF19-$AE19*(1+DX$3))/$AJ19,Уголь_коэфф!$A:$B,2,1)-VLOOKUP($AO19,Уголь_коэфф!$A:$B,2,1)),1+(1-$AU19))</f>
        <v>1</v>
      </c>
      <c r="DY19" s="102">
        <f>MIN(IF($AU19=100%,1,1+VLOOKUP(($AJ19-$AI19-$AH19-$AG19-$AF19-$AE19*(1+DY$3))/$AJ19,Уголь_коэфф!$A:$B,2,1)-VLOOKUP($AO19,Уголь_коэфф!$A:$B,2,1)),1+(1-$AU19))</f>
        <v>1</v>
      </c>
      <c r="DZ19" s="102">
        <f>MIN(IF($AU19=100%,1,1+VLOOKUP(($AJ19-$AI19-$AH19-$AG19-$AF19-$AE19*(1+DZ$3))/$AJ19,Уголь_коэфф!$A:$B,2,1)-VLOOKUP($AO19,Уголь_коэфф!$A:$B,2,1)),1+(1-$AU19))</f>
        <v>1</v>
      </c>
      <c r="EA19" s="102">
        <f>MIN(IF($AU19=100%,1,1+VLOOKUP(($AJ19-$AI19-$AH19-$AG19-$AF19-$AE19*(1+EA$3))/$AJ19,Уголь_коэфф!$A:$B,2,1)-VLOOKUP($AO19,Уголь_коэфф!$A:$B,2,1)),1+(1-$AU19))</f>
        <v>1</v>
      </c>
      <c r="EB19" s="102">
        <f>MIN(IF($AU19=100%,1,1+VLOOKUP(($AJ19-$AI19-$AH19-$AG19-$AF19-$AE19*(1+EB$3))/$AJ19,Уголь_коэфф!$A:$B,2,1)-VLOOKUP($AO19,Уголь_коэфф!$A:$B,2,1)),1+(1-$AU19))</f>
        <v>1</v>
      </c>
      <c r="EC19" s="102">
        <f>MIN(IF($AU19=100%,1,1+VLOOKUP(($AJ19-$AI19-$AH19-$AG19-$AF19-$AE19*(1+EC$3))/$AJ19,Уголь_коэфф!$A:$B,2,1)-VLOOKUP($AO19,Уголь_коэфф!$A:$B,2,1)),1+(1-$AU19))</f>
        <v>1</v>
      </c>
      <c r="ED19" s="102">
        <f>MIN(IF($AU19=100%,1,1+VLOOKUP(($AJ19-$AI19-$AH19-$AG19-$AF19-$AE19*(1+ED$3))/$AJ19,Уголь_коэфф!$A:$B,2,1)-VLOOKUP($AO19,Уголь_коэфф!$A:$B,2,1)),1+(1-$AU19))</f>
        <v>1</v>
      </c>
      <c r="EE19" s="102">
        <f>MIN(IF($AU19=100%,1,1+VLOOKUP(($AJ19-$AI19-$AH19-$AG19-$AF19-$AE19*(1+EE$3))/$AJ19,Уголь_коэфф!$A:$B,2,1)-VLOOKUP($AO19,Уголь_коэфф!$A:$B,2,1)),1+(1-$AU19))</f>
        <v>1</v>
      </c>
      <c r="EF19" s="102">
        <f>MIN(IF($AU19=100%,1,1+VLOOKUP(($AJ19-$AI19-$AH19-$AG19-$AF19-$AE19*(1+EF$3))/$AJ19,Уголь_коэфф!$A:$B,2,1)-VLOOKUP($AO19,Уголь_коэфф!$A:$B,2,1)),1+(1-$AU19))</f>
        <v>1</v>
      </c>
      <c r="EG19" s="102">
        <f>MIN(IF($AU19=100%,1,1+VLOOKUP(($AJ19-$AI19-$AH19-$AG19-$AF19-$AE19*(1+EG$3))/$AJ19,Уголь_коэфф!$A:$B,2,1)-VLOOKUP($AO19,Уголь_коэфф!$A:$B,2,1)),1+(1-$AU19))</f>
        <v>1</v>
      </c>
      <c r="EH19" s="102">
        <f>MIN(IF($AU19=100%,1,1+VLOOKUP(($AJ19-$AI19-$AH19-$AG19-$AF19-$AE19*(1+EH$3))/$AJ19,Уголь_коэфф!$A:$B,2,1)-VLOOKUP($AO19,Уголь_коэфф!$A:$B,2,1)),1+(1-$AU19))</f>
        <v>1</v>
      </c>
      <c r="EI19" s="102">
        <f>MIN(IF($AU19=100%,1,1+VLOOKUP(($AJ19-$AI19-$AH19-$AG19-$AF19-$AE19*(1+EI$3))/$AJ19,Уголь_коэфф!$A:$B,2,1)-VLOOKUP($AO19,Уголь_коэфф!$A:$B,2,1)),1+(1-$AU19))</f>
        <v>1</v>
      </c>
      <c r="EJ19" s="102">
        <f>MIN(IF($AU19=100%,1,1+VLOOKUP(($AJ19-$AI19-$AH19-$AG19-$AF19-$AE19*(1+EJ$3))/$AJ19,Уголь_коэфф!$A:$B,2,1)-VLOOKUP($AO19,Уголь_коэфф!$A:$B,2,1)),1+(1-$AU19))</f>
        <v>1</v>
      </c>
      <c r="EK19" s="102">
        <f>MIN(IF($AU19=100%,1,1+VLOOKUP(($AJ19-$AI19-$AH19-$AG19-$AF19-$AE19*(1+EK$3))/$AJ19,Уголь_коэфф!$A:$B,2,1)-VLOOKUP($AO19,Уголь_коэфф!$A:$B,2,1)),1+(1-$AU19))</f>
        <v>1</v>
      </c>
      <c r="EL19" s="102">
        <f>MIN(IF($AU19=100%,1,1+VLOOKUP(($AJ19-$AI19-$AH19-$AG19-$AF19-$AE19*(1+EL$3))/$AJ19,Уголь_коэфф!$A:$B,2,1)-VLOOKUP($AO19,Уголь_коэфф!$A:$B,2,1)),1+(1-$AU19))</f>
        <v>1</v>
      </c>
      <c r="EM19" s="102">
        <f>MIN(IF($AU19=100%,1,1+VLOOKUP(($AJ19-$AI19-$AH19-$AG19-$AF19-$AE19*(1+EM$3))/$AJ19,Уголь_коэфф!$A:$B,2,1)-VLOOKUP($AO19,Уголь_коэфф!$A:$B,2,1)),1+(1-$AU19))</f>
        <v>1</v>
      </c>
      <c r="EN19" s="102">
        <f>MIN(IF($AU19=100%,1,1+VLOOKUP(($AJ19-$AI19-$AH19-$AG19-$AF19-$AE19*(1+EN$3))/$AJ19,Уголь_коэфф!$A:$B,2,1)-VLOOKUP($AO19,Уголь_коэфф!$A:$B,2,1)),1+(1-$AU19))</f>
        <v>1</v>
      </c>
      <c r="EO19" s="102">
        <f>MIN(IF($AU19=100%,1,1+VLOOKUP(($AJ19-$AI19-$AH19-$AG19-$AF19-$AE19*(1+EO$3))/$AJ19,Уголь_коэфф!$A:$B,2,1)-VLOOKUP($AO19,Уголь_коэфф!$A:$B,2,1)),1+(1-$AU19))</f>
        <v>1</v>
      </c>
      <c r="EP19" s="102">
        <f>MIN(IF($AU19=100%,1,1+VLOOKUP(($AJ19-$AI19-$AH19-$AG19-$AF19-$AE19*(1+EP$3))/$AJ19,Уголь_коэфф!$A:$B,2,1)-VLOOKUP($AO19,Уголь_коэфф!$A:$B,2,1)),1+(1-$AU19))</f>
        <v>1</v>
      </c>
      <c r="EQ19" s="102">
        <f>MIN(IF($AU19=100%,1,1+VLOOKUP(($AJ19-$AI19-$AH19-$AG19-$AF19-$AE19*(1+EQ$3))/$AJ19,Уголь_коэфф!$A:$B,2,1)-VLOOKUP($AO19,Уголь_коэфф!$A:$B,2,1)),1+(1-$AU19))</f>
        <v>1</v>
      </c>
      <c r="ER19" s="102">
        <f>MIN(IF($AU19=100%,1,1+VLOOKUP(($AJ19-$AI19-$AH19-$AG19-$AF19-$AE19*(1+ER$3))/$AJ19,Уголь_коэфф!$A:$B,2,1)-VLOOKUP($AO19,Уголь_коэфф!$A:$B,2,1)),1+(1-$AU19))</f>
        <v>1</v>
      </c>
      <c r="ES19" s="102">
        <f>MIN(IF($AU19=100%,1,1+VLOOKUP(($AJ19-$AI19-$AH19-$AG19-$AF19-$AE19*(1+ES$3))/$AJ19,Уголь_коэфф!$A:$B,2,1)-VLOOKUP($AO19,Уголь_коэфф!$A:$B,2,1)),1+(1-$AU19))</f>
        <v>1</v>
      </c>
      <c r="ET19" s="102">
        <f>MIN(IF($AU19=100%,1,1+VLOOKUP(($AJ19-$AI19-$AH19-$AG19-$AF19-$AE19*(1+ET$3))/$AJ19,Уголь_коэфф!$A:$B,2,1)-VLOOKUP($AO19,Уголь_коэфф!$A:$B,2,1)),1+(1-$AU19))</f>
        <v>1</v>
      </c>
      <c r="EU19" s="102">
        <f>MIN(IF($AU19=100%,1,1+VLOOKUP(($AJ19-$AI19-$AH19-$AG19-$AF19-$AE19*(1+EU$3))/$AJ19,Уголь_коэфф!$A:$B,2,1)-VLOOKUP($AO19,Уголь_коэфф!$A:$B,2,1)),1+(1-$AU19))</f>
        <v>1</v>
      </c>
      <c r="EV19" s="103">
        <v>1</v>
      </c>
      <c r="EW19" s="102">
        <f>MIN(1,MAX(VLOOKUP(($AJ19-$AI19-$AH19-$AG19-$AF19-$AE19*(1+EW$3))/$AJ19,Уголь_коэфф!$A:$B,2,1),(EV19-0.05)))</f>
        <v>1</v>
      </c>
      <c r="EX19" s="102">
        <f>MIN(1,MAX(VLOOKUP(($AJ19-$AI19-$AH19-$AG19-$AF19-$AE19*(1+EX$3))/$AJ19,Уголь_коэфф!$A:$B,2,1),(EW19-0.05)))</f>
        <v>1</v>
      </c>
      <c r="EY19" s="102">
        <f>MIN(1,MAX(VLOOKUP(($AJ19-$AI19-$AH19-$AG19-$AF19-$AE19*(1+EY$3))/$AJ19,Уголь_коэфф!$A:$B,2,1),(EX19-0.05)))</f>
        <v>0.995</v>
      </c>
      <c r="EZ19" s="102">
        <f>MIN(1,MAX(VLOOKUP(($AJ19-$AI19-$AH19-$AG19-$AF19-$AE19*(1+EZ$3))/$AJ19,Уголь_коэфф!$A:$B,2,1),(EY19-0.05)))</f>
        <v>0.995</v>
      </c>
      <c r="FA19" s="102">
        <f>MIN(1,MAX(VLOOKUP(($AJ19-$AI19-$AH19-$AG19-$AF19-$AE19*(1+FA$3))/$AJ19,Уголь_коэфф!$A:$B,2,1),(EZ19-0.05)))</f>
        <v>0.995</v>
      </c>
      <c r="FB19" s="102">
        <f>MIN(1,MAX(VLOOKUP(($AJ19-$AI19-$AH19-$AG19-$AF19-$AE19*(1+FB$3))/$AJ19,Уголь_коэфф!$A:$B,2,1),(FA19-0.05)))</f>
        <v>0.995</v>
      </c>
      <c r="FC19" s="102">
        <f>MIN(1,MAX(VLOOKUP(($AJ19-$AI19-$AH19-$AG19-$AF19-$AE19*(1+FC$3))/$AJ19,Уголь_коэфф!$A:$B,2,1),(FB19-0.05)))</f>
        <v>0.99</v>
      </c>
      <c r="FD19" s="102">
        <f>MIN(1,MAX(VLOOKUP(($AJ19-$AI19-$AH19-$AG19-$AF19-$AE19*(1+FD$3))/$AJ19,Уголь_коэфф!$A:$B,2,1),(FC19-0.05)))</f>
        <v>0.99</v>
      </c>
      <c r="FE19" s="102">
        <f>MIN(1,MAX(VLOOKUP(($AJ19-$AI19-$AH19-$AG19-$AF19-$AE19*(1+FE$3))/$AJ19,Уголь_коэфф!$A:$B,2,1),(FD19-0.05)))</f>
        <v>0.99</v>
      </c>
      <c r="FF19" s="102">
        <f>MIN(1,MAX(VLOOKUP(($AJ19-$AI19-$AH19-$AG19-$AF19-$AE19*(1+FF$3))/$AJ19,Уголь_коэфф!$A:$B,2,1),(FE19-0.05)))</f>
        <v>0.99</v>
      </c>
      <c r="FG19" s="102">
        <f>MIN(1,MAX(VLOOKUP(($AJ19-$AI19-$AH19-$AG19-$AF19-$AE19*(1+FG$3))/$AJ19,Уголь_коэфф!$A:$B,2,1),(FF19-0.05)))</f>
        <v>0.99</v>
      </c>
      <c r="FH19" s="102">
        <f>MIN(1,MAX(VLOOKUP(($AJ19-$AI19-$AH19-$AG19-$AF19-$AE19*(1+FH$3))/$AJ19,Уголь_коэфф!$A:$B,2,1),(FG19-0.05)))</f>
        <v>0.98499999999999999</v>
      </c>
      <c r="FI19" s="102">
        <f>MIN(1,MAX(VLOOKUP(($AJ19-$AI19-$AH19-$AG19-$AF19-$AE19*(1+FI$3))/$AJ19,Уголь_коэфф!$A:$B,2,1),(FH19-0.05)))</f>
        <v>0.98499999999999999</v>
      </c>
      <c r="FJ19" s="102">
        <f>MIN(1,MAX(VLOOKUP(($AJ19-$AI19-$AH19-$AG19-$AF19-$AE19*(1+FJ$3))/$AJ19,Уголь_коэфф!$A:$B,2,1),(FI19-0.05)))</f>
        <v>0.98499999999999999</v>
      </c>
      <c r="FK19" s="102">
        <f>MIN(1,MAX(VLOOKUP(($AJ19-$AI19-$AH19-$AG19-$AF19-$AE19*(1+FK$3))/$AJ19,Уголь_коэфф!$A:$B,2,1),(FJ19-0.05)))</f>
        <v>0.98499999999999999</v>
      </c>
      <c r="FL19" s="102">
        <f>MIN(1,MAX(VLOOKUP(($AJ19-$AI19-$AH19-$AG19-$AF19-$AE19*(1+FL$3))/$AJ19,Уголь_коэфф!$A:$B,2,1),(FK19-0.05)))</f>
        <v>0.98</v>
      </c>
      <c r="FM19" s="102">
        <f>MIN(1,MAX(VLOOKUP(($AJ19-$AI19-$AH19-$AG19-$AF19-$AE19*(1+FM$3))/$AJ19,Уголь_коэфф!$A:$B,2,1),(FL19-0.05)))</f>
        <v>0.98</v>
      </c>
      <c r="FN19" s="102">
        <f>MIN(1,MAX(VLOOKUP(($AJ19-$AI19-$AH19-$AG19-$AF19-$AE19*(1+FN$3))/$AJ19,Уголь_коэфф!$A:$B,2,1),(FM19-0.05)))</f>
        <v>0.98</v>
      </c>
      <c r="FO19" s="102">
        <f>MIN(1,MAX(VLOOKUP(($AJ19-$AI19-$AH19-$AG19-$AF19-$AE19*(1+FO$3))/$AJ19,Уголь_коэфф!$A:$B,2,1),(FN19-0.05)))</f>
        <v>0.98</v>
      </c>
      <c r="FP19" s="102">
        <f>MIN(1,MAX(VLOOKUP(($AJ19-$AI19-$AH19-$AG19-$AF19-$AE19*(1+FP$3))/$AJ19,Уголь_коэфф!$A:$B,2,1),(FO19-0.05)))</f>
        <v>0.98</v>
      </c>
      <c r="FQ19" s="102">
        <f>MIN(1,MAX(VLOOKUP(($AJ19-$AI19-$AH19-$AG19-$AF19-$AE19*(1+FQ$3))/$AJ19,Уголь_коэфф!$A:$B,2,1),(FP19-0.05)))</f>
        <v>0.97499999999999998</v>
      </c>
      <c r="FR19" s="102">
        <f>MIN(1,MAX(VLOOKUP(($AJ19-$AI19-$AH19-$AG19-$AF19-$AE19*(1+FR$3))/$AJ19,Уголь_коэфф!$A:$B,2,1),(FQ19-0.05)))</f>
        <v>0.97499999999999998</v>
      </c>
      <c r="FS19" s="102">
        <f>MIN(1,MAX(VLOOKUP(($AJ19-$AI19-$AH19-$AG19-$AF19-$AE19*(1+FS$3))/$AJ19,Уголь_коэфф!$A:$B,2,1),(FR19-0.05)))</f>
        <v>0.97499999999999998</v>
      </c>
      <c r="FT19" s="102">
        <f>MIN(1,MAX(VLOOKUP(($AJ19-$AI19-$AH19-$AG19-$AF19-$AE19*(1+FT$3))/$AJ19,Уголь_коэфф!$A:$B,2,1),(FS19-0.05)))</f>
        <v>0.97499999999999998</v>
      </c>
      <c r="FU19" s="102">
        <f>MIN(1,MAX(VLOOKUP(($AJ19-$AI19-$AH19-$AG19-$AF19-$AE19*(1+FU$3))/$AJ19,Уголь_коэфф!$A:$B,2,1),(FT19-0.05)))</f>
        <v>0.97</v>
      </c>
      <c r="FV19" s="102">
        <f>MIN(1,MAX(VLOOKUP(($AJ19-$AI19-$AH19-$AG19-$AF19-$AE19*(1+FV$3))/$AJ19,Уголь_коэфф!$A:$B,2,1),(FU19-0.05)))</f>
        <v>0.97</v>
      </c>
      <c r="FW19" s="102">
        <f>MIN(1,MAX(VLOOKUP(($AJ19-$AI19-$AH19-$AG19-$AF19-$AE19*(1+FW$3))/$AJ19,Уголь_коэфф!$A:$B,2,1),(FV19-0.05)))</f>
        <v>0.97</v>
      </c>
      <c r="FX19" s="102">
        <f>MIN(1,MAX(VLOOKUP(($AJ19-$AI19-$AH19-$AG19-$AF19-$AE19*(1+FX$3))/$AJ19,Уголь_коэфф!$A:$B,2,1),(FW19-0.05)))</f>
        <v>0.97</v>
      </c>
      <c r="FY19" s="102">
        <f>MIN(1,MAX(VLOOKUP(($AJ19-$AI19-$AH19-$AG19-$AF19-$AE19*(1+FY$3))/$AJ19,Уголь_коэфф!$A:$B,2,1),(FX19-0.05)))</f>
        <v>0.96499999999999997</v>
      </c>
      <c r="FZ19" s="102">
        <f>MIN(1,MAX(VLOOKUP(($AJ19-$AI19-$AH19-$AG19-$AF19-$AE19*(1+FZ$3))/$AJ19,Уголь_коэфф!$A:$B,2,1),(FY19-0.05)))</f>
        <v>0.96499999999999997</v>
      </c>
      <c r="GA19" s="102">
        <f>MIN(1,MAX(VLOOKUP(($AJ19-$AI19-$AH19-$AG19-$AF19-$AE19*(1+GA$3))/$AJ19,Уголь_коэфф!$A:$B,2,1),(FZ19-0.05)))</f>
        <v>0.96499999999999997</v>
      </c>
      <c r="GB19" s="102">
        <f>MIN(1,MAX(VLOOKUP(($AJ19-$AI19-$AH19-$AG19-$AF19-$AE19*(1+GB$3))/$AJ19,Уголь_коэфф!$A:$B,2,1),(GA19-0.05)))</f>
        <v>0.96499999999999997</v>
      </c>
      <c r="GC19" s="102">
        <f>MIN(1,MAX(VLOOKUP(($AJ19-$AI19-$AH19-$AG19-$AF19-$AE19*(1+GC$3))/$AJ19,Уголь_коэфф!$A:$B,2,1),(GB19-0.05)))</f>
        <v>0.96499999999999997</v>
      </c>
      <c r="GD19" s="102">
        <f>MIN(1,MAX(VLOOKUP(($AJ19-$AI19-$AH19-$AG19-$AF19-$AE19*(1+GD$3))/$AJ19,Уголь_коэфф!$A:$B,2,1),(GC19-0.05)))</f>
        <v>0.96</v>
      </c>
      <c r="GE19" s="102">
        <f>MIN(1,MAX(VLOOKUP(($AJ19-$AI19-$AH19-$AG19-$AF19-$AE19*(1+GE$3))/$AJ19,Уголь_коэфф!$A:$B,2,1),(GD19-0.05)))</f>
        <v>0.96</v>
      </c>
      <c r="GF19" s="102">
        <f>MIN(1,MAX(VLOOKUP(($AJ19-$AI19-$AH19-$AG19-$AF19-$AE19*(1+GF$3))/$AJ19,Уголь_коэфф!$A:$B,2,1),(GE19-0.05)))</f>
        <v>0.96</v>
      </c>
      <c r="GG19" s="102">
        <f>MIN(1,MAX(VLOOKUP(($AJ19-$AI19-$AH19-$AG19-$AF19-$AE19*(1+GG$3))/$AJ19,Уголь_коэфф!$A:$B,2,1),(GF19-0.05)))</f>
        <v>0.96</v>
      </c>
      <c r="GH19" s="102">
        <f>MIN(1,MAX(VLOOKUP(($AJ19-$AI19-$AH19-$AG19-$AF19-$AE19*(1+GH$3))/$AJ19,Уголь_коэфф!$A:$B,2,1),(GG19-0.05)))</f>
        <v>0.95499999999999996</v>
      </c>
      <c r="GI19" s="102">
        <f>MIN(1,MAX(VLOOKUP(($AJ19-$AI19-$AH19-$AG19-$AF19-$AE19*(1+GI$3))/$AJ19,Уголь_коэфф!$A:$B,2,1),(GH19-0.05)))</f>
        <v>0.95499999999999996</v>
      </c>
      <c r="GJ19" s="102">
        <f>MIN(1,MAX(VLOOKUP(($AJ19-$AI19-$AH19-$AG19-$AF19-$AE19*(1+GJ$3))/$AJ19,Уголь_коэфф!$A:$B,2,1),(GI19-0.05)))</f>
        <v>0.95499999999999996</v>
      </c>
      <c r="GK19" s="102">
        <f>MIN(1,MAX(VLOOKUP(($AJ19-$AI19-$AH19-$AG19-$AF19-$AE19*(1+GK$3))/$AJ19,Уголь_коэфф!$A:$B,2,1),(GJ19-0.05)))</f>
        <v>0.95499999999999996</v>
      </c>
      <c r="GL19" s="102">
        <f>MIN(1,MAX(VLOOKUP(($AJ19-$AI19-$AH19-$AG19-$AF19-$AE19*(1+GL$3))/$AJ19,Уголь_коэфф!$A:$B,2,1),(GK19-0.05)))</f>
        <v>0.95499999999999996</v>
      </c>
      <c r="GM19" s="102">
        <f>MIN(1,MAX(VLOOKUP(($AJ19-$AI19-$AH19-$AG19-$AF19-$AE19*(1+GM$3))/$AJ19,Уголь_коэфф!$A:$B,2,1),(GL19-0.05)))</f>
        <v>0.95</v>
      </c>
      <c r="GN19" s="102">
        <f>MIN(1,MAX(VLOOKUP(($AJ19-$AI19-$AH19-$AG19-$AF19-$AE19*(1+GN$3))/$AJ19,Уголь_коэфф!$A:$B,2,1),(GM19-0.05)))</f>
        <v>0.95</v>
      </c>
      <c r="GO19" s="102">
        <f>MIN(1,MAX(VLOOKUP(($AJ19-$AI19-$AH19-$AG19-$AF19-$AE19*(1+GO$3))/$AJ19,Уголь_коэфф!$A:$B,2,1),(GN19-0.05)))</f>
        <v>0.95</v>
      </c>
      <c r="GP19" s="102">
        <f>MIN(1,MAX(VLOOKUP(($AJ19-$AI19-$AH19-$AG19-$AF19-$AE19*(1+GP$3))/$AJ19,Уголь_коэфф!$A:$B,2,1),(GO19-0.05)))</f>
        <v>0.95</v>
      </c>
      <c r="GQ19" s="102">
        <f>MIN(1,MAX(VLOOKUP(($AJ19-$AI19-$AH19-$AG19-$AF19-$AE19*(1+GQ$3))/$AJ19,Уголь_коэфф!$A:$B,2,1),(GP19-0.05)))</f>
        <v>0.94499999999999995</v>
      </c>
      <c r="GR19" s="102">
        <f>MIN(1,MAX(VLOOKUP(($AJ19-$AI19-$AH19-$AG19-$AF19-$AE19*(1+GR$3))/$AJ19,Уголь_коэфф!$A:$B,2,1),(GQ19-0.05)))</f>
        <v>0.94499999999999995</v>
      </c>
      <c r="GS19" s="102">
        <f>MIN(1,MAX(VLOOKUP(($AJ19-$AI19-$AH19-$AG19-$AF19-$AE19*(1+GS$3))/$AJ19,Уголь_коэфф!$A:$B,2,1),(GR19-0.05)))</f>
        <v>0.94499999999999995</v>
      </c>
      <c r="GT19" s="102">
        <f>MIN(1,MAX(VLOOKUP(($AJ19-$AI19-$AH19-$AG19-$AF19-$AE19*(1+GT$3))/$AJ19,Уголь_коэфф!$A:$B,2,1),(GS19-0.05)))</f>
        <v>0.94499999999999995</v>
      </c>
      <c r="GU19" s="102">
        <f>MIN(1,MAX(VLOOKUP(($AJ19-$AI19-$AH19-$AG19-$AF19-$AE19*(1+GU$3))/$AJ19,Уголь_коэфф!$A:$B,2,1),(GT19-0.05)))</f>
        <v>0.94499999999999995</v>
      </c>
      <c r="GV19" s="102">
        <f>MIN(1,MAX(VLOOKUP(($AJ19-$AI19-$AH19-$AG19-$AF19-$AE19*(1+GV$3))/$AJ19,Уголь_коэфф!$A:$B,2,1),(GU19-0.05)))</f>
        <v>0.94</v>
      </c>
      <c r="GW19" s="102">
        <f>MIN(1,MAX(VLOOKUP(($AJ19-$AI19-$AH19-$AG19-$AF19-$AE19*(1+GW$3))/$AJ19,Уголь_коэфф!$A:$B,2,1),(GV19-0.05)))</f>
        <v>0.94</v>
      </c>
      <c r="GX19" s="102">
        <f>MIN(1,MAX(VLOOKUP(($AJ19-$AI19-$AH19-$AG19-$AF19-$AE19*(1+GX$3))/$AJ19,Уголь_коэфф!$A:$B,2,1),(GW19-0.05)))</f>
        <v>0.94</v>
      </c>
      <c r="GY19" s="102">
        <f>MIN(1,MAX(VLOOKUP(($AJ19-$AI19-$AH19-$AG19-$AF19-$AE19*(1+GY$3))/$AJ19,Уголь_коэфф!$A:$B,2,1),(GX19-0.05)))</f>
        <v>0.94</v>
      </c>
      <c r="GZ19" s="102">
        <f>MIN(1,MAX(VLOOKUP(($AJ19-$AI19-$AH19-$AG19-$AF19-$AE19*(1+GZ$3))/$AJ19,Уголь_коэфф!$A:$B,2,1),(GY19-0.05)))</f>
        <v>0.93500000000000005</v>
      </c>
      <c r="HA19" s="102">
        <f>MIN(1,MAX(VLOOKUP(($AJ19-$AI19-$AH19-$AG19-$AF19-$AE19*(1+HA$3))/$AJ19,Уголь_коэфф!$A:$B,2,1),(GZ19-0.05)))</f>
        <v>0.93500000000000005</v>
      </c>
      <c r="HB19" s="102">
        <f>MIN(1,MAX(VLOOKUP(($AJ19-$AI19-$AH19-$AG19-$AF19-$AE19*(1+HB$3))/$AJ19,Уголь_коэфф!$A:$B,2,1),(HA19-0.05)))</f>
        <v>0.93500000000000005</v>
      </c>
      <c r="HC19" s="102">
        <f>MIN(1,MAX(VLOOKUP(($AJ19-$AI19-$AH19-$AG19-$AF19-$AE19*(1+HC$3))/$AJ19,Уголь_коэфф!$A:$B,2,1),(HB19-0.05)))</f>
        <v>0.93500000000000005</v>
      </c>
      <c r="HD19" s="102">
        <f>MIN(1,MAX(VLOOKUP(($AJ19-$AI19-$AH19-$AG19-$AF19-$AE19*(1+HD$3))/$AJ19,Уголь_коэфф!$A:$B,2,1),(HC19-0.05)))</f>
        <v>0.93</v>
      </c>
      <c r="HE19" s="102">
        <f>MIN(1,MAX(VLOOKUP(($AJ19-$AI19-$AH19-$AG19-$AF19-$AE19*(1+HE$3))/$AJ19,Уголь_коэфф!$A:$B,2,1),(HD19-0.05)))</f>
        <v>0.93</v>
      </c>
      <c r="HF19" s="102">
        <f>MIN(1,MAX(VLOOKUP(($AJ19-$AI19-$AH19-$AG19-$AF19-$AE19*(1+HF$3))/$AJ19,Уголь_коэфф!$A:$B,2,1),(HE19-0.05)))</f>
        <v>0.93</v>
      </c>
      <c r="HG19" s="102">
        <f>MIN(1,MAX(VLOOKUP(($AJ19-$AI19-$AH19-$AG19-$AF19-$AE19*(1+HG$3))/$AJ19,Уголь_коэфф!$A:$B,2,1),(HF19-0.05)))</f>
        <v>0.93</v>
      </c>
      <c r="HH19" s="102">
        <f>MIN(1,MAX(VLOOKUP(($AJ19-$AI19-$AH19-$AG19-$AF19-$AE19*(1+HH$3))/$AJ19,Уголь_коэфф!$A:$B,2,1),(HG19-0.05)))</f>
        <v>0.93</v>
      </c>
      <c r="HI19" s="102">
        <f>MIN(1,MAX(VLOOKUP(($AJ19-$AI19-$AH19-$AG19-$AF19-$AE19*(1+HI$3))/$AJ19,Уголь_коэфф!$A:$B,2,1),(HH19-0.05)))</f>
        <v>0.92500000000000004</v>
      </c>
      <c r="HJ19" s="102">
        <f>MIN(1,MAX(VLOOKUP(($AJ19-$AI19-$AH19-$AG19-$AF19-$AE19*(1+HJ$3))/$AJ19,Уголь_коэфф!$A:$B,2,1),(HI19-0.05)))</f>
        <v>0.92500000000000004</v>
      </c>
      <c r="HK19" s="102">
        <f>MIN(1,MAX(VLOOKUP(($AJ19-$AI19-$AH19-$AG19-$AF19-$AE19*(1+HK$3))/$AJ19,Уголь_коэфф!$A:$B,2,1),(HJ19-0.05)))</f>
        <v>0.92500000000000004</v>
      </c>
      <c r="HL19" s="102">
        <f>MIN(1,MAX(VLOOKUP(($AJ19-$AI19-$AH19-$AG19-$AF19-$AE19*(1+HL$3))/$AJ19,Уголь_коэфф!$A:$B,2,1),(HK19-0.05)))</f>
        <v>0.92500000000000004</v>
      </c>
      <c r="HM19" s="102">
        <f>MIN(1,MAX(VLOOKUP(($AJ19-$AI19-$AH19-$AG19-$AF19-$AE19*(1+HM$3))/$AJ19,Уголь_коэфф!$A:$B,2,1),(HL19-0.05)))</f>
        <v>0.92</v>
      </c>
      <c r="HN19" s="102">
        <f>MIN(1,MAX(VLOOKUP(($AJ19-$AI19-$AH19-$AG19-$AF19-$AE19*(1+HN$3))/$AJ19,Уголь_коэфф!$A:$B,2,1),(HM19-0.05)))</f>
        <v>0.92</v>
      </c>
      <c r="HO19" s="102">
        <f>MIN(1,MAX(VLOOKUP(($AJ19-$AI19-$AH19-$AG19-$AF19-$AE19*(1+HO$3))/$AJ19,Уголь_коэфф!$A:$B,2,1),(HN19-0.05)))</f>
        <v>0.92</v>
      </c>
      <c r="HP19" s="102">
        <f>MIN(1,MAX(VLOOKUP(($AJ19-$AI19-$AH19-$AG19-$AF19-$AE19*(1+HP$3))/$AJ19,Уголь_коэфф!$A:$B,2,1),(HO19-0.05)))</f>
        <v>0.92</v>
      </c>
      <c r="HQ19" s="102">
        <f>MIN(1,MAX(VLOOKUP(($AJ19-$AI19-$AH19-$AG19-$AF19-$AE19*(1+HQ$3))/$AJ19,Уголь_коэфф!$A:$B,2,1),(HP19-0.05)))</f>
        <v>0.92</v>
      </c>
      <c r="HR19" s="102">
        <f>MIN(1,MAX(VLOOKUP(($AJ19-$AI19-$AH19-$AG19-$AF19-$AE19*(1+HR$3))/$AJ19,Уголь_коэфф!$A:$B,2,1),(HQ19-0.05)))</f>
        <v>0.91400000000000003</v>
      </c>
      <c r="HS19" s="102">
        <f>MIN(1,MAX(VLOOKUP(($AJ19-$AI19-$AH19-$AG19-$AF19-$AE19*(1+HS$3))/$AJ19,Уголь_коэфф!$A:$B,2,1),(HR19-0.05)))</f>
        <v>0.91400000000000003</v>
      </c>
      <c r="HT19" s="102">
        <f>MIN(1,MAX(VLOOKUP(($AJ19-$AI19-$AH19-$AG19-$AF19-$AE19*(1+HT$3))/$AJ19,Уголь_коэфф!$A:$B,2,1),(HS19-0.05)))</f>
        <v>0.91400000000000003</v>
      </c>
      <c r="HU19" s="102">
        <f>MIN(1,MAX(VLOOKUP(($AJ19-$AI19-$AH19-$AG19-$AF19-$AE19*(1+HU$3))/$AJ19,Уголь_коэфф!$A:$B,2,1),(HT19-0.05)))</f>
        <v>0.91400000000000003</v>
      </c>
      <c r="HV19" s="102">
        <f>MIN(1,MAX(VLOOKUP(($AJ19-$AI19-$AH19-$AG19-$AF19-$AE19*(1+HV$3))/$AJ19,Уголь_коэфф!$A:$B,2,1),(HU19-0.05)))</f>
        <v>0.90800000000000003</v>
      </c>
      <c r="HW19" s="102">
        <f>MIN(1,MAX(VLOOKUP(($AJ19-$AI19-$AH19-$AG19-$AF19-$AE19*(1+HW$3))/$AJ19,Уголь_коэфф!$A:$B,2,1),(HV19-0.05)))</f>
        <v>0.90800000000000003</v>
      </c>
      <c r="HX19" s="102">
        <f>MIN(1,MAX(VLOOKUP(($AJ19-$AI19-$AH19-$AG19-$AF19-$AE19*(1+HX$3))/$AJ19,Уголь_коэфф!$A:$B,2,1),(HW19-0.05)))</f>
        <v>0.90800000000000003</v>
      </c>
      <c r="HY19" s="102">
        <f>MIN(1,MAX(VLOOKUP(($AJ19-$AI19-$AH19-$AG19-$AF19-$AE19*(1+HY$3))/$AJ19,Уголь_коэфф!$A:$B,2,1),(HX19-0.05)))</f>
        <v>0.90800000000000003</v>
      </c>
      <c r="HZ19" s="102">
        <f>MIN(1,MAX(VLOOKUP(($AJ19-$AI19-$AH19-$AG19-$AF19-$AE19*(1+HZ$3))/$AJ19,Уголь_коэфф!$A:$B,2,1),(HY19-0.05)))</f>
        <v>0.90200000000000002</v>
      </c>
      <c r="IA19" s="102">
        <f>MIN(1,MAX(VLOOKUP(($AJ19-$AI19-$AH19-$AG19-$AF19-$AE19*(1+IA$3))/$AJ19,Уголь_коэфф!$A:$B,2,1),(HZ19-0.05)))</f>
        <v>0.90200000000000002</v>
      </c>
      <c r="IB19" s="102">
        <f>MIN(1,MAX(VLOOKUP(($AJ19-$AI19-$AH19-$AG19-$AF19-$AE19*(1+IB$3))/$AJ19,Уголь_коэфф!$A:$B,2,1),(IA19-0.05)))</f>
        <v>0.90200000000000002</v>
      </c>
      <c r="IC19" s="102">
        <f>MIN(1,MAX(VLOOKUP(($AJ19-$AI19-$AH19-$AG19-$AF19-$AE19*(1+IC$3))/$AJ19,Уголь_коэфф!$A:$B,2,1),(IB19-0.05)))</f>
        <v>0.90200000000000002</v>
      </c>
      <c r="ID19" s="102">
        <f>MIN(1,MAX(VLOOKUP(($AJ19-$AI19-$AH19-$AG19-$AF19-$AE19*(1+ID$3))/$AJ19,Уголь_коэфф!$A:$B,2,1),(IC19-0.05)))</f>
        <v>0.90200000000000002</v>
      </c>
      <c r="IE19" s="102">
        <f>MIN(1,MAX(VLOOKUP(($AJ19-$AI19-$AH19-$AG19-$AF19-$AE19*(1+IE$3))/$AJ19,Уголь_коэфф!$A:$B,2,1),(ID19-0.05)))</f>
        <v>0.89600000000000002</v>
      </c>
      <c r="IF19" s="102">
        <f>MIN(1,MAX(VLOOKUP(($AJ19-$AI19-$AH19-$AG19-$AF19-$AE19*(1+IF$3))/$AJ19,Уголь_коэфф!$A:$B,2,1),(IE19-0.05)))</f>
        <v>0.89600000000000002</v>
      </c>
      <c r="IG19" s="102">
        <f>MIN(1,MAX(VLOOKUP(($AJ19-$AI19-$AH19-$AG19-$AF19-$AE19*(1+IG$3))/$AJ19,Уголь_коэфф!$A:$B,2,1),(IF19-0.05)))</f>
        <v>0.89600000000000002</v>
      </c>
      <c r="IH19" s="102">
        <f>MIN(1,MAX(VLOOKUP(($AJ19-$AI19-$AH19-$AG19-$AF19-$AE19*(1+IH$3))/$AJ19,Уголь_коэфф!$A:$B,2,1),(IG19-0.05)))</f>
        <v>0.89600000000000002</v>
      </c>
      <c r="II19" s="102">
        <f>MIN(1,MAX(VLOOKUP(($AJ19-$AI19-$AH19-$AG19-$AF19-$AE19*(1+II$3))/$AJ19,Уголь_коэфф!$A:$B,2,1),(IH19-0.05)))</f>
        <v>0.89</v>
      </c>
      <c r="IJ19" s="102">
        <f>MIN(1,MAX(VLOOKUP(($AJ19-$AI19-$AH19-$AG19-$AF19-$AE19*(1+IJ$3))/$AJ19,Уголь_коэфф!$A:$B,2,1),(II19-0.05)))</f>
        <v>0.89</v>
      </c>
      <c r="IK19" s="102">
        <f>MIN(1,MAX(VLOOKUP(($AJ19-$AI19-$AH19-$AG19-$AF19-$AE19*(1+IK$3))/$AJ19,Уголь_коэфф!$A:$B,2,1),(IJ19-0.05)))</f>
        <v>0.89</v>
      </c>
      <c r="IL19" s="102">
        <f>MIN(1,MAX(VLOOKUP(($AJ19-$AI19-$AH19-$AG19-$AF19-$AE19*(1+IL$3))/$AJ19,Уголь_коэфф!$A:$B,2,1),(IK19-0.05)))</f>
        <v>0.89</v>
      </c>
      <c r="IM19" s="102">
        <f>MIN(1,MAX(VLOOKUP(($AJ19-$AI19-$AH19-$AG19-$AF19-$AE19*(1+IM$3))/$AJ19,Уголь_коэфф!$A:$B,2,1),(IL19-0.05)))</f>
        <v>0.89</v>
      </c>
      <c r="IN19" s="102">
        <f>MIN(1,MAX(VLOOKUP(($AJ19-$AI19-$AH19-$AG19-$AF19-$AE19*(1+IN$3))/$AJ19,Уголь_коэфф!$A:$B,2,1),(IM19-0.05)))</f>
        <v>0.88400000000000001</v>
      </c>
      <c r="IO19" s="102">
        <f>MIN(1,MAX(VLOOKUP(($AJ19-$AI19-$AH19-$AG19-$AF19-$AE19*(1+IO$3))/$AJ19,Уголь_коэфф!$A:$B,2,1),(IN19-0.05)))</f>
        <v>0.88400000000000001</v>
      </c>
      <c r="IP19" s="102">
        <f>MIN(1,MAX(VLOOKUP(($AJ19-$AI19-$AH19-$AG19-$AF19-$AE19*(1+IP$3))/$AJ19,Уголь_коэфф!$A:$B,2,1),(IO19-0.05)))</f>
        <v>0.88400000000000001</v>
      </c>
      <c r="IQ19" s="102">
        <f>MIN(1,MAX(VLOOKUP(($AJ19-$AI19-$AH19-$AG19-$AF19-$AE19*(1+IQ$3))/$AJ19,Уголь_коэфф!$A:$B,2,1),(IP19-0.05)))</f>
        <v>0.88400000000000001</v>
      </c>
      <c r="IR19" s="102">
        <f>MIN(1,MAX(VLOOKUP(($AJ19-$AI19-$AH19-$AG19-$AF19-$AE19*(1+IR$3))/$AJ19,Уголь_коэфф!$A:$B,2,1),(IQ19-0.05)))</f>
        <v>0.878</v>
      </c>
      <c r="IS19" s="102">
        <f t="shared" si="20"/>
        <v>0.98</v>
      </c>
      <c r="IT19" s="102">
        <f t="shared" si="7"/>
        <v>0.98</v>
      </c>
      <c r="IU19" s="110"/>
    </row>
    <row r="20" spans="1:255" ht="29.15" customHeight="1">
      <c r="A20" t="s">
        <v>239</v>
      </c>
      <c r="B20" s="36">
        <v>1</v>
      </c>
      <c r="C20" s="34" t="s">
        <v>16</v>
      </c>
      <c r="D20" s="1">
        <v>16112</v>
      </c>
      <c r="E20" s="1" t="s">
        <v>28</v>
      </c>
      <c r="F20" s="34" t="s">
        <v>18</v>
      </c>
      <c r="G20" s="1" t="s">
        <v>107</v>
      </c>
      <c r="H20" s="1" t="s">
        <v>47</v>
      </c>
      <c r="I20" s="1" t="s">
        <v>108</v>
      </c>
      <c r="J20" s="1" t="s">
        <v>49</v>
      </c>
      <c r="K20" s="1">
        <v>3414</v>
      </c>
      <c r="L20" s="1" t="s">
        <v>22</v>
      </c>
      <c r="M20" s="1" t="s">
        <v>23</v>
      </c>
      <c r="N20" s="1" t="s">
        <v>24</v>
      </c>
      <c r="O20" s="1" t="s">
        <v>25</v>
      </c>
      <c r="P20" s="4">
        <v>55565060</v>
      </c>
      <c r="Q20" s="4" t="s">
        <v>109</v>
      </c>
      <c r="R20" s="1" t="s">
        <v>110</v>
      </c>
      <c r="S20" s="49">
        <v>49324</v>
      </c>
      <c r="T20" s="45">
        <v>168392405</v>
      </c>
      <c r="U20" s="45">
        <v>709</v>
      </c>
      <c r="V20" s="45"/>
      <c r="W20" s="51">
        <v>108707726</v>
      </c>
      <c r="X20" s="104">
        <v>69</v>
      </c>
      <c r="Y20" s="104" t="s">
        <v>161</v>
      </c>
      <c r="Z20" s="107">
        <v>14</v>
      </c>
      <c r="AA20" s="107">
        <v>14</v>
      </c>
      <c r="AB20" s="107">
        <v>4</v>
      </c>
      <c r="AC20" s="88">
        <v>1941.75</v>
      </c>
      <c r="AD20" s="88">
        <v>866.40999999999985</v>
      </c>
      <c r="AE20" s="88">
        <f>AC20+AD20</f>
        <v>2808.16</v>
      </c>
      <c r="AF20" s="89">
        <f>'Цены,перевалка,аренда'!$C$27*SUM(Уголь_эластика_экспорт!Z20+Уголь_эластика_экспорт!AA20+Уголь_эластика_экспорт!AB20)/Уголь_эластика_экспорт!X20</f>
        <v>324.63768115942031</v>
      </c>
      <c r="AG20" s="90"/>
      <c r="AH20" s="47"/>
      <c r="AI20" s="91">
        <v>1637</v>
      </c>
      <c r="AJ20" s="92">
        <f>SUMIF('Цены,перевалка,аренда'!$A$5:$A$17,Уголь_эластика_экспорт!A20,'Цены,перевалка,аренда'!$D$5:$D$17)</f>
        <v>8546.2160000000003</v>
      </c>
      <c r="AK20" s="47">
        <f>AJ20/'Цены,перевалка,аренда'!$C$1</f>
        <v>112.00000000000001</v>
      </c>
      <c r="AL20" s="47">
        <f t="shared" si="9"/>
        <v>3132.7976811594203</v>
      </c>
      <c r="AM20" s="47">
        <f t="shared" si="10"/>
        <v>5413.4183188405805</v>
      </c>
      <c r="AN20" s="47">
        <f t="shared" si="11"/>
        <v>4769.7976811594199</v>
      </c>
      <c r="AO20" s="93">
        <f t="shared" si="12"/>
        <v>0.44188191813085231</v>
      </c>
      <c r="AP20" s="94">
        <f t="shared" si="13"/>
        <v>0.36657132012102434</v>
      </c>
      <c r="AQ20" s="94">
        <f t="shared" si="5"/>
        <v>0.32858518904740996</v>
      </c>
      <c r="AR20" s="94">
        <f t="shared" si="6"/>
        <v>0.8963745143480587</v>
      </c>
      <c r="AS20" s="167">
        <f t="shared" si="14"/>
        <v>1</v>
      </c>
      <c r="AT20" s="173">
        <f t="shared" si="15"/>
        <v>49324</v>
      </c>
      <c r="AU20" s="98">
        <f>16/17</f>
        <v>0.94117647058823528</v>
      </c>
      <c r="AV20" s="93">
        <f t="shared" si="16"/>
        <v>0.40902339922611125</v>
      </c>
      <c r="AW20" s="94">
        <f t="shared" si="17"/>
        <v>0.3994298390257654</v>
      </c>
      <c r="AX20" s="94">
        <f t="shared" si="18"/>
        <v>0.36144370795215097</v>
      </c>
      <c r="AY20" s="94">
        <f t="shared" si="19"/>
        <v>0.90489911528326239</v>
      </c>
      <c r="AZ20" s="102">
        <f>MIN(IF($AU20=100%,1,1+VLOOKUP(($AJ20-$AI20-$AH20-$AG20-$AF20-$AE20*(1+AZ$3))/$AJ20,Уголь_коэфф!$A:$B,2,1)-VLOOKUP($AO20,Уголь_коэфф!$A:$B,2,1)),1+(1-$AU20))</f>
        <v>1.0560000000000003</v>
      </c>
      <c r="BA20" s="102">
        <f>MIN(IF($AU20=100%,1,1+VLOOKUP(($AJ20-$AI20-$AH20-$AG20-$AF20-$AE20*(1+BA$3))/$AJ20,Уголь_коэфф!$A:$B,2,1)-VLOOKUP($AO20,Уголь_коэфф!$A:$B,2,1)),1+(1-$AU20))</f>
        <v>1.0560000000000003</v>
      </c>
      <c r="BB20" s="102">
        <f>MIN(IF($AU20=100%,1,1+VLOOKUP(($AJ20-$AI20-$AH20-$AG20-$AF20-$AE20*(1+BB$3))/$AJ20,Уголь_коэфф!$A:$B,2,1)-VLOOKUP($AO20,Уголь_коэфф!$A:$B,2,1)),1+(1-$AU20))</f>
        <v>1.0560000000000003</v>
      </c>
      <c r="BC20" s="102">
        <f>MIN(IF($AU20=100%,1,1+VLOOKUP(($AJ20-$AI20-$AH20-$AG20-$AF20-$AE20*(1+BC$3))/$AJ20,Уголь_коэфф!$A:$B,2,1)-VLOOKUP($AO20,Уголь_коэфф!$A:$B,2,1)),1+(1-$AU20))</f>
        <v>1.0560000000000003</v>
      </c>
      <c r="BD20" s="102">
        <f>MIN(IF($AU20=100%,1,1+VLOOKUP(($AJ20-$AI20-$AH20-$AG20-$AF20-$AE20*(1+BD$3))/$AJ20,Уголь_коэфф!$A:$B,2,1)-VLOOKUP($AO20,Уголь_коэфф!$A:$B,2,1)),1+(1-$AU20))</f>
        <v>1.0560000000000003</v>
      </c>
      <c r="BE20" s="102">
        <f>MIN(IF($AU20=100%,1,1+VLOOKUP(($AJ20-$AI20-$AH20-$AG20-$AF20-$AE20*(1+BE$3))/$AJ20,Уголь_коэфф!$A:$B,2,1)-VLOOKUP($AO20,Уголь_коэфф!$A:$B,2,1)),1+(1-$AU20))</f>
        <v>1.0560000000000003</v>
      </c>
      <c r="BF20" s="102">
        <f>MIN(IF($AU20=100%,1,1+VLOOKUP(($AJ20-$AI20-$AH20-$AG20-$AF20-$AE20*(1+BF$3))/$AJ20,Уголь_коэфф!$A:$B,2,1)-VLOOKUP($AO20,Уголь_коэфф!$A:$B,2,1)),1+(1-$AU20))</f>
        <v>1.0560000000000003</v>
      </c>
      <c r="BG20" s="102">
        <f>MIN(IF($AU20=100%,1,1+VLOOKUP(($AJ20-$AI20-$AH20-$AG20-$AF20-$AE20*(1+BG$3))/$AJ20,Уголь_коэфф!$A:$B,2,1)-VLOOKUP($AO20,Уголь_коэфф!$A:$B,2,1)),1+(1-$AU20))</f>
        <v>1.0560000000000003</v>
      </c>
      <c r="BH20" s="102">
        <f>MIN(IF($AU20=100%,1,1+VLOOKUP(($AJ20-$AI20-$AH20-$AG20-$AF20-$AE20*(1+BH$3))/$AJ20,Уголь_коэфф!$A:$B,2,1)-VLOOKUP($AO20,Уголь_коэфф!$A:$B,2,1)),1+(1-$AU20))</f>
        <v>1.0560000000000003</v>
      </c>
      <c r="BI20" s="102">
        <f>MIN(IF($AU20=100%,1,1+VLOOKUP(($AJ20-$AI20-$AH20-$AG20-$AF20-$AE20*(1+BI$3))/$AJ20,Уголь_коэфф!$A:$B,2,1)-VLOOKUP($AO20,Уголь_коэфф!$A:$B,2,1)),1+(1-$AU20))</f>
        <v>1.0560000000000003</v>
      </c>
      <c r="BJ20" s="102">
        <f>MIN(IF($AU20=100%,1,1+VLOOKUP(($AJ20-$AI20-$AH20-$AG20-$AF20-$AE20*(1+BJ$3))/$AJ20,Уголь_коэфф!$A:$B,2,1)-VLOOKUP($AO20,Уголь_коэфф!$A:$B,2,1)),1+(1-$AU20))</f>
        <v>1.0560000000000003</v>
      </c>
      <c r="BK20" s="102">
        <f>MIN(IF($AU20=100%,1,1+VLOOKUP(($AJ20-$AI20-$AH20-$AG20-$AF20-$AE20*(1+BK$3))/$AJ20,Уголь_коэфф!$A:$B,2,1)-VLOOKUP($AO20,Уголь_коэфф!$A:$B,2,1)),1+(1-$AU20))</f>
        <v>1.0560000000000003</v>
      </c>
      <c r="BL20" s="102">
        <f>MIN(IF($AU20=100%,1,1+VLOOKUP(($AJ20-$AI20-$AH20-$AG20-$AF20-$AE20*(1+BL$3))/$AJ20,Уголь_коэфф!$A:$B,2,1)-VLOOKUP($AO20,Уголь_коэфф!$A:$B,2,1)),1+(1-$AU20))</f>
        <v>1.0560000000000003</v>
      </c>
      <c r="BM20" s="102">
        <f>MIN(IF($AU20=100%,1,1+VLOOKUP(($AJ20-$AI20-$AH20-$AG20-$AF20-$AE20*(1+BM$3))/$AJ20,Уголь_коэфф!$A:$B,2,1)-VLOOKUP($AO20,Уголь_коэфф!$A:$B,2,1)),1+(1-$AU20))</f>
        <v>1.0560000000000003</v>
      </c>
      <c r="BN20" s="102">
        <f>MIN(IF($AU20=100%,1,1+VLOOKUP(($AJ20-$AI20-$AH20-$AG20-$AF20-$AE20*(1+BN$3))/$AJ20,Уголь_коэфф!$A:$B,2,1)-VLOOKUP($AO20,Уголь_коэфф!$A:$B,2,1)),1+(1-$AU20))</f>
        <v>1.0560000000000003</v>
      </c>
      <c r="BO20" s="102">
        <f>MIN(IF($AU20=100%,1,1+VLOOKUP(($AJ20-$AI20-$AH20-$AG20-$AF20-$AE20*(1+BO$3))/$AJ20,Уголь_коэфф!$A:$B,2,1)-VLOOKUP($AO20,Уголь_коэфф!$A:$B,2,1)),1+(1-$AU20))</f>
        <v>1.0560000000000003</v>
      </c>
      <c r="BP20" s="102">
        <f>MIN(IF($AU20=100%,1,1+VLOOKUP(($AJ20-$AI20-$AH20-$AG20-$AF20-$AE20*(1+BP$3))/$AJ20,Уголь_коэфф!$A:$B,2,1)-VLOOKUP($AO20,Уголь_коэфф!$A:$B,2,1)),1+(1-$AU20))</f>
        <v>1.0560000000000003</v>
      </c>
      <c r="BQ20" s="102">
        <f>MIN(IF($AU20=100%,1,1+VLOOKUP(($AJ20-$AI20-$AH20-$AG20-$AF20-$AE20*(1+BQ$3))/$AJ20,Уголь_коэфф!$A:$B,2,1)-VLOOKUP($AO20,Уголь_коэфф!$A:$B,2,1)),1+(1-$AU20))</f>
        <v>1.0560000000000003</v>
      </c>
      <c r="BR20" s="102">
        <f>MIN(IF($AU20=100%,1,1+VLOOKUP(($AJ20-$AI20-$AH20-$AG20-$AF20-$AE20*(1+BR$3))/$AJ20,Уголь_коэфф!$A:$B,2,1)-VLOOKUP($AO20,Уголь_коэфф!$A:$B,2,1)),1+(1-$AU20))</f>
        <v>1.0560000000000003</v>
      </c>
      <c r="BS20" s="102">
        <f>MIN(IF($AU20=100%,1,1+VLOOKUP(($AJ20-$AI20-$AH20-$AG20-$AF20-$AE20*(1+BS$3))/$AJ20,Уголь_коэфф!$A:$B,2,1)-VLOOKUP($AO20,Уголь_коэфф!$A:$B,2,1)),1+(1-$AU20))</f>
        <v>1.0560000000000003</v>
      </c>
      <c r="BT20" s="102">
        <f>MIN(IF($AU20=100%,1,1+VLOOKUP(($AJ20-$AI20-$AH20-$AG20-$AF20-$AE20*(1+BT$3))/$AJ20,Уголь_коэфф!$A:$B,2,1)-VLOOKUP($AO20,Уголь_коэфф!$A:$B,2,1)),1+(1-$AU20))</f>
        <v>1.0560000000000003</v>
      </c>
      <c r="BU20" s="102">
        <f>MIN(IF($AU20=100%,1,1+VLOOKUP(($AJ20-$AI20-$AH20-$AG20-$AF20-$AE20*(1+BU$3))/$AJ20,Уголь_коэфф!$A:$B,2,1)-VLOOKUP($AO20,Уголь_коэфф!$A:$B,2,1)),1+(1-$AU20))</f>
        <v>1.0560000000000003</v>
      </c>
      <c r="BV20" s="102">
        <f>MIN(IF($AU20=100%,1,1+VLOOKUP(($AJ20-$AI20-$AH20-$AG20-$AF20-$AE20*(1+BV$3))/$AJ20,Уголь_коэфф!$A:$B,2,1)-VLOOKUP($AO20,Уголь_коэфф!$A:$B,2,1)),1+(1-$AU20))</f>
        <v>1.0560000000000003</v>
      </c>
      <c r="BW20" s="102">
        <f>MIN(IF($AU20=100%,1,1+VLOOKUP(($AJ20-$AI20-$AH20-$AG20-$AF20-$AE20*(1+BW$3))/$AJ20,Уголь_коэфф!$A:$B,2,1)-VLOOKUP($AO20,Уголь_коэфф!$A:$B,2,1)),1+(1-$AU20))</f>
        <v>1.0560000000000003</v>
      </c>
      <c r="BX20" s="102">
        <f>MIN(IF($AU20=100%,1,1+VLOOKUP(($AJ20-$AI20-$AH20-$AG20-$AF20-$AE20*(1+BX$3))/$AJ20,Уголь_коэфф!$A:$B,2,1)-VLOOKUP($AO20,Уголь_коэфф!$A:$B,2,1)),1+(1-$AU20))</f>
        <v>1.0560000000000003</v>
      </c>
      <c r="BY20" s="102">
        <f>MIN(IF($AU20=100%,1,1+VLOOKUP(($AJ20-$AI20-$AH20-$AG20-$AF20-$AE20*(1+BY$3))/$AJ20,Уголь_коэфф!$A:$B,2,1)-VLOOKUP($AO20,Уголь_коэфф!$A:$B,2,1)),1+(1-$AU20))</f>
        <v>1.0560000000000003</v>
      </c>
      <c r="BZ20" s="102">
        <f>MIN(IF($AU20=100%,1,1+VLOOKUP(($AJ20-$AI20-$AH20-$AG20-$AF20-$AE20*(1+BZ$3))/$AJ20,Уголь_коэфф!$A:$B,2,1)-VLOOKUP($AO20,Уголь_коэфф!$A:$B,2,1)),1+(1-$AU20))</f>
        <v>1.0560000000000003</v>
      </c>
      <c r="CA20" s="102">
        <f>MIN(IF($AU20=100%,1,1+VLOOKUP(($AJ20-$AI20-$AH20-$AG20-$AF20-$AE20*(1+CA$3))/$AJ20,Уголь_коэфф!$A:$B,2,1)-VLOOKUP($AO20,Уголь_коэфф!$A:$B,2,1)),1+(1-$AU20))</f>
        <v>1.0560000000000003</v>
      </c>
      <c r="CB20" s="102">
        <f>MIN(IF($AU20=100%,1,1+VLOOKUP(($AJ20-$AI20-$AH20-$AG20-$AF20-$AE20*(1+CB$3))/$AJ20,Уголь_коэфф!$A:$B,2,1)-VLOOKUP($AO20,Уголь_коэфф!$A:$B,2,1)),1+(1-$AU20))</f>
        <v>1.0560000000000003</v>
      </c>
      <c r="CC20" s="102">
        <f>MIN(IF($AU20=100%,1,1+VLOOKUP(($AJ20-$AI20-$AH20-$AG20-$AF20-$AE20*(1+CC$3))/$AJ20,Уголь_коэфф!$A:$B,2,1)-VLOOKUP($AO20,Уголь_коэфф!$A:$B,2,1)),1+(1-$AU20))</f>
        <v>1.0560000000000003</v>
      </c>
      <c r="CD20" s="102">
        <f>MIN(IF($AU20=100%,1,1+VLOOKUP(($AJ20-$AI20-$AH20-$AG20-$AF20-$AE20*(1+CD$3))/$AJ20,Уголь_коэфф!$A:$B,2,1)-VLOOKUP($AO20,Уголь_коэфф!$A:$B,2,1)),1+(1-$AU20))</f>
        <v>1.0560000000000003</v>
      </c>
      <c r="CE20" s="102">
        <f>MIN(IF($AU20=100%,1,1+VLOOKUP(($AJ20-$AI20-$AH20-$AG20-$AF20-$AE20*(1+CE$3))/$AJ20,Уголь_коэфф!$A:$B,2,1)-VLOOKUP($AO20,Уголь_коэфф!$A:$B,2,1)),1+(1-$AU20))</f>
        <v>1.0560000000000003</v>
      </c>
      <c r="CF20" s="102">
        <f>MIN(IF($AU20=100%,1,1+VLOOKUP(($AJ20-$AI20-$AH20-$AG20-$AF20-$AE20*(1+CF$3))/$AJ20,Уголь_коэфф!$A:$B,2,1)-VLOOKUP($AO20,Уголь_коэфф!$A:$B,2,1)),1+(1-$AU20))</f>
        <v>1.0560000000000003</v>
      </c>
      <c r="CG20" s="102">
        <f>MIN(IF($AU20=100%,1,1+VLOOKUP(($AJ20-$AI20-$AH20-$AG20-$AF20-$AE20*(1+CG$3))/$AJ20,Уголь_коэфф!$A:$B,2,1)-VLOOKUP($AO20,Уголь_коэфф!$A:$B,2,1)),1+(1-$AU20))</f>
        <v>1.0560000000000003</v>
      </c>
      <c r="CH20" s="102">
        <f>MIN(IF($AU20=100%,1,1+VLOOKUP(($AJ20-$AI20-$AH20-$AG20-$AF20-$AE20*(1+CH$3))/$AJ20,Уголь_коэфф!$A:$B,2,1)-VLOOKUP($AO20,Уголь_коэфф!$A:$B,2,1)),1+(1-$AU20))</f>
        <v>1.0560000000000003</v>
      </c>
      <c r="CI20" s="102">
        <f>MIN(IF($AU20=100%,1,1+VLOOKUP(($AJ20-$AI20-$AH20-$AG20-$AF20-$AE20*(1+CI$3))/$AJ20,Уголь_коэфф!$A:$B,2,1)-VLOOKUP($AO20,Уголь_коэфф!$A:$B,2,1)),1+(1-$AU20))</f>
        <v>1.0560000000000003</v>
      </c>
      <c r="CJ20" s="102">
        <f>MIN(IF($AU20=100%,1,1+VLOOKUP(($AJ20-$AI20-$AH20-$AG20-$AF20-$AE20*(1+CJ$3))/$AJ20,Уголь_коэфф!$A:$B,2,1)-VLOOKUP($AO20,Уголь_коэфф!$A:$B,2,1)),1+(1-$AU20))</f>
        <v>1.0560000000000003</v>
      </c>
      <c r="CK20" s="102">
        <f>MIN(IF($AU20=100%,1,1+VLOOKUP(($AJ20-$AI20-$AH20-$AG20-$AF20-$AE20*(1+CK$3))/$AJ20,Уголь_коэфф!$A:$B,2,1)-VLOOKUP($AO20,Уголь_коэфф!$A:$B,2,1)),1+(1-$AU20))</f>
        <v>1.0560000000000003</v>
      </c>
      <c r="CL20" s="102">
        <f>MIN(IF($AU20=100%,1,1+VLOOKUP(($AJ20-$AI20-$AH20-$AG20-$AF20-$AE20*(1+CL$3))/$AJ20,Уголь_коэфф!$A:$B,2,1)-VLOOKUP($AO20,Уголь_коэфф!$A:$B,2,1)),1+(1-$AU20))</f>
        <v>1.0560000000000003</v>
      </c>
      <c r="CM20" s="102">
        <f>MIN(IF($AU20=100%,1,1+VLOOKUP(($AJ20-$AI20-$AH20-$AG20-$AF20-$AE20*(1+CM$3))/$AJ20,Уголь_коэфф!$A:$B,2,1)-VLOOKUP($AO20,Уголь_коэфф!$A:$B,2,1)),1+(1-$AU20))</f>
        <v>1.0560000000000003</v>
      </c>
      <c r="CN20" s="102">
        <f>MIN(IF($AU20=100%,1,1+VLOOKUP(($AJ20-$AI20-$AH20-$AG20-$AF20-$AE20*(1+CN$3))/$AJ20,Уголь_коэфф!$A:$B,2,1)-VLOOKUP($AO20,Уголь_коэфф!$A:$B,2,1)),1+(1-$AU20))</f>
        <v>1.0560000000000003</v>
      </c>
      <c r="CO20" s="102">
        <f>MIN(IF($AU20=100%,1,1+VLOOKUP(($AJ20-$AI20-$AH20-$AG20-$AF20-$AE20*(1+CO$3))/$AJ20,Уголь_коэфф!$A:$B,2,1)-VLOOKUP($AO20,Уголь_коэфф!$A:$B,2,1)),1+(1-$AU20))</f>
        <v>1.0560000000000003</v>
      </c>
      <c r="CP20" s="102">
        <f>MIN(IF($AU20=100%,1,1+VLOOKUP(($AJ20-$AI20-$AH20-$AG20-$AF20-$AE20*(1+CP$3))/$AJ20,Уголь_коэфф!$A:$B,2,1)-VLOOKUP($AO20,Уголь_коэфф!$A:$B,2,1)),1+(1-$AU20))</f>
        <v>1.0560000000000003</v>
      </c>
      <c r="CQ20" s="102">
        <f>MIN(IF($AU20=100%,1,1+VLOOKUP(($AJ20-$AI20-$AH20-$AG20-$AF20-$AE20*(1+CQ$3))/$AJ20,Уголь_коэфф!$A:$B,2,1)-VLOOKUP($AO20,Уголь_коэфф!$A:$B,2,1)),1+(1-$AU20))</f>
        <v>1.0560000000000003</v>
      </c>
      <c r="CR20" s="102">
        <f>MIN(IF($AU20=100%,1,1+VLOOKUP(($AJ20-$AI20-$AH20-$AG20-$AF20-$AE20*(1+CR$3))/$AJ20,Уголь_коэфф!$A:$B,2,1)-VLOOKUP($AO20,Уголь_коэфф!$A:$B,2,1)),1+(1-$AU20))</f>
        <v>1.0560000000000003</v>
      </c>
      <c r="CS20" s="102">
        <f>MIN(IF($AU20=100%,1,1+VLOOKUP(($AJ20-$AI20-$AH20-$AG20-$AF20-$AE20*(1+CS$3))/$AJ20,Уголь_коэфф!$A:$B,2,1)-VLOOKUP($AO20,Уголь_коэфф!$A:$B,2,1)),1+(1-$AU20))</f>
        <v>1.0560000000000003</v>
      </c>
      <c r="CT20" s="102">
        <f>MIN(IF($AU20=100%,1,1+VLOOKUP(($AJ20-$AI20-$AH20-$AG20-$AF20-$AE20*(1+CT$3))/$AJ20,Уголь_коэфф!$A:$B,2,1)-VLOOKUP($AO20,Уголь_коэфф!$A:$B,2,1)),1+(1-$AU20))</f>
        <v>1.0560000000000003</v>
      </c>
      <c r="CU20" s="102">
        <f>MIN(IF($AU20=100%,1,1+VLOOKUP(($AJ20-$AI20-$AH20-$AG20-$AF20-$AE20*(1+CU$3))/$AJ20,Уголь_коэфф!$A:$B,2,1)-VLOOKUP($AO20,Уголь_коэфф!$A:$B,2,1)),1+(1-$AU20))</f>
        <v>1.0560000000000003</v>
      </c>
      <c r="CV20" s="102">
        <f>MIN(IF($AU20=100%,1,1+VLOOKUP(($AJ20-$AI20-$AH20-$AG20-$AF20-$AE20*(1+CV$3))/$AJ20,Уголь_коэфф!$A:$B,2,1)-VLOOKUP($AO20,Уголь_коэфф!$A:$B,2,1)),1+(1-$AU20))</f>
        <v>1.0560000000000003</v>
      </c>
      <c r="CW20" s="102">
        <f>MIN(IF($AU20=100%,1,1+VLOOKUP(($AJ20-$AI20-$AH20-$AG20-$AF20-$AE20*(1+CW$3))/$AJ20,Уголь_коэфф!$A:$B,2,1)-VLOOKUP($AO20,Уголь_коэфф!$A:$B,2,1)),1+(1-$AU20))</f>
        <v>1.0560000000000003</v>
      </c>
      <c r="CX20" s="102">
        <f>MIN(IF($AU20=100%,1,1+VLOOKUP(($AJ20-$AI20-$AH20-$AG20-$AF20-$AE20*(1+CX$3))/$AJ20,Уголь_коэфф!$A:$B,2,1)-VLOOKUP($AO20,Уголь_коэфф!$A:$B,2,1)),1+(1-$AU20))</f>
        <v>1.0560000000000003</v>
      </c>
      <c r="CY20" s="102">
        <f>MIN(IF($AU20=100%,1,1+VLOOKUP(($AJ20-$AI20-$AH20-$AG20-$AF20-$AE20*(1+CY$3))/$AJ20,Уголь_коэфф!$A:$B,2,1)-VLOOKUP($AO20,Уголь_коэфф!$A:$B,2,1)),1+(1-$AU20))</f>
        <v>1.0560000000000003</v>
      </c>
      <c r="CZ20" s="102">
        <f>MIN(IF($AU20=100%,1,1+VLOOKUP(($AJ20-$AI20-$AH20-$AG20-$AF20-$AE20*(1+CZ$3))/$AJ20,Уголь_коэфф!$A:$B,2,1)-VLOOKUP($AO20,Уголь_коэфф!$A:$B,2,1)),1+(1-$AU20))</f>
        <v>1.0560000000000003</v>
      </c>
      <c r="DA20" s="102">
        <f>MIN(IF($AU20=100%,1,1+VLOOKUP(($AJ20-$AI20-$AH20-$AG20-$AF20-$AE20*(1+DA$3))/$AJ20,Уголь_коэфф!$A:$B,2,1)-VLOOKUP($AO20,Уголь_коэфф!$A:$B,2,1)),1+(1-$AU20))</f>
        <v>1.0480000000000003</v>
      </c>
      <c r="DB20" s="102">
        <f>MIN(IF($AU20=100%,1,1+VLOOKUP(($AJ20-$AI20-$AH20-$AG20-$AF20-$AE20*(1+DB$3))/$AJ20,Уголь_коэфф!$A:$B,2,1)-VLOOKUP($AO20,Уголь_коэфф!$A:$B,2,1)),1+(1-$AU20))</f>
        <v>1.0480000000000003</v>
      </c>
      <c r="DC20" s="102">
        <f>MIN(IF($AU20=100%,1,1+VLOOKUP(($AJ20-$AI20-$AH20-$AG20-$AF20-$AE20*(1+DC$3))/$AJ20,Уголь_коэфф!$A:$B,2,1)-VLOOKUP($AO20,Уголь_коэфф!$A:$B,2,1)),1+(1-$AU20))</f>
        <v>1.0480000000000003</v>
      </c>
      <c r="DD20" s="102">
        <f>MIN(IF($AU20=100%,1,1+VLOOKUP(($AJ20-$AI20-$AH20-$AG20-$AF20-$AE20*(1+DD$3))/$AJ20,Уголь_коэфф!$A:$B,2,1)-VLOOKUP($AO20,Уголь_коэфф!$A:$B,2,1)),1+(1-$AU20))</f>
        <v>1.0480000000000003</v>
      </c>
      <c r="DE20" s="102">
        <f>MIN(IF($AU20=100%,1,1+VLOOKUP(($AJ20-$AI20-$AH20-$AG20-$AF20-$AE20*(1+DE$3))/$AJ20,Уголь_коэфф!$A:$B,2,1)-VLOOKUP($AO20,Уголь_коэфф!$A:$B,2,1)),1+(1-$AU20))</f>
        <v>1.0480000000000003</v>
      </c>
      <c r="DF20" s="102">
        <f>MIN(IF($AU20=100%,1,1+VLOOKUP(($AJ20-$AI20-$AH20-$AG20-$AF20-$AE20*(1+DF$3))/$AJ20,Уголь_коэфф!$A:$B,2,1)-VLOOKUP($AO20,Уголь_коэфф!$A:$B,2,1)),1+(1-$AU20))</f>
        <v>1.0480000000000003</v>
      </c>
      <c r="DG20" s="102">
        <f>MIN(IF($AU20=100%,1,1+VLOOKUP(($AJ20-$AI20-$AH20-$AG20-$AF20-$AE20*(1+DG$3))/$AJ20,Уголь_коэфф!$A:$B,2,1)-VLOOKUP($AO20,Уголь_коэфф!$A:$B,2,1)),1+(1-$AU20))</f>
        <v>1.0480000000000003</v>
      </c>
      <c r="DH20" s="102">
        <f>MIN(IF($AU20=100%,1,1+VLOOKUP(($AJ20-$AI20-$AH20-$AG20-$AF20-$AE20*(1+DH$3))/$AJ20,Уголь_коэфф!$A:$B,2,1)-VLOOKUP($AO20,Уголь_коэфф!$A:$B,2,1)),1+(1-$AU20))</f>
        <v>1.0480000000000003</v>
      </c>
      <c r="DI20" s="102">
        <f>MIN(IF($AU20=100%,1,1+VLOOKUP(($AJ20-$AI20-$AH20-$AG20-$AF20-$AE20*(1+DI$3))/$AJ20,Уголь_коэфф!$A:$B,2,1)-VLOOKUP($AO20,Уголь_коэфф!$A:$B,2,1)),1+(1-$AU20))</f>
        <v>1.0480000000000003</v>
      </c>
      <c r="DJ20" s="102">
        <f>MIN(IF($AU20=100%,1,1+VLOOKUP(($AJ20-$AI20-$AH20-$AG20-$AF20-$AE20*(1+DJ$3))/$AJ20,Уголь_коэфф!$A:$B,2,1)-VLOOKUP($AO20,Уголь_коэфф!$A:$B,2,1)),1+(1-$AU20))</f>
        <v>1.0480000000000003</v>
      </c>
      <c r="DK20" s="102">
        <f>MIN(IF($AU20=100%,1,1+VLOOKUP(($AJ20-$AI20-$AH20-$AG20-$AF20-$AE20*(1+DK$3))/$AJ20,Уголь_коэфф!$A:$B,2,1)-VLOOKUP($AO20,Уголь_коэфф!$A:$B,2,1)),1+(1-$AU20))</f>
        <v>1.0480000000000003</v>
      </c>
      <c r="DL20" s="102">
        <f>MIN(IF($AU20=100%,1,1+VLOOKUP(($AJ20-$AI20-$AH20-$AG20-$AF20-$AE20*(1+DL$3))/$AJ20,Уголь_коэфф!$A:$B,2,1)-VLOOKUP($AO20,Уголь_коэфф!$A:$B,2,1)),1+(1-$AU20))</f>
        <v>1.0480000000000003</v>
      </c>
      <c r="DM20" s="102">
        <f>MIN(IF($AU20=100%,1,1+VLOOKUP(($AJ20-$AI20-$AH20-$AG20-$AF20-$AE20*(1+DM$3))/$AJ20,Уголь_коэфф!$A:$B,2,1)-VLOOKUP($AO20,Уголь_коэфф!$A:$B,2,1)),1+(1-$AU20))</f>
        <v>1.0400000000000003</v>
      </c>
      <c r="DN20" s="102">
        <f>MIN(IF($AU20=100%,1,1+VLOOKUP(($AJ20-$AI20-$AH20-$AG20-$AF20-$AE20*(1+DN$3))/$AJ20,Уголь_коэфф!$A:$B,2,1)-VLOOKUP($AO20,Уголь_коэфф!$A:$B,2,1)),1+(1-$AU20))</f>
        <v>1.0400000000000003</v>
      </c>
      <c r="DO20" s="102">
        <f>MIN(IF($AU20=100%,1,1+VLOOKUP(($AJ20-$AI20-$AH20-$AG20-$AF20-$AE20*(1+DO$3))/$AJ20,Уголь_коэфф!$A:$B,2,1)-VLOOKUP($AO20,Уголь_коэфф!$A:$B,2,1)),1+(1-$AU20))</f>
        <v>1.0400000000000003</v>
      </c>
      <c r="DP20" s="102">
        <f>MIN(IF($AU20=100%,1,1+VLOOKUP(($AJ20-$AI20-$AH20-$AG20-$AF20-$AE20*(1+DP$3))/$AJ20,Уголь_коэфф!$A:$B,2,1)-VLOOKUP($AO20,Уголь_коэфф!$A:$B,2,1)),1+(1-$AU20))</f>
        <v>1.0400000000000003</v>
      </c>
      <c r="DQ20" s="102">
        <f>MIN(IF($AU20=100%,1,1+VLOOKUP(($AJ20-$AI20-$AH20-$AG20-$AF20-$AE20*(1+DQ$3))/$AJ20,Уголь_коэфф!$A:$B,2,1)-VLOOKUP($AO20,Уголь_коэфф!$A:$B,2,1)),1+(1-$AU20))</f>
        <v>1.0400000000000003</v>
      </c>
      <c r="DR20" s="102">
        <f>MIN(IF($AU20=100%,1,1+VLOOKUP(($AJ20-$AI20-$AH20-$AG20-$AF20-$AE20*(1+DR$3))/$AJ20,Уголь_коэфф!$A:$B,2,1)-VLOOKUP($AO20,Уголь_коэфф!$A:$B,2,1)),1+(1-$AU20))</f>
        <v>1.0400000000000003</v>
      </c>
      <c r="DS20" s="102">
        <f>MIN(IF($AU20=100%,1,1+VLOOKUP(($AJ20-$AI20-$AH20-$AG20-$AF20-$AE20*(1+DS$3))/$AJ20,Уголь_коэфф!$A:$B,2,1)-VLOOKUP($AO20,Уголь_коэфф!$A:$B,2,1)),1+(1-$AU20))</f>
        <v>1.0320000000000003</v>
      </c>
      <c r="DT20" s="102">
        <f>MIN(IF($AU20=100%,1,1+VLOOKUP(($AJ20-$AI20-$AH20-$AG20-$AF20-$AE20*(1+DT$3))/$AJ20,Уголь_коэфф!$A:$B,2,1)-VLOOKUP($AO20,Уголь_коэфф!$A:$B,2,1)),1+(1-$AU20))</f>
        <v>1.0320000000000003</v>
      </c>
      <c r="DU20" s="102">
        <f>MIN(IF($AU20=100%,1,1+VLOOKUP(($AJ20-$AI20-$AH20-$AG20-$AF20-$AE20*(1+DU$3))/$AJ20,Уголь_коэфф!$A:$B,2,1)-VLOOKUP($AO20,Уголь_коэфф!$A:$B,2,1)),1+(1-$AU20))</f>
        <v>1.0320000000000003</v>
      </c>
      <c r="DV20" s="102">
        <f>MIN(IF($AU20=100%,1,1+VLOOKUP(($AJ20-$AI20-$AH20-$AG20-$AF20-$AE20*(1+DV$3))/$AJ20,Уголь_коэфф!$A:$B,2,1)-VLOOKUP($AO20,Уголь_коэфф!$A:$B,2,1)),1+(1-$AU20))</f>
        <v>1.0320000000000003</v>
      </c>
      <c r="DW20" s="102">
        <f>MIN(IF($AU20=100%,1,1+VLOOKUP(($AJ20-$AI20-$AH20-$AG20-$AF20-$AE20*(1+DW$3))/$AJ20,Уголь_коэфф!$A:$B,2,1)-VLOOKUP($AO20,Уголь_коэфф!$A:$B,2,1)),1+(1-$AU20))</f>
        <v>1.0320000000000003</v>
      </c>
      <c r="DX20" s="102">
        <f>MIN(IF($AU20=100%,1,1+VLOOKUP(($AJ20-$AI20-$AH20-$AG20-$AF20-$AE20*(1+DX$3))/$AJ20,Уголь_коэфф!$A:$B,2,1)-VLOOKUP($AO20,Уголь_коэфф!$A:$B,2,1)),1+(1-$AU20))</f>
        <v>1.0320000000000003</v>
      </c>
      <c r="DY20" s="102">
        <f>MIN(IF($AU20=100%,1,1+VLOOKUP(($AJ20-$AI20-$AH20-$AG20-$AF20-$AE20*(1+DY$3))/$AJ20,Уголь_коэфф!$A:$B,2,1)-VLOOKUP($AO20,Уголь_коэфф!$A:$B,2,1)),1+(1-$AU20))</f>
        <v>1.0240000000000002</v>
      </c>
      <c r="DZ20" s="102">
        <f>MIN(IF($AU20=100%,1,1+VLOOKUP(($AJ20-$AI20-$AH20-$AG20-$AF20-$AE20*(1+DZ$3))/$AJ20,Уголь_коэфф!$A:$B,2,1)-VLOOKUP($AO20,Уголь_коэфф!$A:$B,2,1)),1+(1-$AU20))</f>
        <v>1.0240000000000002</v>
      </c>
      <c r="EA20" s="102">
        <f>MIN(IF($AU20=100%,1,1+VLOOKUP(($AJ20-$AI20-$AH20-$AG20-$AF20-$AE20*(1+EA$3))/$AJ20,Уголь_коэфф!$A:$B,2,1)-VLOOKUP($AO20,Уголь_коэфф!$A:$B,2,1)),1+(1-$AU20))</f>
        <v>1.0240000000000002</v>
      </c>
      <c r="EB20" s="102">
        <f>MIN(IF($AU20=100%,1,1+VLOOKUP(($AJ20-$AI20-$AH20-$AG20-$AF20-$AE20*(1+EB$3))/$AJ20,Уголь_коэфф!$A:$B,2,1)-VLOOKUP($AO20,Уголь_коэфф!$A:$B,2,1)),1+(1-$AU20))</f>
        <v>1.0240000000000002</v>
      </c>
      <c r="EC20" s="102">
        <f>MIN(IF($AU20=100%,1,1+VLOOKUP(($AJ20-$AI20-$AH20-$AG20-$AF20-$AE20*(1+EC$3))/$AJ20,Уголь_коэфф!$A:$B,2,1)-VLOOKUP($AO20,Уголь_коэфф!$A:$B,2,1)),1+(1-$AU20))</f>
        <v>1.0240000000000002</v>
      </c>
      <c r="ED20" s="102">
        <f>MIN(IF($AU20=100%,1,1+VLOOKUP(($AJ20-$AI20-$AH20-$AG20-$AF20-$AE20*(1+ED$3))/$AJ20,Уголь_коэфф!$A:$B,2,1)-VLOOKUP($AO20,Уголь_коэфф!$A:$B,2,1)),1+(1-$AU20))</f>
        <v>1.0240000000000002</v>
      </c>
      <c r="EE20" s="102">
        <f>MIN(IF($AU20=100%,1,1+VLOOKUP(($AJ20-$AI20-$AH20-$AG20-$AF20-$AE20*(1+EE$3))/$AJ20,Уголь_коэфф!$A:$B,2,1)-VLOOKUP($AO20,Уголь_коэфф!$A:$B,2,1)),1+(1-$AU20))</f>
        <v>1.0160000000000002</v>
      </c>
      <c r="EF20" s="102">
        <f>MIN(IF($AU20=100%,1,1+VLOOKUP(($AJ20-$AI20-$AH20-$AG20-$AF20-$AE20*(1+EF$3))/$AJ20,Уголь_коэфф!$A:$B,2,1)-VLOOKUP($AO20,Уголь_коэфф!$A:$B,2,1)),1+(1-$AU20))</f>
        <v>1.0160000000000002</v>
      </c>
      <c r="EG20" s="102">
        <f>MIN(IF($AU20=100%,1,1+VLOOKUP(($AJ20-$AI20-$AH20-$AG20-$AF20-$AE20*(1+EG$3))/$AJ20,Уголь_коэфф!$A:$B,2,1)-VLOOKUP($AO20,Уголь_коэфф!$A:$B,2,1)),1+(1-$AU20))</f>
        <v>1.0160000000000002</v>
      </c>
      <c r="EH20" s="102">
        <f>MIN(IF($AU20=100%,1,1+VLOOKUP(($AJ20-$AI20-$AH20-$AG20-$AF20-$AE20*(1+EH$3))/$AJ20,Уголь_коэфф!$A:$B,2,1)-VLOOKUP($AO20,Уголь_коэфф!$A:$B,2,1)),1+(1-$AU20))</f>
        <v>1.0160000000000002</v>
      </c>
      <c r="EI20" s="102">
        <f>MIN(IF($AU20=100%,1,1+VLOOKUP(($AJ20-$AI20-$AH20-$AG20-$AF20-$AE20*(1+EI$3))/$AJ20,Уголь_коэфф!$A:$B,2,1)-VLOOKUP($AO20,Уголь_коэфф!$A:$B,2,1)),1+(1-$AU20))</f>
        <v>1.0160000000000002</v>
      </c>
      <c r="EJ20" s="102">
        <f>MIN(IF($AU20=100%,1,1+VLOOKUP(($AJ20-$AI20-$AH20-$AG20-$AF20-$AE20*(1+EJ$3))/$AJ20,Уголь_коэфф!$A:$B,2,1)-VLOOKUP($AO20,Уголь_коэфф!$A:$B,2,1)),1+(1-$AU20))</f>
        <v>1.0160000000000002</v>
      </c>
      <c r="EK20" s="102">
        <f>MIN(IF($AU20=100%,1,1+VLOOKUP(($AJ20-$AI20-$AH20-$AG20-$AF20-$AE20*(1+EK$3))/$AJ20,Уголь_коэфф!$A:$B,2,1)-VLOOKUP($AO20,Уголь_коэфф!$A:$B,2,1)),1+(1-$AU20))</f>
        <v>1.0080000000000002</v>
      </c>
      <c r="EL20" s="102">
        <f>MIN(IF($AU20=100%,1,1+VLOOKUP(($AJ20-$AI20-$AH20-$AG20-$AF20-$AE20*(1+EL$3))/$AJ20,Уголь_коэфф!$A:$B,2,1)-VLOOKUP($AO20,Уголь_коэфф!$A:$B,2,1)),1+(1-$AU20))</f>
        <v>1.0080000000000002</v>
      </c>
      <c r="EM20" s="102">
        <f>MIN(IF($AU20=100%,1,1+VLOOKUP(($AJ20-$AI20-$AH20-$AG20-$AF20-$AE20*(1+EM$3))/$AJ20,Уголь_коэфф!$A:$B,2,1)-VLOOKUP($AO20,Уголь_коэфф!$A:$B,2,1)),1+(1-$AU20))</f>
        <v>1.0080000000000002</v>
      </c>
      <c r="EN20" s="102">
        <f>MIN(IF($AU20=100%,1,1+VLOOKUP(($AJ20-$AI20-$AH20-$AG20-$AF20-$AE20*(1+EN$3))/$AJ20,Уголь_коэфф!$A:$B,2,1)-VLOOKUP($AO20,Уголь_коэфф!$A:$B,2,1)),1+(1-$AU20))</f>
        <v>1.0080000000000002</v>
      </c>
      <c r="EO20" s="102">
        <f>MIN(IF($AU20=100%,1,1+VLOOKUP(($AJ20-$AI20-$AH20-$AG20-$AF20-$AE20*(1+EO$3))/$AJ20,Уголь_коэфф!$A:$B,2,1)-VLOOKUP($AO20,Уголь_коэфф!$A:$B,2,1)),1+(1-$AU20))</f>
        <v>1.0080000000000002</v>
      </c>
      <c r="EP20" s="102">
        <f>MIN(IF($AU20=100%,1,1+VLOOKUP(($AJ20-$AI20-$AH20-$AG20-$AF20-$AE20*(1+EP$3))/$AJ20,Уголь_коэфф!$A:$B,2,1)-VLOOKUP($AO20,Уголь_коэфф!$A:$B,2,1)),1+(1-$AU20))</f>
        <v>1.0080000000000002</v>
      </c>
      <c r="EQ20" s="102">
        <f>MIN(IF($AU20=100%,1,1+VLOOKUP(($AJ20-$AI20-$AH20-$AG20-$AF20-$AE20*(1+EQ$3))/$AJ20,Уголь_коэфф!$A:$B,2,1)-VLOOKUP($AO20,Уголь_коэфф!$A:$B,2,1)),1+(1-$AU20))</f>
        <v>1.0080000000000002</v>
      </c>
      <c r="ER20" s="102">
        <f>MIN(IF($AU20=100%,1,1+VLOOKUP(($AJ20-$AI20-$AH20-$AG20-$AF20-$AE20*(1+ER$3))/$AJ20,Уголь_коэфф!$A:$B,2,1)-VLOOKUP($AO20,Уголь_коэфф!$A:$B,2,1)),1+(1-$AU20))</f>
        <v>1.0000000000000002</v>
      </c>
      <c r="ES20" s="102">
        <f>MIN(IF($AU20=100%,1,1+VLOOKUP(($AJ20-$AI20-$AH20-$AG20-$AF20-$AE20*(1+ES$3))/$AJ20,Уголь_коэфф!$A:$B,2,1)-VLOOKUP($AO20,Уголь_коэфф!$A:$B,2,1)),1+(1-$AU20))</f>
        <v>1.0000000000000002</v>
      </c>
      <c r="ET20" s="102">
        <f>MIN(IF($AU20=100%,1,1+VLOOKUP(($AJ20-$AI20-$AH20-$AG20-$AF20-$AE20*(1+ET$3))/$AJ20,Уголь_коэфф!$A:$B,2,1)-VLOOKUP($AO20,Уголь_коэфф!$A:$B,2,1)),1+(1-$AU20))</f>
        <v>1.0000000000000002</v>
      </c>
      <c r="EU20" s="102">
        <f>MIN(IF($AU20=100%,1,1+VLOOKUP(($AJ20-$AI20-$AH20-$AG20-$AF20-$AE20*(1+EU$3))/$AJ20,Уголь_коэфф!$A:$B,2,1)-VLOOKUP($AO20,Уголь_коэфф!$A:$B,2,1)),1+(1-$AU20))</f>
        <v>1.0000000000000002</v>
      </c>
      <c r="EV20" s="103">
        <v>1</v>
      </c>
      <c r="EW20" s="102">
        <f>MIN(1,MAX(VLOOKUP(($AJ20-$AI20-$AH20-$AG20-$AF20-$AE20*(1+EW$3))/$AJ20,Уголь_коэфф!$A:$B,2,1),(EV20-0.05)))</f>
        <v>1</v>
      </c>
      <c r="EX20" s="102">
        <f>MIN(1,MAX(VLOOKUP(($AJ20-$AI20-$AH20-$AG20-$AF20-$AE20*(1+EX$3))/$AJ20,Уголь_коэфф!$A:$B,2,1),(EW20-0.05)))</f>
        <v>1</v>
      </c>
      <c r="EY20" s="102">
        <f>MIN(1,MAX(VLOOKUP(($AJ20-$AI20-$AH20-$AG20-$AF20-$AE20*(1+EY$3))/$AJ20,Уголь_коэфф!$A:$B,2,1),(EX20-0.05)))</f>
        <v>1</v>
      </c>
      <c r="EZ20" s="102">
        <f>MIN(1,MAX(VLOOKUP(($AJ20-$AI20-$AH20-$AG20-$AF20-$AE20*(1+EZ$3))/$AJ20,Уголь_коэфф!$A:$B,2,1),(EY20-0.05)))</f>
        <v>1</v>
      </c>
      <c r="FA20" s="102">
        <f>MIN(1,MAX(VLOOKUP(($AJ20-$AI20-$AH20-$AG20-$AF20-$AE20*(1+FA$3))/$AJ20,Уголь_коэфф!$A:$B,2,1),(EZ20-0.05)))</f>
        <v>1</v>
      </c>
      <c r="FB20" s="102">
        <f>MIN(1,MAX(VLOOKUP(($AJ20-$AI20-$AH20-$AG20-$AF20-$AE20*(1+FB$3))/$AJ20,Уголь_коэфф!$A:$B,2,1),(FA20-0.05)))</f>
        <v>1</v>
      </c>
      <c r="FC20" s="102">
        <f>MIN(1,MAX(VLOOKUP(($AJ20-$AI20-$AH20-$AG20-$AF20-$AE20*(1+FC$3))/$AJ20,Уголь_коэфф!$A:$B,2,1),(FB20-0.05)))</f>
        <v>1</v>
      </c>
      <c r="FD20" s="102">
        <f>MIN(1,MAX(VLOOKUP(($AJ20-$AI20-$AH20-$AG20-$AF20-$AE20*(1+FD$3))/$AJ20,Уголь_коэфф!$A:$B,2,1),(FC20-0.05)))</f>
        <v>1</v>
      </c>
      <c r="FE20" s="102">
        <f>MIN(1,MAX(VLOOKUP(($AJ20-$AI20-$AH20-$AG20-$AF20-$AE20*(1+FE$3))/$AJ20,Уголь_коэфф!$A:$B,2,1),(FD20-0.05)))</f>
        <v>1</v>
      </c>
      <c r="FF20" s="102">
        <f>MIN(1,MAX(VLOOKUP(($AJ20-$AI20-$AH20-$AG20-$AF20-$AE20*(1+FF$3))/$AJ20,Уголь_коэфф!$A:$B,2,1),(FE20-0.05)))</f>
        <v>1</v>
      </c>
      <c r="FG20" s="102">
        <f>MIN(1,MAX(VLOOKUP(($AJ20-$AI20-$AH20-$AG20-$AF20-$AE20*(1+FG$3))/$AJ20,Уголь_коэфф!$A:$B,2,1),(FF20-0.05)))</f>
        <v>1</v>
      </c>
      <c r="FH20" s="102">
        <f>MIN(1,MAX(VLOOKUP(($AJ20-$AI20-$AH20-$AG20-$AF20-$AE20*(1+FH$3))/$AJ20,Уголь_коэфф!$A:$B,2,1),(FG20-0.05)))</f>
        <v>1</v>
      </c>
      <c r="FI20" s="102">
        <f>MIN(1,MAX(VLOOKUP(($AJ20-$AI20-$AH20-$AG20-$AF20-$AE20*(1+FI$3))/$AJ20,Уголь_коэфф!$A:$B,2,1),(FH20-0.05)))</f>
        <v>1</v>
      </c>
      <c r="FJ20" s="102">
        <f>MIN(1,MAX(VLOOKUP(($AJ20-$AI20-$AH20-$AG20-$AF20-$AE20*(1+FJ$3))/$AJ20,Уголь_коэфф!$A:$B,2,1),(FI20-0.05)))</f>
        <v>1</v>
      </c>
      <c r="FK20" s="102">
        <f>MIN(1,MAX(VLOOKUP(($AJ20-$AI20-$AH20-$AG20-$AF20-$AE20*(1+FK$3))/$AJ20,Уголь_коэфф!$A:$B,2,1),(FJ20-0.05)))</f>
        <v>1</v>
      </c>
      <c r="FL20" s="102">
        <f>MIN(1,MAX(VLOOKUP(($AJ20-$AI20-$AH20-$AG20-$AF20-$AE20*(1+FL$3))/$AJ20,Уголь_коэфф!$A:$B,2,1),(FK20-0.05)))</f>
        <v>1</v>
      </c>
      <c r="FM20" s="102">
        <f>MIN(1,MAX(VLOOKUP(($AJ20-$AI20-$AH20-$AG20-$AF20-$AE20*(1+FM$3))/$AJ20,Уголь_коэфф!$A:$B,2,1),(FL20-0.05)))</f>
        <v>1</v>
      </c>
      <c r="FN20" s="102">
        <f>MIN(1,MAX(VLOOKUP(($AJ20-$AI20-$AH20-$AG20-$AF20-$AE20*(1+FN$3))/$AJ20,Уголь_коэфф!$A:$B,2,1),(FM20-0.05)))</f>
        <v>1</v>
      </c>
      <c r="FO20" s="102">
        <f>MIN(1,MAX(VLOOKUP(($AJ20-$AI20-$AH20-$AG20-$AF20-$AE20*(1+FO$3))/$AJ20,Уголь_коэфф!$A:$B,2,1),(FN20-0.05)))</f>
        <v>1</v>
      </c>
      <c r="FP20" s="102">
        <f>MIN(1,MAX(VLOOKUP(($AJ20-$AI20-$AH20-$AG20-$AF20-$AE20*(1+FP$3))/$AJ20,Уголь_коэфф!$A:$B,2,1),(FO20-0.05)))</f>
        <v>1</v>
      </c>
      <c r="FQ20" s="102">
        <f>MIN(1,MAX(VLOOKUP(($AJ20-$AI20-$AH20-$AG20-$AF20-$AE20*(1+FQ$3))/$AJ20,Уголь_коэфф!$A:$B,2,1),(FP20-0.05)))</f>
        <v>1</v>
      </c>
      <c r="FR20" s="102">
        <f>MIN(1,MAX(VLOOKUP(($AJ20-$AI20-$AH20-$AG20-$AF20-$AE20*(1+FR$3))/$AJ20,Уголь_коэфф!$A:$B,2,1),(FQ20-0.05)))</f>
        <v>1</v>
      </c>
      <c r="FS20" s="102">
        <f>MIN(1,MAX(VLOOKUP(($AJ20-$AI20-$AH20-$AG20-$AF20-$AE20*(1+FS$3))/$AJ20,Уголь_коэфф!$A:$B,2,1),(FR20-0.05)))</f>
        <v>1</v>
      </c>
      <c r="FT20" s="102">
        <f>MIN(1,MAX(VLOOKUP(($AJ20-$AI20-$AH20-$AG20-$AF20-$AE20*(1+FT$3))/$AJ20,Уголь_коэфф!$A:$B,2,1),(FS20-0.05)))</f>
        <v>1</v>
      </c>
      <c r="FU20" s="102">
        <f>MIN(1,MAX(VLOOKUP(($AJ20-$AI20-$AH20-$AG20-$AF20-$AE20*(1+FU$3))/$AJ20,Уголь_коэфф!$A:$B,2,1),(FT20-0.05)))</f>
        <v>1</v>
      </c>
      <c r="FV20" s="102">
        <f>MIN(1,MAX(VLOOKUP(($AJ20-$AI20-$AH20-$AG20-$AF20-$AE20*(1+FV$3))/$AJ20,Уголь_коэфф!$A:$B,2,1),(FU20-0.05)))</f>
        <v>1</v>
      </c>
      <c r="FW20" s="102">
        <f>MIN(1,MAX(VLOOKUP(($AJ20-$AI20-$AH20-$AG20-$AF20-$AE20*(1+FW$3))/$AJ20,Уголь_коэфф!$A:$B,2,1),(FV20-0.05)))</f>
        <v>1</v>
      </c>
      <c r="FX20" s="102">
        <f>MIN(1,MAX(VLOOKUP(($AJ20-$AI20-$AH20-$AG20-$AF20-$AE20*(1+FX$3))/$AJ20,Уголь_коэфф!$A:$B,2,1),(FW20-0.05)))</f>
        <v>1</v>
      </c>
      <c r="FY20" s="102">
        <f>MIN(1,MAX(VLOOKUP(($AJ20-$AI20-$AH20-$AG20-$AF20-$AE20*(1+FY$3))/$AJ20,Уголь_коэфф!$A:$B,2,1),(FX20-0.05)))</f>
        <v>1</v>
      </c>
      <c r="FZ20" s="102">
        <f>MIN(1,MAX(VLOOKUP(($AJ20-$AI20-$AH20-$AG20-$AF20-$AE20*(1+FZ$3))/$AJ20,Уголь_коэфф!$A:$B,2,1),(FY20-0.05)))</f>
        <v>1</v>
      </c>
      <c r="GA20" s="102">
        <f>MIN(1,MAX(VLOOKUP(($AJ20-$AI20-$AH20-$AG20-$AF20-$AE20*(1+GA$3))/$AJ20,Уголь_коэфф!$A:$B,2,1),(FZ20-0.05)))</f>
        <v>1</v>
      </c>
      <c r="GB20" s="102">
        <f>MIN(1,MAX(VLOOKUP(($AJ20-$AI20-$AH20-$AG20-$AF20-$AE20*(1+GB$3))/$AJ20,Уголь_коэфф!$A:$B,2,1),(GA20-0.05)))</f>
        <v>1</v>
      </c>
      <c r="GC20" s="102">
        <f>MIN(1,MAX(VLOOKUP(($AJ20-$AI20-$AH20-$AG20-$AF20-$AE20*(1+GC$3))/$AJ20,Уголь_коэфф!$A:$B,2,1),(GB20-0.05)))</f>
        <v>1</v>
      </c>
      <c r="GD20" s="102">
        <f>MIN(1,MAX(VLOOKUP(($AJ20-$AI20-$AH20-$AG20-$AF20-$AE20*(1+GD$3))/$AJ20,Уголь_коэфф!$A:$B,2,1),(GC20-0.05)))</f>
        <v>1</v>
      </c>
      <c r="GE20" s="102">
        <f>MIN(1,MAX(VLOOKUP(($AJ20-$AI20-$AH20-$AG20-$AF20-$AE20*(1+GE$3))/$AJ20,Уголь_коэфф!$A:$B,2,1),(GD20-0.05)))</f>
        <v>1</v>
      </c>
      <c r="GF20" s="102">
        <f>MIN(1,MAX(VLOOKUP(($AJ20-$AI20-$AH20-$AG20-$AF20-$AE20*(1+GF$3))/$AJ20,Уголь_коэфф!$A:$B,2,1),(GE20-0.05)))</f>
        <v>1</v>
      </c>
      <c r="GG20" s="102">
        <f>MIN(1,MAX(VLOOKUP(($AJ20-$AI20-$AH20-$AG20-$AF20-$AE20*(1+GG$3))/$AJ20,Уголь_коэфф!$A:$B,2,1),(GF20-0.05)))</f>
        <v>1</v>
      </c>
      <c r="GH20" s="102">
        <f>MIN(1,MAX(VLOOKUP(($AJ20-$AI20-$AH20-$AG20-$AF20-$AE20*(1+GH$3))/$AJ20,Уголь_коэфф!$A:$B,2,1),(GG20-0.05)))</f>
        <v>1</v>
      </c>
      <c r="GI20" s="102">
        <f>MIN(1,MAX(VLOOKUP(($AJ20-$AI20-$AH20-$AG20-$AF20-$AE20*(1+GI$3))/$AJ20,Уголь_коэфф!$A:$B,2,1),(GH20-0.05)))</f>
        <v>1</v>
      </c>
      <c r="GJ20" s="102">
        <f>MIN(1,MAX(VLOOKUP(($AJ20-$AI20-$AH20-$AG20-$AF20-$AE20*(1+GJ$3))/$AJ20,Уголь_коэфф!$A:$B,2,1),(GI20-0.05)))</f>
        <v>1</v>
      </c>
      <c r="GK20" s="102">
        <f>MIN(1,MAX(VLOOKUP(($AJ20-$AI20-$AH20-$AG20-$AF20-$AE20*(1+GK$3))/$AJ20,Уголь_коэфф!$A:$B,2,1),(GJ20-0.05)))</f>
        <v>1</v>
      </c>
      <c r="GL20" s="102">
        <f>MIN(1,MAX(VLOOKUP(($AJ20-$AI20-$AH20-$AG20-$AF20-$AE20*(1+GL$3))/$AJ20,Уголь_коэфф!$A:$B,2,1),(GK20-0.05)))</f>
        <v>1</v>
      </c>
      <c r="GM20" s="102">
        <f>MIN(1,MAX(VLOOKUP(($AJ20-$AI20-$AH20-$AG20-$AF20-$AE20*(1+GM$3))/$AJ20,Уголь_коэфф!$A:$B,2,1),(GL20-0.05)))</f>
        <v>1</v>
      </c>
      <c r="GN20" s="102">
        <f>MIN(1,MAX(VLOOKUP(($AJ20-$AI20-$AH20-$AG20-$AF20-$AE20*(1+GN$3))/$AJ20,Уголь_коэфф!$A:$B,2,1),(GM20-0.05)))</f>
        <v>1</v>
      </c>
      <c r="GO20" s="102">
        <f>MIN(1,MAX(VLOOKUP(($AJ20-$AI20-$AH20-$AG20-$AF20-$AE20*(1+GO$3))/$AJ20,Уголь_коэфф!$A:$B,2,1),(GN20-0.05)))</f>
        <v>1</v>
      </c>
      <c r="GP20" s="102">
        <f>MIN(1,MAX(VLOOKUP(($AJ20-$AI20-$AH20-$AG20-$AF20-$AE20*(1+GP$3))/$AJ20,Уголь_коэфф!$A:$B,2,1),(GO20-0.05)))</f>
        <v>1</v>
      </c>
      <c r="GQ20" s="102">
        <f>MIN(1,MAX(VLOOKUP(($AJ20-$AI20-$AH20-$AG20-$AF20-$AE20*(1+GQ$3))/$AJ20,Уголь_коэфф!$A:$B,2,1),(GP20-0.05)))</f>
        <v>1</v>
      </c>
      <c r="GR20" s="102">
        <f>MIN(1,MAX(VLOOKUP(($AJ20-$AI20-$AH20-$AG20-$AF20-$AE20*(1+GR$3))/$AJ20,Уголь_коэфф!$A:$B,2,1),(GQ20-0.05)))</f>
        <v>1</v>
      </c>
      <c r="GS20" s="102">
        <f>MIN(1,MAX(VLOOKUP(($AJ20-$AI20-$AH20-$AG20-$AF20-$AE20*(1+GS$3))/$AJ20,Уголь_коэфф!$A:$B,2,1),(GR20-0.05)))</f>
        <v>1</v>
      </c>
      <c r="GT20" s="102">
        <f>MIN(1,MAX(VLOOKUP(($AJ20-$AI20-$AH20-$AG20-$AF20-$AE20*(1+GT$3))/$AJ20,Уголь_коэфф!$A:$B,2,1),(GS20-0.05)))</f>
        <v>1</v>
      </c>
      <c r="GU20" s="102">
        <f>MIN(1,MAX(VLOOKUP(($AJ20-$AI20-$AH20-$AG20-$AF20-$AE20*(1+GU$3))/$AJ20,Уголь_коэфф!$A:$B,2,1),(GT20-0.05)))</f>
        <v>1</v>
      </c>
      <c r="GV20" s="102">
        <f>MIN(1,MAX(VLOOKUP(($AJ20-$AI20-$AH20-$AG20-$AF20-$AE20*(1+GV$3))/$AJ20,Уголь_коэфф!$A:$B,2,1),(GU20-0.05)))</f>
        <v>1</v>
      </c>
      <c r="GW20" s="102">
        <f>MIN(1,MAX(VLOOKUP(($AJ20-$AI20-$AH20-$AG20-$AF20-$AE20*(1+GW$3))/$AJ20,Уголь_коэфф!$A:$B,2,1),(GV20-0.05)))</f>
        <v>1</v>
      </c>
      <c r="GX20" s="102">
        <f>MIN(1,MAX(VLOOKUP(($AJ20-$AI20-$AH20-$AG20-$AF20-$AE20*(1+GX$3))/$AJ20,Уголь_коэфф!$A:$B,2,1),(GW20-0.05)))</f>
        <v>1</v>
      </c>
      <c r="GY20" s="102">
        <f>MIN(1,MAX(VLOOKUP(($AJ20-$AI20-$AH20-$AG20-$AF20-$AE20*(1+GY$3))/$AJ20,Уголь_коэфф!$A:$B,2,1),(GX20-0.05)))</f>
        <v>1</v>
      </c>
      <c r="GZ20" s="102">
        <f>MIN(1,MAX(VLOOKUP(($AJ20-$AI20-$AH20-$AG20-$AF20-$AE20*(1+GZ$3))/$AJ20,Уголь_коэфф!$A:$B,2,1),(GY20-0.05)))</f>
        <v>1</v>
      </c>
      <c r="HA20" s="102">
        <f>MIN(1,MAX(VLOOKUP(($AJ20-$AI20-$AH20-$AG20-$AF20-$AE20*(1+HA$3))/$AJ20,Уголь_коэфф!$A:$B,2,1),(GZ20-0.05)))</f>
        <v>1</v>
      </c>
      <c r="HB20" s="102">
        <f>MIN(1,MAX(VLOOKUP(($AJ20-$AI20-$AH20-$AG20-$AF20-$AE20*(1+HB$3))/$AJ20,Уголь_коэфф!$A:$B,2,1),(HA20-0.05)))</f>
        <v>1</v>
      </c>
      <c r="HC20" s="102">
        <f>MIN(1,MAX(VLOOKUP(($AJ20-$AI20-$AH20-$AG20-$AF20-$AE20*(1+HC$3))/$AJ20,Уголь_коэфф!$A:$B,2,1),(HB20-0.05)))</f>
        <v>1</v>
      </c>
      <c r="HD20" s="102">
        <f>MIN(1,MAX(VLOOKUP(($AJ20-$AI20-$AH20-$AG20-$AF20-$AE20*(1+HD$3))/$AJ20,Уголь_коэфф!$A:$B,2,1),(HC20-0.05)))</f>
        <v>1</v>
      </c>
      <c r="HE20" s="102">
        <f>MIN(1,MAX(VLOOKUP(($AJ20-$AI20-$AH20-$AG20-$AF20-$AE20*(1+HE$3))/$AJ20,Уголь_коэфф!$A:$B,2,1),(HD20-0.05)))</f>
        <v>1</v>
      </c>
      <c r="HF20" s="102">
        <f>MIN(1,MAX(VLOOKUP(($AJ20-$AI20-$AH20-$AG20-$AF20-$AE20*(1+HF$3))/$AJ20,Уголь_коэфф!$A:$B,2,1),(HE20-0.05)))</f>
        <v>1</v>
      </c>
      <c r="HG20" s="102">
        <f>MIN(1,MAX(VLOOKUP(($AJ20-$AI20-$AH20-$AG20-$AF20-$AE20*(1+HG$3))/$AJ20,Уголь_коэфф!$A:$B,2,1),(HF20-0.05)))</f>
        <v>1</v>
      </c>
      <c r="HH20" s="102">
        <f>MIN(1,MAX(VLOOKUP(($AJ20-$AI20-$AH20-$AG20-$AF20-$AE20*(1+HH$3))/$AJ20,Уголь_коэфф!$A:$B,2,1),(HG20-0.05)))</f>
        <v>1</v>
      </c>
      <c r="HI20" s="102">
        <f>MIN(1,MAX(VLOOKUP(($AJ20-$AI20-$AH20-$AG20-$AF20-$AE20*(1+HI$3))/$AJ20,Уголь_коэфф!$A:$B,2,1),(HH20-0.05)))</f>
        <v>1</v>
      </c>
      <c r="HJ20" s="102">
        <f>MIN(1,MAX(VLOOKUP(($AJ20-$AI20-$AH20-$AG20-$AF20-$AE20*(1+HJ$3))/$AJ20,Уголь_коэфф!$A:$B,2,1),(HI20-0.05)))</f>
        <v>1</v>
      </c>
      <c r="HK20" s="102">
        <f>MIN(1,MAX(VLOOKUP(($AJ20-$AI20-$AH20-$AG20-$AF20-$AE20*(1+HK$3))/$AJ20,Уголь_коэфф!$A:$B,2,1),(HJ20-0.05)))</f>
        <v>1</v>
      </c>
      <c r="HL20" s="102">
        <f>MIN(1,MAX(VLOOKUP(($AJ20-$AI20-$AH20-$AG20-$AF20-$AE20*(1+HL$3))/$AJ20,Уголь_коэфф!$A:$B,2,1),(HK20-0.05)))</f>
        <v>1</v>
      </c>
      <c r="HM20" s="102">
        <f>MIN(1,MAX(VLOOKUP(($AJ20-$AI20-$AH20-$AG20-$AF20-$AE20*(1+HM$3))/$AJ20,Уголь_коэфф!$A:$B,2,1),(HL20-0.05)))</f>
        <v>1</v>
      </c>
      <c r="HN20" s="102">
        <f>MIN(1,MAX(VLOOKUP(($AJ20-$AI20-$AH20-$AG20-$AF20-$AE20*(1+HN$3))/$AJ20,Уголь_коэфф!$A:$B,2,1),(HM20-0.05)))</f>
        <v>1</v>
      </c>
      <c r="HO20" s="102">
        <f>MIN(1,MAX(VLOOKUP(($AJ20-$AI20-$AH20-$AG20-$AF20-$AE20*(1+HO$3))/$AJ20,Уголь_коэфф!$A:$B,2,1),(HN20-0.05)))</f>
        <v>1</v>
      </c>
      <c r="HP20" s="102">
        <f>MIN(1,MAX(VLOOKUP(($AJ20-$AI20-$AH20-$AG20-$AF20-$AE20*(1+HP$3))/$AJ20,Уголь_коэфф!$A:$B,2,1),(HO20-0.05)))</f>
        <v>1</v>
      </c>
      <c r="HQ20" s="102">
        <f>MIN(1,MAX(VLOOKUP(($AJ20-$AI20-$AH20-$AG20-$AF20-$AE20*(1+HQ$3))/$AJ20,Уголь_коэфф!$A:$B,2,1),(HP20-0.05)))</f>
        <v>1</v>
      </c>
      <c r="HR20" s="102">
        <f>MIN(1,MAX(VLOOKUP(($AJ20-$AI20-$AH20-$AG20-$AF20-$AE20*(1+HR$3))/$AJ20,Уголь_коэфф!$A:$B,2,1),(HQ20-0.05)))</f>
        <v>1</v>
      </c>
      <c r="HS20" s="102">
        <f>MIN(1,MAX(VLOOKUP(($AJ20-$AI20-$AH20-$AG20-$AF20-$AE20*(1+HS$3))/$AJ20,Уголь_коэфф!$A:$B,2,1),(HR20-0.05)))</f>
        <v>1</v>
      </c>
      <c r="HT20" s="102">
        <f>MIN(1,MAX(VLOOKUP(($AJ20-$AI20-$AH20-$AG20-$AF20-$AE20*(1+HT$3))/$AJ20,Уголь_коэфф!$A:$B,2,1),(HS20-0.05)))</f>
        <v>1</v>
      </c>
      <c r="HU20" s="102">
        <f>MIN(1,MAX(VLOOKUP(($AJ20-$AI20-$AH20-$AG20-$AF20-$AE20*(1+HU$3))/$AJ20,Уголь_коэфф!$A:$B,2,1),(HT20-0.05)))</f>
        <v>1</v>
      </c>
      <c r="HV20" s="102">
        <f>MIN(1,MAX(VLOOKUP(($AJ20-$AI20-$AH20-$AG20-$AF20-$AE20*(1+HV$3))/$AJ20,Уголь_коэфф!$A:$B,2,1),(HU20-0.05)))</f>
        <v>1</v>
      </c>
      <c r="HW20" s="102">
        <f>MIN(1,MAX(VLOOKUP(($AJ20-$AI20-$AH20-$AG20-$AF20-$AE20*(1+HW$3))/$AJ20,Уголь_коэфф!$A:$B,2,1),(HV20-0.05)))</f>
        <v>1</v>
      </c>
      <c r="HX20" s="102">
        <f>MIN(1,MAX(VLOOKUP(($AJ20-$AI20-$AH20-$AG20-$AF20-$AE20*(1+HX$3))/$AJ20,Уголь_коэфф!$A:$B,2,1),(HW20-0.05)))</f>
        <v>1</v>
      </c>
      <c r="HY20" s="102">
        <f>MIN(1,MAX(VLOOKUP(($AJ20-$AI20-$AH20-$AG20-$AF20-$AE20*(1+HY$3))/$AJ20,Уголь_коэфф!$A:$B,2,1),(HX20-0.05)))</f>
        <v>1</v>
      </c>
      <c r="HZ20" s="102">
        <f>MIN(1,MAX(VLOOKUP(($AJ20-$AI20-$AH20-$AG20-$AF20-$AE20*(1+HZ$3))/$AJ20,Уголь_коэфф!$A:$B,2,1),(HY20-0.05)))</f>
        <v>1</v>
      </c>
      <c r="IA20" s="102">
        <f>MIN(1,MAX(VLOOKUP(($AJ20-$AI20-$AH20-$AG20-$AF20-$AE20*(1+IA$3))/$AJ20,Уголь_коэфф!$A:$B,2,1),(HZ20-0.05)))</f>
        <v>1</v>
      </c>
      <c r="IB20" s="102">
        <f>MIN(1,MAX(VLOOKUP(($AJ20-$AI20-$AH20-$AG20-$AF20-$AE20*(1+IB$3))/$AJ20,Уголь_коэфф!$A:$B,2,1),(IA20-0.05)))</f>
        <v>1</v>
      </c>
      <c r="IC20" s="102">
        <f>MIN(1,MAX(VLOOKUP(($AJ20-$AI20-$AH20-$AG20-$AF20-$AE20*(1+IC$3))/$AJ20,Уголь_коэфф!$A:$B,2,1),(IB20-0.05)))</f>
        <v>1</v>
      </c>
      <c r="ID20" s="102">
        <f>MIN(1,MAX(VLOOKUP(($AJ20-$AI20-$AH20-$AG20-$AF20-$AE20*(1+ID$3))/$AJ20,Уголь_коэфф!$A:$B,2,1),(IC20-0.05)))</f>
        <v>1</v>
      </c>
      <c r="IE20" s="102">
        <f>MIN(1,MAX(VLOOKUP(($AJ20-$AI20-$AH20-$AG20-$AF20-$AE20*(1+IE$3))/$AJ20,Уголь_коэфф!$A:$B,2,1),(ID20-0.05)))</f>
        <v>1</v>
      </c>
      <c r="IF20" s="102">
        <f>MIN(1,MAX(VLOOKUP(($AJ20-$AI20-$AH20-$AG20-$AF20-$AE20*(1+IF$3))/$AJ20,Уголь_коэфф!$A:$B,2,1),(IE20-0.05)))</f>
        <v>1</v>
      </c>
      <c r="IG20" s="102">
        <f>MIN(1,MAX(VLOOKUP(($AJ20-$AI20-$AH20-$AG20-$AF20-$AE20*(1+IG$3))/$AJ20,Уголь_коэфф!$A:$B,2,1),(IF20-0.05)))</f>
        <v>1</v>
      </c>
      <c r="IH20" s="102">
        <f>MIN(1,MAX(VLOOKUP(($AJ20-$AI20-$AH20-$AG20-$AF20-$AE20*(1+IH$3))/$AJ20,Уголь_коэфф!$A:$B,2,1),(IG20-0.05)))</f>
        <v>1</v>
      </c>
      <c r="II20" s="102">
        <f>MIN(1,MAX(VLOOKUP(($AJ20-$AI20-$AH20-$AG20-$AF20-$AE20*(1+II$3))/$AJ20,Уголь_коэфф!$A:$B,2,1),(IH20-0.05)))</f>
        <v>1</v>
      </c>
      <c r="IJ20" s="102">
        <f>MIN(1,MAX(VLOOKUP(($AJ20-$AI20-$AH20-$AG20-$AF20-$AE20*(1+IJ$3))/$AJ20,Уголь_коэфф!$A:$B,2,1),(II20-0.05)))</f>
        <v>1</v>
      </c>
      <c r="IK20" s="102">
        <f>MIN(1,MAX(VLOOKUP(($AJ20-$AI20-$AH20-$AG20-$AF20-$AE20*(1+IK$3))/$AJ20,Уголь_коэфф!$A:$B,2,1),(IJ20-0.05)))</f>
        <v>1</v>
      </c>
      <c r="IL20" s="102">
        <f>MIN(1,MAX(VLOOKUP(($AJ20-$AI20-$AH20-$AG20-$AF20-$AE20*(1+IL$3))/$AJ20,Уголь_коэфф!$A:$B,2,1),(IK20-0.05)))</f>
        <v>1</v>
      </c>
      <c r="IM20" s="102">
        <f>MIN(1,MAX(VLOOKUP(($AJ20-$AI20-$AH20-$AG20-$AF20-$AE20*(1+IM$3))/$AJ20,Уголь_коэфф!$A:$B,2,1),(IL20-0.05)))</f>
        <v>1</v>
      </c>
      <c r="IN20" s="102">
        <f>MIN(1,MAX(VLOOKUP(($AJ20-$AI20-$AH20-$AG20-$AF20-$AE20*(1+IN$3))/$AJ20,Уголь_коэфф!$A:$B,2,1),(IM20-0.05)))</f>
        <v>1</v>
      </c>
      <c r="IO20" s="102">
        <f>MIN(1,MAX(VLOOKUP(($AJ20-$AI20-$AH20-$AG20-$AF20-$AE20*(1+IO$3))/$AJ20,Уголь_коэфф!$A:$B,2,1),(IN20-0.05)))</f>
        <v>1</v>
      </c>
      <c r="IP20" s="102">
        <f>MIN(1,MAX(VLOOKUP(($AJ20-$AI20-$AH20-$AG20-$AF20-$AE20*(1+IP$3))/$AJ20,Уголь_коэфф!$A:$B,2,1),(IO20-0.05)))</f>
        <v>1</v>
      </c>
      <c r="IQ20" s="102">
        <f>MIN(1,MAX(VLOOKUP(($AJ20-$AI20-$AH20-$AG20-$AF20-$AE20*(1+IQ$3))/$AJ20,Уголь_коэфф!$A:$B,2,1),(IP20-0.05)))</f>
        <v>1</v>
      </c>
      <c r="IR20" s="102">
        <f>MIN(1,MAX(VLOOKUP(($AJ20-$AI20-$AH20-$AG20-$AF20-$AE20*(1+IR$3))/$AJ20,Уголь_коэфф!$A:$B,2,1),(IQ20-0.05)))</f>
        <v>1</v>
      </c>
      <c r="IS20" s="102">
        <f t="shared" si="20"/>
        <v>1</v>
      </c>
      <c r="IT20" s="102">
        <f t="shared" si="7"/>
        <v>1</v>
      </c>
      <c r="IU20" s="110"/>
    </row>
    <row r="21" spans="1:255" ht="14.6" customHeight="1">
      <c r="A21" t="s">
        <v>239</v>
      </c>
      <c r="B21" s="141">
        <v>1</v>
      </c>
      <c r="C21" s="142" t="s">
        <v>16</v>
      </c>
      <c r="D21" s="143">
        <v>16118</v>
      </c>
      <c r="E21" s="143" t="s">
        <v>65</v>
      </c>
      <c r="F21" s="142" t="s">
        <v>18</v>
      </c>
      <c r="G21" s="142" t="s">
        <v>45</v>
      </c>
      <c r="H21" s="143" t="s">
        <v>19</v>
      </c>
      <c r="I21" s="143" t="s">
        <v>113</v>
      </c>
      <c r="J21" s="143" t="s">
        <v>114</v>
      </c>
      <c r="K21" s="143">
        <v>5804</v>
      </c>
      <c r="L21" s="143" t="s">
        <v>22</v>
      </c>
      <c r="M21" s="143" t="s">
        <v>23</v>
      </c>
      <c r="N21" s="143" t="s">
        <v>24</v>
      </c>
      <c r="O21" s="143" t="s">
        <v>25</v>
      </c>
      <c r="P21" s="144">
        <v>160212</v>
      </c>
      <c r="Q21" s="144" t="s">
        <v>115</v>
      </c>
      <c r="R21" s="143" t="s">
        <v>116</v>
      </c>
      <c r="S21" s="147">
        <v>1133165</v>
      </c>
      <c r="T21" s="145">
        <v>6576368768</v>
      </c>
      <c r="U21" s="145">
        <v>15452</v>
      </c>
      <c r="V21" s="145"/>
      <c r="W21" s="148">
        <v>2258203125</v>
      </c>
      <c r="X21" s="104">
        <v>75</v>
      </c>
      <c r="Y21" s="104" t="s">
        <v>163</v>
      </c>
      <c r="Z21" s="107">
        <v>12</v>
      </c>
      <c r="AA21" s="107">
        <v>13</v>
      </c>
      <c r="AB21" s="107">
        <v>4</v>
      </c>
      <c r="AC21" s="88">
        <v>2152.64</v>
      </c>
      <c r="AD21" s="88">
        <v>1013.71</v>
      </c>
      <c r="AE21" s="88">
        <f t="shared" ref="AE21:AE23" si="26">AC21+AD21</f>
        <v>3166.35</v>
      </c>
      <c r="AF21" s="89">
        <f>'Цены,перевалка,аренда'!$C$26*SUM(Уголь_эластика_экспорт!Z21+Уголь_эластика_экспорт!AA21+Уголь_эластика_экспорт!AB21)/Уголь_эластика_экспорт!X21</f>
        <v>386.66666666666669</v>
      </c>
      <c r="AG21" s="90">
        <f>SUMIF('Цены,перевалка,аренда'!$A$20:$A$22,Уголь_эластика_экспорт!$O21,'Цены,перевалка,аренда'!$D$20:$D$22)</f>
        <v>763.05499999999995</v>
      </c>
      <c r="AH21" s="47"/>
      <c r="AI21" s="91">
        <v>4817</v>
      </c>
      <c r="AJ21" s="92">
        <f>SUMIF('Цены,перевалка,аренда'!$A$5:$A$17,Уголь_эластика_экспорт!A21,'Цены,перевалка,аренда'!$D$5:$D$17)</f>
        <v>8546.2160000000003</v>
      </c>
      <c r="AK21" s="47">
        <f>AJ21/'Цены,перевалка,аренда'!$C$1</f>
        <v>112.00000000000001</v>
      </c>
      <c r="AL21" s="47">
        <f t="shared" si="9"/>
        <v>4316.0716666666667</v>
      </c>
      <c r="AM21" s="47">
        <f t="shared" si="10"/>
        <v>4230.1443333333336</v>
      </c>
      <c r="AN21" s="47">
        <f t="shared" si="11"/>
        <v>9133.0716666666667</v>
      </c>
      <c r="AO21" s="93">
        <f t="shared" si="12"/>
        <v>-6.8668480490858913E-2</v>
      </c>
      <c r="AP21" s="94">
        <f t="shared" si="13"/>
        <v>0.50502721516360771</v>
      </c>
      <c r="AQ21" s="94">
        <f t="shared" si="5"/>
        <v>0.370497305474142</v>
      </c>
      <c r="AR21" s="94">
        <f t="shared" si="6"/>
        <v>0.73361849490450992</v>
      </c>
      <c r="AS21" s="167">
        <f t="shared" si="14"/>
        <v>0.95499999999999996</v>
      </c>
      <c r="AT21" s="173">
        <f t="shared" si="15"/>
        <v>1082172.575</v>
      </c>
      <c r="AU21" s="97">
        <f>15/17</f>
        <v>0.88235294117647056</v>
      </c>
      <c r="AV21" s="93">
        <f t="shared" si="16"/>
        <v>-0.10571821103827314</v>
      </c>
      <c r="AW21" s="94">
        <f t="shared" si="17"/>
        <v>0.54207694571102194</v>
      </c>
      <c r="AX21" s="94">
        <f t="shared" si="18"/>
        <v>0.40754703602155623</v>
      </c>
      <c r="AY21" s="94">
        <f t="shared" si="19"/>
        <v>0.75182506698747742</v>
      </c>
      <c r="AZ21" s="102">
        <f>MIN(IF($AU21=100%,1,1+VLOOKUP(($AJ21-$AI21-$AH21-$AG21-$AF21-$AE21*(1+AZ$3))/$AJ21,Уголь_коэфф!$A:$B,2,1)-VLOOKUP($AO21,Уголь_коэфф!$A:$B,2,1)),1+(1-$AU21))</f>
        <v>1.0699999999999998</v>
      </c>
      <c r="BA21" s="102">
        <f>MIN(IF($AU21=100%,1,1+VLOOKUP(($AJ21-$AI21-$AH21-$AG21-$AF21-$AE21*(1+BA$3))/$AJ21,Уголь_коэфф!$A:$B,2,1)-VLOOKUP($AO21,Уголь_коэфф!$A:$B,2,1)),1+(1-$AU21))</f>
        <v>1.0699999999999998</v>
      </c>
      <c r="BB21" s="102">
        <f>MIN(IF($AU21=100%,1,1+VLOOKUP(($AJ21-$AI21-$AH21-$AG21-$AF21-$AE21*(1+BB$3))/$AJ21,Уголь_коэфф!$A:$B,2,1)-VLOOKUP($AO21,Уголь_коэфф!$A:$B,2,1)),1+(1-$AU21))</f>
        <v>1.0699999999999998</v>
      </c>
      <c r="BC21" s="102">
        <f>MIN(IF($AU21=100%,1,1+VLOOKUP(($AJ21-$AI21-$AH21-$AG21-$AF21-$AE21*(1+BC$3))/$AJ21,Уголь_коэфф!$A:$B,2,1)-VLOOKUP($AO21,Уголь_коэфф!$A:$B,2,1)),1+(1-$AU21))</f>
        <v>1.0699999999999998</v>
      </c>
      <c r="BD21" s="102">
        <f>MIN(IF($AU21=100%,1,1+VLOOKUP(($AJ21-$AI21-$AH21-$AG21-$AF21-$AE21*(1+BD$3))/$AJ21,Уголь_коэфф!$A:$B,2,1)-VLOOKUP($AO21,Уголь_коэфф!$A:$B,2,1)),1+(1-$AU21))</f>
        <v>1.0649999999999999</v>
      </c>
      <c r="BE21" s="102">
        <f>MIN(IF($AU21=100%,1,1+VLOOKUP(($AJ21-$AI21-$AH21-$AG21-$AF21-$AE21*(1+BE$3))/$AJ21,Уголь_коэфф!$A:$B,2,1)-VLOOKUP($AO21,Уголь_коэфф!$A:$B,2,1)),1+(1-$AU21))</f>
        <v>1.0649999999999999</v>
      </c>
      <c r="BF21" s="102">
        <f>MIN(IF($AU21=100%,1,1+VLOOKUP(($AJ21-$AI21-$AH21-$AG21-$AF21-$AE21*(1+BF$3))/$AJ21,Уголь_коэфф!$A:$B,2,1)-VLOOKUP($AO21,Уголь_коэфф!$A:$B,2,1)),1+(1-$AU21))</f>
        <v>1.0649999999999999</v>
      </c>
      <c r="BG21" s="102">
        <f>MIN(IF($AU21=100%,1,1+VLOOKUP(($AJ21-$AI21-$AH21-$AG21-$AF21-$AE21*(1+BG$3))/$AJ21,Уголь_коэфф!$A:$B,2,1)-VLOOKUP($AO21,Уголь_коэфф!$A:$B,2,1)),1+(1-$AU21))</f>
        <v>1.0649999999999999</v>
      </c>
      <c r="BH21" s="102">
        <f>MIN(IF($AU21=100%,1,1+VLOOKUP(($AJ21-$AI21-$AH21-$AG21-$AF21-$AE21*(1+BH$3))/$AJ21,Уголь_коэфф!$A:$B,2,1)-VLOOKUP($AO21,Уголь_коэфф!$A:$B,2,1)),1+(1-$AU21))</f>
        <v>1.0649999999999999</v>
      </c>
      <c r="BI21" s="102">
        <f>MIN(IF($AU21=100%,1,1+VLOOKUP(($AJ21-$AI21-$AH21-$AG21-$AF21-$AE21*(1+BI$3))/$AJ21,Уголь_коэфф!$A:$B,2,1)-VLOOKUP($AO21,Уголь_коэфф!$A:$B,2,1)),1+(1-$AU21))</f>
        <v>1.06</v>
      </c>
      <c r="BJ21" s="102">
        <f>MIN(IF($AU21=100%,1,1+VLOOKUP(($AJ21-$AI21-$AH21-$AG21-$AF21-$AE21*(1+BJ$3))/$AJ21,Уголь_коэфф!$A:$B,2,1)-VLOOKUP($AO21,Уголь_коэфф!$A:$B,2,1)),1+(1-$AU21))</f>
        <v>1.06</v>
      </c>
      <c r="BK21" s="102">
        <f>MIN(IF($AU21=100%,1,1+VLOOKUP(($AJ21-$AI21-$AH21-$AG21-$AF21-$AE21*(1+BK$3))/$AJ21,Уголь_коэфф!$A:$B,2,1)-VLOOKUP($AO21,Уголь_коэфф!$A:$B,2,1)),1+(1-$AU21))</f>
        <v>1.06</v>
      </c>
      <c r="BL21" s="102">
        <f>MIN(IF($AU21=100%,1,1+VLOOKUP(($AJ21-$AI21-$AH21-$AG21-$AF21-$AE21*(1+BL$3))/$AJ21,Уголь_коэфф!$A:$B,2,1)-VLOOKUP($AO21,Уголь_коэфф!$A:$B,2,1)),1+(1-$AU21))</f>
        <v>1.06</v>
      </c>
      <c r="BM21" s="102">
        <f>MIN(IF($AU21=100%,1,1+VLOOKUP(($AJ21-$AI21-$AH21-$AG21-$AF21-$AE21*(1+BM$3))/$AJ21,Уголь_коэфф!$A:$B,2,1)-VLOOKUP($AO21,Уголь_коэфф!$A:$B,2,1)),1+(1-$AU21))</f>
        <v>1.06</v>
      </c>
      <c r="BN21" s="102">
        <f>MIN(IF($AU21=100%,1,1+VLOOKUP(($AJ21-$AI21-$AH21-$AG21-$AF21-$AE21*(1+BN$3))/$AJ21,Уголь_коэфф!$A:$B,2,1)-VLOOKUP($AO21,Уголь_коэфф!$A:$B,2,1)),1+(1-$AU21))</f>
        <v>1.06</v>
      </c>
      <c r="BO21" s="102">
        <f>MIN(IF($AU21=100%,1,1+VLOOKUP(($AJ21-$AI21-$AH21-$AG21-$AF21-$AE21*(1+BO$3))/$AJ21,Уголь_коэфф!$A:$B,2,1)-VLOOKUP($AO21,Уголь_коэфф!$A:$B,2,1)),1+(1-$AU21))</f>
        <v>1.0550000000000002</v>
      </c>
      <c r="BP21" s="102">
        <f>MIN(IF($AU21=100%,1,1+VLOOKUP(($AJ21-$AI21-$AH21-$AG21-$AF21-$AE21*(1+BP$3))/$AJ21,Уголь_коэфф!$A:$B,2,1)-VLOOKUP($AO21,Уголь_коэфф!$A:$B,2,1)),1+(1-$AU21))</f>
        <v>1.0550000000000002</v>
      </c>
      <c r="BQ21" s="102">
        <f>MIN(IF($AU21=100%,1,1+VLOOKUP(($AJ21-$AI21-$AH21-$AG21-$AF21-$AE21*(1+BQ$3))/$AJ21,Уголь_коэфф!$A:$B,2,1)-VLOOKUP($AO21,Уголь_коэфф!$A:$B,2,1)),1+(1-$AU21))</f>
        <v>1.0550000000000002</v>
      </c>
      <c r="BR21" s="102">
        <f>MIN(IF($AU21=100%,1,1+VLOOKUP(($AJ21-$AI21-$AH21-$AG21-$AF21-$AE21*(1+BR$3))/$AJ21,Уголь_коэфф!$A:$B,2,1)-VLOOKUP($AO21,Уголь_коэфф!$A:$B,2,1)),1+(1-$AU21))</f>
        <v>1.0550000000000002</v>
      </c>
      <c r="BS21" s="102">
        <f>MIN(IF($AU21=100%,1,1+VLOOKUP(($AJ21-$AI21-$AH21-$AG21-$AF21-$AE21*(1+BS$3))/$AJ21,Уголь_коэфф!$A:$B,2,1)-VLOOKUP($AO21,Уголь_коэфф!$A:$B,2,1)),1+(1-$AU21))</f>
        <v>1.0550000000000002</v>
      </c>
      <c r="BT21" s="102">
        <f>MIN(IF($AU21=100%,1,1+VLOOKUP(($AJ21-$AI21-$AH21-$AG21-$AF21-$AE21*(1+BT$3))/$AJ21,Уголь_коэфф!$A:$B,2,1)-VLOOKUP($AO21,Уголь_коэфф!$A:$B,2,1)),1+(1-$AU21))</f>
        <v>1.0499999999999998</v>
      </c>
      <c r="BU21" s="102">
        <f>MIN(IF($AU21=100%,1,1+VLOOKUP(($AJ21-$AI21-$AH21-$AG21-$AF21-$AE21*(1+BU$3))/$AJ21,Уголь_коэфф!$A:$B,2,1)-VLOOKUP($AO21,Уголь_коэфф!$A:$B,2,1)),1+(1-$AU21))</f>
        <v>1.0499999999999998</v>
      </c>
      <c r="BV21" s="102">
        <f>MIN(IF($AU21=100%,1,1+VLOOKUP(($AJ21-$AI21-$AH21-$AG21-$AF21-$AE21*(1+BV$3))/$AJ21,Уголь_коэфф!$A:$B,2,1)-VLOOKUP($AO21,Уголь_коэфф!$A:$B,2,1)),1+(1-$AU21))</f>
        <v>1.0499999999999998</v>
      </c>
      <c r="BW21" s="102">
        <f>MIN(IF($AU21=100%,1,1+VLOOKUP(($AJ21-$AI21-$AH21-$AG21-$AF21-$AE21*(1+BW$3))/$AJ21,Уголь_коэфф!$A:$B,2,1)-VLOOKUP($AO21,Уголь_коэфф!$A:$B,2,1)),1+(1-$AU21))</f>
        <v>1.0499999999999998</v>
      </c>
      <c r="BX21" s="102">
        <f>MIN(IF($AU21=100%,1,1+VLOOKUP(($AJ21-$AI21-$AH21-$AG21-$AF21-$AE21*(1+BX$3))/$AJ21,Уголь_коэфф!$A:$B,2,1)-VLOOKUP($AO21,Уголь_коэфф!$A:$B,2,1)),1+(1-$AU21))</f>
        <v>1.0499999999999998</v>
      </c>
      <c r="BY21" s="102">
        <f>MIN(IF($AU21=100%,1,1+VLOOKUP(($AJ21-$AI21-$AH21-$AG21-$AF21-$AE21*(1+BY$3))/$AJ21,Уголь_коэфф!$A:$B,2,1)-VLOOKUP($AO21,Уголь_коэфф!$A:$B,2,1)),1+(1-$AU21))</f>
        <v>1.0499999999999998</v>
      </c>
      <c r="BZ21" s="102">
        <f>MIN(IF($AU21=100%,1,1+VLOOKUP(($AJ21-$AI21-$AH21-$AG21-$AF21-$AE21*(1+BZ$3))/$AJ21,Уголь_коэфф!$A:$B,2,1)-VLOOKUP($AO21,Уголь_коэфф!$A:$B,2,1)),1+(1-$AU21))</f>
        <v>1.0499999999999998</v>
      </c>
      <c r="CA21" s="102">
        <f>MIN(IF($AU21=100%,1,1+VLOOKUP(($AJ21-$AI21-$AH21-$AG21-$AF21-$AE21*(1+CA$3))/$AJ21,Уголь_коэфф!$A:$B,2,1)-VLOOKUP($AO21,Уголь_коэфф!$A:$B,2,1)),1+(1-$AU21))</f>
        <v>1.0499999999999998</v>
      </c>
      <c r="CB21" s="102">
        <f>MIN(IF($AU21=100%,1,1+VLOOKUP(($AJ21-$AI21-$AH21-$AG21-$AF21-$AE21*(1+CB$3))/$AJ21,Уголь_коэфф!$A:$B,2,1)-VLOOKUP($AO21,Уголь_коэфф!$A:$B,2,1)),1+(1-$AU21))</f>
        <v>1.0499999999999998</v>
      </c>
      <c r="CC21" s="102">
        <f>MIN(IF($AU21=100%,1,1+VLOOKUP(($AJ21-$AI21-$AH21-$AG21-$AF21-$AE21*(1+CC$3))/$AJ21,Уголь_коэфф!$A:$B,2,1)-VLOOKUP($AO21,Уголь_коэфф!$A:$B,2,1)),1+(1-$AU21))</f>
        <v>1.0499999999999998</v>
      </c>
      <c r="CD21" s="102">
        <f>MIN(IF($AU21=100%,1,1+VLOOKUP(($AJ21-$AI21-$AH21-$AG21-$AF21-$AE21*(1+CD$3))/$AJ21,Уголь_коэфф!$A:$B,2,1)-VLOOKUP($AO21,Уголь_коэфф!$A:$B,2,1)),1+(1-$AU21))</f>
        <v>1.0499999999999998</v>
      </c>
      <c r="CE21" s="102">
        <f>MIN(IF($AU21=100%,1,1+VLOOKUP(($AJ21-$AI21-$AH21-$AG21-$AF21-$AE21*(1+CE$3))/$AJ21,Уголь_коэфф!$A:$B,2,1)-VLOOKUP($AO21,Уголь_коэфф!$A:$B,2,1)),1+(1-$AU21))</f>
        <v>1.0499999999999998</v>
      </c>
      <c r="CF21" s="102">
        <f>MIN(IF($AU21=100%,1,1+VLOOKUP(($AJ21-$AI21-$AH21-$AG21-$AF21-$AE21*(1+CF$3))/$AJ21,Уголь_коэфф!$A:$B,2,1)-VLOOKUP($AO21,Уголь_коэфф!$A:$B,2,1)),1+(1-$AU21))</f>
        <v>1.0499999999999998</v>
      </c>
      <c r="CG21" s="102">
        <f>MIN(IF($AU21=100%,1,1+VLOOKUP(($AJ21-$AI21-$AH21-$AG21-$AF21-$AE21*(1+CG$3))/$AJ21,Уголь_коэфф!$A:$B,2,1)-VLOOKUP($AO21,Уголь_коэфф!$A:$B,2,1)),1+(1-$AU21))</f>
        <v>1.0499999999999998</v>
      </c>
      <c r="CH21" s="102">
        <f>MIN(IF($AU21=100%,1,1+VLOOKUP(($AJ21-$AI21-$AH21-$AG21-$AF21-$AE21*(1+CH$3))/$AJ21,Уголь_коэфф!$A:$B,2,1)-VLOOKUP($AO21,Уголь_коэфф!$A:$B,2,1)),1+(1-$AU21))</f>
        <v>1.0499999999999998</v>
      </c>
      <c r="CI21" s="102">
        <f>MIN(IF($AU21=100%,1,1+VLOOKUP(($AJ21-$AI21-$AH21-$AG21-$AF21-$AE21*(1+CI$3))/$AJ21,Уголь_коэфф!$A:$B,2,1)-VLOOKUP($AO21,Уголь_коэфф!$A:$B,2,1)),1+(1-$AU21))</f>
        <v>1.0499999999999998</v>
      </c>
      <c r="CJ21" s="102">
        <f>MIN(IF($AU21=100%,1,1+VLOOKUP(($AJ21-$AI21-$AH21-$AG21-$AF21-$AE21*(1+CJ$3))/$AJ21,Уголь_коэфф!$A:$B,2,1)-VLOOKUP($AO21,Уголь_коэфф!$A:$B,2,1)),1+(1-$AU21))</f>
        <v>1.0249999999999999</v>
      </c>
      <c r="CK21" s="102">
        <f>MIN(IF($AU21=100%,1,1+VLOOKUP(($AJ21-$AI21-$AH21-$AG21-$AF21-$AE21*(1+CK$3))/$AJ21,Уголь_коэфф!$A:$B,2,1)-VLOOKUP($AO21,Уголь_коэфф!$A:$B,2,1)),1+(1-$AU21))</f>
        <v>1.0249999999999999</v>
      </c>
      <c r="CL21" s="102">
        <f>MIN(IF($AU21=100%,1,1+VLOOKUP(($AJ21-$AI21-$AH21-$AG21-$AF21-$AE21*(1+CL$3))/$AJ21,Уголь_коэфф!$A:$B,2,1)-VLOOKUP($AO21,Уголь_коэфф!$A:$B,2,1)),1+(1-$AU21))</f>
        <v>1.0249999999999999</v>
      </c>
      <c r="CM21" s="102">
        <f>MIN(IF($AU21=100%,1,1+VLOOKUP(($AJ21-$AI21-$AH21-$AG21-$AF21-$AE21*(1+CM$3))/$AJ21,Уголь_коэфф!$A:$B,2,1)-VLOOKUP($AO21,Уголь_коэфф!$A:$B,2,1)),1+(1-$AU21))</f>
        <v>1.0249999999999999</v>
      </c>
      <c r="CN21" s="102">
        <f>MIN(IF($AU21=100%,1,1+VLOOKUP(($AJ21-$AI21-$AH21-$AG21-$AF21-$AE21*(1+CN$3))/$AJ21,Уголь_коэфф!$A:$B,2,1)-VLOOKUP($AO21,Уголь_коэфф!$A:$B,2,1)),1+(1-$AU21))</f>
        <v>1.0249999999999999</v>
      </c>
      <c r="CO21" s="102">
        <f>MIN(IF($AU21=100%,1,1+VLOOKUP(($AJ21-$AI21-$AH21-$AG21-$AF21-$AE21*(1+CO$3))/$AJ21,Уголь_коэфф!$A:$B,2,1)-VLOOKUP($AO21,Уголь_коэфф!$A:$B,2,1)),1+(1-$AU21))</f>
        <v>1.0249999999999999</v>
      </c>
      <c r="CP21" s="102">
        <f>MIN(IF($AU21=100%,1,1+VLOOKUP(($AJ21-$AI21-$AH21-$AG21-$AF21-$AE21*(1+CP$3))/$AJ21,Уголь_коэфф!$A:$B,2,1)-VLOOKUP($AO21,Уголь_коэфф!$A:$B,2,1)),1+(1-$AU21))</f>
        <v>1.0249999999999999</v>
      </c>
      <c r="CQ21" s="102">
        <f>MIN(IF($AU21=100%,1,1+VLOOKUP(($AJ21-$AI21-$AH21-$AG21-$AF21-$AE21*(1+CQ$3))/$AJ21,Уголь_коэфф!$A:$B,2,1)-VLOOKUP($AO21,Уголь_коэфф!$A:$B,2,1)),1+(1-$AU21))</f>
        <v>1.0249999999999999</v>
      </c>
      <c r="CR21" s="102">
        <f>MIN(IF($AU21=100%,1,1+VLOOKUP(($AJ21-$AI21-$AH21-$AG21-$AF21-$AE21*(1+CR$3))/$AJ21,Уголь_коэфф!$A:$B,2,1)-VLOOKUP($AO21,Уголь_коэфф!$A:$B,2,1)),1+(1-$AU21))</f>
        <v>1.0249999999999999</v>
      </c>
      <c r="CS21" s="102">
        <f>MIN(IF($AU21=100%,1,1+VLOOKUP(($AJ21-$AI21-$AH21-$AG21-$AF21-$AE21*(1+CS$3))/$AJ21,Уголь_коэфф!$A:$B,2,1)-VLOOKUP($AO21,Уголь_коэфф!$A:$B,2,1)),1+(1-$AU21))</f>
        <v>1.0249999999999999</v>
      </c>
      <c r="CT21" s="102">
        <f>MIN(IF($AU21=100%,1,1+VLOOKUP(($AJ21-$AI21-$AH21-$AG21-$AF21-$AE21*(1+CT$3))/$AJ21,Уголь_коэфф!$A:$B,2,1)-VLOOKUP($AO21,Уголь_коэфф!$A:$B,2,1)),1+(1-$AU21))</f>
        <v>1.0249999999999999</v>
      </c>
      <c r="CU21" s="102">
        <f>MIN(IF($AU21=100%,1,1+VLOOKUP(($AJ21-$AI21-$AH21-$AG21-$AF21-$AE21*(1+CU$3))/$AJ21,Уголь_коэфф!$A:$B,2,1)-VLOOKUP($AO21,Уголь_коэфф!$A:$B,2,1)),1+(1-$AU21))</f>
        <v>1.0249999999999999</v>
      </c>
      <c r="CV21" s="102">
        <f>MIN(IF($AU21=100%,1,1+VLOOKUP(($AJ21-$AI21-$AH21-$AG21-$AF21-$AE21*(1+CV$3))/$AJ21,Уголь_коэфф!$A:$B,2,1)-VLOOKUP($AO21,Уголь_коэфф!$A:$B,2,1)),1+(1-$AU21))</f>
        <v>1.0249999999999999</v>
      </c>
      <c r="CW21" s="102">
        <f>MIN(IF($AU21=100%,1,1+VLOOKUP(($AJ21-$AI21-$AH21-$AG21-$AF21-$AE21*(1+CW$3))/$AJ21,Уголь_коэфф!$A:$B,2,1)-VLOOKUP($AO21,Уголь_коэфф!$A:$B,2,1)),1+(1-$AU21))</f>
        <v>1.0249999999999999</v>
      </c>
      <c r="CX21" s="102">
        <f>MIN(IF($AU21=100%,1,1+VLOOKUP(($AJ21-$AI21-$AH21-$AG21-$AF21-$AE21*(1+CX$3))/$AJ21,Уголь_коэфф!$A:$B,2,1)-VLOOKUP($AO21,Уголь_коэфф!$A:$B,2,1)),1+(1-$AU21))</f>
        <v>1.0249999999999999</v>
      </c>
      <c r="CY21" s="102">
        <f>MIN(IF($AU21=100%,1,1+VLOOKUP(($AJ21-$AI21-$AH21-$AG21-$AF21-$AE21*(1+CY$3))/$AJ21,Уголь_коэфф!$A:$B,2,1)-VLOOKUP($AO21,Уголь_коэфф!$A:$B,2,1)),1+(1-$AU21))</f>
        <v>1.0249999999999999</v>
      </c>
      <c r="CZ21" s="102">
        <f>MIN(IF($AU21=100%,1,1+VLOOKUP(($AJ21-$AI21-$AH21-$AG21-$AF21-$AE21*(1+CZ$3))/$AJ21,Уголь_коэфф!$A:$B,2,1)-VLOOKUP($AO21,Уголь_коэфф!$A:$B,2,1)),1+(1-$AU21))</f>
        <v>1.0249999999999999</v>
      </c>
      <c r="DA21" s="102">
        <f>MIN(IF($AU21=100%,1,1+VLOOKUP(($AJ21-$AI21-$AH21-$AG21-$AF21-$AE21*(1+DA$3))/$AJ21,Уголь_коэфф!$A:$B,2,1)-VLOOKUP($AO21,Уголь_коэфф!$A:$B,2,1)),1+(1-$AU21))</f>
        <v>1.0249999999999999</v>
      </c>
      <c r="DB21" s="102">
        <f>MIN(IF($AU21=100%,1,1+VLOOKUP(($AJ21-$AI21-$AH21-$AG21-$AF21-$AE21*(1+DB$3))/$AJ21,Уголь_коэфф!$A:$B,2,1)-VLOOKUP($AO21,Уголь_коэфф!$A:$B,2,1)),1+(1-$AU21))</f>
        <v>1.0249999999999999</v>
      </c>
      <c r="DC21" s="102">
        <f>MIN(IF($AU21=100%,1,1+VLOOKUP(($AJ21-$AI21-$AH21-$AG21-$AF21-$AE21*(1+DC$3))/$AJ21,Уголь_коэфф!$A:$B,2,1)-VLOOKUP($AO21,Уголь_коэфф!$A:$B,2,1)),1+(1-$AU21))</f>
        <v>1.0249999999999999</v>
      </c>
      <c r="DD21" s="102">
        <f>MIN(IF($AU21=100%,1,1+VLOOKUP(($AJ21-$AI21-$AH21-$AG21-$AF21-$AE21*(1+DD$3))/$AJ21,Уголь_коэфф!$A:$B,2,1)-VLOOKUP($AO21,Уголь_коэфф!$A:$B,2,1)),1+(1-$AU21))</f>
        <v>1.0249999999999999</v>
      </c>
      <c r="DE21" s="102">
        <f>MIN(IF($AU21=100%,1,1+VLOOKUP(($AJ21-$AI21-$AH21-$AG21-$AF21-$AE21*(1+DE$3))/$AJ21,Уголь_коэфф!$A:$B,2,1)-VLOOKUP($AO21,Уголь_коэфф!$A:$B,2,1)),1+(1-$AU21))</f>
        <v>1.0249999999999999</v>
      </c>
      <c r="DF21" s="102">
        <f>MIN(IF($AU21=100%,1,1+VLOOKUP(($AJ21-$AI21-$AH21-$AG21-$AF21-$AE21*(1+DF$3))/$AJ21,Уголь_коэфф!$A:$B,2,1)-VLOOKUP($AO21,Уголь_коэфф!$A:$B,2,1)),1+(1-$AU21))</f>
        <v>1.0249999999999999</v>
      </c>
      <c r="DG21" s="102">
        <f>MIN(IF($AU21=100%,1,1+VLOOKUP(($AJ21-$AI21-$AH21-$AG21-$AF21-$AE21*(1+DG$3))/$AJ21,Уголь_коэфф!$A:$B,2,1)-VLOOKUP($AO21,Уголь_коэфф!$A:$B,2,1)),1+(1-$AU21))</f>
        <v>1.0249999999999999</v>
      </c>
      <c r="DH21" s="102">
        <f>MIN(IF($AU21=100%,1,1+VLOOKUP(($AJ21-$AI21-$AH21-$AG21-$AF21-$AE21*(1+DH$3))/$AJ21,Уголь_коэфф!$A:$B,2,1)-VLOOKUP($AO21,Уголь_коэфф!$A:$B,2,1)),1+(1-$AU21))</f>
        <v>1.0249999999999999</v>
      </c>
      <c r="DI21" s="102">
        <f>MIN(IF($AU21=100%,1,1+VLOOKUP(($AJ21-$AI21-$AH21-$AG21-$AF21-$AE21*(1+DI$3))/$AJ21,Уголь_коэфф!$A:$B,2,1)-VLOOKUP($AO21,Уголь_коэфф!$A:$B,2,1)),1+(1-$AU21))</f>
        <v>1.0249999999999999</v>
      </c>
      <c r="DJ21" s="102">
        <f>MIN(IF($AU21=100%,1,1+VLOOKUP(($AJ21-$AI21-$AH21-$AG21-$AF21-$AE21*(1+DJ$3))/$AJ21,Уголь_коэфф!$A:$B,2,1)-VLOOKUP($AO21,Уголь_коэфф!$A:$B,2,1)),1+(1-$AU21))</f>
        <v>1.0249999999999999</v>
      </c>
      <c r="DK21" s="102">
        <f>MIN(IF($AU21=100%,1,1+VLOOKUP(($AJ21-$AI21-$AH21-$AG21-$AF21-$AE21*(1+DK$3))/$AJ21,Уголь_коэфф!$A:$B,2,1)-VLOOKUP($AO21,Уголь_коэфф!$A:$B,2,1)),1+(1-$AU21))</f>
        <v>1.0249999999999999</v>
      </c>
      <c r="DL21" s="102">
        <f>MIN(IF($AU21=100%,1,1+VLOOKUP(($AJ21-$AI21-$AH21-$AG21-$AF21-$AE21*(1+DL$3))/$AJ21,Уголь_коэфф!$A:$B,2,1)-VLOOKUP($AO21,Уголь_коэфф!$A:$B,2,1)),1+(1-$AU21))</f>
        <v>1.0249999999999999</v>
      </c>
      <c r="DM21" s="102">
        <f>MIN(IF($AU21=100%,1,1+VLOOKUP(($AJ21-$AI21-$AH21-$AG21-$AF21-$AE21*(1+DM$3))/$AJ21,Уголь_коэфф!$A:$B,2,1)-VLOOKUP($AO21,Уголь_коэфф!$A:$B,2,1)),1+(1-$AU21))</f>
        <v>1.0249999999999999</v>
      </c>
      <c r="DN21" s="102">
        <f>MIN(IF($AU21=100%,1,1+VLOOKUP(($AJ21-$AI21-$AH21-$AG21-$AF21-$AE21*(1+DN$3))/$AJ21,Уголь_коэфф!$A:$B,2,1)-VLOOKUP($AO21,Уголь_коэфф!$A:$B,2,1)),1+(1-$AU21))</f>
        <v>1.0249999999999999</v>
      </c>
      <c r="DO21" s="102">
        <f>MIN(IF($AU21=100%,1,1+VLOOKUP(($AJ21-$AI21-$AH21-$AG21-$AF21-$AE21*(1+DO$3))/$AJ21,Уголь_коэфф!$A:$B,2,1)-VLOOKUP($AO21,Уголь_коэфф!$A:$B,2,1)),1+(1-$AU21))</f>
        <v>1.0249999999999999</v>
      </c>
      <c r="DP21" s="102">
        <f>MIN(IF($AU21=100%,1,1+VLOOKUP(($AJ21-$AI21-$AH21-$AG21-$AF21-$AE21*(1+DP$3))/$AJ21,Уголь_коэфф!$A:$B,2,1)-VLOOKUP($AO21,Уголь_коэфф!$A:$B,2,1)),1+(1-$AU21))</f>
        <v>1.0249999999999999</v>
      </c>
      <c r="DQ21" s="102">
        <f>MIN(IF($AU21=100%,1,1+VLOOKUP(($AJ21-$AI21-$AH21-$AG21-$AF21-$AE21*(1+DQ$3))/$AJ21,Уголь_коэфф!$A:$B,2,1)-VLOOKUP($AO21,Уголь_коэфф!$A:$B,2,1)),1+(1-$AU21))</f>
        <v>1.0249999999999999</v>
      </c>
      <c r="DR21" s="102">
        <f>MIN(IF($AU21=100%,1,1+VLOOKUP(($AJ21-$AI21-$AH21-$AG21-$AF21-$AE21*(1+DR$3))/$AJ21,Уголь_коэфф!$A:$B,2,1)-VLOOKUP($AO21,Уголь_коэфф!$A:$B,2,1)),1+(1-$AU21))</f>
        <v>1.0249999999999999</v>
      </c>
      <c r="DS21" s="102">
        <f>MIN(IF($AU21=100%,1,1+VLOOKUP(($AJ21-$AI21-$AH21-$AG21-$AF21-$AE21*(1+DS$3))/$AJ21,Уголь_коэфф!$A:$B,2,1)-VLOOKUP($AO21,Уголь_коэфф!$A:$B,2,1)),1+(1-$AU21))</f>
        <v>1.0249999999999999</v>
      </c>
      <c r="DT21" s="102">
        <f>MIN(IF($AU21=100%,1,1+VLOOKUP(($AJ21-$AI21-$AH21-$AG21-$AF21-$AE21*(1+DT$3))/$AJ21,Уголь_коэфф!$A:$B,2,1)-VLOOKUP($AO21,Уголь_коэфф!$A:$B,2,1)),1+(1-$AU21))</f>
        <v>1.0249999999999999</v>
      </c>
      <c r="DU21" s="102">
        <f>MIN(IF($AU21=100%,1,1+VLOOKUP(($AJ21-$AI21-$AH21-$AG21-$AF21-$AE21*(1+DU$3))/$AJ21,Уголь_коэфф!$A:$B,2,1)-VLOOKUP($AO21,Уголь_коэфф!$A:$B,2,1)),1+(1-$AU21))</f>
        <v>1.0249999999999999</v>
      </c>
      <c r="DV21" s="102">
        <f>MIN(IF($AU21=100%,1,1+VLOOKUP(($AJ21-$AI21-$AH21-$AG21-$AF21-$AE21*(1+DV$3))/$AJ21,Уголь_коэфф!$A:$B,2,1)-VLOOKUP($AO21,Уголь_коэфф!$A:$B,2,1)),1+(1-$AU21))</f>
        <v>1.02</v>
      </c>
      <c r="DW21" s="102">
        <f>MIN(IF($AU21=100%,1,1+VLOOKUP(($AJ21-$AI21-$AH21-$AG21-$AF21-$AE21*(1+DW$3))/$AJ21,Уголь_коэфф!$A:$B,2,1)-VLOOKUP($AO21,Уголь_коэфф!$A:$B,2,1)),1+(1-$AU21))</f>
        <v>1.02</v>
      </c>
      <c r="DX21" s="102">
        <f>MIN(IF($AU21=100%,1,1+VLOOKUP(($AJ21-$AI21-$AH21-$AG21-$AF21-$AE21*(1+DX$3))/$AJ21,Уголь_коэфф!$A:$B,2,1)-VLOOKUP($AO21,Уголь_коэфф!$A:$B,2,1)),1+(1-$AU21))</f>
        <v>1.02</v>
      </c>
      <c r="DY21" s="102">
        <f>MIN(IF($AU21=100%,1,1+VLOOKUP(($AJ21-$AI21-$AH21-$AG21-$AF21-$AE21*(1+DY$3))/$AJ21,Уголь_коэфф!$A:$B,2,1)-VLOOKUP($AO21,Уголь_коэфф!$A:$B,2,1)),1+(1-$AU21))</f>
        <v>1.02</v>
      </c>
      <c r="DZ21" s="102">
        <f>MIN(IF($AU21=100%,1,1+VLOOKUP(($AJ21-$AI21-$AH21-$AG21-$AF21-$AE21*(1+DZ$3))/$AJ21,Уголь_коэфф!$A:$B,2,1)-VLOOKUP($AO21,Уголь_коэфф!$A:$B,2,1)),1+(1-$AU21))</f>
        <v>1.02</v>
      </c>
      <c r="EA21" s="102">
        <f>MIN(IF($AU21=100%,1,1+VLOOKUP(($AJ21-$AI21-$AH21-$AG21-$AF21-$AE21*(1+EA$3))/$AJ21,Уголь_коэфф!$A:$B,2,1)-VLOOKUP($AO21,Уголь_коэфф!$A:$B,2,1)),1+(1-$AU21))</f>
        <v>1.02</v>
      </c>
      <c r="EB21" s="102">
        <f>MIN(IF($AU21=100%,1,1+VLOOKUP(($AJ21-$AI21-$AH21-$AG21-$AF21-$AE21*(1+EB$3))/$AJ21,Уголь_коэфф!$A:$B,2,1)-VLOOKUP($AO21,Уголь_коэфф!$A:$B,2,1)),1+(1-$AU21))</f>
        <v>1.0150000000000001</v>
      </c>
      <c r="EC21" s="102">
        <f>MIN(IF($AU21=100%,1,1+VLOOKUP(($AJ21-$AI21-$AH21-$AG21-$AF21-$AE21*(1+EC$3))/$AJ21,Уголь_коэфф!$A:$B,2,1)-VLOOKUP($AO21,Уголь_коэфф!$A:$B,2,1)),1+(1-$AU21))</f>
        <v>1.0150000000000001</v>
      </c>
      <c r="ED21" s="102">
        <f>MIN(IF($AU21=100%,1,1+VLOOKUP(($AJ21-$AI21-$AH21-$AG21-$AF21-$AE21*(1+ED$3))/$AJ21,Уголь_коэфф!$A:$B,2,1)-VLOOKUP($AO21,Уголь_коэфф!$A:$B,2,1)),1+(1-$AU21))</f>
        <v>1.0150000000000001</v>
      </c>
      <c r="EE21" s="102">
        <f>MIN(IF($AU21=100%,1,1+VLOOKUP(($AJ21-$AI21-$AH21-$AG21-$AF21-$AE21*(1+EE$3))/$AJ21,Уголь_коэфф!$A:$B,2,1)-VLOOKUP($AO21,Уголь_коэфф!$A:$B,2,1)),1+(1-$AU21))</f>
        <v>1.0150000000000001</v>
      </c>
      <c r="EF21" s="102">
        <f>MIN(IF($AU21=100%,1,1+VLOOKUP(($AJ21-$AI21-$AH21-$AG21-$AF21-$AE21*(1+EF$3))/$AJ21,Уголь_коэфф!$A:$B,2,1)-VLOOKUP($AO21,Уголь_коэфф!$A:$B,2,1)),1+(1-$AU21))</f>
        <v>1.0150000000000001</v>
      </c>
      <c r="EG21" s="102">
        <f>MIN(IF($AU21=100%,1,1+VLOOKUP(($AJ21-$AI21-$AH21-$AG21-$AF21-$AE21*(1+EG$3))/$AJ21,Уголь_коэфф!$A:$B,2,1)-VLOOKUP($AO21,Уголь_коэфф!$A:$B,2,1)),1+(1-$AU21))</f>
        <v>1.0099999999999998</v>
      </c>
      <c r="EH21" s="102">
        <f>MIN(IF($AU21=100%,1,1+VLOOKUP(($AJ21-$AI21-$AH21-$AG21-$AF21-$AE21*(1+EH$3))/$AJ21,Уголь_коэфф!$A:$B,2,1)-VLOOKUP($AO21,Уголь_коэфф!$A:$B,2,1)),1+(1-$AU21))</f>
        <v>1.0099999999999998</v>
      </c>
      <c r="EI21" s="102">
        <f>MIN(IF($AU21=100%,1,1+VLOOKUP(($AJ21-$AI21-$AH21-$AG21-$AF21-$AE21*(1+EI$3))/$AJ21,Уголь_коэфф!$A:$B,2,1)-VLOOKUP($AO21,Уголь_коэфф!$A:$B,2,1)),1+(1-$AU21))</f>
        <v>1.0099999999999998</v>
      </c>
      <c r="EJ21" s="102">
        <f>MIN(IF($AU21=100%,1,1+VLOOKUP(($AJ21-$AI21-$AH21-$AG21-$AF21-$AE21*(1+EJ$3))/$AJ21,Уголь_коэфф!$A:$B,2,1)-VLOOKUP($AO21,Уголь_коэфф!$A:$B,2,1)),1+(1-$AU21))</f>
        <v>1.0099999999999998</v>
      </c>
      <c r="EK21" s="102">
        <f>MIN(IF($AU21=100%,1,1+VLOOKUP(($AJ21-$AI21-$AH21-$AG21-$AF21-$AE21*(1+EK$3))/$AJ21,Уголь_коэфф!$A:$B,2,1)-VLOOKUP($AO21,Уголь_коэфф!$A:$B,2,1)),1+(1-$AU21))</f>
        <v>1.0099999999999998</v>
      </c>
      <c r="EL21" s="102">
        <f>MIN(IF($AU21=100%,1,1+VLOOKUP(($AJ21-$AI21-$AH21-$AG21-$AF21-$AE21*(1+EL$3))/$AJ21,Уголь_коэфф!$A:$B,2,1)-VLOOKUP($AO21,Уголь_коэфф!$A:$B,2,1)),1+(1-$AU21))</f>
        <v>1.0049999999999999</v>
      </c>
      <c r="EM21" s="102">
        <f>MIN(IF($AU21=100%,1,1+VLOOKUP(($AJ21-$AI21-$AH21-$AG21-$AF21-$AE21*(1+EM$3))/$AJ21,Уголь_коэфф!$A:$B,2,1)-VLOOKUP($AO21,Уголь_коэфф!$A:$B,2,1)),1+(1-$AU21))</f>
        <v>1.0049999999999999</v>
      </c>
      <c r="EN21" s="102">
        <f>MIN(IF($AU21=100%,1,1+VLOOKUP(($AJ21-$AI21-$AH21-$AG21-$AF21-$AE21*(1+EN$3))/$AJ21,Уголь_коэфф!$A:$B,2,1)-VLOOKUP($AO21,Уголь_коэфф!$A:$B,2,1)),1+(1-$AU21))</f>
        <v>1.0049999999999999</v>
      </c>
      <c r="EO21" s="102">
        <f>MIN(IF($AU21=100%,1,1+VLOOKUP(($AJ21-$AI21-$AH21-$AG21-$AF21-$AE21*(1+EO$3))/$AJ21,Уголь_коэфф!$A:$B,2,1)-VLOOKUP($AO21,Уголь_коэфф!$A:$B,2,1)),1+(1-$AU21))</f>
        <v>1.0049999999999999</v>
      </c>
      <c r="EP21" s="102">
        <f>MIN(IF($AU21=100%,1,1+VLOOKUP(($AJ21-$AI21-$AH21-$AG21-$AF21-$AE21*(1+EP$3))/$AJ21,Уголь_коэфф!$A:$B,2,1)-VLOOKUP($AO21,Уголь_коэфф!$A:$B,2,1)),1+(1-$AU21))</f>
        <v>1.0049999999999999</v>
      </c>
      <c r="EQ21" s="102">
        <f>MIN(IF($AU21=100%,1,1+VLOOKUP(($AJ21-$AI21-$AH21-$AG21-$AF21-$AE21*(1+EQ$3))/$AJ21,Уголь_коэфф!$A:$B,2,1)-VLOOKUP($AO21,Уголь_коэфф!$A:$B,2,1)),1+(1-$AU21))</f>
        <v>1.0049999999999999</v>
      </c>
      <c r="ER21" s="102">
        <f>MIN(IF($AU21=100%,1,1+VLOOKUP(($AJ21-$AI21-$AH21-$AG21-$AF21-$AE21*(1+ER$3))/$AJ21,Уголь_коэфф!$A:$B,2,1)-VLOOKUP($AO21,Уголь_коэфф!$A:$B,2,1)),1+(1-$AU21))</f>
        <v>1</v>
      </c>
      <c r="ES21" s="102">
        <f>MIN(IF($AU21=100%,1,1+VLOOKUP(($AJ21-$AI21-$AH21-$AG21-$AF21-$AE21*(1+ES$3))/$AJ21,Уголь_коэфф!$A:$B,2,1)-VLOOKUP($AO21,Уголь_коэфф!$A:$B,2,1)),1+(1-$AU21))</f>
        <v>1</v>
      </c>
      <c r="ET21" s="102">
        <f>MIN(IF($AU21=100%,1,1+VLOOKUP(($AJ21-$AI21-$AH21-$AG21-$AF21-$AE21*(1+ET$3))/$AJ21,Уголь_коэфф!$A:$B,2,1)-VLOOKUP($AO21,Уголь_коэфф!$A:$B,2,1)),1+(1-$AU21))</f>
        <v>1</v>
      </c>
      <c r="EU21" s="102">
        <f>MIN(IF($AU21=100%,1,1+VLOOKUP(($AJ21-$AI21-$AH21-$AG21-$AF21-$AE21*(1+EU$3))/$AJ21,Уголь_коэфф!$A:$B,2,1)-VLOOKUP($AO21,Уголь_коэфф!$A:$B,2,1)),1+(1-$AU21))</f>
        <v>1</v>
      </c>
      <c r="EV21" s="103">
        <v>1</v>
      </c>
      <c r="EW21" s="102">
        <f>MIN(1,MAX(VLOOKUP(($AJ21-$AI21-$AH21-$AG21-$AF21-$AE21*(1+EW$3))/$AJ21,Уголь_коэфф!$A:$B,2,1),(EV21-0.05)))</f>
        <v>0.97</v>
      </c>
      <c r="EX21" s="102">
        <f>MIN(1,MAX(VLOOKUP(($AJ21-$AI21-$AH21-$AG21-$AF21-$AE21*(1+EX$3))/$AJ21,Уголь_коэфф!$A:$B,2,1),(EW21-0.05)))</f>
        <v>0.97</v>
      </c>
      <c r="EY21" s="102">
        <f>MIN(1,MAX(VLOOKUP(($AJ21-$AI21-$AH21-$AG21-$AF21-$AE21*(1+EY$3))/$AJ21,Уголь_коэфф!$A:$B,2,1),(EX21-0.05)))</f>
        <v>0.97</v>
      </c>
      <c r="EZ21" s="102">
        <f>MIN(1,MAX(VLOOKUP(($AJ21-$AI21-$AH21-$AG21-$AF21-$AE21*(1+EZ$3))/$AJ21,Уголь_коэфф!$A:$B,2,1),(EY21-0.05)))</f>
        <v>0.97</v>
      </c>
      <c r="FA21" s="102">
        <f>MIN(1,MAX(VLOOKUP(($AJ21-$AI21-$AH21-$AG21-$AF21-$AE21*(1+FA$3))/$AJ21,Уголь_коэфф!$A:$B,2,1),(EZ21-0.05)))</f>
        <v>0.97</v>
      </c>
      <c r="FB21" s="102">
        <f>MIN(1,MAX(VLOOKUP(($AJ21-$AI21-$AH21-$AG21-$AF21-$AE21*(1+FB$3))/$AJ21,Уголь_коэфф!$A:$B,2,1),(FA21-0.05)))</f>
        <v>0.97</v>
      </c>
      <c r="FC21" s="102">
        <f>MIN(1,MAX(VLOOKUP(($AJ21-$AI21-$AH21-$AG21-$AF21-$AE21*(1+FC$3))/$AJ21,Уголь_коэфф!$A:$B,2,1),(FB21-0.05)))</f>
        <v>0.96499999999999997</v>
      </c>
      <c r="FD21" s="102">
        <f>MIN(1,MAX(VLOOKUP(($AJ21-$AI21-$AH21-$AG21-$AF21-$AE21*(1+FD$3))/$AJ21,Уголь_коэфф!$A:$B,2,1),(FC21-0.05)))</f>
        <v>0.96499999999999997</v>
      </c>
      <c r="FE21" s="102">
        <f>MIN(1,MAX(VLOOKUP(($AJ21-$AI21-$AH21-$AG21-$AF21-$AE21*(1+FE$3))/$AJ21,Уголь_коэфф!$A:$B,2,1),(FD21-0.05)))</f>
        <v>0.96499999999999997</v>
      </c>
      <c r="FF21" s="102">
        <f>MIN(1,MAX(VLOOKUP(($AJ21-$AI21-$AH21-$AG21-$AF21-$AE21*(1+FF$3))/$AJ21,Уголь_коэфф!$A:$B,2,1),(FE21-0.05)))</f>
        <v>0.96499999999999997</v>
      </c>
      <c r="FG21" s="102">
        <f>MIN(1,MAX(VLOOKUP(($AJ21-$AI21-$AH21-$AG21-$AF21-$AE21*(1+FG$3))/$AJ21,Уголь_коэфф!$A:$B,2,1),(FF21-0.05)))</f>
        <v>0.96499999999999997</v>
      </c>
      <c r="FH21" s="102">
        <f>MIN(1,MAX(VLOOKUP(($AJ21-$AI21-$AH21-$AG21-$AF21-$AE21*(1+FH$3))/$AJ21,Уголь_коэфф!$A:$B,2,1),(FG21-0.05)))</f>
        <v>0.96</v>
      </c>
      <c r="FI21" s="102">
        <f>MIN(1,MAX(VLOOKUP(($AJ21-$AI21-$AH21-$AG21-$AF21-$AE21*(1+FI$3))/$AJ21,Уголь_коэфф!$A:$B,2,1),(FH21-0.05)))</f>
        <v>0.96</v>
      </c>
      <c r="FJ21" s="102">
        <f>MIN(1,MAX(VLOOKUP(($AJ21-$AI21-$AH21-$AG21-$AF21-$AE21*(1+FJ$3))/$AJ21,Уголь_коэфф!$A:$B,2,1),(FI21-0.05)))</f>
        <v>0.96</v>
      </c>
      <c r="FK21" s="102">
        <f>MIN(1,MAX(VLOOKUP(($AJ21-$AI21-$AH21-$AG21-$AF21-$AE21*(1+FK$3))/$AJ21,Уголь_коэфф!$A:$B,2,1),(FJ21-0.05)))</f>
        <v>0.96</v>
      </c>
      <c r="FL21" s="102">
        <f>MIN(1,MAX(VLOOKUP(($AJ21-$AI21-$AH21-$AG21-$AF21-$AE21*(1+FL$3))/$AJ21,Уголь_коэфф!$A:$B,2,1),(FK21-0.05)))</f>
        <v>0.96</v>
      </c>
      <c r="FM21" s="102">
        <f>MIN(1,MAX(VLOOKUP(($AJ21-$AI21-$AH21-$AG21-$AF21-$AE21*(1+FM$3))/$AJ21,Уголь_коэфф!$A:$B,2,1),(FL21-0.05)))</f>
        <v>0.95499999999999996</v>
      </c>
      <c r="FN21" s="102">
        <f>MIN(1,MAX(VLOOKUP(($AJ21-$AI21-$AH21-$AG21-$AF21-$AE21*(1+FN$3))/$AJ21,Уголь_коэфф!$A:$B,2,1),(FM21-0.05)))</f>
        <v>0.95499999999999996</v>
      </c>
      <c r="FO21" s="102">
        <f>MIN(1,MAX(VLOOKUP(($AJ21-$AI21-$AH21-$AG21-$AF21-$AE21*(1+FO$3))/$AJ21,Уголь_коэфф!$A:$B,2,1),(FN21-0.05)))</f>
        <v>0.95499999999999996</v>
      </c>
      <c r="FP21" s="102">
        <f>MIN(1,MAX(VLOOKUP(($AJ21-$AI21-$AH21-$AG21-$AF21-$AE21*(1+FP$3))/$AJ21,Уголь_коэфф!$A:$B,2,1),(FO21-0.05)))</f>
        <v>0.95499999999999996</v>
      </c>
      <c r="FQ21" s="102">
        <f>MIN(1,MAX(VLOOKUP(($AJ21-$AI21-$AH21-$AG21-$AF21-$AE21*(1+FQ$3))/$AJ21,Уголь_коэфф!$A:$B,2,1),(FP21-0.05)))</f>
        <v>0.95499999999999996</v>
      </c>
      <c r="FR21" s="102">
        <f>MIN(1,MAX(VLOOKUP(($AJ21-$AI21-$AH21-$AG21-$AF21-$AE21*(1+FR$3))/$AJ21,Уголь_коэфф!$A:$B,2,1),(FQ21-0.05)))</f>
        <v>0.95499999999999996</v>
      </c>
      <c r="FS21" s="102">
        <f>MIN(1,MAX(VLOOKUP(($AJ21-$AI21-$AH21-$AG21-$AF21-$AE21*(1+FS$3))/$AJ21,Уголь_коэфф!$A:$B,2,1),(FR21-0.05)))</f>
        <v>0.95</v>
      </c>
      <c r="FT21" s="102">
        <f>MIN(1,MAX(VLOOKUP(($AJ21-$AI21-$AH21-$AG21-$AF21-$AE21*(1+FT$3))/$AJ21,Уголь_коэфф!$A:$B,2,1),(FS21-0.05)))</f>
        <v>0.95</v>
      </c>
      <c r="FU21" s="102">
        <f>MIN(1,MAX(VLOOKUP(($AJ21-$AI21-$AH21-$AG21-$AF21-$AE21*(1+FU$3))/$AJ21,Уголь_коэфф!$A:$B,2,1),(FT21-0.05)))</f>
        <v>0.95</v>
      </c>
      <c r="FV21" s="102">
        <f>MIN(1,MAX(VLOOKUP(($AJ21-$AI21-$AH21-$AG21-$AF21-$AE21*(1+FV$3))/$AJ21,Уголь_коэфф!$A:$B,2,1),(FU21-0.05)))</f>
        <v>0.95</v>
      </c>
      <c r="FW21" s="102">
        <f>MIN(1,MAX(VLOOKUP(($AJ21-$AI21-$AH21-$AG21-$AF21-$AE21*(1+FW$3))/$AJ21,Уголь_коэфф!$A:$B,2,1),(FV21-0.05)))</f>
        <v>0.95</v>
      </c>
      <c r="FX21" s="102">
        <f>MIN(1,MAX(VLOOKUP(($AJ21-$AI21-$AH21-$AG21-$AF21-$AE21*(1+FX$3))/$AJ21,Уголь_коэфф!$A:$B,2,1),(FW21-0.05)))</f>
        <v>0.94499999999999995</v>
      </c>
      <c r="FY21" s="102">
        <f>MIN(1,MAX(VLOOKUP(($AJ21-$AI21-$AH21-$AG21-$AF21-$AE21*(1+FY$3))/$AJ21,Уголь_коэфф!$A:$B,2,1),(FX21-0.05)))</f>
        <v>0.94499999999999995</v>
      </c>
      <c r="FZ21" s="102">
        <f>MIN(1,MAX(VLOOKUP(($AJ21-$AI21-$AH21-$AG21-$AF21-$AE21*(1+FZ$3))/$AJ21,Уголь_коэфф!$A:$B,2,1),(FY21-0.05)))</f>
        <v>0.94499999999999995</v>
      </c>
      <c r="GA21" s="102">
        <f>MIN(1,MAX(VLOOKUP(($AJ21-$AI21-$AH21-$AG21-$AF21-$AE21*(1+GA$3))/$AJ21,Уголь_коэфф!$A:$B,2,1),(FZ21-0.05)))</f>
        <v>0.94499999999999995</v>
      </c>
      <c r="GB21" s="102">
        <f>MIN(1,MAX(VLOOKUP(($AJ21-$AI21-$AH21-$AG21-$AF21-$AE21*(1+GB$3))/$AJ21,Уголь_коэфф!$A:$B,2,1),(GA21-0.05)))</f>
        <v>0.94499999999999995</v>
      </c>
      <c r="GC21" s="102">
        <f>MIN(1,MAX(VLOOKUP(($AJ21-$AI21-$AH21-$AG21-$AF21-$AE21*(1+GC$3))/$AJ21,Уголь_коэфф!$A:$B,2,1),(GB21-0.05)))</f>
        <v>0.94499999999999995</v>
      </c>
      <c r="GD21" s="102">
        <f>MIN(1,MAX(VLOOKUP(($AJ21-$AI21-$AH21-$AG21-$AF21-$AE21*(1+GD$3))/$AJ21,Уголь_коэфф!$A:$B,2,1),(GC21-0.05)))</f>
        <v>0.94</v>
      </c>
      <c r="GE21" s="102">
        <f>MIN(1,MAX(VLOOKUP(($AJ21-$AI21-$AH21-$AG21-$AF21-$AE21*(1+GE$3))/$AJ21,Уголь_коэфф!$A:$B,2,1),(GD21-0.05)))</f>
        <v>0.94</v>
      </c>
      <c r="GF21" s="102">
        <f>MIN(1,MAX(VLOOKUP(($AJ21-$AI21-$AH21-$AG21-$AF21-$AE21*(1+GF$3))/$AJ21,Уголь_коэфф!$A:$B,2,1),(GE21-0.05)))</f>
        <v>0.94</v>
      </c>
      <c r="GG21" s="102">
        <f>MIN(1,MAX(VLOOKUP(($AJ21-$AI21-$AH21-$AG21-$AF21-$AE21*(1+GG$3))/$AJ21,Уголь_коэфф!$A:$B,2,1),(GF21-0.05)))</f>
        <v>0.94</v>
      </c>
      <c r="GH21" s="102">
        <f>MIN(1,MAX(VLOOKUP(($AJ21-$AI21-$AH21-$AG21-$AF21-$AE21*(1+GH$3))/$AJ21,Уголь_коэфф!$A:$B,2,1),(GG21-0.05)))</f>
        <v>0.94</v>
      </c>
      <c r="GI21" s="102">
        <f>MIN(1,MAX(VLOOKUP(($AJ21-$AI21-$AH21-$AG21-$AF21-$AE21*(1+GI$3))/$AJ21,Уголь_коэфф!$A:$B,2,1),(GH21-0.05)))</f>
        <v>0.93500000000000005</v>
      </c>
      <c r="GJ21" s="102">
        <f>MIN(1,MAX(VLOOKUP(($AJ21-$AI21-$AH21-$AG21-$AF21-$AE21*(1+GJ$3))/$AJ21,Уголь_коэфф!$A:$B,2,1),(GI21-0.05)))</f>
        <v>0.93500000000000005</v>
      </c>
      <c r="GK21" s="102">
        <f>MIN(1,MAX(VLOOKUP(($AJ21-$AI21-$AH21-$AG21-$AF21-$AE21*(1+GK$3))/$AJ21,Уголь_коэфф!$A:$B,2,1),(GJ21-0.05)))</f>
        <v>0.93500000000000005</v>
      </c>
      <c r="GL21" s="102">
        <f>MIN(1,MAX(VLOOKUP(($AJ21-$AI21-$AH21-$AG21-$AF21-$AE21*(1+GL$3))/$AJ21,Уголь_коэфф!$A:$B,2,1),(GK21-0.05)))</f>
        <v>0.93500000000000005</v>
      </c>
      <c r="GM21" s="102">
        <f>MIN(1,MAX(VLOOKUP(($AJ21-$AI21-$AH21-$AG21-$AF21-$AE21*(1+GM$3))/$AJ21,Уголь_коэфф!$A:$B,2,1),(GL21-0.05)))</f>
        <v>0.93500000000000005</v>
      </c>
      <c r="GN21" s="102">
        <f>MIN(1,MAX(VLOOKUP(($AJ21-$AI21-$AH21-$AG21-$AF21-$AE21*(1+GN$3))/$AJ21,Уголь_коэфф!$A:$B,2,1),(GM21-0.05)))</f>
        <v>0.93</v>
      </c>
      <c r="GO21" s="102">
        <f>MIN(1,MAX(VLOOKUP(($AJ21-$AI21-$AH21-$AG21-$AF21-$AE21*(1+GO$3))/$AJ21,Уголь_коэфф!$A:$B,2,1),(GN21-0.05)))</f>
        <v>0.93</v>
      </c>
      <c r="GP21" s="102">
        <f>MIN(1,MAX(VLOOKUP(($AJ21-$AI21-$AH21-$AG21-$AF21-$AE21*(1+GP$3))/$AJ21,Уголь_коэфф!$A:$B,2,1),(GO21-0.05)))</f>
        <v>0.93</v>
      </c>
      <c r="GQ21" s="102">
        <f>MIN(1,MAX(VLOOKUP(($AJ21-$AI21-$AH21-$AG21-$AF21-$AE21*(1+GQ$3))/$AJ21,Уголь_коэфф!$A:$B,2,1),(GP21-0.05)))</f>
        <v>0.93</v>
      </c>
      <c r="GR21" s="102">
        <f>MIN(1,MAX(VLOOKUP(($AJ21-$AI21-$AH21-$AG21-$AF21-$AE21*(1+GR$3))/$AJ21,Уголь_коэфф!$A:$B,2,1),(GQ21-0.05)))</f>
        <v>0.93</v>
      </c>
      <c r="GS21" s="102">
        <f>MIN(1,MAX(VLOOKUP(($AJ21-$AI21-$AH21-$AG21-$AF21-$AE21*(1+GS$3))/$AJ21,Уголь_коэфф!$A:$B,2,1),(GR21-0.05)))</f>
        <v>0.93</v>
      </c>
      <c r="GT21" s="102">
        <f>MIN(1,MAX(VLOOKUP(($AJ21-$AI21-$AH21-$AG21-$AF21-$AE21*(1+GT$3))/$AJ21,Уголь_коэфф!$A:$B,2,1),(GS21-0.05)))</f>
        <v>0.92500000000000004</v>
      </c>
      <c r="GU21" s="102">
        <f>MIN(1,MAX(VLOOKUP(($AJ21-$AI21-$AH21-$AG21-$AF21-$AE21*(1+GU$3))/$AJ21,Уголь_коэфф!$A:$B,2,1),(GT21-0.05)))</f>
        <v>0.92500000000000004</v>
      </c>
      <c r="GV21" s="102">
        <f>MIN(1,MAX(VLOOKUP(($AJ21-$AI21-$AH21-$AG21-$AF21-$AE21*(1+GV$3))/$AJ21,Уголь_коэфф!$A:$B,2,1),(GU21-0.05)))</f>
        <v>0.92500000000000004</v>
      </c>
      <c r="GW21" s="102">
        <f>MIN(1,MAX(VLOOKUP(($AJ21-$AI21-$AH21-$AG21-$AF21-$AE21*(1+GW$3))/$AJ21,Уголь_коэфф!$A:$B,2,1),(GV21-0.05)))</f>
        <v>0.92500000000000004</v>
      </c>
      <c r="GX21" s="102">
        <f>MIN(1,MAX(VLOOKUP(($AJ21-$AI21-$AH21-$AG21-$AF21-$AE21*(1+GX$3))/$AJ21,Уголь_коэфф!$A:$B,2,1),(GW21-0.05)))</f>
        <v>0.92500000000000004</v>
      </c>
      <c r="GY21" s="102">
        <f>MIN(1,MAX(VLOOKUP(($AJ21-$AI21-$AH21-$AG21-$AF21-$AE21*(1+GY$3))/$AJ21,Уголь_коэфф!$A:$B,2,1),(GX21-0.05)))</f>
        <v>0.92</v>
      </c>
      <c r="GZ21" s="102">
        <f>MIN(1,MAX(VLOOKUP(($AJ21-$AI21-$AH21-$AG21-$AF21-$AE21*(1+GZ$3))/$AJ21,Уголь_коэфф!$A:$B,2,1),(GY21-0.05)))</f>
        <v>0.92</v>
      </c>
      <c r="HA21" s="102">
        <f>MIN(1,MAX(VLOOKUP(($AJ21-$AI21-$AH21-$AG21-$AF21-$AE21*(1+HA$3))/$AJ21,Уголь_коэфф!$A:$B,2,1),(GZ21-0.05)))</f>
        <v>0.92</v>
      </c>
      <c r="HB21" s="102">
        <f>MIN(1,MAX(VLOOKUP(($AJ21-$AI21-$AH21-$AG21-$AF21-$AE21*(1+HB$3))/$AJ21,Уголь_коэфф!$A:$B,2,1),(HA21-0.05)))</f>
        <v>0.92</v>
      </c>
      <c r="HC21" s="102">
        <f>MIN(1,MAX(VLOOKUP(($AJ21-$AI21-$AH21-$AG21-$AF21-$AE21*(1+HC$3))/$AJ21,Уголь_коэфф!$A:$B,2,1),(HB21-0.05)))</f>
        <v>0.92</v>
      </c>
      <c r="HD21" s="102">
        <f>MIN(1,MAX(VLOOKUP(($AJ21-$AI21-$AH21-$AG21-$AF21-$AE21*(1+HD$3))/$AJ21,Уголь_коэфф!$A:$B,2,1),(HC21-0.05)))</f>
        <v>0.92</v>
      </c>
      <c r="HE21" s="102">
        <f>MIN(1,MAX(VLOOKUP(($AJ21-$AI21-$AH21-$AG21-$AF21-$AE21*(1+HE$3))/$AJ21,Уголь_коэфф!$A:$B,2,1),(HD21-0.05)))</f>
        <v>0.91400000000000003</v>
      </c>
      <c r="HF21" s="102">
        <f>MIN(1,MAX(VLOOKUP(($AJ21-$AI21-$AH21-$AG21-$AF21-$AE21*(1+HF$3))/$AJ21,Уголь_коэфф!$A:$B,2,1),(HE21-0.05)))</f>
        <v>0.91400000000000003</v>
      </c>
      <c r="HG21" s="102">
        <f>MIN(1,MAX(VLOOKUP(($AJ21-$AI21-$AH21-$AG21-$AF21-$AE21*(1+HG$3))/$AJ21,Уголь_коэфф!$A:$B,2,1),(HF21-0.05)))</f>
        <v>0.91400000000000003</v>
      </c>
      <c r="HH21" s="102">
        <f>MIN(1,MAX(VLOOKUP(($AJ21-$AI21-$AH21-$AG21-$AF21-$AE21*(1+HH$3))/$AJ21,Уголь_коэфф!$A:$B,2,1),(HG21-0.05)))</f>
        <v>0.91400000000000003</v>
      </c>
      <c r="HI21" s="102">
        <f>MIN(1,MAX(VLOOKUP(($AJ21-$AI21-$AH21-$AG21-$AF21-$AE21*(1+HI$3))/$AJ21,Уголь_коэфф!$A:$B,2,1),(HH21-0.05)))</f>
        <v>0.91400000000000003</v>
      </c>
      <c r="HJ21" s="102">
        <f>MIN(1,MAX(VLOOKUP(($AJ21-$AI21-$AH21-$AG21-$AF21-$AE21*(1+HJ$3))/$AJ21,Уголь_коэфф!$A:$B,2,1),(HI21-0.05)))</f>
        <v>0.90800000000000003</v>
      </c>
      <c r="HK21" s="102">
        <f>MIN(1,MAX(VLOOKUP(($AJ21-$AI21-$AH21-$AG21-$AF21-$AE21*(1+HK$3))/$AJ21,Уголь_коэфф!$A:$B,2,1),(HJ21-0.05)))</f>
        <v>0.90800000000000003</v>
      </c>
      <c r="HL21" s="102">
        <f>MIN(1,MAX(VLOOKUP(($AJ21-$AI21-$AH21-$AG21-$AF21-$AE21*(1+HL$3))/$AJ21,Уголь_коэфф!$A:$B,2,1),(HK21-0.05)))</f>
        <v>0.90800000000000003</v>
      </c>
      <c r="HM21" s="102">
        <f>MIN(1,MAX(VLOOKUP(($AJ21-$AI21-$AH21-$AG21-$AF21-$AE21*(1+HM$3))/$AJ21,Уголь_коэфф!$A:$B,2,1),(HL21-0.05)))</f>
        <v>0.90800000000000003</v>
      </c>
      <c r="HN21" s="102">
        <f>MIN(1,MAX(VLOOKUP(($AJ21-$AI21-$AH21-$AG21-$AF21-$AE21*(1+HN$3))/$AJ21,Уголь_коэфф!$A:$B,2,1),(HM21-0.05)))</f>
        <v>0.90800000000000003</v>
      </c>
      <c r="HO21" s="102">
        <f>MIN(1,MAX(VLOOKUP(($AJ21-$AI21-$AH21-$AG21-$AF21-$AE21*(1+HO$3))/$AJ21,Уголь_коэфф!$A:$B,2,1),(HN21-0.05)))</f>
        <v>0.90200000000000002</v>
      </c>
      <c r="HP21" s="102">
        <f>MIN(1,MAX(VLOOKUP(($AJ21-$AI21-$AH21-$AG21-$AF21-$AE21*(1+HP$3))/$AJ21,Уголь_коэфф!$A:$B,2,1),(HO21-0.05)))</f>
        <v>0.90200000000000002</v>
      </c>
      <c r="HQ21" s="102">
        <f>MIN(1,MAX(VLOOKUP(($AJ21-$AI21-$AH21-$AG21-$AF21-$AE21*(1+HQ$3))/$AJ21,Уголь_коэфф!$A:$B,2,1),(HP21-0.05)))</f>
        <v>0.90200000000000002</v>
      </c>
      <c r="HR21" s="102">
        <f>MIN(1,MAX(VLOOKUP(($AJ21-$AI21-$AH21-$AG21-$AF21-$AE21*(1+HR$3))/$AJ21,Уголь_коэфф!$A:$B,2,1),(HQ21-0.05)))</f>
        <v>0.90200000000000002</v>
      </c>
      <c r="HS21" s="102">
        <f>MIN(1,MAX(VLOOKUP(($AJ21-$AI21-$AH21-$AG21-$AF21-$AE21*(1+HS$3))/$AJ21,Уголь_коэфф!$A:$B,2,1),(HR21-0.05)))</f>
        <v>0.90200000000000002</v>
      </c>
      <c r="HT21" s="102">
        <f>MIN(1,MAX(VLOOKUP(($AJ21-$AI21-$AH21-$AG21-$AF21-$AE21*(1+HT$3))/$AJ21,Уголь_коэфф!$A:$B,2,1),(HS21-0.05)))</f>
        <v>0.90200000000000002</v>
      </c>
      <c r="HU21" s="102">
        <f>MIN(1,MAX(VLOOKUP(($AJ21-$AI21-$AH21-$AG21-$AF21-$AE21*(1+HU$3))/$AJ21,Уголь_коэфф!$A:$B,2,1),(HT21-0.05)))</f>
        <v>0.89600000000000002</v>
      </c>
      <c r="HV21" s="102">
        <f>MIN(1,MAX(VLOOKUP(($AJ21-$AI21-$AH21-$AG21-$AF21-$AE21*(1+HV$3))/$AJ21,Уголь_коэфф!$A:$B,2,1),(HU21-0.05)))</f>
        <v>0.89600000000000002</v>
      </c>
      <c r="HW21" s="102">
        <f>MIN(1,MAX(VLOOKUP(($AJ21-$AI21-$AH21-$AG21-$AF21-$AE21*(1+HW$3))/$AJ21,Уголь_коэфф!$A:$B,2,1),(HV21-0.05)))</f>
        <v>0.89600000000000002</v>
      </c>
      <c r="HX21" s="102">
        <f>MIN(1,MAX(VLOOKUP(($AJ21-$AI21-$AH21-$AG21-$AF21-$AE21*(1+HX$3))/$AJ21,Уголь_коэфф!$A:$B,2,1),(HW21-0.05)))</f>
        <v>0.89600000000000002</v>
      </c>
      <c r="HY21" s="102">
        <f>MIN(1,MAX(VLOOKUP(($AJ21-$AI21-$AH21-$AG21-$AF21-$AE21*(1+HY$3))/$AJ21,Уголь_коэфф!$A:$B,2,1),(HX21-0.05)))</f>
        <v>0.89600000000000002</v>
      </c>
      <c r="HZ21" s="102">
        <f>MIN(1,MAX(VLOOKUP(($AJ21-$AI21-$AH21-$AG21-$AF21-$AE21*(1+HZ$3))/$AJ21,Уголь_коэфф!$A:$B,2,1),(HY21-0.05)))</f>
        <v>0.89</v>
      </c>
      <c r="IA21" s="102">
        <f>MIN(1,MAX(VLOOKUP(($AJ21-$AI21-$AH21-$AG21-$AF21-$AE21*(1+IA$3))/$AJ21,Уголь_коэфф!$A:$B,2,1),(HZ21-0.05)))</f>
        <v>0.89</v>
      </c>
      <c r="IB21" s="102">
        <f>MIN(1,MAX(VLOOKUP(($AJ21-$AI21-$AH21-$AG21-$AF21-$AE21*(1+IB$3))/$AJ21,Уголь_коэфф!$A:$B,2,1),(IA21-0.05)))</f>
        <v>0.89</v>
      </c>
      <c r="IC21" s="102">
        <f>MIN(1,MAX(VLOOKUP(($AJ21-$AI21-$AH21-$AG21-$AF21-$AE21*(1+IC$3))/$AJ21,Уголь_коэфф!$A:$B,2,1),(IB21-0.05)))</f>
        <v>0.89</v>
      </c>
      <c r="ID21" s="102">
        <f>MIN(1,MAX(VLOOKUP(($AJ21-$AI21-$AH21-$AG21-$AF21-$AE21*(1+ID$3))/$AJ21,Уголь_коэфф!$A:$B,2,1),(IC21-0.05)))</f>
        <v>0.89</v>
      </c>
      <c r="IE21" s="102">
        <f>MIN(1,MAX(VLOOKUP(($AJ21-$AI21-$AH21-$AG21-$AF21-$AE21*(1+IE$3))/$AJ21,Уголь_коэфф!$A:$B,2,1),(ID21-0.05)))</f>
        <v>0.89</v>
      </c>
      <c r="IF21" s="102">
        <f>MIN(1,MAX(VLOOKUP(($AJ21-$AI21-$AH21-$AG21-$AF21-$AE21*(1+IF$3))/$AJ21,Уголь_коэфф!$A:$B,2,1),(IE21-0.05)))</f>
        <v>0.88400000000000001</v>
      </c>
      <c r="IG21" s="102">
        <f>MIN(1,MAX(VLOOKUP(($AJ21-$AI21-$AH21-$AG21-$AF21-$AE21*(1+IG$3))/$AJ21,Уголь_коэфф!$A:$B,2,1),(IF21-0.05)))</f>
        <v>0.88400000000000001</v>
      </c>
      <c r="IH21" s="102">
        <f>MIN(1,MAX(VLOOKUP(($AJ21-$AI21-$AH21-$AG21-$AF21-$AE21*(1+IH$3))/$AJ21,Уголь_коэфф!$A:$B,2,1),(IG21-0.05)))</f>
        <v>0.88400000000000001</v>
      </c>
      <c r="II21" s="102">
        <f>MIN(1,MAX(VLOOKUP(($AJ21-$AI21-$AH21-$AG21-$AF21-$AE21*(1+II$3))/$AJ21,Уголь_коэфф!$A:$B,2,1),(IH21-0.05)))</f>
        <v>0.88400000000000001</v>
      </c>
      <c r="IJ21" s="102">
        <f>MIN(1,MAX(VLOOKUP(($AJ21-$AI21-$AH21-$AG21-$AF21-$AE21*(1+IJ$3))/$AJ21,Уголь_коэфф!$A:$B,2,1),(II21-0.05)))</f>
        <v>0.88400000000000001</v>
      </c>
      <c r="IK21" s="102">
        <f>MIN(1,MAX(VLOOKUP(($AJ21-$AI21-$AH21-$AG21-$AF21-$AE21*(1+IK$3))/$AJ21,Уголь_коэфф!$A:$B,2,1),(IJ21-0.05)))</f>
        <v>0.878</v>
      </c>
      <c r="IL21" s="102">
        <f>MIN(1,MAX(VLOOKUP(($AJ21-$AI21-$AH21-$AG21-$AF21-$AE21*(1+IL$3))/$AJ21,Уголь_коэфф!$A:$B,2,1),(IK21-0.05)))</f>
        <v>0.878</v>
      </c>
      <c r="IM21" s="102">
        <f>MIN(1,MAX(VLOOKUP(($AJ21-$AI21-$AH21-$AG21-$AF21-$AE21*(1+IM$3))/$AJ21,Уголь_коэфф!$A:$B,2,1),(IL21-0.05)))</f>
        <v>0.878</v>
      </c>
      <c r="IN21" s="102">
        <f>MIN(1,MAX(VLOOKUP(($AJ21-$AI21-$AH21-$AG21-$AF21-$AE21*(1+IN$3))/$AJ21,Уголь_коэфф!$A:$B,2,1),(IM21-0.05)))</f>
        <v>0.878</v>
      </c>
      <c r="IO21" s="102">
        <f>MIN(1,MAX(VLOOKUP(($AJ21-$AI21-$AH21-$AG21-$AF21-$AE21*(1+IO$3))/$AJ21,Уголь_коэфф!$A:$B,2,1),(IN21-0.05)))</f>
        <v>0.878</v>
      </c>
      <c r="IP21" s="102">
        <f>MIN(1,MAX(VLOOKUP(($AJ21-$AI21-$AH21-$AG21-$AF21-$AE21*(1+IP$3))/$AJ21,Уголь_коэфф!$A:$B,2,1),(IO21-0.05)))</f>
        <v>0.872</v>
      </c>
      <c r="IQ21" s="102">
        <f>MIN(1,MAX(VLOOKUP(($AJ21-$AI21-$AH21-$AG21-$AF21-$AE21*(1+IQ$3))/$AJ21,Уголь_коэфф!$A:$B,2,1),(IP21-0.05)))</f>
        <v>0.872</v>
      </c>
      <c r="IR21" s="102">
        <f>MIN(1,MAX(VLOOKUP(($AJ21-$AI21-$AH21-$AG21-$AF21-$AE21*(1+IR$3))/$AJ21,Уголь_коэфф!$A:$B,2,1),(IQ21-0.05)))</f>
        <v>0.872</v>
      </c>
      <c r="IS21" s="102">
        <f t="shared" si="20"/>
        <v>0.95499999999999996</v>
      </c>
      <c r="IT21" s="102">
        <f t="shared" si="7"/>
        <v>0.95499999999999996</v>
      </c>
      <c r="IU21" s="110"/>
    </row>
    <row r="22" spans="1:255" ht="14.6" customHeight="1">
      <c r="A22" t="s">
        <v>240</v>
      </c>
      <c r="B22" s="141">
        <v>1</v>
      </c>
      <c r="C22" s="142" t="s">
        <v>16</v>
      </c>
      <c r="D22" s="143">
        <v>16118</v>
      </c>
      <c r="E22" s="143" t="s">
        <v>65</v>
      </c>
      <c r="F22" s="142" t="s">
        <v>18</v>
      </c>
      <c r="G22" s="142" t="s">
        <v>45</v>
      </c>
      <c r="H22" s="143" t="s">
        <v>30</v>
      </c>
      <c r="I22" s="142" t="s">
        <v>113</v>
      </c>
      <c r="J22" s="143" t="s">
        <v>53</v>
      </c>
      <c r="K22" s="143">
        <v>4233</v>
      </c>
      <c r="L22" s="143" t="s">
        <v>22</v>
      </c>
      <c r="M22" s="143" t="s">
        <v>23</v>
      </c>
      <c r="N22" s="143" t="s">
        <v>24</v>
      </c>
      <c r="O22" s="143" t="s">
        <v>33</v>
      </c>
      <c r="P22" s="146">
        <v>160212</v>
      </c>
      <c r="Q22" s="144" t="s">
        <v>115</v>
      </c>
      <c r="R22" s="143" t="s">
        <v>116</v>
      </c>
      <c r="S22" s="147">
        <v>593128</v>
      </c>
      <c r="T22" s="145">
        <v>2511003743</v>
      </c>
      <c r="U22" s="145">
        <v>8372</v>
      </c>
      <c r="V22" s="145"/>
      <c r="W22" s="148">
        <v>1086193757</v>
      </c>
      <c r="X22" s="104">
        <v>75</v>
      </c>
      <c r="Y22" s="104" t="s">
        <v>163</v>
      </c>
      <c r="Z22" s="107">
        <v>11</v>
      </c>
      <c r="AA22" s="107">
        <v>12</v>
      </c>
      <c r="AB22" s="107">
        <v>4</v>
      </c>
      <c r="AC22" s="88">
        <v>1894.65</v>
      </c>
      <c r="AD22" s="88">
        <v>869.42000000000007</v>
      </c>
      <c r="AE22" s="88">
        <f t="shared" si="26"/>
        <v>2764.07</v>
      </c>
      <c r="AF22" s="89">
        <f>'Цены,перевалка,аренда'!$C$26*SUM(Уголь_эластика_экспорт!Z22+Уголь_эластика_экспорт!AA22+Уголь_эластика_экспорт!AB22)/Уголь_эластика_экспорт!X22</f>
        <v>360</v>
      </c>
      <c r="AG22" s="90">
        <f>SUMIF('Цены,перевалка,аренда'!$A$20:$A$22,Уголь_эластика_экспорт!$O22,'Цены,перевалка,аренда'!$D$20:$D$22)</f>
        <v>610.44399999999996</v>
      </c>
      <c r="AH22" s="47"/>
      <c r="AI22" s="91">
        <v>4817</v>
      </c>
      <c r="AJ22" s="92">
        <f>SUMIF('Цены,перевалка,аренда'!$A$5:$A$17,Уголь_эластика_экспорт!A22,'Цены,перевалка,аренда'!$D$5:$D$17)</f>
        <v>6485.9674999999997</v>
      </c>
      <c r="AK22" s="47">
        <f>AJ22/'Цены,перевалка,аренда'!$C$1</f>
        <v>85</v>
      </c>
      <c r="AL22" s="47">
        <f t="shared" si="9"/>
        <v>3734.5140000000001</v>
      </c>
      <c r="AM22" s="47">
        <f t="shared" si="10"/>
        <v>2751.4534999999996</v>
      </c>
      <c r="AN22" s="47">
        <f t="shared" si="11"/>
        <v>8551.5139999999992</v>
      </c>
      <c r="AO22" s="93">
        <f t="shared" si="12"/>
        <v>-0.31846389917926654</v>
      </c>
      <c r="AP22" s="94">
        <f t="shared" si="13"/>
        <v>0.57578364368924151</v>
      </c>
      <c r="AQ22" s="94">
        <f t="shared" si="5"/>
        <v>0.42616155569697201</v>
      </c>
      <c r="AR22" s="94">
        <f t="shared" si="6"/>
        <v>0.74014182300561737</v>
      </c>
      <c r="AS22" s="167">
        <f t="shared" si="14"/>
        <v>0.80100000000000005</v>
      </c>
      <c r="AT22" s="173">
        <f t="shared" si="15"/>
        <v>475095.52800000005</v>
      </c>
      <c r="AU22" s="97">
        <f t="shared" ref="AU22:AU23" si="27">15/17</f>
        <v>0.88235294117647056</v>
      </c>
      <c r="AV22" s="93">
        <f t="shared" si="16"/>
        <v>-0.36108005474896393</v>
      </c>
      <c r="AW22" s="94">
        <f t="shared" si="17"/>
        <v>0.61839979925893873</v>
      </c>
      <c r="AX22" s="94">
        <f t="shared" si="18"/>
        <v>0.46877771126666923</v>
      </c>
      <c r="AY22" s="94">
        <f t="shared" si="19"/>
        <v>0.75804958512022558</v>
      </c>
      <c r="AZ22" s="102">
        <f>MIN(IF($AU22=100%,1,1+VLOOKUP(($AJ22-$AI22-$AH22-$AG22-$AF22-$AE22*(1+AZ$3))/$AJ22,Уголь_коэфф!$A:$B,2,1)-VLOOKUP($AO22,Уголь_коэфф!$A:$B,2,1)),1+(1-$AU22))</f>
        <v>1.1176470588235294</v>
      </c>
      <c r="BA22" s="102">
        <f>MIN(IF($AU22=100%,1,1+VLOOKUP(($AJ22-$AI22-$AH22-$AG22-$AF22-$AE22*(1+BA$3))/$AJ22,Уголь_коэфф!$A:$B,2,1)-VLOOKUP($AO22,Уголь_коэфф!$A:$B,2,1)),1+(1-$AU22))</f>
        <v>1.1176470588235294</v>
      </c>
      <c r="BB22" s="102">
        <f>MIN(IF($AU22=100%,1,1+VLOOKUP(($AJ22-$AI22-$AH22-$AG22-$AF22-$AE22*(1+BB$3))/$AJ22,Уголь_коэфф!$A:$B,2,1)-VLOOKUP($AO22,Уголь_коэфф!$A:$B,2,1)),1+(1-$AU22))</f>
        <v>1.1176470588235294</v>
      </c>
      <c r="BC22" s="102">
        <f>MIN(IF($AU22=100%,1,1+VLOOKUP(($AJ22-$AI22-$AH22-$AG22-$AF22-$AE22*(1+BC$3))/$AJ22,Уголь_коэфф!$A:$B,2,1)-VLOOKUP($AO22,Уголь_коэфф!$A:$B,2,1)),1+(1-$AU22))</f>
        <v>1.1139999999999999</v>
      </c>
      <c r="BD22" s="102">
        <f>MIN(IF($AU22=100%,1,1+VLOOKUP(($AJ22-$AI22-$AH22-$AG22-$AF22-$AE22*(1+BD$3))/$AJ22,Уголь_коэфф!$A:$B,2,1)-VLOOKUP($AO22,Уголь_коэфф!$A:$B,2,1)),1+(1-$AU22))</f>
        <v>1.1139999999999999</v>
      </c>
      <c r="BE22" s="102">
        <f>MIN(IF($AU22=100%,1,1+VLOOKUP(($AJ22-$AI22-$AH22-$AG22-$AF22-$AE22*(1+BE$3))/$AJ22,Уголь_коэфф!$A:$B,2,1)-VLOOKUP($AO22,Уголь_коэфф!$A:$B,2,1)),1+(1-$AU22))</f>
        <v>1.1139999999999999</v>
      </c>
      <c r="BF22" s="102">
        <f>MIN(IF($AU22=100%,1,1+VLOOKUP(($AJ22-$AI22-$AH22-$AG22-$AF22-$AE22*(1+BF$3))/$AJ22,Уголь_коэфф!$A:$B,2,1)-VLOOKUP($AO22,Уголь_коэфф!$A:$B,2,1)),1+(1-$AU22))</f>
        <v>1.1139999999999999</v>
      </c>
      <c r="BG22" s="102">
        <f>MIN(IF($AU22=100%,1,1+VLOOKUP(($AJ22-$AI22-$AH22-$AG22-$AF22-$AE22*(1+BG$3))/$AJ22,Уголь_коэфф!$A:$B,2,1)-VLOOKUP($AO22,Уголь_коэфф!$A:$B,2,1)),1+(1-$AU22))</f>
        <v>1.109</v>
      </c>
      <c r="BH22" s="102">
        <f>MIN(IF($AU22=100%,1,1+VLOOKUP(($AJ22-$AI22-$AH22-$AG22-$AF22-$AE22*(1+BH$3))/$AJ22,Уголь_коэфф!$A:$B,2,1)-VLOOKUP($AO22,Уголь_коэфф!$A:$B,2,1)),1+(1-$AU22))</f>
        <v>1.109</v>
      </c>
      <c r="BI22" s="102">
        <f>MIN(IF($AU22=100%,1,1+VLOOKUP(($AJ22-$AI22-$AH22-$AG22-$AF22-$AE22*(1+BI$3))/$AJ22,Уголь_коэфф!$A:$B,2,1)-VLOOKUP($AO22,Уголь_коэфф!$A:$B,2,1)),1+(1-$AU22))</f>
        <v>1.109</v>
      </c>
      <c r="BJ22" s="102">
        <f>MIN(IF($AU22=100%,1,1+VLOOKUP(($AJ22-$AI22-$AH22-$AG22-$AF22-$AE22*(1+BJ$3))/$AJ22,Уголь_коэфф!$A:$B,2,1)-VLOOKUP($AO22,Уголь_коэфф!$A:$B,2,1)),1+(1-$AU22))</f>
        <v>1.109</v>
      </c>
      <c r="BK22" s="102">
        <f>MIN(IF($AU22=100%,1,1+VLOOKUP(($AJ22-$AI22-$AH22-$AG22-$AF22-$AE22*(1+BK$3))/$AJ22,Уголь_коэфф!$A:$B,2,1)-VLOOKUP($AO22,Уголь_коэфф!$A:$B,2,1)),1+(1-$AU22))</f>
        <v>1.109</v>
      </c>
      <c r="BL22" s="102">
        <f>MIN(IF($AU22=100%,1,1+VLOOKUP(($AJ22-$AI22-$AH22-$AG22-$AF22-$AE22*(1+BL$3))/$AJ22,Уголь_коэфф!$A:$B,2,1)-VLOOKUP($AO22,Уголь_коэфф!$A:$B,2,1)),1+(1-$AU22))</f>
        <v>1.1040000000000001</v>
      </c>
      <c r="BM22" s="102">
        <f>MIN(IF($AU22=100%,1,1+VLOOKUP(($AJ22-$AI22-$AH22-$AG22-$AF22-$AE22*(1+BM$3))/$AJ22,Уголь_коэфф!$A:$B,2,1)-VLOOKUP($AO22,Уголь_коэфф!$A:$B,2,1)),1+(1-$AU22))</f>
        <v>1.1040000000000001</v>
      </c>
      <c r="BN22" s="102">
        <f>MIN(IF($AU22=100%,1,1+VLOOKUP(($AJ22-$AI22-$AH22-$AG22-$AF22-$AE22*(1+BN$3))/$AJ22,Уголь_коэфф!$A:$B,2,1)-VLOOKUP($AO22,Уголь_коэфф!$A:$B,2,1)),1+(1-$AU22))</f>
        <v>1.1040000000000001</v>
      </c>
      <c r="BO22" s="102">
        <f>MIN(IF($AU22=100%,1,1+VLOOKUP(($AJ22-$AI22-$AH22-$AG22-$AF22-$AE22*(1+BO$3))/$AJ22,Уголь_коэфф!$A:$B,2,1)-VLOOKUP($AO22,Уголь_коэфф!$A:$B,2,1)),1+(1-$AU22))</f>
        <v>1.1040000000000001</v>
      </c>
      <c r="BP22" s="102">
        <f>MIN(IF($AU22=100%,1,1+VLOOKUP(($AJ22-$AI22-$AH22-$AG22-$AF22-$AE22*(1+BP$3))/$AJ22,Уголь_коэфф!$A:$B,2,1)-VLOOKUP($AO22,Уголь_коэфф!$A:$B,2,1)),1+(1-$AU22))</f>
        <v>1.1040000000000001</v>
      </c>
      <c r="BQ22" s="102">
        <f>MIN(IF($AU22=100%,1,1+VLOOKUP(($AJ22-$AI22-$AH22-$AG22-$AF22-$AE22*(1+BQ$3))/$AJ22,Уголь_коэфф!$A:$B,2,1)-VLOOKUP($AO22,Уголь_коэфф!$A:$B,2,1)),1+(1-$AU22))</f>
        <v>1.0990000000000002</v>
      </c>
      <c r="BR22" s="102">
        <f>MIN(IF($AU22=100%,1,1+VLOOKUP(($AJ22-$AI22-$AH22-$AG22-$AF22-$AE22*(1+BR$3))/$AJ22,Уголь_коэфф!$A:$B,2,1)-VLOOKUP($AO22,Уголь_коэфф!$A:$B,2,1)),1+(1-$AU22))</f>
        <v>1.0990000000000002</v>
      </c>
      <c r="BS22" s="102">
        <f>MIN(IF($AU22=100%,1,1+VLOOKUP(($AJ22-$AI22-$AH22-$AG22-$AF22-$AE22*(1+BS$3))/$AJ22,Уголь_коэфф!$A:$B,2,1)-VLOOKUP($AO22,Уголь_коэфф!$A:$B,2,1)),1+(1-$AU22))</f>
        <v>1.0990000000000002</v>
      </c>
      <c r="BT22" s="102">
        <f>MIN(IF($AU22=100%,1,1+VLOOKUP(($AJ22-$AI22-$AH22-$AG22-$AF22-$AE22*(1+BT$3))/$AJ22,Уголь_коэфф!$A:$B,2,1)-VLOOKUP($AO22,Уголь_коэфф!$A:$B,2,1)),1+(1-$AU22))</f>
        <v>1.0990000000000002</v>
      </c>
      <c r="BU22" s="102">
        <f>MIN(IF($AU22=100%,1,1+VLOOKUP(($AJ22-$AI22-$AH22-$AG22-$AF22-$AE22*(1+BU$3))/$AJ22,Уголь_коэфф!$A:$B,2,1)-VLOOKUP($AO22,Уголь_коэфф!$A:$B,2,1)),1+(1-$AU22))</f>
        <v>1.0940000000000003</v>
      </c>
      <c r="BV22" s="102">
        <f>MIN(IF($AU22=100%,1,1+VLOOKUP(($AJ22-$AI22-$AH22-$AG22-$AF22-$AE22*(1+BV$3))/$AJ22,Уголь_коэфф!$A:$B,2,1)-VLOOKUP($AO22,Уголь_коэфф!$A:$B,2,1)),1+(1-$AU22))</f>
        <v>1.0940000000000003</v>
      </c>
      <c r="BW22" s="102">
        <f>MIN(IF($AU22=100%,1,1+VLOOKUP(($AJ22-$AI22-$AH22-$AG22-$AF22-$AE22*(1+BW$3))/$AJ22,Уголь_коэфф!$A:$B,2,1)-VLOOKUP($AO22,Уголь_коэфф!$A:$B,2,1)),1+(1-$AU22))</f>
        <v>1.0940000000000003</v>
      </c>
      <c r="BX22" s="102">
        <f>MIN(IF($AU22=100%,1,1+VLOOKUP(($AJ22-$AI22-$AH22-$AG22-$AF22-$AE22*(1+BX$3))/$AJ22,Уголь_коэфф!$A:$B,2,1)-VLOOKUP($AO22,Уголь_коэфф!$A:$B,2,1)),1+(1-$AU22))</f>
        <v>1.0940000000000003</v>
      </c>
      <c r="BY22" s="102">
        <f>MIN(IF($AU22=100%,1,1+VLOOKUP(($AJ22-$AI22-$AH22-$AG22-$AF22-$AE22*(1+BY$3))/$AJ22,Уголь_коэфф!$A:$B,2,1)-VLOOKUP($AO22,Уголь_коэфф!$A:$B,2,1)),1+(1-$AU22))</f>
        <v>1.0940000000000003</v>
      </c>
      <c r="BZ22" s="102">
        <f>MIN(IF($AU22=100%,1,1+VLOOKUP(($AJ22-$AI22-$AH22-$AG22-$AF22-$AE22*(1+BZ$3))/$AJ22,Уголь_коэфф!$A:$B,2,1)-VLOOKUP($AO22,Уголь_коэфф!$A:$B,2,1)),1+(1-$AU22))</f>
        <v>1.089</v>
      </c>
      <c r="CA22" s="102">
        <f>MIN(IF($AU22=100%,1,1+VLOOKUP(($AJ22-$AI22-$AH22-$AG22-$AF22-$AE22*(1+CA$3))/$AJ22,Уголь_коэфф!$A:$B,2,1)-VLOOKUP($AO22,Уголь_коэфф!$A:$B,2,1)),1+(1-$AU22))</f>
        <v>1.089</v>
      </c>
      <c r="CB22" s="102">
        <f>MIN(IF($AU22=100%,1,1+VLOOKUP(($AJ22-$AI22-$AH22-$AG22-$AF22-$AE22*(1+CB$3))/$AJ22,Уголь_коэфф!$A:$B,2,1)-VLOOKUP($AO22,Уголь_коэфф!$A:$B,2,1)),1+(1-$AU22))</f>
        <v>1.089</v>
      </c>
      <c r="CC22" s="102">
        <f>MIN(IF($AU22=100%,1,1+VLOOKUP(($AJ22-$AI22-$AH22-$AG22-$AF22-$AE22*(1+CC$3))/$AJ22,Уголь_коэфф!$A:$B,2,1)-VLOOKUP($AO22,Уголь_коэфф!$A:$B,2,1)),1+(1-$AU22))</f>
        <v>1.089</v>
      </c>
      <c r="CD22" s="102">
        <f>MIN(IF($AU22=100%,1,1+VLOOKUP(($AJ22-$AI22-$AH22-$AG22-$AF22-$AE22*(1+CD$3))/$AJ22,Уголь_коэфф!$A:$B,2,1)-VLOOKUP($AO22,Уголь_коэфф!$A:$B,2,1)),1+(1-$AU22))</f>
        <v>1.089</v>
      </c>
      <c r="CE22" s="102">
        <f>MIN(IF($AU22=100%,1,1+VLOOKUP(($AJ22-$AI22-$AH22-$AG22-$AF22-$AE22*(1+CE$3))/$AJ22,Уголь_коэфф!$A:$B,2,1)-VLOOKUP($AO22,Уголь_коэфф!$A:$B,2,1)),1+(1-$AU22))</f>
        <v>1.0840000000000001</v>
      </c>
      <c r="CF22" s="102">
        <f>MIN(IF($AU22=100%,1,1+VLOOKUP(($AJ22-$AI22-$AH22-$AG22-$AF22-$AE22*(1+CF$3))/$AJ22,Уголь_коэфф!$A:$B,2,1)-VLOOKUP($AO22,Уголь_коэфф!$A:$B,2,1)),1+(1-$AU22))</f>
        <v>1.0840000000000001</v>
      </c>
      <c r="CG22" s="102">
        <f>MIN(IF($AU22=100%,1,1+VLOOKUP(($AJ22-$AI22-$AH22-$AG22-$AF22-$AE22*(1+CG$3))/$AJ22,Уголь_коэфф!$A:$B,2,1)-VLOOKUP($AO22,Уголь_коэфф!$A:$B,2,1)),1+(1-$AU22))</f>
        <v>1.0840000000000001</v>
      </c>
      <c r="CH22" s="102">
        <f>MIN(IF($AU22=100%,1,1+VLOOKUP(($AJ22-$AI22-$AH22-$AG22-$AF22-$AE22*(1+CH$3))/$AJ22,Уголь_коэфф!$A:$B,2,1)-VLOOKUP($AO22,Уголь_коэфф!$A:$B,2,1)),1+(1-$AU22))</f>
        <v>1.0840000000000001</v>
      </c>
      <c r="CI22" s="102">
        <f>MIN(IF($AU22=100%,1,1+VLOOKUP(($AJ22-$AI22-$AH22-$AG22-$AF22-$AE22*(1+CI$3))/$AJ22,Уголь_коэфф!$A:$B,2,1)-VLOOKUP($AO22,Уголь_коэфф!$A:$B,2,1)),1+(1-$AU22))</f>
        <v>1.0840000000000001</v>
      </c>
      <c r="CJ22" s="102">
        <f>MIN(IF($AU22=100%,1,1+VLOOKUP(($AJ22-$AI22-$AH22-$AG22-$AF22-$AE22*(1+CJ$3))/$AJ22,Уголь_коэфф!$A:$B,2,1)-VLOOKUP($AO22,Уголь_коэфф!$A:$B,2,1)),1+(1-$AU22))</f>
        <v>1.0780000000000003</v>
      </c>
      <c r="CK22" s="102">
        <f>MIN(IF($AU22=100%,1,1+VLOOKUP(($AJ22-$AI22-$AH22-$AG22-$AF22-$AE22*(1+CK$3))/$AJ22,Уголь_коэфф!$A:$B,2,1)-VLOOKUP($AO22,Уголь_коэфф!$A:$B,2,1)),1+(1-$AU22))</f>
        <v>1.0780000000000003</v>
      </c>
      <c r="CL22" s="102">
        <f>MIN(IF($AU22=100%,1,1+VLOOKUP(($AJ22-$AI22-$AH22-$AG22-$AF22-$AE22*(1+CL$3))/$AJ22,Уголь_коэфф!$A:$B,2,1)-VLOOKUP($AO22,Уголь_коэфф!$A:$B,2,1)),1+(1-$AU22))</f>
        <v>1.0780000000000003</v>
      </c>
      <c r="CM22" s="102">
        <f>MIN(IF($AU22=100%,1,1+VLOOKUP(($AJ22-$AI22-$AH22-$AG22-$AF22-$AE22*(1+CM$3))/$AJ22,Уголь_коэфф!$A:$B,2,1)-VLOOKUP($AO22,Уголь_коэфф!$A:$B,2,1)),1+(1-$AU22))</f>
        <v>1.0780000000000003</v>
      </c>
      <c r="CN22" s="102">
        <f>MIN(IF($AU22=100%,1,1+VLOOKUP(($AJ22-$AI22-$AH22-$AG22-$AF22-$AE22*(1+CN$3))/$AJ22,Уголь_коэфф!$A:$B,2,1)-VLOOKUP($AO22,Уголь_коэфф!$A:$B,2,1)),1+(1-$AU22))</f>
        <v>1.0720000000000001</v>
      </c>
      <c r="CO22" s="102">
        <f>MIN(IF($AU22=100%,1,1+VLOOKUP(($AJ22-$AI22-$AH22-$AG22-$AF22-$AE22*(1+CO$3))/$AJ22,Уголь_коэфф!$A:$B,2,1)-VLOOKUP($AO22,Уголь_коэфф!$A:$B,2,1)),1+(1-$AU22))</f>
        <v>1.0720000000000001</v>
      </c>
      <c r="CP22" s="102">
        <f>MIN(IF($AU22=100%,1,1+VLOOKUP(($AJ22-$AI22-$AH22-$AG22-$AF22-$AE22*(1+CP$3))/$AJ22,Уголь_коэфф!$A:$B,2,1)-VLOOKUP($AO22,Уголь_коэфф!$A:$B,2,1)),1+(1-$AU22))</f>
        <v>1.0720000000000001</v>
      </c>
      <c r="CQ22" s="102">
        <f>MIN(IF($AU22=100%,1,1+VLOOKUP(($AJ22-$AI22-$AH22-$AG22-$AF22-$AE22*(1+CQ$3))/$AJ22,Уголь_коэфф!$A:$B,2,1)-VLOOKUP($AO22,Уголь_коэфф!$A:$B,2,1)),1+(1-$AU22))</f>
        <v>1.0720000000000001</v>
      </c>
      <c r="CR22" s="102">
        <f>MIN(IF($AU22=100%,1,1+VLOOKUP(($AJ22-$AI22-$AH22-$AG22-$AF22-$AE22*(1+CR$3))/$AJ22,Уголь_коэфф!$A:$B,2,1)-VLOOKUP($AO22,Уголь_коэфф!$A:$B,2,1)),1+(1-$AU22))</f>
        <v>1.0720000000000001</v>
      </c>
      <c r="CS22" s="102">
        <f>MIN(IF($AU22=100%,1,1+VLOOKUP(($AJ22-$AI22-$AH22-$AG22-$AF22-$AE22*(1+CS$3))/$AJ22,Уголь_коэфф!$A:$B,2,1)-VLOOKUP($AO22,Уголь_коэфф!$A:$B,2,1)),1+(1-$AU22))</f>
        <v>1.0660000000000003</v>
      </c>
      <c r="CT22" s="102">
        <f>MIN(IF($AU22=100%,1,1+VLOOKUP(($AJ22-$AI22-$AH22-$AG22-$AF22-$AE22*(1+CT$3))/$AJ22,Уголь_коэфф!$A:$B,2,1)-VLOOKUP($AO22,Уголь_коэфф!$A:$B,2,1)),1+(1-$AU22))</f>
        <v>1.0660000000000003</v>
      </c>
      <c r="CU22" s="102">
        <f>MIN(IF($AU22=100%,1,1+VLOOKUP(($AJ22-$AI22-$AH22-$AG22-$AF22-$AE22*(1+CU$3))/$AJ22,Уголь_коэфф!$A:$B,2,1)-VLOOKUP($AO22,Уголь_коэфф!$A:$B,2,1)),1+(1-$AU22))</f>
        <v>1.0660000000000003</v>
      </c>
      <c r="CV22" s="102">
        <f>MIN(IF($AU22=100%,1,1+VLOOKUP(($AJ22-$AI22-$AH22-$AG22-$AF22-$AE22*(1+CV$3))/$AJ22,Уголь_коэфф!$A:$B,2,1)-VLOOKUP($AO22,Уголь_коэфф!$A:$B,2,1)),1+(1-$AU22))</f>
        <v>1.0660000000000003</v>
      </c>
      <c r="CW22" s="102">
        <f>MIN(IF($AU22=100%,1,1+VLOOKUP(($AJ22-$AI22-$AH22-$AG22-$AF22-$AE22*(1+CW$3))/$AJ22,Уголь_коэфф!$A:$B,2,1)-VLOOKUP($AO22,Уголь_коэфф!$A:$B,2,1)),1+(1-$AU22))</f>
        <v>1.0660000000000003</v>
      </c>
      <c r="CX22" s="102">
        <f>MIN(IF($AU22=100%,1,1+VLOOKUP(($AJ22-$AI22-$AH22-$AG22-$AF22-$AE22*(1+CX$3))/$AJ22,Уголь_коэфф!$A:$B,2,1)-VLOOKUP($AO22,Уголь_коэфф!$A:$B,2,1)),1+(1-$AU22))</f>
        <v>1.06</v>
      </c>
      <c r="CY22" s="102">
        <f>MIN(IF($AU22=100%,1,1+VLOOKUP(($AJ22-$AI22-$AH22-$AG22-$AF22-$AE22*(1+CY$3))/$AJ22,Уголь_коэфф!$A:$B,2,1)-VLOOKUP($AO22,Уголь_коэфф!$A:$B,2,1)),1+(1-$AU22))</f>
        <v>1.06</v>
      </c>
      <c r="CZ22" s="102">
        <f>MIN(IF($AU22=100%,1,1+VLOOKUP(($AJ22-$AI22-$AH22-$AG22-$AF22-$AE22*(1+CZ$3))/$AJ22,Уголь_коэфф!$A:$B,2,1)-VLOOKUP($AO22,Уголь_коэфф!$A:$B,2,1)),1+(1-$AU22))</f>
        <v>1.06</v>
      </c>
      <c r="DA22" s="102">
        <f>MIN(IF($AU22=100%,1,1+VLOOKUP(($AJ22-$AI22-$AH22-$AG22-$AF22-$AE22*(1+DA$3))/$AJ22,Уголь_коэфф!$A:$B,2,1)-VLOOKUP($AO22,Уголь_коэфф!$A:$B,2,1)),1+(1-$AU22))</f>
        <v>1.06</v>
      </c>
      <c r="DB22" s="102">
        <f>MIN(IF($AU22=100%,1,1+VLOOKUP(($AJ22-$AI22-$AH22-$AG22-$AF22-$AE22*(1+DB$3))/$AJ22,Уголь_коэфф!$A:$B,2,1)-VLOOKUP($AO22,Уголь_коэфф!$A:$B,2,1)),1+(1-$AU22))</f>
        <v>1.0540000000000003</v>
      </c>
      <c r="DC22" s="102">
        <f>MIN(IF($AU22=100%,1,1+VLOOKUP(($AJ22-$AI22-$AH22-$AG22-$AF22-$AE22*(1+DC$3))/$AJ22,Уголь_коэфф!$A:$B,2,1)-VLOOKUP($AO22,Уголь_коэфф!$A:$B,2,1)),1+(1-$AU22))</f>
        <v>1.0540000000000003</v>
      </c>
      <c r="DD22" s="102">
        <f>MIN(IF($AU22=100%,1,1+VLOOKUP(($AJ22-$AI22-$AH22-$AG22-$AF22-$AE22*(1+DD$3))/$AJ22,Уголь_коэфф!$A:$B,2,1)-VLOOKUP($AO22,Уголь_коэфф!$A:$B,2,1)),1+(1-$AU22))</f>
        <v>1.0540000000000003</v>
      </c>
      <c r="DE22" s="102">
        <f>MIN(IF($AU22=100%,1,1+VLOOKUP(($AJ22-$AI22-$AH22-$AG22-$AF22-$AE22*(1+DE$3))/$AJ22,Уголь_коэфф!$A:$B,2,1)-VLOOKUP($AO22,Уголь_коэфф!$A:$B,2,1)),1+(1-$AU22))</f>
        <v>1.0540000000000003</v>
      </c>
      <c r="DF22" s="102">
        <f>MIN(IF($AU22=100%,1,1+VLOOKUP(($AJ22-$AI22-$AH22-$AG22-$AF22-$AE22*(1+DF$3))/$AJ22,Уголь_коэфф!$A:$B,2,1)-VLOOKUP($AO22,Уголь_коэфф!$A:$B,2,1)),1+(1-$AU22))</f>
        <v>1.0540000000000003</v>
      </c>
      <c r="DG22" s="102">
        <f>MIN(IF($AU22=100%,1,1+VLOOKUP(($AJ22-$AI22-$AH22-$AG22-$AF22-$AE22*(1+DG$3))/$AJ22,Уголь_коэфф!$A:$B,2,1)-VLOOKUP($AO22,Уголь_коэфф!$A:$B,2,1)),1+(1-$AU22))</f>
        <v>1.048</v>
      </c>
      <c r="DH22" s="102">
        <f>MIN(IF($AU22=100%,1,1+VLOOKUP(($AJ22-$AI22-$AH22-$AG22-$AF22-$AE22*(1+DH$3))/$AJ22,Уголь_коэфф!$A:$B,2,1)-VLOOKUP($AO22,Уголь_коэфф!$A:$B,2,1)),1+(1-$AU22))</f>
        <v>1.048</v>
      </c>
      <c r="DI22" s="102">
        <f>MIN(IF($AU22=100%,1,1+VLOOKUP(($AJ22-$AI22-$AH22-$AG22-$AF22-$AE22*(1+DI$3))/$AJ22,Уголь_коэфф!$A:$B,2,1)-VLOOKUP($AO22,Уголь_коэфф!$A:$B,2,1)),1+(1-$AU22))</f>
        <v>1.048</v>
      </c>
      <c r="DJ22" s="102">
        <f>MIN(IF($AU22=100%,1,1+VLOOKUP(($AJ22-$AI22-$AH22-$AG22-$AF22-$AE22*(1+DJ$3))/$AJ22,Уголь_коэфф!$A:$B,2,1)-VLOOKUP($AO22,Уголь_коэфф!$A:$B,2,1)),1+(1-$AU22))</f>
        <v>1.048</v>
      </c>
      <c r="DK22" s="102">
        <f>MIN(IF($AU22=100%,1,1+VLOOKUP(($AJ22-$AI22-$AH22-$AG22-$AF22-$AE22*(1+DK$3))/$AJ22,Уголь_коэфф!$A:$B,2,1)-VLOOKUP($AO22,Уголь_коэфф!$A:$B,2,1)),1+(1-$AU22))</f>
        <v>1.048</v>
      </c>
      <c r="DL22" s="102">
        <f>MIN(IF($AU22=100%,1,1+VLOOKUP(($AJ22-$AI22-$AH22-$AG22-$AF22-$AE22*(1+DL$3))/$AJ22,Уголь_коэфф!$A:$B,2,1)-VLOOKUP($AO22,Уголь_коэфф!$A:$B,2,1)),1+(1-$AU22))</f>
        <v>1.0420000000000003</v>
      </c>
      <c r="DM22" s="102">
        <f>MIN(IF($AU22=100%,1,1+VLOOKUP(($AJ22-$AI22-$AH22-$AG22-$AF22-$AE22*(1+DM$3))/$AJ22,Уголь_коэфф!$A:$B,2,1)-VLOOKUP($AO22,Уголь_коэфф!$A:$B,2,1)),1+(1-$AU22))</f>
        <v>1.0420000000000003</v>
      </c>
      <c r="DN22" s="102">
        <f>MIN(IF($AU22=100%,1,1+VLOOKUP(($AJ22-$AI22-$AH22-$AG22-$AF22-$AE22*(1+DN$3))/$AJ22,Уголь_коэфф!$A:$B,2,1)-VLOOKUP($AO22,Уголь_коэфф!$A:$B,2,1)),1+(1-$AU22))</f>
        <v>1.0420000000000003</v>
      </c>
      <c r="DO22" s="102">
        <f>MIN(IF($AU22=100%,1,1+VLOOKUP(($AJ22-$AI22-$AH22-$AG22-$AF22-$AE22*(1+DO$3))/$AJ22,Уголь_коэфф!$A:$B,2,1)-VLOOKUP($AO22,Уголь_коэфф!$A:$B,2,1)),1+(1-$AU22))</f>
        <v>1.0420000000000003</v>
      </c>
      <c r="DP22" s="102">
        <f>MIN(IF($AU22=100%,1,1+VLOOKUP(($AJ22-$AI22-$AH22-$AG22-$AF22-$AE22*(1+DP$3))/$AJ22,Уголь_коэфф!$A:$B,2,1)-VLOOKUP($AO22,Уголь_коэфф!$A:$B,2,1)),1+(1-$AU22))</f>
        <v>1.036</v>
      </c>
      <c r="DQ22" s="102">
        <f>MIN(IF($AU22=100%,1,1+VLOOKUP(($AJ22-$AI22-$AH22-$AG22-$AF22-$AE22*(1+DQ$3))/$AJ22,Уголь_коэфф!$A:$B,2,1)-VLOOKUP($AO22,Уголь_коэфф!$A:$B,2,1)),1+(1-$AU22))</f>
        <v>1.036</v>
      </c>
      <c r="DR22" s="102">
        <f>MIN(IF($AU22=100%,1,1+VLOOKUP(($AJ22-$AI22-$AH22-$AG22-$AF22-$AE22*(1+DR$3))/$AJ22,Уголь_коэфф!$A:$B,2,1)-VLOOKUP($AO22,Уголь_коэфф!$A:$B,2,1)),1+(1-$AU22))</f>
        <v>1.036</v>
      </c>
      <c r="DS22" s="102">
        <f>MIN(IF($AU22=100%,1,1+VLOOKUP(($AJ22-$AI22-$AH22-$AG22-$AF22-$AE22*(1+DS$3))/$AJ22,Уголь_коэфф!$A:$B,2,1)-VLOOKUP($AO22,Уголь_коэфф!$A:$B,2,1)),1+(1-$AU22))</f>
        <v>1.036</v>
      </c>
      <c r="DT22" s="102">
        <f>MIN(IF($AU22=100%,1,1+VLOOKUP(($AJ22-$AI22-$AH22-$AG22-$AF22-$AE22*(1+DT$3))/$AJ22,Уголь_коэфф!$A:$B,2,1)-VLOOKUP($AO22,Уголь_коэфф!$A:$B,2,1)),1+(1-$AU22))</f>
        <v>1.036</v>
      </c>
      <c r="DU22" s="102">
        <f>MIN(IF($AU22=100%,1,1+VLOOKUP(($AJ22-$AI22-$AH22-$AG22-$AF22-$AE22*(1+DU$3))/$AJ22,Уголь_коэфф!$A:$B,2,1)-VLOOKUP($AO22,Уголь_коэфф!$A:$B,2,1)),1+(1-$AU22))</f>
        <v>1.0300000000000002</v>
      </c>
      <c r="DV22" s="102">
        <f>MIN(IF($AU22=100%,1,1+VLOOKUP(($AJ22-$AI22-$AH22-$AG22-$AF22-$AE22*(1+DV$3))/$AJ22,Уголь_коэфф!$A:$B,2,1)-VLOOKUP($AO22,Уголь_коэфф!$A:$B,2,1)),1+(1-$AU22))</f>
        <v>1.0300000000000002</v>
      </c>
      <c r="DW22" s="102">
        <f>MIN(IF($AU22=100%,1,1+VLOOKUP(($AJ22-$AI22-$AH22-$AG22-$AF22-$AE22*(1+DW$3))/$AJ22,Уголь_коэфф!$A:$B,2,1)-VLOOKUP($AO22,Уголь_коэфф!$A:$B,2,1)),1+(1-$AU22))</f>
        <v>1.0300000000000002</v>
      </c>
      <c r="DX22" s="102">
        <f>MIN(IF($AU22=100%,1,1+VLOOKUP(($AJ22-$AI22-$AH22-$AG22-$AF22-$AE22*(1+DX$3))/$AJ22,Уголь_коэфф!$A:$B,2,1)-VLOOKUP($AO22,Уголь_коэфф!$A:$B,2,1)),1+(1-$AU22))</f>
        <v>1.0300000000000002</v>
      </c>
      <c r="DY22" s="102">
        <f>MIN(IF($AU22=100%,1,1+VLOOKUP(($AJ22-$AI22-$AH22-$AG22-$AF22-$AE22*(1+DY$3))/$AJ22,Уголь_коэфф!$A:$B,2,1)-VLOOKUP($AO22,Уголь_коэфф!$A:$B,2,1)),1+(1-$AU22))</f>
        <v>1.0300000000000002</v>
      </c>
      <c r="DZ22" s="102">
        <f>MIN(IF($AU22=100%,1,1+VLOOKUP(($AJ22-$AI22-$AH22-$AG22-$AF22-$AE22*(1+DZ$3))/$AJ22,Уголь_коэфф!$A:$B,2,1)-VLOOKUP($AO22,Уголь_коэфф!$A:$B,2,1)),1+(1-$AU22))</f>
        <v>1.024</v>
      </c>
      <c r="EA22" s="102">
        <f>MIN(IF($AU22=100%,1,1+VLOOKUP(($AJ22-$AI22-$AH22-$AG22-$AF22-$AE22*(1+EA$3))/$AJ22,Уголь_коэфф!$A:$B,2,1)-VLOOKUP($AO22,Уголь_коэфф!$A:$B,2,1)),1+(1-$AU22))</f>
        <v>1.024</v>
      </c>
      <c r="EB22" s="102">
        <f>MIN(IF($AU22=100%,1,1+VLOOKUP(($AJ22-$AI22-$AH22-$AG22-$AF22-$AE22*(1+EB$3))/$AJ22,Уголь_коэфф!$A:$B,2,1)-VLOOKUP($AO22,Уголь_коэфф!$A:$B,2,1)),1+(1-$AU22))</f>
        <v>1.024</v>
      </c>
      <c r="EC22" s="102">
        <f>MIN(IF($AU22=100%,1,1+VLOOKUP(($AJ22-$AI22-$AH22-$AG22-$AF22-$AE22*(1+EC$3))/$AJ22,Уголь_коэфф!$A:$B,2,1)-VLOOKUP($AO22,Уголь_коэфф!$A:$B,2,1)),1+(1-$AU22))</f>
        <v>1.024</v>
      </c>
      <c r="ED22" s="102">
        <f>MIN(IF($AU22=100%,1,1+VLOOKUP(($AJ22-$AI22-$AH22-$AG22-$AF22-$AE22*(1+ED$3))/$AJ22,Уголь_коэфф!$A:$B,2,1)-VLOOKUP($AO22,Уголь_коэфф!$A:$B,2,1)),1+(1-$AU22))</f>
        <v>1.0180000000000002</v>
      </c>
      <c r="EE22" s="102">
        <f>MIN(IF($AU22=100%,1,1+VLOOKUP(($AJ22-$AI22-$AH22-$AG22-$AF22-$AE22*(1+EE$3))/$AJ22,Уголь_коэфф!$A:$B,2,1)-VLOOKUP($AO22,Уголь_коэфф!$A:$B,2,1)),1+(1-$AU22))</f>
        <v>1.0180000000000002</v>
      </c>
      <c r="EF22" s="102">
        <f>MIN(IF($AU22=100%,1,1+VLOOKUP(($AJ22-$AI22-$AH22-$AG22-$AF22-$AE22*(1+EF$3))/$AJ22,Уголь_коэфф!$A:$B,2,1)-VLOOKUP($AO22,Уголь_коэфф!$A:$B,2,1)),1+(1-$AU22))</f>
        <v>1.0180000000000002</v>
      </c>
      <c r="EG22" s="102">
        <f>MIN(IF($AU22=100%,1,1+VLOOKUP(($AJ22-$AI22-$AH22-$AG22-$AF22-$AE22*(1+EG$3))/$AJ22,Уголь_коэфф!$A:$B,2,1)-VLOOKUP($AO22,Уголь_коэфф!$A:$B,2,1)),1+(1-$AU22))</f>
        <v>1.0180000000000002</v>
      </c>
      <c r="EH22" s="102">
        <f>MIN(IF($AU22=100%,1,1+VLOOKUP(($AJ22-$AI22-$AH22-$AG22-$AF22-$AE22*(1+EH$3))/$AJ22,Уголь_коэфф!$A:$B,2,1)-VLOOKUP($AO22,Уголь_коэфф!$A:$B,2,1)),1+(1-$AU22))</f>
        <v>1.0180000000000002</v>
      </c>
      <c r="EI22" s="102">
        <f>MIN(IF($AU22=100%,1,1+VLOOKUP(($AJ22-$AI22-$AH22-$AG22-$AF22-$AE22*(1+EI$3))/$AJ22,Уголь_коэфф!$A:$B,2,1)-VLOOKUP($AO22,Уголь_коэфф!$A:$B,2,1)),1+(1-$AU22))</f>
        <v>1.012</v>
      </c>
      <c r="EJ22" s="102">
        <f>MIN(IF($AU22=100%,1,1+VLOOKUP(($AJ22-$AI22-$AH22-$AG22-$AF22-$AE22*(1+EJ$3))/$AJ22,Уголь_коэфф!$A:$B,2,1)-VLOOKUP($AO22,Уголь_коэфф!$A:$B,2,1)),1+(1-$AU22))</f>
        <v>1.012</v>
      </c>
      <c r="EK22" s="102">
        <f>MIN(IF($AU22=100%,1,1+VLOOKUP(($AJ22-$AI22-$AH22-$AG22-$AF22-$AE22*(1+EK$3))/$AJ22,Уголь_коэфф!$A:$B,2,1)-VLOOKUP($AO22,Уголь_коэфф!$A:$B,2,1)),1+(1-$AU22))</f>
        <v>1.012</v>
      </c>
      <c r="EL22" s="102">
        <f>MIN(IF($AU22=100%,1,1+VLOOKUP(($AJ22-$AI22-$AH22-$AG22-$AF22-$AE22*(1+EL$3))/$AJ22,Уголь_коэфф!$A:$B,2,1)-VLOOKUP($AO22,Уголь_коэфф!$A:$B,2,1)),1+(1-$AU22))</f>
        <v>1.012</v>
      </c>
      <c r="EM22" s="102">
        <f>MIN(IF($AU22=100%,1,1+VLOOKUP(($AJ22-$AI22-$AH22-$AG22-$AF22-$AE22*(1+EM$3))/$AJ22,Уголь_коэфф!$A:$B,2,1)-VLOOKUP($AO22,Уголь_коэфф!$A:$B,2,1)),1+(1-$AU22))</f>
        <v>1.012</v>
      </c>
      <c r="EN22" s="102">
        <f>MIN(IF($AU22=100%,1,1+VLOOKUP(($AJ22-$AI22-$AH22-$AG22-$AF22-$AE22*(1+EN$3))/$AJ22,Уголь_коэфф!$A:$B,2,1)-VLOOKUP($AO22,Уголь_коэфф!$A:$B,2,1)),1+(1-$AU22))</f>
        <v>1.0060000000000002</v>
      </c>
      <c r="EO22" s="102">
        <f>MIN(IF($AU22=100%,1,1+VLOOKUP(($AJ22-$AI22-$AH22-$AG22-$AF22-$AE22*(1+EO$3))/$AJ22,Уголь_коэфф!$A:$B,2,1)-VLOOKUP($AO22,Уголь_коэфф!$A:$B,2,1)),1+(1-$AU22))</f>
        <v>1.0060000000000002</v>
      </c>
      <c r="EP22" s="102">
        <f>MIN(IF($AU22=100%,1,1+VLOOKUP(($AJ22-$AI22-$AH22-$AG22-$AF22-$AE22*(1+EP$3))/$AJ22,Уголь_коэфф!$A:$B,2,1)-VLOOKUP($AO22,Уголь_коэфф!$A:$B,2,1)),1+(1-$AU22))</f>
        <v>1.0060000000000002</v>
      </c>
      <c r="EQ22" s="102">
        <f>MIN(IF($AU22=100%,1,1+VLOOKUP(($AJ22-$AI22-$AH22-$AG22-$AF22-$AE22*(1+EQ$3))/$AJ22,Уголь_коэфф!$A:$B,2,1)-VLOOKUP($AO22,Уголь_коэфф!$A:$B,2,1)),1+(1-$AU22))</f>
        <v>1.0060000000000002</v>
      </c>
      <c r="ER22" s="102">
        <f>MIN(IF($AU22=100%,1,1+VLOOKUP(($AJ22-$AI22-$AH22-$AG22-$AF22-$AE22*(1+ER$3))/$AJ22,Уголь_коэфф!$A:$B,2,1)-VLOOKUP($AO22,Уголь_коэфф!$A:$B,2,1)),1+(1-$AU22))</f>
        <v>1.0060000000000002</v>
      </c>
      <c r="ES22" s="102">
        <f>MIN(IF($AU22=100%,1,1+VLOOKUP(($AJ22-$AI22-$AH22-$AG22-$AF22-$AE22*(1+ES$3))/$AJ22,Уголь_коэфф!$A:$B,2,1)-VLOOKUP($AO22,Уголь_коэфф!$A:$B,2,1)),1+(1-$AU22))</f>
        <v>0.99999999999999989</v>
      </c>
      <c r="ET22" s="102">
        <f>MIN(IF($AU22=100%,1,1+VLOOKUP(($AJ22-$AI22-$AH22-$AG22-$AF22-$AE22*(1+ET$3))/$AJ22,Уголь_коэфф!$A:$B,2,1)-VLOOKUP($AO22,Уголь_коэфф!$A:$B,2,1)),1+(1-$AU22))</f>
        <v>0.99999999999999989</v>
      </c>
      <c r="EU22" s="102">
        <f>MIN(IF($AU22=100%,1,1+VLOOKUP(($AJ22-$AI22-$AH22-$AG22-$AF22-$AE22*(1+EU$3))/$AJ22,Уголь_коэфф!$A:$B,2,1)-VLOOKUP($AO22,Уголь_коэфф!$A:$B,2,1)),1+(1-$AU22))</f>
        <v>0.99999999999999989</v>
      </c>
      <c r="EV22" s="103">
        <v>1</v>
      </c>
      <c r="EW22" s="102">
        <f>MIN(1,MAX(VLOOKUP(($AJ22-$AI22-$AH22-$AG22-$AF22-$AE22*(1+EW$3))/$AJ22,Уголь_коэфф!$A:$B,2,1),(EV22-0.05)))</f>
        <v>0.95</v>
      </c>
      <c r="EX22" s="102">
        <f>MIN(1,MAX(VLOOKUP(($AJ22-$AI22-$AH22-$AG22-$AF22-$AE22*(1+EX$3))/$AJ22,Уголь_коэфф!$A:$B,2,1),(EW22-0.05)))</f>
        <v>0.89999999999999991</v>
      </c>
      <c r="EY22" s="102">
        <f>MIN(1,MAX(VLOOKUP(($AJ22-$AI22-$AH22-$AG22-$AF22-$AE22*(1+EY$3))/$AJ22,Уголь_коэфф!$A:$B,2,1),(EX22-0.05)))</f>
        <v>0.84999999999999987</v>
      </c>
      <c r="EZ22" s="102">
        <f>MIN(1,MAX(VLOOKUP(($AJ22-$AI22-$AH22-$AG22-$AF22-$AE22*(1+EZ$3))/$AJ22,Уголь_коэфф!$A:$B,2,1),(EY22-0.05)))</f>
        <v>0.82899999999999996</v>
      </c>
      <c r="FA22" s="102">
        <f>MIN(1,MAX(VLOOKUP(($AJ22-$AI22-$AH22-$AG22-$AF22-$AE22*(1+FA$3))/$AJ22,Уголь_коэфф!$A:$B,2,1),(EZ22-0.05)))</f>
        <v>0.82899999999999996</v>
      </c>
      <c r="FB22" s="102">
        <f>MIN(1,MAX(VLOOKUP(($AJ22-$AI22-$AH22-$AG22-$AF22-$AE22*(1+FB$3))/$AJ22,Уголь_коэфф!$A:$B,2,1),(FA22-0.05)))</f>
        <v>0.82199999999999995</v>
      </c>
      <c r="FC22" s="102">
        <f>MIN(1,MAX(VLOOKUP(($AJ22-$AI22-$AH22-$AG22-$AF22-$AE22*(1+FC$3))/$AJ22,Уголь_коэфф!$A:$B,2,1),(FB22-0.05)))</f>
        <v>0.82199999999999995</v>
      </c>
      <c r="FD22" s="102">
        <f>MIN(1,MAX(VLOOKUP(($AJ22-$AI22-$AH22-$AG22-$AF22-$AE22*(1+FD$3))/$AJ22,Уголь_коэфф!$A:$B,2,1),(FC22-0.05)))</f>
        <v>0.82199999999999995</v>
      </c>
      <c r="FE22" s="102">
        <f>MIN(1,MAX(VLOOKUP(($AJ22-$AI22-$AH22-$AG22-$AF22-$AE22*(1+FE$3))/$AJ22,Уголь_коэфф!$A:$B,2,1),(FD22-0.05)))</f>
        <v>0.82199999999999995</v>
      </c>
      <c r="FF22" s="102">
        <f>MIN(1,MAX(VLOOKUP(($AJ22-$AI22-$AH22-$AG22-$AF22-$AE22*(1+FF$3))/$AJ22,Уголь_коэфф!$A:$B,2,1),(FE22-0.05)))</f>
        <v>0.82199999999999995</v>
      </c>
      <c r="FG22" s="102">
        <f>MIN(1,MAX(VLOOKUP(($AJ22-$AI22-$AH22-$AG22-$AF22-$AE22*(1+FG$3))/$AJ22,Уголь_коэфф!$A:$B,2,1),(FF22-0.05)))</f>
        <v>0.81499999999999995</v>
      </c>
      <c r="FH22" s="102">
        <f>MIN(1,MAX(VLOOKUP(($AJ22-$AI22-$AH22-$AG22-$AF22-$AE22*(1+FH$3))/$AJ22,Уголь_коэфф!$A:$B,2,1),(FG22-0.05)))</f>
        <v>0.81499999999999995</v>
      </c>
      <c r="FI22" s="102">
        <f>MIN(1,MAX(VLOOKUP(($AJ22-$AI22-$AH22-$AG22-$AF22-$AE22*(1+FI$3))/$AJ22,Уголь_коэфф!$A:$B,2,1),(FH22-0.05)))</f>
        <v>0.81499999999999995</v>
      </c>
      <c r="FJ22" s="102">
        <f>MIN(1,MAX(VLOOKUP(($AJ22-$AI22-$AH22-$AG22-$AF22-$AE22*(1+FJ$3))/$AJ22,Уголь_коэфф!$A:$B,2,1),(FI22-0.05)))</f>
        <v>0.81499999999999995</v>
      </c>
      <c r="FK22" s="102">
        <f>MIN(1,MAX(VLOOKUP(($AJ22-$AI22-$AH22-$AG22-$AF22-$AE22*(1+FK$3))/$AJ22,Уголь_коэфф!$A:$B,2,1),(FJ22-0.05)))</f>
        <v>0.80800000000000005</v>
      </c>
      <c r="FL22" s="102">
        <f>MIN(1,MAX(VLOOKUP(($AJ22-$AI22-$AH22-$AG22-$AF22-$AE22*(1+FL$3))/$AJ22,Уголь_коэфф!$A:$B,2,1),(FK22-0.05)))</f>
        <v>0.80800000000000005</v>
      </c>
      <c r="FM22" s="102">
        <f>MIN(1,MAX(VLOOKUP(($AJ22-$AI22-$AH22-$AG22-$AF22-$AE22*(1+FM$3))/$AJ22,Уголь_коэфф!$A:$B,2,1),(FL22-0.05)))</f>
        <v>0.80800000000000005</v>
      </c>
      <c r="FN22" s="102">
        <f>MIN(1,MAX(VLOOKUP(($AJ22-$AI22-$AH22-$AG22-$AF22-$AE22*(1+FN$3))/$AJ22,Уголь_коэфф!$A:$B,2,1),(FM22-0.05)))</f>
        <v>0.80800000000000005</v>
      </c>
      <c r="FO22" s="102">
        <f>MIN(1,MAX(VLOOKUP(($AJ22-$AI22-$AH22-$AG22-$AF22-$AE22*(1+FO$3))/$AJ22,Уголь_коэфф!$A:$B,2,1),(FN22-0.05)))</f>
        <v>0.80800000000000005</v>
      </c>
      <c r="FP22" s="102">
        <f>MIN(1,MAX(VLOOKUP(($AJ22-$AI22-$AH22-$AG22-$AF22-$AE22*(1+FP$3))/$AJ22,Уголь_коэфф!$A:$B,2,1),(FO22-0.05)))</f>
        <v>0.80100000000000005</v>
      </c>
      <c r="FQ22" s="102">
        <f>MIN(1,MAX(VLOOKUP(($AJ22-$AI22-$AH22-$AG22-$AF22-$AE22*(1+FQ$3))/$AJ22,Уголь_коэфф!$A:$B,2,1),(FP22-0.05)))</f>
        <v>0.80100000000000005</v>
      </c>
      <c r="FR22" s="102">
        <f>MIN(1,MAX(VLOOKUP(($AJ22-$AI22-$AH22-$AG22-$AF22-$AE22*(1+FR$3))/$AJ22,Уголь_коэфф!$A:$B,2,1),(FQ22-0.05)))</f>
        <v>0.80100000000000005</v>
      </c>
      <c r="FS22" s="102">
        <f>MIN(1,MAX(VLOOKUP(($AJ22-$AI22-$AH22-$AG22-$AF22-$AE22*(1+FS$3))/$AJ22,Уголь_коэфф!$A:$B,2,1),(FR22-0.05)))</f>
        <v>0.80100000000000005</v>
      </c>
      <c r="FT22" s="102">
        <f>MIN(1,MAX(VLOOKUP(($AJ22-$AI22-$AH22-$AG22-$AF22-$AE22*(1+FT$3))/$AJ22,Уголь_коэфф!$A:$B,2,1),(FS22-0.05)))</f>
        <v>0.80100000000000005</v>
      </c>
      <c r="FU22" s="102">
        <f>MIN(1,MAX(VLOOKUP(($AJ22-$AI22-$AH22-$AG22-$AF22-$AE22*(1+FU$3))/$AJ22,Уголь_коэфф!$A:$B,2,1),(FT22-0.05)))</f>
        <v>0.79400000000000004</v>
      </c>
      <c r="FV22" s="102">
        <f>MIN(1,MAX(VLOOKUP(($AJ22-$AI22-$AH22-$AG22-$AF22-$AE22*(1+FV$3))/$AJ22,Уголь_коэфф!$A:$B,2,1),(FU22-0.05)))</f>
        <v>0.79400000000000004</v>
      </c>
      <c r="FW22" s="102">
        <f>MIN(1,MAX(VLOOKUP(($AJ22-$AI22-$AH22-$AG22-$AF22-$AE22*(1+FW$3))/$AJ22,Уголь_коэфф!$A:$B,2,1),(FV22-0.05)))</f>
        <v>0.79400000000000004</v>
      </c>
      <c r="FX22" s="102">
        <f>MIN(1,MAX(VLOOKUP(($AJ22-$AI22-$AH22-$AG22-$AF22-$AE22*(1+FX$3))/$AJ22,Уголь_коэфф!$A:$B,2,1),(FW22-0.05)))</f>
        <v>0.79400000000000004</v>
      </c>
      <c r="FY22" s="102">
        <f>MIN(1,MAX(VLOOKUP(($AJ22-$AI22-$AH22-$AG22-$AF22-$AE22*(1+FY$3))/$AJ22,Уголь_коэфф!$A:$B,2,1),(FX22-0.05)))</f>
        <v>0.78700000000000003</v>
      </c>
      <c r="FZ22" s="102">
        <f>MIN(1,MAX(VLOOKUP(($AJ22-$AI22-$AH22-$AG22-$AF22-$AE22*(1+FZ$3))/$AJ22,Уголь_коэфф!$A:$B,2,1),(FY22-0.05)))</f>
        <v>0.78700000000000003</v>
      </c>
      <c r="GA22" s="102">
        <f>MIN(1,MAX(VLOOKUP(($AJ22-$AI22-$AH22-$AG22-$AF22-$AE22*(1+GA$3))/$AJ22,Уголь_коэфф!$A:$B,2,1),(FZ22-0.05)))</f>
        <v>0.78700000000000003</v>
      </c>
      <c r="GB22" s="102">
        <f>MIN(1,MAX(VLOOKUP(($AJ22-$AI22-$AH22-$AG22-$AF22-$AE22*(1+GB$3))/$AJ22,Уголь_коэфф!$A:$B,2,1),(GA22-0.05)))</f>
        <v>0.78700000000000003</v>
      </c>
      <c r="GC22" s="102">
        <f>MIN(1,MAX(VLOOKUP(($AJ22-$AI22-$AH22-$AG22-$AF22-$AE22*(1+GC$3))/$AJ22,Уголь_коэфф!$A:$B,2,1),(GB22-0.05)))</f>
        <v>0.78700000000000003</v>
      </c>
      <c r="GD22" s="102">
        <f>MIN(1,MAX(VLOOKUP(($AJ22-$AI22-$AH22-$AG22-$AF22-$AE22*(1+GD$3))/$AJ22,Уголь_коэфф!$A:$B,2,1),(GC22-0.05)))</f>
        <v>0.78</v>
      </c>
      <c r="GE22" s="102">
        <f>MIN(1,MAX(VLOOKUP(($AJ22-$AI22-$AH22-$AG22-$AF22-$AE22*(1+GE$3))/$AJ22,Уголь_коэфф!$A:$B,2,1),(GD22-0.05)))</f>
        <v>0.78</v>
      </c>
      <c r="GF22" s="102">
        <f>MIN(1,MAX(VLOOKUP(($AJ22-$AI22-$AH22-$AG22-$AF22-$AE22*(1+GF$3))/$AJ22,Уголь_коэфф!$A:$B,2,1),(GE22-0.05)))</f>
        <v>0.78</v>
      </c>
      <c r="GG22" s="102">
        <f>MIN(1,MAX(VLOOKUP(($AJ22-$AI22-$AH22-$AG22-$AF22-$AE22*(1+GG$3))/$AJ22,Уголь_коэфф!$A:$B,2,1),(GF22-0.05)))</f>
        <v>0.78</v>
      </c>
      <c r="GH22" s="102">
        <f>MIN(1,MAX(VLOOKUP(($AJ22-$AI22-$AH22-$AG22-$AF22-$AE22*(1+GH$3))/$AJ22,Уголь_коэфф!$A:$B,2,1),(GG22-0.05)))</f>
        <v>0.78</v>
      </c>
      <c r="GI22" s="102">
        <f>MIN(1,MAX(VLOOKUP(($AJ22-$AI22-$AH22-$AG22-$AF22-$AE22*(1+GI$3))/$AJ22,Уголь_коэфф!$A:$B,2,1),(GH22-0.05)))</f>
        <v>0.77300000000000002</v>
      </c>
      <c r="GJ22" s="102">
        <f>MIN(1,MAX(VLOOKUP(($AJ22-$AI22-$AH22-$AG22-$AF22-$AE22*(1+GJ$3))/$AJ22,Уголь_коэфф!$A:$B,2,1),(GI22-0.05)))</f>
        <v>0.77300000000000002</v>
      </c>
      <c r="GK22" s="102">
        <f>MIN(1,MAX(VLOOKUP(($AJ22-$AI22-$AH22-$AG22-$AF22-$AE22*(1+GK$3))/$AJ22,Уголь_коэфф!$A:$B,2,1),(GJ22-0.05)))</f>
        <v>0.77300000000000002</v>
      </c>
      <c r="GL22" s="102">
        <f>MIN(1,MAX(VLOOKUP(($AJ22-$AI22-$AH22-$AG22-$AF22-$AE22*(1+GL$3))/$AJ22,Уголь_коэфф!$A:$B,2,1),(GK22-0.05)))</f>
        <v>0.77300000000000002</v>
      </c>
      <c r="GM22" s="102">
        <f>MIN(1,MAX(VLOOKUP(($AJ22-$AI22-$AH22-$AG22-$AF22-$AE22*(1+GM$3))/$AJ22,Уголь_коэфф!$A:$B,2,1),(GL22-0.05)))</f>
        <v>0.76600000000000001</v>
      </c>
      <c r="GN22" s="102">
        <f>MIN(1,MAX(VLOOKUP(($AJ22-$AI22-$AH22-$AG22-$AF22-$AE22*(1+GN$3))/$AJ22,Уголь_коэфф!$A:$B,2,1),(GM22-0.05)))</f>
        <v>0.76600000000000001</v>
      </c>
      <c r="GO22" s="102">
        <f>MIN(1,MAX(VLOOKUP(($AJ22-$AI22-$AH22-$AG22-$AF22-$AE22*(1+GO$3))/$AJ22,Уголь_коэфф!$A:$B,2,1),(GN22-0.05)))</f>
        <v>0.76600000000000001</v>
      </c>
      <c r="GP22" s="102">
        <f>MIN(1,MAX(VLOOKUP(($AJ22-$AI22-$AH22-$AG22-$AF22-$AE22*(1+GP$3))/$AJ22,Уголь_коэфф!$A:$B,2,1),(GO22-0.05)))</f>
        <v>0.76600000000000001</v>
      </c>
      <c r="GQ22" s="102">
        <f>MIN(1,MAX(VLOOKUP(($AJ22-$AI22-$AH22-$AG22-$AF22-$AE22*(1+GQ$3))/$AJ22,Уголь_коэфф!$A:$B,2,1),(GP22-0.05)))</f>
        <v>0.76600000000000001</v>
      </c>
      <c r="GR22" s="102">
        <f>MIN(1,MAX(VLOOKUP(($AJ22-$AI22-$AH22-$AG22-$AF22-$AE22*(1+GR$3))/$AJ22,Уголь_коэфф!$A:$B,2,1),(GQ22-0.05)))</f>
        <v>0.75900000000000001</v>
      </c>
      <c r="GS22" s="102">
        <f>MIN(1,MAX(VLOOKUP(($AJ22-$AI22-$AH22-$AG22-$AF22-$AE22*(1+GS$3))/$AJ22,Уголь_коэфф!$A:$B,2,1),(GR22-0.05)))</f>
        <v>0.75900000000000001</v>
      </c>
      <c r="GT22" s="102">
        <f>MIN(1,MAX(VLOOKUP(($AJ22-$AI22-$AH22-$AG22-$AF22-$AE22*(1+GT$3))/$AJ22,Уголь_коэфф!$A:$B,2,1),(GS22-0.05)))</f>
        <v>0.75900000000000001</v>
      </c>
      <c r="GU22" s="102">
        <f>MIN(1,MAX(VLOOKUP(($AJ22-$AI22-$AH22-$AG22-$AF22-$AE22*(1+GU$3))/$AJ22,Уголь_коэфф!$A:$B,2,1),(GT22-0.05)))</f>
        <v>0.75900000000000001</v>
      </c>
      <c r="GV22" s="102">
        <f>MIN(1,MAX(VLOOKUP(($AJ22-$AI22-$AH22-$AG22-$AF22-$AE22*(1+GV$3))/$AJ22,Уголь_коэфф!$A:$B,2,1),(GU22-0.05)))</f>
        <v>0.75900000000000001</v>
      </c>
      <c r="GW22" s="102">
        <f>MIN(1,MAX(VLOOKUP(($AJ22-$AI22-$AH22-$AG22-$AF22-$AE22*(1+GW$3))/$AJ22,Уголь_коэфф!$A:$B,2,1),(GV22-0.05)))</f>
        <v>0.752</v>
      </c>
      <c r="GX22" s="102">
        <f>MIN(1,MAX(VLOOKUP(($AJ22-$AI22-$AH22-$AG22-$AF22-$AE22*(1+GX$3))/$AJ22,Уголь_коэфф!$A:$B,2,1),(GW22-0.05)))</f>
        <v>0.752</v>
      </c>
      <c r="GY22" s="102">
        <f>MIN(1,MAX(VLOOKUP(($AJ22-$AI22-$AH22-$AG22-$AF22-$AE22*(1+GY$3))/$AJ22,Уголь_коэфф!$A:$B,2,1),(GX22-0.05)))</f>
        <v>0.752</v>
      </c>
      <c r="GZ22" s="102">
        <f>MIN(1,MAX(VLOOKUP(($AJ22-$AI22-$AH22-$AG22-$AF22-$AE22*(1+GZ$3))/$AJ22,Уголь_коэфф!$A:$B,2,1),(GY22-0.05)))</f>
        <v>0.752</v>
      </c>
      <c r="HA22" s="102">
        <f>MIN(1,MAX(VLOOKUP(($AJ22-$AI22-$AH22-$AG22-$AF22-$AE22*(1+HA$3))/$AJ22,Уголь_коэфф!$A:$B,2,1),(GZ22-0.05)))</f>
        <v>0.752</v>
      </c>
      <c r="HB22" s="102">
        <f>MIN(1,MAX(VLOOKUP(($AJ22-$AI22-$AH22-$AG22-$AF22-$AE22*(1+HB$3))/$AJ22,Уголь_коэфф!$A:$B,2,1),(HA22-0.05)))</f>
        <v>0.74399999999999999</v>
      </c>
      <c r="HC22" s="102">
        <f>MIN(1,MAX(VLOOKUP(($AJ22-$AI22-$AH22-$AG22-$AF22-$AE22*(1+HC$3))/$AJ22,Уголь_коэфф!$A:$B,2,1),(HB22-0.05)))</f>
        <v>0.74399999999999999</v>
      </c>
      <c r="HD22" s="102">
        <f>MIN(1,MAX(VLOOKUP(($AJ22-$AI22-$AH22-$AG22-$AF22-$AE22*(1+HD$3))/$AJ22,Уголь_коэфф!$A:$B,2,1),(HC22-0.05)))</f>
        <v>0.74399999999999999</v>
      </c>
      <c r="HE22" s="102">
        <f>MIN(1,MAX(VLOOKUP(($AJ22-$AI22-$AH22-$AG22-$AF22-$AE22*(1+HE$3))/$AJ22,Уголь_коэфф!$A:$B,2,1),(HD22-0.05)))</f>
        <v>0.74399999999999999</v>
      </c>
      <c r="HF22" s="102">
        <f>MIN(1,MAX(VLOOKUP(($AJ22-$AI22-$AH22-$AG22-$AF22-$AE22*(1+HF$3))/$AJ22,Уголь_коэфф!$A:$B,2,1),(HE22-0.05)))</f>
        <v>0.73599999999999999</v>
      </c>
      <c r="HG22" s="102">
        <f>MIN(1,MAX(VLOOKUP(($AJ22-$AI22-$AH22-$AG22-$AF22-$AE22*(1+HG$3))/$AJ22,Уголь_коэфф!$A:$B,2,1),(HF22-0.05)))</f>
        <v>0.73599999999999999</v>
      </c>
      <c r="HH22" s="102">
        <f>MIN(1,MAX(VLOOKUP(($AJ22-$AI22-$AH22-$AG22-$AF22-$AE22*(1+HH$3))/$AJ22,Уголь_коэфф!$A:$B,2,1),(HG22-0.05)))</f>
        <v>0.73599999999999999</v>
      </c>
      <c r="HI22" s="102">
        <f>MIN(1,MAX(VLOOKUP(($AJ22-$AI22-$AH22-$AG22-$AF22-$AE22*(1+HI$3))/$AJ22,Уголь_коэфф!$A:$B,2,1),(HH22-0.05)))</f>
        <v>0.73599999999999999</v>
      </c>
      <c r="HJ22" s="102">
        <f>MIN(1,MAX(VLOOKUP(($AJ22-$AI22-$AH22-$AG22-$AF22-$AE22*(1+HJ$3))/$AJ22,Уголь_коэфф!$A:$B,2,1),(HI22-0.05)))</f>
        <v>0.73599999999999999</v>
      </c>
      <c r="HK22" s="102">
        <f>MIN(1,MAX(VLOOKUP(($AJ22-$AI22-$AH22-$AG22-$AF22-$AE22*(1+HK$3))/$AJ22,Уголь_коэфф!$A:$B,2,1),(HJ22-0.05)))</f>
        <v>0.72799999999999998</v>
      </c>
      <c r="HL22" s="102">
        <f>MIN(1,MAX(VLOOKUP(($AJ22-$AI22-$AH22-$AG22-$AF22-$AE22*(1+HL$3))/$AJ22,Уголь_коэфф!$A:$B,2,1),(HK22-0.05)))</f>
        <v>0.72799999999999998</v>
      </c>
      <c r="HM22" s="102">
        <f>MIN(1,MAX(VLOOKUP(($AJ22-$AI22-$AH22-$AG22-$AF22-$AE22*(1+HM$3))/$AJ22,Уголь_коэфф!$A:$B,2,1),(HL22-0.05)))</f>
        <v>0.72799999999999998</v>
      </c>
      <c r="HN22" s="102">
        <f>MIN(1,MAX(VLOOKUP(($AJ22-$AI22-$AH22-$AG22-$AF22-$AE22*(1+HN$3))/$AJ22,Уголь_коэфф!$A:$B,2,1),(HM22-0.05)))</f>
        <v>0.72799999999999998</v>
      </c>
      <c r="HO22" s="102">
        <f>MIN(1,MAX(VLOOKUP(($AJ22-$AI22-$AH22-$AG22-$AF22-$AE22*(1+HO$3))/$AJ22,Уголь_коэфф!$A:$B,2,1),(HN22-0.05)))</f>
        <v>0.72799999999999998</v>
      </c>
      <c r="HP22" s="102">
        <f>MIN(1,MAX(VLOOKUP(($AJ22-$AI22-$AH22-$AG22-$AF22-$AE22*(1+HP$3))/$AJ22,Уголь_коэфф!$A:$B,2,1),(HO22-0.05)))</f>
        <v>0.72</v>
      </c>
      <c r="HQ22" s="102">
        <f>MIN(1,MAX(VLOOKUP(($AJ22-$AI22-$AH22-$AG22-$AF22-$AE22*(1+HQ$3))/$AJ22,Уголь_коэфф!$A:$B,2,1),(HP22-0.05)))</f>
        <v>0.72</v>
      </c>
      <c r="HR22" s="102">
        <f>MIN(1,MAX(VLOOKUP(($AJ22-$AI22-$AH22-$AG22-$AF22-$AE22*(1+HR$3))/$AJ22,Уголь_коэфф!$A:$B,2,1),(HQ22-0.05)))</f>
        <v>0.72</v>
      </c>
      <c r="HS22" s="102">
        <f>MIN(1,MAX(VLOOKUP(($AJ22-$AI22-$AH22-$AG22-$AF22-$AE22*(1+HS$3))/$AJ22,Уголь_коэфф!$A:$B,2,1),(HR22-0.05)))</f>
        <v>0.72</v>
      </c>
      <c r="HT22" s="102">
        <f>MIN(1,MAX(VLOOKUP(($AJ22-$AI22-$AH22-$AG22-$AF22-$AE22*(1+HT$3))/$AJ22,Уголь_коэфф!$A:$B,2,1),(HS22-0.05)))</f>
        <v>0.71199999999999997</v>
      </c>
      <c r="HU22" s="102">
        <f>MIN(1,MAX(VLOOKUP(($AJ22-$AI22-$AH22-$AG22-$AF22-$AE22*(1+HU$3))/$AJ22,Уголь_коэфф!$A:$B,2,1),(HT22-0.05)))</f>
        <v>0.71199999999999997</v>
      </c>
      <c r="HV22" s="102">
        <f>MIN(1,MAX(VLOOKUP(($AJ22-$AI22-$AH22-$AG22-$AF22-$AE22*(1+HV$3))/$AJ22,Уголь_коэфф!$A:$B,2,1),(HU22-0.05)))</f>
        <v>0.71199999999999997</v>
      </c>
      <c r="HW22" s="102">
        <f>MIN(1,MAX(VLOOKUP(($AJ22-$AI22-$AH22-$AG22-$AF22-$AE22*(1+HW$3))/$AJ22,Уголь_коэфф!$A:$B,2,1),(HV22-0.05)))</f>
        <v>0.71199999999999997</v>
      </c>
      <c r="HX22" s="102">
        <f>MIN(1,MAX(VLOOKUP(($AJ22-$AI22-$AH22-$AG22-$AF22-$AE22*(1+HX$3))/$AJ22,Уголь_коэфф!$A:$B,2,1),(HW22-0.05)))</f>
        <v>0.71199999999999997</v>
      </c>
      <c r="HY22" s="102">
        <f>MIN(1,MAX(VLOOKUP(($AJ22-$AI22-$AH22-$AG22-$AF22-$AE22*(1+HY$3))/$AJ22,Уголь_коэфф!$A:$B,2,1),(HX22-0.05)))</f>
        <v>0.70399999999999996</v>
      </c>
      <c r="HZ22" s="102">
        <f>MIN(1,MAX(VLOOKUP(($AJ22-$AI22-$AH22-$AG22-$AF22-$AE22*(1+HZ$3))/$AJ22,Уголь_коэфф!$A:$B,2,1),(HY22-0.05)))</f>
        <v>0.70399999999999996</v>
      </c>
      <c r="IA22" s="102">
        <f>MIN(1,MAX(VLOOKUP(($AJ22-$AI22-$AH22-$AG22-$AF22-$AE22*(1+IA$3))/$AJ22,Уголь_коэфф!$A:$B,2,1),(HZ22-0.05)))</f>
        <v>0.70399999999999996</v>
      </c>
      <c r="IB22" s="102">
        <f>MIN(1,MAX(VLOOKUP(($AJ22-$AI22-$AH22-$AG22-$AF22-$AE22*(1+IB$3))/$AJ22,Уголь_коэфф!$A:$B,2,1),(IA22-0.05)))</f>
        <v>0.70399999999999996</v>
      </c>
      <c r="IC22" s="102">
        <f>MIN(1,MAX(VLOOKUP(($AJ22-$AI22-$AH22-$AG22-$AF22-$AE22*(1+IC$3))/$AJ22,Уголь_коэфф!$A:$B,2,1),(IB22-0.05)))</f>
        <v>0.70399999999999996</v>
      </c>
      <c r="ID22" s="102">
        <f>MIN(1,MAX(VLOOKUP(($AJ22-$AI22-$AH22-$AG22-$AF22-$AE22*(1+ID$3))/$AJ22,Уголь_коэфф!$A:$B,2,1),(IC22-0.05)))</f>
        <v>0.69599999999999995</v>
      </c>
      <c r="IE22" s="102">
        <f>MIN(1,MAX(VLOOKUP(($AJ22-$AI22-$AH22-$AG22-$AF22-$AE22*(1+IE$3))/$AJ22,Уголь_коэфф!$A:$B,2,1),(ID22-0.05)))</f>
        <v>0.69599999999999995</v>
      </c>
      <c r="IF22" s="102">
        <f>MIN(1,MAX(VLOOKUP(($AJ22-$AI22-$AH22-$AG22-$AF22-$AE22*(1+IF$3))/$AJ22,Уголь_коэфф!$A:$B,2,1),(IE22-0.05)))</f>
        <v>0.69599999999999995</v>
      </c>
      <c r="IG22" s="102">
        <f>MIN(1,MAX(VLOOKUP(($AJ22-$AI22-$AH22-$AG22-$AF22-$AE22*(1+IG$3))/$AJ22,Уголь_коэфф!$A:$B,2,1),(IF22-0.05)))</f>
        <v>0.69599999999999995</v>
      </c>
      <c r="IH22" s="102">
        <f>MIN(1,MAX(VLOOKUP(($AJ22-$AI22-$AH22-$AG22-$AF22-$AE22*(1+IH$3))/$AJ22,Уголь_коэфф!$A:$B,2,1),(IG22-0.05)))</f>
        <v>0.68799999999999994</v>
      </c>
      <c r="II22" s="102">
        <f>MIN(1,MAX(VLOOKUP(($AJ22-$AI22-$AH22-$AG22-$AF22-$AE22*(1+II$3))/$AJ22,Уголь_коэфф!$A:$B,2,1),(IH22-0.05)))</f>
        <v>0.68799999999999994</v>
      </c>
      <c r="IJ22" s="102">
        <f>MIN(1,MAX(VLOOKUP(($AJ22-$AI22-$AH22-$AG22-$AF22-$AE22*(1+IJ$3))/$AJ22,Уголь_коэфф!$A:$B,2,1),(II22-0.05)))</f>
        <v>0.68799999999999994</v>
      </c>
      <c r="IK22" s="102">
        <f>MIN(1,MAX(VLOOKUP(($AJ22-$AI22-$AH22-$AG22-$AF22-$AE22*(1+IK$3))/$AJ22,Уголь_коэфф!$A:$B,2,1),(IJ22-0.05)))</f>
        <v>0.68799999999999994</v>
      </c>
      <c r="IL22" s="102">
        <f>MIN(1,MAX(VLOOKUP(($AJ22-$AI22-$AH22-$AG22-$AF22-$AE22*(1+IL$3))/$AJ22,Уголь_коэфф!$A:$B,2,1),(IK22-0.05)))</f>
        <v>0.68799999999999994</v>
      </c>
      <c r="IM22" s="102">
        <f>MIN(1,MAX(VLOOKUP(($AJ22-$AI22-$AH22-$AG22-$AF22-$AE22*(1+IM$3))/$AJ22,Уголь_коэфф!$A:$B,2,1),(IL22-0.05)))</f>
        <v>0.68</v>
      </c>
      <c r="IN22" s="102">
        <f>MIN(1,MAX(VLOOKUP(($AJ22-$AI22-$AH22-$AG22-$AF22-$AE22*(1+IN$3))/$AJ22,Уголь_коэфф!$A:$B,2,1),(IM22-0.05)))</f>
        <v>0.68</v>
      </c>
      <c r="IO22" s="102">
        <f>MIN(1,MAX(VLOOKUP(($AJ22-$AI22-$AH22-$AG22-$AF22-$AE22*(1+IO$3))/$AJ22,Уголь_коэфф!$A:$B,2,1),(IN22-0.05)))</f>
        <v>0.68</v>
      </c>
      <c r="IP22" s="102">
        <f>MIN(1,MAX(VLOOKUP(($AJ22-$AI22-$AH22-$AG22-$AF22-$AE22*(1+IP$3))/$AJ22,Уголь_коэфф!$A:$B,2,1),(IO22-0.05)))</f>
        <v>0.68</v>
      </c>
      <c r="IQ22" s="102">
        <f>MIN(1,MAX(VLOOKUP(($AJ22-$AI22-$AH22-$AG22-$AF22-$AE22*(1+IQ$3))/$AJ22,Уголь_коэфф!$A:$B,2,1),(IP22-0.05)))</f>
        <v>0.68</v>
      </c>
      <c r="IR22" s="102">
        <f>MIN(1,MAX(VLOOKUP(($AJ22-$AI22-$AH22-$AG22-$AF22-$AE22*(1+IR$3))/$AJ22,Уголь_коэфф!$A:$B,2,1),(IQ22-0.05)))</f>
        <v>0.67100000000000004</v>
      </c>
      <c r="IS22" s="102">
        <f t="shared" si="20"/>
        <v>0.80100000000000005</v>
      </c>
      <c r="IT22" s="102">
        <f t="shared" si="7"/>
        <v>0.80100000000000005</v>
      </c>
      <c r="IU22" s="110"/>
    </row>
    <row r="23" spans="1:255" ht="14.6" customHeight="1">
      <c r="A23" t="s">
        <v>241</v>
      </c>
      <c r="B23" s="141">
        <v>1</v>
      </c>
      <c r="C23" s="142" t="s">
        <v>16</v>
      </c>
      <c r="D23" s="143">
        <v>16118</v>
      </c>
      <c r="E23" s="143" t="s">
        <v>65</v>
      </c>
      <c r="F23" s="142" t="s">
        <v>18</v>
      </c>
      <c r="G23" s="142" t="s">
        <v>45</v>
      </c>
      <c r="H23" s="143" t="s">
        <v>34</v>
      </c>
      <c r="I23" s="142" t="s">
        <v>113</v>
      </c>
      <c r="J23" s="143" t="s">
        <v>117</v>
      </c>
      <c r="K23" s="143">
        <v>4645</v>
      </c>
      <c r="L23" s="143" t="s">
        <v>22</v>
      </c>
      <c r="M23" s="143" t="s">
        <v>23</v>
      </c>
      <c r="N23" s="143" t="s">
        <v>24</v>
      </c>
      <c r="O23" s="143" t="s">
        <v>36</v>
      </c>
      <c r="P23" s="146">
        <v>160212</v>
      </c>
      <c r="Q23" s="144" t="s">
        <v>115</v>
      </c>
      <c r="R23" s="143" t="s">
        <v>116</v>
      </c>
      <c r="S23" s="147">
        <v>37568</v>
      </c>
      <c r="T23" s="145">
        <v>174501639</v>
      </c>
      <c r="U23" s="145">
        <v>543</v>
      </c>
      <c r="V23" s="145"/>
      <c r="W23" s="148">
        <v>74433738</v>
      </c>
      <c r="X23" s="104">
        <v>75</v>
      </c>
      <c r="Y23" s="104" t="s">
        <v>163</v>
      </c>
      <c r="Z23" s="107">
        <v>11</v>
      </c>
      <c r="AA23" s="107">
        <v>12</v>
      </c>
      <c r="AB23" s="107">
        <v>4</v>
      </c>
      <c r="AC23" s="88">
        <v>1990.61</v>
      </c>
      <c r="AD23" s="88">
        <v>928.22</v>
      </c>
      <c r="AE23" s="88">
        <f t="shared" si="26"/>
        <v>2918.83</v>
      </c>
      <c r="AF23" s="89">
        <f>'Цены,перевалка,аренда'!$C$26*SUM(Уголь_эластика_экспорт!Z23+Уголь_эластика_экспорт!AA23+Уголь_эластика_экспорт!AB23)/Уголь_эластика_экспорт!X23</f>
        <v>360</v>
      </c>
      <c r="AG23" s="90">
        <f>SUMIF('Цены,перевалка,аренда'!$A$20:$A$22,Уголь_эластика_экспорт!$O23,'Цены,перевалка,аренда'!$D$20:$D$22)</f>
        <v>991.97149999999988</v>
      </c>
      <c r="AH23" s="47"/>
      <c r="AI23" s="91">
        <v>4817</v>
      </c>
      <c r="AJ23" s="92">
        <f>SUMIF('Цены,перевалка,аренда'!$A$5:$A$17,Уголь_эластика_экспорт!A23,'Цены,перевалка,аренда'!$D$5:$D$17)</f>
        <v>7249.0224999999991</v>
      </c>
      <c r="AK23" s="47">
        <f>AJ23/'Цены,перевалка,аренда'!$C$1</f>
        <v>95</v>
      </c>
      <c r="AL23" s="47">
        <f t="shared" si="9"/>
        <v>4270.8014999999996</v>
      </c>
      <c r="AM23" s="47">
        <f t="shared" si="10"/>
        <v>2978.2209999999995</v>
      </c>
      <c r="AN23" s="47">
        <f t="shared" si="11"/>
        <v>9087.8014999999996</v>
      </c>
      <c r="AO23" s="93">
        <f t="shared" si="12"/>
        <v>-0.25365888987101376</v>
      </c>
      <c r="AP23" s="94">
        <f t="shared" si="13"/>
        <v>0.58915550337993849</v>
      </c>
      <c r="AQ23" s="94">
        <f t="shared" si="5"/>
        <v>0.4026515299131711</v>
      </c>
      <c r="AR23" s="94">
        <f t="shared" si="6"/>
        <v>0.68343845997056996</v>
      </c>
      <c r="AS23" s="167">
        <f t="shared" si="14"/>
        <v>0.84799999999999998</v>
      </c>
      <c r="AT23" s="173">
        <f t="shared" si="15"/>
        <v>31857.664000000001</v>
      </c>
      <c r="AU23" s="97">
        <f t="shared" si="27"/>
        <v>0.88235294117647056</v>
      </c>
      <c r="AV23" s="93">
        <f t="shared" si="16"/>
        <v>-0.29392404286233081</v>
      </c>
      <c r="AW23" s="94">
        <f t="shared" si="17"/>
        <v>0.62942065637125566</v>
      </c>
      <c r="AX23" s="94">
        <f t="shared" si="18"/>
        <v>0.44291668290448821</v>
      </c>
      <c r="AY23" s="94">
        <f t="shared" si="19"/>
        <v>0.70368946176313529</v>
      </c>
      <c r="AZ23" s="102">
        <f>MIN(IF($AU23=100%,1,1+VLOOKUP(($AJ23-$AI23-$AH23-$AG23-$AF23-$AE23*(1+AZ$3))/$AJ23,Уголь_коэфф!$A:$B,2,1)-VLOOKUP($AO23,Уголь_коэфф!$A:$B,2,1)),1+(1-$AU23))</f>
        <v>1.1080000000000001</v>
      </c>
      <c r="BA23" s="102">
        <f>MIN(IF($AU23=100%,1,1+VLOOKUP(($AJ23-$AI23-$AH23-$AG23-$AF23-$AE23*(1+BA$3))/$AJ23,Уголь_коэфф!$A:$B,2,1)-VLOOKUP($AO23,Уголь_коэфф!$A:$B,2,1)),1+(1-$AU23))</f>
        <v>1.1080000000000001</v>
      </c>
      <c r="BB23" s="102">
        <f>MIN(IF($AU23=100%,1,1+VLOOKUP(($AJ23-$AI23-$AH23-$AG23-$AF23-$AE23*(1+BB$3))/$AJ23,Уголь_коэфф!$A:$B,2,1)-VLOOKUP($AO23,Уголь_коэфф!$A:$B,2,1)),1+(1-$AU23))</f>
        <v>1.1080000000000001</v>
      </c>
      <c r="BC23" s="102">
        <f>MIN(IF($AU23=100%,1,1+VLOOKUP(($AJ23-$AI23-$AH23-$AG23-$AF23-$AE23*(1+BC$3))/$AJ23,Уголь_коэфф!$A:$B,2,1)-VLOOKUP($AO23,Уголь_коэфф!$A:$B,2,1)),1+(1-$AU23))</f>
        <v>1.1080000000000001</v>
      </c>
      <c r="BD23" s="102">
        <f>MIN(IF($AU23=100%,1,1+VLOOKUP(($AJ23-$AI23-$AH23-$AG23-$AF23-$AE23*(1+BD$3))/$AJ23,Уголь_коэфф!$A:$B,2,1)-VLOOKUP($AO23,Уголь_коэфф!$A:$B,2,1)),1+(1-$AU23))</f>
        <v>1.1030000000000002</v>
      </c>
      <c r="BE23" s="102">
        <f>MIN(IF($AU23=100%,1,1+VLOOKUP(($AJ23-$AI23-$AH23-$AG23-$AF23-$AE23*(1+BE$3))/$AJ23,Уголь_коэфф!$A:$B,2,1)-VLOOKUP($AO23,Уголь_коэфф!$A:$B,2,1)),1+(1-$AU23))</f>
        <v>1.1030000000000002</v>
      </c>
      <c r="BF23" s="102">
        <f>MIN(IF($AU23=100%,1,1+VLOOKUP(($AJ23-$AI23-$AH23-$AG23-$AF23-$AE23*(1+BF$3))/$AJ23,Уголь_коэфф!$A:$B,2,1)-VLOOKUP($AO23,Уголь_коэфф!$A:$B,2,1)),1+(1-$AU23))</f>
        <v>1.1030000000000002</v>
      </c>
      <c r="BG23" s="102">
        <f>MIN(IF($AU23=100%,1,1+VLOOKUP(($AJ23-$AI23-$AH23-$AG23-$AF23-$AE23*(1+BG$3))/$AJ23,Уголь_коэфф!$A:$B,2,1)-VLOOKUP($AO23,Уголь_коэфф!$A:$B,2,1)),1+(1-$AU23))</f>
        <v>1.1030000000000002</v>
      </c>
      <c r="BH23" s="102">
        <f>MIN(IF($AU23=100%,1,1+VLOOKUP(($AJ23-$AI23-$AH23-$AG23-$AF23-$AE23*(1+BH$3))/$AJ23,Уголь_коэфф!$A:$B,2,1)-VLOOKUP($AO23,Уголь_коэфф!$A:$B,2,1)),1+(1-$AU23))</f>
        <v>1.1030000000000002</v>
      </c>
      <c r="BI23" s="102">
        <f>MIN(IF($AU23=100%,1,1+VLOOKUP(($AJ23-$AI23-$AH23-$AG23-$AF23-$AE23*(1+BI$3))/$AJ23,Уголь_коэфф!$A:$B,2,1)-VLOOKUP($AO23,Уголь_коэфф!$A:$B,2,1)),1+(1-$AU23))</f>
        <v>1.0979999999999999</v>
      </c>
      <c r="BJ23" s="102">
        <f>MIN(IF($AU23=100%,1,1+VLOOKUP(($AJ23-$AI23-$AH23-$AG23-$AF23-$AE23*(1+BJ$3))/$AJ23,Уголь_коэфф!$A:$B,2,1)-VLOOKUP($AO23,Уголь_коэфф!$A:$B,2,1)),1+(1-$AU23))</f>
        <v>1.0979999999999999</v>
      </c>
      <c r="BK23" s="102">
        <f>MIN(IF($AU23=100%,1,1+VLOOKUP(($AJ23-$AI23-$AH23-$AG23-$AF23-$AE23*(1+BK$3))/$AJ23,Уголь_коэфф!$A:$B,2,1)-VLOOKUP($AO23,Уголь_коэфф!$A:$B,2,1)),1+(1-$AU23))</f>
        <v>1.0979999999999999</v>
      </c>
      <c r="BL23" s="102">
        <f>MIN(IF($AU23=100%,1,1+VLOOKUP(($AJ23-$AI23-$AH23-$AG23-$AF23-$AE23*(1+BL$3))/$AJ23,Уголь_коэфф!$A:$B,2,1)-VLOOKUP($AO23,Уголь_коэфф!$A:$B,2,1)),1+(1-$AU23))</f>
        <v>1.0979999999999999</v>
      </c>
      <c r="BM23" s="102">
        <f>MIN(IF($AU23=100%,1,1+VLOOKUP(($AJ23-$AI23-$AH23-$AG23-$AF23-$AE23*(1+BM$3))/$AJ23,Уголь_коэфф!$A:$B,2,1)-VLOOKUP($AO23,Уголь_коэфф!$A:$B,2,1)),1+(1-$AU23))</f>
        <v>1.0979999999999999</v>
      </c>
      <c r="BN23" s="102">
        <f>MIN(IF($AU23=100%,1,1+VLOOKUP(($AJ23-$AI23-$AH23-$AG23-$AF23-$AE23*(1+BN$3))/$AJ23,Уголь_коэфф!$A:$B,2,1)-VLOOKUP($AO23,Уголь_коэфф!$A:$B,2,1)),1+(1-$AU23))</f>
        <v>1.093</v>
      </c>
      <c r="BO23" s="102">
        <f>MIN(IF($AU23=100%,1,1+VLOOKUP(($AJ23-$AI23-$AH23-$AG23-$AF23-$AE23*(1+BO$3))/$AJ23,Уголь_коэфф!$A:$B,2,1)-VLOOKUP($AO23,Уголь_коэфф!$A:$B,2,1)),1+(1-$AU23))</f>
        <v>1.093</v>
      </c>
      <c r="BP23" s="102">
        <f>MIN(IF($AU23=100%,1,1+VLOOKUP(($AJ23-$AI23-$AH23-$AG23-$AF23-$AE23*(1+BP$3))/$AJ23,Уголь_коэфф!$A:$B,2,1)-VLOOKUP($AO23,Уголь_коэфф!$A:$B,2,1)),1+(1-$AU23))</f>
        <v>1.093</v>
      </c>
      <c r="BQ23" s="102">
        <f>MIN(IF($AU23=100%,1,1+VLOOKUP(($AJ23-$AI23-$AH23-$AG23-$AF23-$AE23*(1+BQ$3))/$AJ23,Уголь_коэфф!$A:$B,2,1)-VLOOKUP($AO23,Уголь_коэфф!$A:$B,2,1)),1+(1-$AU23))</f>
        <v>1.093</v>
      </c>
      <c r="BR23" s="102">
        <f>MIN(IF($AU23=100%,1,1+VLOOKUP(($AJ23-$AI23-$AH23-$AG23-$AF23-$AE23*(1+BR$3))/$AJ23,Уголь_коэфф!$A:$B,2,1)-VLOOKUP($AO23,Уголь_коэфф!$A:$B,2,1)),1+(1-$AU23))</f>
        <v>1.093</v>
      </c>
      <c r="BS23" s="102">
        <f>MIN(IF($AU23=100%,1,1+VLOOKUP(($AJ23-$AI23-$AH23-$AG23-$AF23-$AE23*(1+BS$3))/$AJ23,Уголь_коэфф!$A:$B,2,1)-VLOOKUP($AO23,Уголь_коэфф!$A:$B,2,1)),1+(1-$AU23))</f>
        <v>1.0880000000000001</v>
      </c>
      <c r="BT23" s="102">
        <f>MIN(IF($AU23=100%,1,1+VLOOKUP(($AJ23-$AI23-$AH23-$AG23-$AF23-$AE23*(1+BT$3))/$AJ23,Уголь_коэфф!$A:$B,2,1)-VLOOKUP($AO23,Уголь_коэфф!$A:$B,2,1)),1+(1-$AU23))</f>
        <v>1.0880000000000001</v>
      </c>
      <c r="BU23" s="102">
        <f>MIN(IF($AU23=100%,1,1+VLOOKUP(($AJ23-$AI23-$AH23-$AG23-$AF23-$AE23*(1+BU$3))/$AJ23,Уголь_коэфф!$A:$B,2,1)-VLOOKUP($AO23,Уголь_коэфф!$A:$B,2,1)),1+(1-$AU23))</f>
        <v>1.0880000000000001</v>
      </c>
      <c r="BV23" s="102">
        <f>MIN(IF($AU23=100%,1,1+VLOOKUP(($AJ23-$AI23-$AH23-$AG23-$AF23-$AE23*(1+BV$3))/$AJ23,Уголь_коэфф!$A:$B,2,1)-VLOOKUP($AO23,Уголь_коэфф!$A:$B,2,1)),1+(1-$AU23))</f>
        <v>1.0880000000000001</v>
      </c>
      <c r="BW23" s="102">
        <f>MIN(IF($AU23=100%,1,1+VLOOKUP(($AJ23-$AI23-$AH23-$AG23-$AF23-$AE23*(1+BW$3))/$AJ23,Уголь_коэфф!$A:$B,2,1)-VLOOKUP($AO23,Уголь_коэфф!$A:$B,2,1)),1+(1-$AU23))</f>
        <v>1.0880000000000001</v>
      </c>
      <c r="BX23" s="102">
        <f>MIN(IF($AU23=100%,1,1+VLOOKUP(($AJ23-$AI23-$AH23-$AG23-$AF23-$AE23*(1+BX$3))/$AJ23,Уголь_коэфф!$A:$B,2,1)-VLOOKUP($AO23,Уголь_коэфф!$A:$B,2,1)),1+(1-$AU23))</f>
        <v>1.0830000000000002</v>
      </c>
      <c r="BY23" s="102">
        <f>MIN(IF($AU23=100%,1,1+VLOOKUP(($AJ23-$AI23-$AH23-$AG23-$AF23-$AE23*(1+BY$3))/$AJ23,Уголь_коэфф!$A:$B,2,1)-VLOOKUP($AO23,Уголь_коэфф!$A:$B,2,1)),1+(1-$AU23))</f>
        <v>1.0830000000000002</v>
      </c>
      <c r="BZ23" s="102">
        <f>MIN(IF($AU23=100%,1,1+VLOOKUP(($AJ23-$AI23-$AH23-$AG23-$AF23-$AE23*(1+BZ$3))/$AJ23,Уголь_коэфф!$A:$B,2,1)-VLOOKUP($AO23,Уголь_коэфф!$A:$B,2,1)),1+(1-$AU23))</f>
        <v>1.0830000000000002</v>
      </c>
      <c r="CA23" s="102">
        <f>MIN(IF($AU23=100%,1,1+VLOOKUP(($AJ23-$AI23-$AH23-$AG23-$AF23-$AE23*(1+CA$3))/$AJ23,Уголь_коэфф!$A:$B,2,1)-VLOOKUP($AO23,Уголь_коэфф!$A:$B,2,1)),1+(1-$AU23))</f>
        <v>1.0830000000000002</v>
      </c>
      <c r="CB23" s="102">
        <f>MIN(IF($AU23=100%,1,1+VLOOKUP(($AJ23-$AI23-$AH23-$AG23-$AF23-$AE23*(1+CB$3))/$AJ23,Уголь_коэфф!$A:$B,2,1)-VLOOKUP($AO23,Уголь_коэфф!$A:$B,2,1)),1+(1-$AU23))</f>
        <v>1.0830000000000002</v>
      </c>
      <c r="CC23" s="102">
        <f>MIN(IF($AU23=100%,1,1+VLOOKUP(($AJ23-$AI23-$AH23-$AG23-$AF23-$AE23*(1+CC$3))/$AJ23,Уголь_коэфф!$A:$B,2,1)-VLOOKUP($AO23,Уголь_коэфф!$A:$B,2,1)),1+(1-$AU23))</f>
        <v>1.0779999999999998</v>
      </c>
      <c r="CD23" s="102">
        <f>MIN(IF($AU23=100%,1,1+VLOOKUP(($AJ23-$AI23-$AH23-$AG23-$AF23-$AE23*(1+CD$3))/$AJ23,Уголь_коэфф!$A:$B,2,1)-VLOOKUP($AO23,Уголь_коэфф!$A:$B,2,1)),1+(1-$AU23))</f>
        <v>1.0779999999999998</v>
      </c>
      <c r="CE23" s="102">
        <f>MIN(IF($AU23=100%,1,1+VLOOKUP(($AJ23-$AI23-$AH23-$AG23-$AF23-$AE23*(1+CE$3))/$AJ23,Уголь_коэфф!$A:$B,2,1)-VLOOKUP($AO23,Уголь_коэфф!$A:$B,2,1)),1+(1-$AU23))</f>
        <v>1.0779999999999998</v>
      </c>
      <c r="CF23" s="102">
        <f>MIN(IF($AU23=100%,1,1+VLOOKUP(($AJ23-$AI23-$AH23-$AG23-$AF23-$AE23*(1+CF$3))/$AJ23,Уголь_коэфф!$A:$B,2,1)-VLOOKUP($AO23,Уголь_коэфф!$A:$B,2,1)),1+(1-$AU23))</f>
        <v>1.0779999999999998</v>
      </c>
      <c r="CG23" s="102">
        <f>MIN(IF($AU23=100%,1,1+VLOOKUP(($AJ23-$AI23-$AH23-$AG23-$AF23-$AE23*(1+CG$3))/$AJ23,Уголь_коэфф!$A:$B,2,1)-VLOOKUP($AO23,Уголь_коэфф!$A:$B,2,1)),1+(1-$AU23))</f>
        <v>1.0779999999999998</v>
      </c>
      <c r="CH23" s="102">
        <f>MIN(IF($AU23=100%,1,1+VLOOKUP(($AJ23-$AI23-$AH23-$AG23-$AF23-$AE23*(1+CH$3))/$AJ23,Уголь_коэфф!$A:$B,2,1)-VLOOKUP($AO23,Уголь_коэфф!$A:$B,2,1)),1+(1-$AU23))</f>
        <v>1.073</v>
      </c>
      <c r="CI23" s="102">
        <f>MIN(IF($AU23=100%,1,1+VLOOKUP(($AJ23-$AI23-$AH23-$AG23-$AF23-$AE23*(1+CI$3))/$AJ23,Уголь_коэфф!$A:$B,2,1)-VLOOKUP($AO23,Уголь_коэфф!$A:$B,2,1)),1+(1-$AU23))</f>
        <v>1.073</v>
      </c>
      <c r="CJ23" s="102">
        <f>MIN(IF($AU23=100%,1,1+VLOOKUP(($AJ23-$AI23-$AH23-$AG23-$AF23-$AE23*(1+CJ$3))/$AJ23,Уголь_коэфф!$A:$B,2,1)-VLOOKUP($AO23,Уголь_коэфф!$A:$B,2,1)),1+(1-$AU23))</f>
        <v>1.073</v>
      </c>
      <c r="CK23" s="102">
        <f>MIN(IF($AU23=100%,1,1+VLOOKUP(($AJ23-$AI23-$AH23-$AG23-$AF23-$AE23*(1+CK$3))/$AJ23,Уголь_коэфф!$A:$B,2,1)-VLOOKUP($AO23,Уголь_коэфф!$A:$B,2,1)),1+(1-$AU23))</f>
        <v>1.073</v>
      </c>
      <c r="CL23" s="102">
        <f>MIN(IF($AU23=100%,1,1+VLOOKUP(($AJ23-$AI23-$AH23-$AG23-$AF23-$AE23*(1+CL$3))/$AJ23,Уголь_коэфф!$A:$B,2,1)-VLOOKUP($AO23,Уголь_коэфф!$A:$B,2,1)),1+(1-$AU23))</f>
        <v>1.073</v>
      </c>
      <c r="CM23" s="102">
        <f>MIN(IF($AU23=100%,1,1+VLOOKUP(($AJ23-$AI23-$AH23-$AG23-$AF23-$AE23*(1+CM$3))/$AJ23,Уголь_коэфф!$A:$B,2,1)-VLOOKUP($AO23,Уголь_коэфф!$A:$B,2,1)),1+(1-$AU23))</f>
        <v>1.0680000000000001</v>
      </c>
      <c r="CN23" s="102">
        <f>MIN(IF($AU23=100%,1,1+VLOOKUP(($AJ23-$AI23-$AH23-$AG23-$AF23-$AE23*(1+CN$3))/$AJ23,Уголь_коэфф!$A:$B,2,1)-VLOOKUP($AO23,Уголь_коэфф!$A:$B,2,1)),1+(1-$AU23))</f>
        <v>1.0680000000000001</v>
      </c>
      <c r="CO23" s="102">
        <f>MIN(IF($AU23=100%,1,1+VLOOKUP(($AJ23-$AI23-$AH23-$AG23-$AF23-$AE23*(1+CO$3))/$AJ23,Уголь_коэфф!$A:$B,2,1)-VLOOKUP($AO23,Уголь_коэфф!$A:$B,2,1)),1+(1-$AU23))</f>
        <v>1.0680000000000001</v>
      </c>
      <c r="CP23" s="102">
        <f>MIN(IF($AU23=100%,1,1+VLOOKUP(($AJ23-$AI23-$AH23-$AG23-$AF23-$AE23*(1+CP$3))/$AJ23,Уголь_коэфф!$A:$B,2,1)-VLOOKUP($AO23,Уголь_коэфф!$A:$B,2,1)),1+(1-$AU23))</f>
        <v>1.0680000000000001</v>
      </c>
      <c r="CQ23" s="102">
        <f>MIN(IF($AU23=100%,1,1+VLOOKUP(($AJ23-$AI23-$AH23-$AG23-$AF23-$AE23*(1+CQ$3))/$AJ23,Уголь_коэфф!$A:$B,2,1)-VLOOKUP($AO23,Уголь_коэфф!$A:$B,2,1)),1+(1-$AU23))</f>
        <v>1.0680000000000001</v>
      </c>
      <c r="CR23" s="102">
        <f>MIN(IF($AU23=100%,1,1+VLOOKUP(($AJ23-$AI23-$AH23-$AG23-$AF23-$AE23*(1+CR$3))/$AJ23,Уголь_коэфф!$A:$B,2,1)-VLOOKUP($AO23,Уголь_коэфф!$A:$B,2,1)),1+(1-$AU23))</f>
        <v>1.0630000000000002</v>
      </c>
      <c r="CS23" s="102">
        <f>MIN(IF($AU23=100%,1,1+VLOOKUP(($AJ23-$AI23-$AH23-$AG23-$AF23-$AE23*(1+CS$3))/$AJ23,Уголь_коэфф!$A:$B,2,1)-VLOOKUP($AO23,Уголь_коэфф!$A:$B,2,1)),1+(1-$AU23))</f>
        <v>1.0630000000000002</v>
      </c>
      <c r="CT23" s="102">
        <f>MIN(IF($AU23=100%,1,1+VLOOKUP(($AJ23-$AI23-$AH23-$AG23-$AF23-$AE23*(1+CT$3))/$AJ23,Уголь_коэфф!$A:$B,2,1)-VLOOKUP($AO23,Уголь_коэфф!$A:$B,2,1)),1+(1-$AU23))</f>
        <v>1.0630000000000002</v>
      </c>
      <c r="CU23" s="102">
        <f>MIN(IF($AU23=100%,1,1+VLOOKUP(($AJ23-$AI23-$AH23-$AG23-$AF23-$AE23*(1+CU$3))/$AJ23,Уголь_коэфф!$A:$B,2,1)-VLOOKUP($AO23,Уголь_коэфф!$A:$B,2,1)),1+(1-$AU23))</f>
        <v>1.0630000000000002</v>
      </c>
      <c r="CV23" s="102">
        <f>MIN(IF($AU23=100%,1,1+VLOOKUP(($AJ23-$AI23-$AH23-$AG23-$AF23-$AE23*(1+CV$3))/$AJ23,Уголь_коэфф!$A:$B,2,1)-VLOOKUP($AO23,Уголь_коэфф!$A:$B,2,1)),1+(1-$AU23))</f>
        <v>1.0630000000000002</v>
      </c>
      <c r="CW23" s="102">
        <f>MIN(IF($AU23=100%,1,1+VLOOKUP(($AJ23-$AI23-$AH23-$AG23-$AF23-$AE23*(1+CW$3))/$AJ23,Уголь_коэфф!$A:$B,2,1)-VLOOKUP($AO23,Уголь_коэфф!$A:$B,2,1)),1+(1-$AU23))</f>
        <v>1.0580000000000003</v>
      </c>
      <c r="CX23" s="102">
        <f>MIN(IF($AU23=100%,1,1+VLOOKUP(($AJ23-$AI23-$AH23-$AG23-$AF23-$AE23*(1+CX$3))/$AJ23,Уголь_коэфф!$A:$B,2,1)-VLOOKUP($AO23,Уголь_коэфф!$A:$B,2,1)),1+(1-$AU23))</f>
        <v>1.0580000000000003</v>
      </c>
      <c r="CY23" s="102">
        <f>MIN(IF($AU23=100%,1,1+VLOOKUP(($AJ23-$AI23-$AH23-$AG23-$AF23-$AE23*(1+CY$3))/$AJ23,Уголь_коэфф!$A:$B,2,1)-VLOOKUP($AO23,Уголь_коэфф!$A:$B,2,1)),1+(1-$AU23))</f>
        <v>1.0580000000000003</v>
      </c>
      <c r="CZ23" s="102">
        <f>MIN(IF($AU23=100%,1,1+VLOOKUP(($AJ23-$AI23-$AH23-$AG23-$AF23-$AE23*(1+CZ$3))/$AJ23,Уголь_коэфф!$A:$B,2,1)-VLOOKUP($AO23,Уголь_коэфф!$A:$B,2,1)),1+(1-$AU23))</f>
        <v>1.0580000000000003</v>
      </c>
      <c r="DA23" s="102">
        <f>MIN(IF($AU23=100%,1,1+VLOOKUP(($AJ23-$AI23-$AH23-$AG23-$AF23-$AE23*(1+DA$3))/$AJ23,Уголь_коэфф!$A:$B,2,1)-VLOOKUP($AO23,Уголь_коэфф!$A:$B,2,1)),1+(1-$AU23))</f>
        <v>1.0580000000000003</v>
      </c>
      <c r="DB23" s="102">
        <f>MIN(IF($AU23=100%,1,1+VLOOKUP(($AJ23-$AI23-$AH23-$AG23-$AF23-$AE23*(1+DB$3))/$AJ23,Уголь_коэфф!$A:$B,2,1)-VLOOKUP($AO23,Уголь_коэфф!$A:$B,2,1)),1+(1-$AU23))</f>
        <v>1.0529999999999999</v>
      </c>
      <c r="DC23" s="102">
        <f>MIN(IF($AU23=100%,1,1+VLOOKUP(($AJ23-$AI23-$AH23-$AG23-$AF23-$AE23*(1+DC$3))/$AJ23,Уголь_коэфф!$A:$B,2,1)-VLOOKUP($AO23,Уголь_коэфф!$A:$B,2,1)),1+(1-$AU23))</f>
        <v>1.0529999999999999</v>
      </c>
      <c r="DD23" s="102">
        <f>MIN(IF($AU23=100%,1,1+VLOOKUP(($AJ23-$AI23-$AH23-$AG23-$AF23-$AE23*(1+DD$3))/$AJ23,Уголь_коэфф!$A:$B,2,1)-VLOOKUP($AO23,Уголь_коэфф!$A:$B,2,1)),1+(1-$AU23))</f>
        <v>1.0529999999999999</v>
      </c>
      <c r="DE23" s="102">
        <f>MIN(IF($AU23=100%,1,1+VLOOKUP(($AJ23-$AI23-$AH23-$AG23-$AF23-$AE23*(1+DE$3))/$AJ23,Уголь_коэфф!$A:$B,2,1)-VLOOKUP($AO23,Уголь_коэфф!$A:$B,2,1)),1+(1-$AU23))</f>
        <v>1.0529999999999999</v>
      </c>
      <c r="DF23" s="102">
        <f>MIN(IF($AU23=100%,1,1+VLOOKUP(($AJ23-$AI23-$AH23-$AG23-$AF23-$AE23*(1+DF$3))/$AJ23,Уголь_коэфф!$A:$B,2,1)-VLOOKUP($AO23,Уголь_коэфф!$A:$B,2,1)),1+(1-$AU23))</f>
        <v>1.0529999999999999</v>
      </c>
      <c r="DG23" s="102">
        <f>MIN(IF($AU23=100%,1,1+VLOOKUP(($AJ23-$AI23-$AH23-$AG23-$AF23-$AE23*(1+DG$3))/$AJ23,Уголь_коэфф!$A:$B,2,1)-VLOOKUP($AO23,Уголь_коэфф!$A:$B,2,1)),1+(1-$AU23))</f>
        <v>1.048</v>
      </c>
      <c r="DH23" s="102">
        <f>MIN(IF($AU23=100%,1,1+VLOOKUP(($AJ23-$AI23-$AH23-$AG23-$AF23-$AE23*(1+DH$3))/$AJ23,Уголь_коэфф!$A:$B,2,1)-VLOOKUP($AO23,Уголь_коэфф!$A:$B,2,1)),1+(1-$AU23))</f>
        <v>1.048</v>
      </c>
      <c r="DI23" s="102">
        <f>MIN(IF($AU23=100%,1,1+VLOOKUP(($AJ23-$AI23-$AH23-$AG23-$AF23-$AE23*(1+DI$3))/$AJ23,Уголь_коэфф!$A:$B,2,1)-VLOOKUP($AO23,Уголь_коэфф!$A:$B,2,1)),1+(1-$AU23))</f>
        <v>1.048</v>
      </c>
      <c r="DJ23" s="102">
        <f>MIN(IF($AU23=100%,1,1+VLOOKUP(($AJ23-$AI23-$AH23-$AG23-$AF23-$AE23*(1+DJ$3))/$AJ23,Уголь_коэфф!$A:$B,2,1)-VLOOKUP($AO23,Уголь_коэфф!$A:$B,2,1)),1+(1-$AU23))</f>
        <v>1.048</v>
      </c>
      <c r="DK23" s="102">
        <f>MIN(IF($AU23=100%,1,1+VLOOKUP(($AJ23-$AI23-$AH23-$AG23-$AF23-$AE23*(1+DK$3))/$AJ23,Уголь_коэфф!$A:$B,2,1)-VLOOKUP($AO23,Уголь_коэфф!$A:$B,2,1)),1+(1-$AU23))</f>
        <v>1.048</v>
      </c>
      <c r="DL23" s="102">
        <f>MIN(IF($AU23=100%,1,1+VLOOKUP(($AJ23-$AI23-$AH23-$AG23-$AF23-$AE23*(1+DL$3))/$AJ23,Уголь_коэфф!$A:$B,2,1)-VLOOKUP($AO23,Уголь_коэфф!$A:$B,2,1)),1+(1-$AU23))</f>
        <v>1.0420000000000003</v>
      </c>
      <c r="DM23" s="102">
        <f>MIN(IF($AU23=100%,1,1+VLOOKUP(($AJ23-$AI23-$AH23-$AG23-$AF23-$AE23*(1+DM$3))/$AJ23,Уголь_коэфф!$A:$B,2,1)-VLOOKUP($AO23,Уголь_коэфф!$A:$B,2,1)),1+(1-$AU23))</f>
        <v>1.0420000000000003</v>
      </c>
      <c r="DN23" s="102">
        <f>MIN(IF($AU23=100%,1,1+VLOOKUP(($AJ23-$AI23-$AH23-$AG23-$AF23-$AE23*(1+DN$3))/$AJ23,Уголь_коэфф!$A:$B,2,1)-VLOOKUP($AO23,Уголь_коэфф!$A:$B,2,1)),1+(1-$AU23))</f>
        <v>1.0420000000000003</v>
      </c>
      <c r="DO23" s="102">
        <f>MIN(IF($AU23=100%,1,1+VLOOKUP(($AJ23-$AI23-$AH23-$AG23-$AF23-$AE23*(1+DO$3))/$AJ23,Уголь_коэфф!$A:$B,2,1)-VLOOKUP($AO23,Уголь_коэфф!$A:$B,2,1)),1+(1-$AU23))</f>
        <v>1.0420000000000003</v>
      </c>
      <c r="DP23" s="102">
        <f>MIN(IF($AU23=100%,1,1+VLOOKUP(($AJ23-$AI23-$AH23-$AG23-$AF23-$AE23*(1+DP$3))/$AJ23,Уголь_коэфф!$A:$B,2,1)-VLOOKUP($AO23,Уголь_коэфф!$A:$B,2,1)),1+(1-$AU23))</f>
        <v>1.0420000000000003</v>
      </c>
      <c r="DQ23" s="102">
        <f>MIN(IF($AU23=100%,1,1+VLOOKUP(($AJ23-$AI23-$AH23-$AG23-$AF23-$AE23*(1+DQ$3))/$AJ23,Уголь_коэфф!$A:$B,2,1)-VLOOKUP($AO23,Уголь_коэфф!$A:$B,2,1)),1+(1-$AU23))</f>
        <v>1.036</v>
      </c>
      <c r="DR23" s="102">
        <f>MIN(IF($AU23=100%,1,1+VLOOKUP(($AJ23-$AI23-$AH23-$AG23-$AF23-$AE23*(1+DR$3))/$AJ23,Уголь_коэфф!$A:$B,2,1)-VLOOKUP($AO23,Уголь_коэфф!$A:$B,2,1)),1+(1-$AU23))</f>
        <v>1.036</v>
      </c>
      <c r="DS23" s="102">
        <f>MIN(IF($AU23=100%,1,1+VLOOKUP(($AJ23-$AI23-$AH23-$AG23-$AF23-$AE23*(1+DS$3))/$AJ23,Уголь_коэфф!$A:$B,2,1)-VLOOKUP($AO23,Уголь_коэфф!$A:$B,2,1)),1+(1-$AU23))</f>
        <v>1.036</v>
      </c>
      <c r="DT23" s="102">
        <f>MIN(IF($AU23=100%,1,1+VLOOKUP(($AJ23-$AI23-$AH23-$AG23-$AF23-$AE23*(1+DT$3))/$AJ23,Уголь_коэфф!$A:$B,2,1)-VLOOKUP($AO23,Уголь_коэфф!$A:$B,2,1)),1+(1-$AU23))</f>
        <v>1.036</v>
      </c>
      <c r="DU23" s="102">
        <f>MIN(IF($AU23=100%,1,1+VLOOKUP(($AJ23-$AI23-$AH23-$AG23-$AF23-$AE23*(1+DU$3))/$AJ23,Уголь_коэфф!$A:$B,2,1)-VLOOKUP($AO23,Уголь_коэфф!$A:$B,2,1)),1+(1-$AU23))</f>
        <v>1.036</v>
      </c>
      <c r="DV23" s="102">
        <f>MIN(IF($AU23=100%,1,1+VLOOKUP(($AJ23-$AI23-$AH23-$AG23-$AF23-$AE23*(1+DV$3))/$AJ23,Уголь_коэфф!$A:$B,2,1)-VLOOKUP($AO23,Уголь_коэфф!$A:$B,2,1)),1+(1-$AU23))</f>
        <v>1.0300000000000002</v>
      </c>
      <c r="DW23" s="102">
        <f>MIN(IF($AU23=100%,1,1+VLOOKUP(($AJ23-$AI23-$AH23-$AG23-$AF23-$AE23*(1+DW$3))/$AJ23,Уголь_коэфф!$A:$B,2,1)-VLOOKUP($AO23,Уголь_коэфф!$A:$B,2,1)),1+(1-$AU23))</f>
        <v>1.0300000000000002</v>
      </c>
      <c r="DX23" s="102">
        <f>MIN(IF($AU23=100%,1,1+VLOOKUP(($AJ23-$AI23-$AH23-$AG23-$AF23-$AE23*(1+DX$3))/$AJ23,Уголь_коэфф!$A:$B,2,1)-VLOOKUP($AO23,Уголь_коэфф!$A:$B,2,1)),1+(1-$AU23))</f>
        <v>1.0300000000000002</v>
      </c>
      <c r="DY23" s="102">
        <f>MIN(IF($AU23=100%,1,1+VLOOKUP(($AJ23-$AI23-$AH23-$AG23-$AF23-$AE23*(1+DY$3))/$AJ23,Уголь_коэфф!$A:$B,2,1)-VLOOKUP($AO23,Уголь_коэфф!$A:$B,2,1)),1+(1-$AU23))</f>
        <v>1.0300000000000002</v>
      </c>
      <c r="DZ23" s="102">
        <f>MIN(IF($AU23=100%,1,1+VLOOKUP(($AJ23-$AI23-$AH23-$AG23-$AF23-$AE23*(1+DZ$3))/$AJ23,Уголь_коэфф!$A:$B,2,1)-VLOOKUP($AO23,Уголь_коэфф!$A:$B,2,1)),1+(1-$AU23))</f>
        <v>1.0300000000000002</v>
      </c>
      <c r="EA23" s="102">
        <f>MIN(IF($AU23=100%,1,1+VLOOKUP(($AJ23-$AI23-$AH23-$AG23-$AF23-$AE23*(1+EA$3))/$AJ23,Уголь_коэфф!$A:$B,2,1)-VLOOKUP($AO23,Уголь_коэфф!$A:$B,2,1)),1+(1-$AU23))</f>
        <v>1.024</v>
      </c>
      <c r="EB23" s="102">
        <f>MIN(IF($AU23=100%,1,1+VLOOKUP(($AJ23-$AI23-$AH23-$AG23-$AF23-$AE23*(1+EB$3))/$AJ23,Уголь_коэфф!$A:$B,2,1)-VLOOKUP($AO23,Уголь_коэфф!$A:$B,2,1)),1+(1-$AU23))</f>
        <v>1.024</v>
      </c>
      <c r="EC23" s="102">
        <f>MIN(IF($AU23=100%,1,1+VLOOKUP(($AJ23-$AI23-$AH23-$AG23-$AF23-$AE23*(1+EC$3))/$AJ23,Уголь_коэфф!$A:$B,2,1)-VLOOKUP($AO23,Уголь_коэфф!$A:$B,2,1)),1+(1-$AU23))</f>
        <v>1.024</v>
      </c>
      <c r="ED23" s="102">
        <f>MIN(IF($AU23=100%,1,1+VLOOKUP(($AJ23-$AI23-$AH23-$AG23-$AF23-$AE23*(1+ED$3))/$AJ23,Уголь_коэфф!$A:$B,2,1)-VLOOKUP($AO23,Уголь_коэфф!$A:$B,2,1)),1+(1-$AU23))</f>
        <v>1.024</v>
      </c>
      <c r="EE23" s="102">
        <f>MIN(IF($AU23=100%,1,1+VLOOKUP(($AJ23-$AI23-$AH23-$AG23-$AF23-$AE23*(1+EE$3))/$AJ23,Уголь_коэфф!$A:$B,2,1)-VLOOKUP($AO23,Уголь_коэфф!$A:$B,2,1)),1+(1-$AU23))</f>
        <v>1.024</v>
      </c>
      <c r="EF23" s="102">
        <f>MIN(IF($AU23=100%,1,1+VLOOKUP(($AJ23-$AI23-$AH23-$AG23-$AF23-$AE23*(1+EF$3))/$AJ23,Уголь_коэфф!$A:$B,2,1)-VLOOKUP($AO23,Уголь_коэфф!$A:$B,2,1)),1+(1-$AU23))</f>
        <v>1.0180000000000002</v>
      </c>
      <c r="EG23" s="102">
        <f>MIN(IF($AU23=100%,1,1+VLOOKUP(($AJ23-$AI23-$AH23-$AG23-$AF23-$AE23*(1+EG$3))/$AJ23,Уголь_коэфф!$A:$B,2,1)-VLOOKUP($AO23,Уголь_коэфф!$A:$B,2,1)),1+(1-$AU23))</f>
        <v>1.0180000000000002</v>
      </c>
      <c r="EH23" s="102">
        <f>MIN(IF($AU23=100%,1,1+VLOOKUP(($AJ23-$AI23-$AH23-$AG23-$AF23-$AE23*(1+EH$3))/$AJ23,Уголь_коэфф!$A:$B,2,1)-VLOOKUP($AO23,Уголь_коэфф!$A:$B,2,1)),1+(1-$AU23))</f>
        <v>1.0180000000000002</v>
      </c>
      <c r="EI23" s="102">
        <f>MIN(IF($AU23=100%,1,1+VLOOKUP(($AJ23-$AI23-$AH23-$AG23-$AF23-$AE23*(1+EI$3))/$AJ23,Уголь_коэфф!$A:$B,2,1)-VLOOKUP($AO23,Уголь_коэфф!$A:$B,2,1)),1+(1-$AU23))</f>
        <v>1.0180000000000002</v>
      </c>
      <c r="EJ23" s="102">
        <f>MIN(IF($AU23=100%,1,1+VLOOKUP(($AJ23-$AI23-$AH23-$AG23-$AF23-$AE23*(1+EJ$3))/$AJ23,Уголь_коэфф!$A:$B,2,1)-VLOOKUP($AO23,Уголь_коэфф!$A:$B,2,1)),1+(1-$AU23))</f>
        <v>1.0180000000000002</v>
      </c>
      <c r="EK23" s="102">
        <f>MIN(IF($AU23=100%,1,1+VLOOKUP(($AJ23-$AI23-$AH23-$AG23-$AF23-$AE23*(1+EK$3))/$AJ23,Уголь_коэфф!$A:$B,2,1)-VLOOKUP($AO23,Уголь_коэфф!$A:$B,2,1)),1+(1-$AU23))</f>
        <v>1.012</v>
      </c>
      <c r="EL23" s="102">
        <f>MIN(IF($AU23=100%,1,1+VLOOKUP(($AJ23-$AI23-$AH23-$AG23-$AF23-$AE23*(1+EL$3))/$AJ23,Уголь_коэфф!$A:$B,2,1)-VLOOKUP($AO23,Уголь_коэфф!$A:$B,2,1)),1+(1-$AU23))</f>
        <v>1.012</v>
      </c>
      <c r="EM23" s="102">
        <f>MIN(IF($AU23=100%,1,1+VLOOKUP(($AJ23-$AI23-$AH23-$AG23-$AF23-$AE23*(1+EM$3))/$AJ23,Уголь_коэфф!$A:$B,2,1)-VLOOKUP($AO23,Уголь_коэфф!$A:$B,2,1)),1+(1-$AU23))</f>
        <v>1.012</v>
      </c>
      <c r="EN23" s="102">
        <f>MIN(IF($AU23=100%,1,1+VLOOKUP(($AJ23-$AI23-$AH23-$AG23-$AF23-$AE23*(1+EN$3))/$AJ23,Уголь_коэфф!$A:$B,2,1)-VLOOKUP($AO23,Уголь_коэфф!$A:$B,2,1)),1+(1-$AU23))</f>
        <v>1.012</v>
      </c>
      <c r="EO23" s="102">
        <f>MIN(IF($AU23=100%,1,1+VLOOKUP(($AJ23-$AI23-$AH23-$AG23-$AF23-$AE23*(1+EO$3))/$AJ23,Уголь_коэфф!$A:$B,2,1)-VLOOKUP($AO23,Уголь_коэфф!$A:$B,2,1)),1+(1-$AU23))</f>
        <v>1.012</v>
      </c>
      <c r="EP23" s="102">
        <f>MIN(IF($AU23=100%,1,1+VLOOKUP(($AJ23-$AI23-$AH23-$AG23-$AF23-$AE23*(1+EP$3))/$AJ23,Уголь_коэфф!$A:$B,2,1)-VLOOKUP($AO23,Уголь_коэфф!$A:$B,2,1)),1+(1-$AU23))</f>
        <v>1.0060000000000002</v>
      </c>
      <c r="EQ23" s="102">
        <f>MIN(IF($AU23=100%,1,1+VLOOKUP(($AJ23-$AI23-$AH23-$AG23-$AF23-$AE23*(1+EQ$3))/$AJ23,Уголь_коэфф!$A:$B,2,1)-VLOOKUP($AO23,Уголь_коэфф!$A:$B,2,1)),1+(1-$AU23))</f>
        <v>1.0060000000000002</v>
      </c>
      <c r="ER23" s="102">
        <f>MIN(IF($AU23=100%,1,1+VLOOKUP(($AJ23-$AI23-$AH23-$AG23-$AF23-$AE23*(1+ER$3))/$AJ23,Уголь_коэфф!$A:$B,2,1)-VLOOKUP($AO23,Уголь_коэфф!$A:$B,2,1)),1+(1-$AU23))</f>
        <v>1.0060000000000002</v>
      </c>
      <c r="ES23" s="102">
        <f>MIN(IF($AU23=100%,1,1+VLOOKUP(($AJ23-$AI23-$AH23-$AG23-$AF23-$AE23*(1+ES$3))/$AJ23,Уголь_коэфф!$A:$B,2,1)-VLOOKUP($AO23,Уголь_коэфф!$A:$B,2,1)),1+(1-$AU23))</f>
        <v>1.0060000000000002</v>
      </c>
      <c r="ET23" s="102">
        <f>MIN(IF($AU23=100%,1,1+VLOOKUP(($AJ23-$AI23-$AH23-$AG23-$AF23-$AE23*(1+ET$3))/$AJ23,Уголь_коэфф!$A:$B,2,1)-VLOOKUP($AO23,Уголь_коэфф!$A:$B,2,1)),1+(1-$AU23))</f>
        <v>1.0060000000000002</v>
      </c>
      <c r="EU23" s="102">
        <f>MIN(IF($AU23=100%,1,1+VLOOKUP(($AJ23-$AI23-$AH23-$AG23-$AF23-$AE23*(1+EU$3))/$AJ23,Уголь_коэфф!$A:$B,2,1)-VLOOKUP($AO23,Уголь_коэфф!$A:$B,2,1)),1+(1-$AU23))</f>
        <v>0.99999999999999989</v>
      </c>
      <c r="EV23" s="103">
        <v>1</v>
      </c>
      <c r="EW23" s="102">
        <f>MIN(1,MAX(VLOOKUP(($AJ23-$AI23-$AH23-$AG23-$AF23-$AE23*(1+EW$3))/$AJ23,Уголь_коэфф!$A:$B,2,1),(EV23-0.05)))</f>
        <v>0.95</v>
      </c>
      <c r="EX23" s="102">
        <f>MIN(1,MAX(VLOOKUP(($AJ23-$AI23-$AH23-$AG23-$AF23-$AE23*(1+EX$3))/$AJ23,Уголь_коэфф!$A:$B,2,1),(EW23-0.05)))</f>
        <v>0.89999999999999991</v>
      </c>
      <c r="EY23" s="102">
        <f>MIN(1,MAX(VLOOKUP(($AJ23-$AI23-$AH23-$AG23-$AF23-$AE23*(1+EY$3))/$AJ23,Уголь_коэфф!$A:$B,2,1),(EX23-0.05)))</f>
        <v>0.872</v>
      </c>
      <c r="EZ23" s="102">
        <f>MIN(1,MAX(VLOOKUP(($AJ23-$AI23-$AH23-$AG23-$AF23-$AE23*(1+EZ$3))/$AJ23,Уголь_коэфф!$A:$B,2,1),(EY23-0.05)))</f>
        <v>0.86599999999999999</v>
      </c>
      <c r="FA23" s="102">
        <f>MIN(1,MAX(VLOOKUP(($AJ23-$AI23-$AH23-$AG23-$AF23-$AE23*(1+FA$3))/$AJ23,Уголь_коэфф!$A:$B,2,1),(EZ23-0.05)))</f>
        <v>0.86599999999999999</v>
      </c>
      <c r="FB23" s="102">
        <f>MIN(1,MAX(VLOOKUP(($AJ23-$AI23-$AH23-$AG23-$AF23-$AE23*(1+FB$3))/$AJ23,Уголь_коэфф!$A:$B,2,1),(FA23-0.05)))</f>
        <v>0.86599999999999999</v>
      </c>
      <c r="FC23" s="102">
        <f>MIN(1,MAX(VLOOKUP(($AJ23-$AI23-$AH23-$AG23-$AF23-$AE23*(1+FC$3))/$AJ23,Уголь_коэфф!$A:$B,2,1),(FB23-0.05)))</f>
        <v>0.86599999999999999</v>
      </c>
      <c r="FD23" s="102">
        <f>MIN(1,MAX(VLOOKUP(($AJ23-$AI23-$AH23-$AG23-$AF23-$AE23*(1+FD$3))/$AJ23,Уголь_коэфф!$A:$B,2,1),(FC23-0.05)))</f>
        <v>0.86599999999999999</v>
      </c>
      <c r="FE23" s="102">
        <f>MIN(1,MAX(VLOOKUP(($AJ23-$AI23-$AH23-$AG23-$AF23-$AE23*(1+FE$3))/$AJ23,Уголь_коэфф!$A:$B,2,1),(FD23-0.05)))</f>
        <v>0.86</v>
      </c>
      <c r="FF23" s="102">
        <f>MIN(1,MAX(VLOOKUP(($AJ23-$AI23-$AH23-$AG23-$AF23-$AE23*(1+FF$3))/$AJ23,Уголь_коэфф!$A:$B,2,1),(FE23-0.05)))</f>
        <v>0.86</v>
      </c>
      <c r="FG23" s="102">
        <f>MIN(1,MAX(VLOOKUP(($AJ23-$AI23-$AH23-$AG23-$AF23-$AE23*(1+FG$3))/$AJ23,Уголь_коэфф!$A:$B,2,1),(FF23-0.05)))</f>
        <v>0.86</v>
      </c>
      <c r="FH23" s="102">
        <f>MIN(1,MAX(VLOOKUP(($AJ23-$AI23-$AH23-$AG23-$AF23-$AE23*(1+FH$3))/$AJ23,Уголь_коэфф!$A:$B,2,1),(FG23-0.05)))</f>
        <v>0.86</v>
      </c>
      <c r="FI23" s="102">
        <f>MIN(1,MAX(VLOOKUP(($AJ23-$AI23-$AH23-$AG23-$AF23-$AE23*(1+FI$3))/$AJ23,Уголь_коэфф!$A:$B,2,1),(FH23-0.05)))</f>
        <v>0.86</v>
      </c>
      <c r="FJ23" s="102">
        <f>MIN(1,MAX(VLOOKUP(($AJ23-$AI23-$AH23-$AG23-$AF23-$AE23*(1+FJ$3))/$AJ23,Уголь_коэфф!$A:$B,2,1),(FI23-0.05)))</f>
        <v>0.85399999999999998</v>
      </c>
      <c r="FK23" s="102">
        <f>MIN(1,MAX(VLOOKUP(($AJ23-$AI23-$AH23-$AG23-$AF23-$AE23*(1+FK$3))/$AJ23,Уголь_коэфф!$A:$B,2,1),(FJ23-0.05)))</f>
        <v>0.85399999999999998</v>
      </c>
      <c r="FL23" s="102">
        <f>MIN(1,MAX(VLOOKUP(($AJ23-$AI23-$AH23-$AG23-$AF23-$AE23*(1+FL$3))/$AJ23,Уголь_коэфф!$A:$B,2,1),(FK23-0.05)))</f>
        <v>0.85399999999999998</v>
      </c>
      <c r="FM23" s="102">
        <f>MIN(1,MAX(VLOOKUP(($AJ23-$AI23-$AH23-$AG23-$AF23-$AE23*(1+FM$3))/$AJ23,Уголь_коэфф!$A:$B,2,1),(FL23-0.05)))</f>
        <v>0.85399999999999998</v>
      </c>
      <c r="FN23" s="102">
        <f>MIN(1,MAX(VLOOKUP(($AJ23-$AI23-$AH23-$AG23-$AF23-$AE23*(1+FN$3))/$AJ23,Уголь_коэфф!$A:$B,2,1),(FM23-0.05)))</f>
        <v>0.85399999999999998</v>
      </c>
      <c r="FO23" s="102">
        <f>MIN(1,MAX(VLOOKUP(($AJ23-$AI23-$AH23-$AG23-$AF23-$AE23*(1+FO$3))/$AJ23,Уголь_коэфф!$A:$B,2,1),(FN23-0.05)))</f>
        <v>0.84799999999999998</v>
      </c>
      <c r="FP23" s="102">
        <f>MIN(1,MAX(VLOOKUP(($AJ23-$AI23-$AH23-$AG23-$AF23-$AE23*(1+FP$3))/$AJ23,Уголь_коэфф!$A:$B,2,1),(FO23-0.05)))</f>
        <v>0.84799999999999998</v>
      </c>
      <c r="FQ23" s="102">
        <f>MIN(1,MAX(VLOOKUP(($AJ23-$AI23-$AH23-$AG23-$AF23-$AE23*(1+FQ$3))/$AJ23,Уголь_коэфф!$A:$B,2,1),(FP23-0.05)))</f>
        <v>0.84799999999999998</v>
      </c>
      <c r="FR23" s="102">
        <f>MIN(1,MAX(VLOOKUP(($AJ23-$AI23-$AH23-$AG23-$AF23-$AE23*(1+FR$3))/$AJ23,Уголь_коэфф!$A:$B,2,1),(FQ23-0.05)))</f>
        <v>0.84799999999999998</v>
      </c>
      <c r="FS23" s="102">
        <f>MIN(1,MAX(VLOOKUP(($AJ23-$AI23-$AH23-$AG23-$AF23-$AE23*(1+FS$3))/$AJ23,Уголь_коэфф!$A:$B,2,1),(FR23-0.05)))</f>
        <v>0.84799999999999998</v>
      </c>
      <c r="FT23" s="102">
        <f>MIN(1,MAX(VLOOKUP(($AJ23-$AI23-$AH23-$AG23-$AF23-$AE23*(1+FT$3))/$AJ23,Уголь_коэфф!$A:$B,2,1),(FS23-0.05)))</f>
        <v>0.84199999999999997</v>
      </c>
      <c r="FU23" s="102">
        <f>MIN(1,MAX(VLOOKUP(($AJ23-$AI23-$AH23-$AG23-$AF23-$AE23*(1+FU$3))/$AJ23,Уголь_коэфф!$A:$B,2,1),(FT23-0.05)))</f>
        <v>0.84199999999999997</v>
      </c>
      <c r="FV23" s="102">
        <f>MIN(1,MAX(VLOOKUP(($AJ23-$AI23-$AH23-$AG23-$AF23-$AE23*(1+FV$3))/$AJ23,Уголь_коэфф!$A:$B,2,1),(FU23-0.05)))</f>
        <v>0.84199999999999997</v>
      </c>
      <c r="FW23" s="102">
        <f>MIN(1,MAX(VLOOKUP(($AJ23-$AI23-$AH23-$AG23-$AF23-$AE23*(1+FW$3))/$AJ23,Уголь_коэфф!$A:$B,2,1),(FV23-0.05)))</f>
        <v>0.84199999999999997</v>
      </c>
      <c r="FX23" s="102">
        <f>MIN(1,MAX(VLOOKUP(($AJ23-$AI23-$AH23-$AG23-$AF23-$AE23*(1+FX$3))/$AJ23,Уголь_коэфф!$A:$B,2,1),(FW23-0.05)))</f>
        <v>0.83599999999999997</v>
      </c>
      <c r="FY23" s="102">
        <f>MIN(1,MAX(VLOOKUP(($AJ23-$AI23-$AH23-$AG23-$AF23-$AE23*(1+FY$3))/$AJ23,Уголь_коэфф!$A:$B,2,1),(FX23-0.05)))</f>
        <v>0.83599999999999997</v>
      </c>
      <c r="FZ23" s="102">
        <f>MIN(1,MAX(VLOOKUP(($AJ23-$AI23-$AH23-$AG23-$AF23-$AE23*(1+FZ$3))/$AJ23,Уголь_коэфф!$A:$B,2,1),(FY23-0.05)))</f>
        <v>0.83599999999999997</v>
      </c>
      <c r="GA23" s="102">
        <f>MIN(1,MAX(VLOOKUP(($AJ23-$AI23-$AH23-$AG23-$AF23-$AE23*(1+GA$3))/$AJ23,Уголь_коэфф!$A:$B,2,1),(FZ23-0.05)))</f>
        <v>0.83599999999999997</v>
      </c>
      <c r="GB23" s="102">
        <f>MIN(1,MAX(VLOOKUP(($AJ23-$AI23-$AH23-$AG23-$AF23-$AE23*(1+GB$3))/$AJ23,Уголь_коэфф!$A:$B,2,1),(GA23-0.05)))</f>
        <v>0.83599999999999997</v>
      </c>
      <c r="GC23" s="102">
        <f>MIN(1,MAX(VLOOKUP(($AJ23-$AI23-$AH23-$AG23-$AF23-$AE23*(1+GC$3))/$AJ23,Уголь_коэфф!$A:$B,2,1),(GB23-0.05)))</f>
        <v>0.82899999999999996</v>
      </c>
      <c r="GD23" s="102">
        <f>MIN(1,MAX(VLOOKUP(($AJ23-$AI23-$AH23-$AG23-$AF23-$AE23*(1+GD$3))/$AJ23,Уголь_коэфф!$A:$B,2,1),(GC23-0.05)))</f>
        <v>0.82899999999999996</v>
      </c>
      <c r="GE23" s="102">
        <f>MIN(1,MAX(VLOOKUP(($AJ23-$AI23-$AH23-$AG23-$AF23-$AE23*(1+GE$3))/$AJ23,Уголь_коэфф!$A:$B,2,1),(GD23-0.05)))</f>
        <v>0.82899999999999996</v>
      </c>
      <c r="GF23" s="102">
        <f>MIN(1,MAX(VLOOKUP(($AJ23-$AI23-$AH23-$AG23-$AF23-$AE23*(1+GF$3))/$AJ23,Уголь_коэфф!$A:$B,2,1),(GE23-0.05)))</f>
        <v>0.82899999999999996</v>
      </c>
      <c r="GG23" s="102">
        <f>MIN(1,MAX(VLOOKUP(($AJ23-$AI23-$AH23-$AG23-$AF23-$AE23*(1+GG$3))/$AJ23,Уголь_коэфф!$A:$B,2,1),(GF23-0.05)))</f>
        <v>0.82899999999999996</v>
      </c>
      <c r="GH23" s="102">
        <f>MIN(1,MAX(VLOOKUP(($AJ23-$AI23-$AH23-$AG23-$AF23-$AE23*(1+GH$3))/$AJ23,Уголь_коэфф!$A:$B,2,1),(GG23-0.05)))</f>
        <v>0.82199999999999995</v>
      </c>
      <c r="GI23" s="102">
        <f>MIN(1,MAX(VLOOKUP(($AJ23-$AI23-$AH23-$AG23-$AF23-$AE23*(1+GI$3))/$AJ23,Уголь_коэфф!$A:$B,2,1),(GH23-0.05)))</f>
        <v>0.82199999999999995</v>
      </c>
      <c r="GJ23" s="102">
        <f>MIN(1,MAX(VLOOKUP(($AJ23-$AI23-$AH23-$AG23-$AF23-$AE23*(1+GJ$3))/$AJ23,Уголь_коэфф!$A:$B,2,1),(GI23-0.05)))</f>
        <v>0.82199999999999995</v>
      </c>
      <c r="GK23" s="102">
        <f>MIN(1,MAX(VLOOKUP(($AJ23-$AI23-$AH23-$AG23-$AF23-$AE23*(1+GK$3))/$AJ23,Уголь_коэфф!$A:$B,2,1),(GJ23-0.05)))</f>
        <v>0.82199999999999995</v>
      </c>
      <c r="GL23" s="102">
        <f>MIN(1,MAX(VLOOKUP(($AJ23-$AI23-$AH23-$AG23-$AF23-$AE23*(1+GL$3))/$AJ23,Уголь_коэфф!$A:$B,2,1),(GK23-0.05)))</f>
        <v>0.82199999999999995</v>
      </c>
      <c r="GM23" s="102">
        <f>MIN(1,MAX(VLOOKUP(($AJ23-$AI23-$AH23-$AG23-$AF23-$AE23*(1+GM$3))/$AJ23,Уголь_коэфф!$A:$B,2,1),(GL23-0.05)))</f>
        <v>0.81499999999999995</v>
      </c>
      <c r="GN23" s="102">
        <f>MIN(1,MAX(VLOOKUP(($AJ23-$AI23-$AH23-$AG23-$AF23-$AE23*(1+GN$3))/$AJ23,Уголь_коэфф!$A:$B,2,1),(GM23-0.05)))</f>
        <v>0.81499999999999995</v>
      </c>
      <c r="GO23" s="102">
        <f>MIN(1,MAX(VLOOKUP(($AJ23-$AI23-$AH23-$AG23-$AF23-$AE23*(1+GO$3))/$AJ23,Уголь_коэфф!$A:$B,2,1),(GN23-0.05)))</f>
        <v>0.81499999999999995</v>
      </c>
      <c r="GP23" s="102">
        <f>MIN(1,MAX(VLOOKUP(($AJ23-$AI23-$AH23-$AG23-$AF23-$AE23*(1+GP$3))/$AJ23,Уголь_коэфф!$A:$B,2,1),(GO23-0.05)))</f>
        <v>0.81499999999999995</v>
      </c>
      <c r="GQ23" s="102">
        <f>MIN(1,MAX(VLOOKUP(($AJ23-$AI23-$AH23-$AG23-$AF23-$AE23*(1+GQ$3))/$AJ23,Уголь_коэфф!$A:$B,2,1),(GP23-0.05)))</f>
        <v>0.81499999999999995</v>
      </c>
      <c r="GR23" s="102">
        <f>MIN(1,MAX(VLOOKUP(($AJ23-$AI23-$AH23-$AG23-$AF23-$AE23*(1+GR$3))/$AJ23,Уголь_коэфф!$A:$B,2,1),(GQ23-0.05)))</f>
        <v>0.80800000000000005</v>
      </c>
      <c r="GS23" s="102">
        <f>MIN(1,MAX(VLOOKUP(($AJ23-$AI23-$AH23-$AG23-$AF23-$AE23*(1+GS$3))/$AJ23,Уголь_коэфф!$A:$B,2,1),(GR23-0.05)))</f>
        <v>0.80800000000000005</v>
      </c>
      <c r="GT23" s="102">
        <f>MIN(1,MAX(VLOOKUP(($AJ23-$AI23-$AH23-$AG23-$AF23-$AE23*(1+GT$3))/$AJ23,Уголь_коэфф!$A:$B,2,1),(GS23-0.05)))</f>
        <v>0.80800000000000005</v>
      </c>
      <c r="GU23" s="102">
        <f>MIN(1,MAX(VLOOKUP(($AJ23-$AI23-$AH23-$AG23-$AF23-$AE23*(1+GU$3))/$AJ23,Уголь_коэфф!$A:$B,2,1),(GT23-0.05)))</f>
        <v>0.80800000000000005</v>
      </c>
      <c r="GV23" s="102">
        <f>MIN(1,MAX(VLOOKUP(($AJ23-$AI23-$AH23-$AG23-$AF23-$AE23*(1+GV$3))/$AJ23,Уголь_коэфф!$A:$B,2,1),(GU23-0.05)))</f>
        <v>0.80800000000000005</v>
      </c>
      <c r="GW23" s="102">
        <f>MIN(1,MAX(VLOOKUP(($AJ23-$AI23-$AH23-$AG23-$AF23-$AE23*(1+GW$3))/$AJ23,Уголь_коэфф!$A:$B,2,1),(GV23-0.05)))</f>
        <v>0.80100000000000005</v>
      </c>
      <c r="GX23" s="102">
        <f>MIN(1,MAX(VLOOKUP(($AJ23-$AI23-$AH23-$AG23-$AF23-$AE23*(1+GX$3))/$AJ23,Уголь_коэфф!$A:$B,2,1),(GW23-0.05)))</f>
        <v>0.80100000000000005</v>
      </c>
      <c r="GY23" s="102">
        <f>MIN(1,MAX(VLOOKUP(($AJ23-$AI23-$AH23-$AG23-$AF23-$AE23*(1+GY$3))/$AJ23,Уголь_коэфф!$A:$B,2,1),(GX23-0.05)))</f>
        <v>0.80100000000000005</v>
      </c>
      <c r="GZ23" s="102">
        <f>MIN(1,MAX(VLOOKUP(($AJ23-$AI23-$AH23-$AG23-$AF23-$AE23*(1+GZ$3))/$AJ23,Уголь_коэфф!$A:$B,2,1),(GY23-0.05)))</f>
        <v>0.80100000000000005</v>
      </c>
      <c r="HA23" s="102">
        <f>MIN(1,MAX(VLOOKUP(($AJ23-$AI23-$AH23-$AG23-$AF23-$AE23*(1+HA$3))/$AJ23,Уголь_коэфф!$A:$B,2,1),(GZ23-0.05)))</f>
        <v>0.80100000000000005</v>
      </c>
      <c r="HB23" s="102">
        <f>MIN(1,MAX(VLOOKUP(($AJ23-$AI23-$AH23-$AG23-$AF23-$AE23*(1+HB$3))/$AJ23,Уголь_коэфф!$A:$B,2,1),(HA23-0.05)))</f>
        <v>0.79400000000000004</v>
      </c>
      <c r="HC23" s="102">
        <f>MIN(1,MAX(VLOOKUP(($AJ23-$AI23-$AH23-$AG23-$AF23-$AE23*(1+HC$3))/$AJ23,Уголь_коэфф!$A:$B,2,1),(HB23-0.05)))</f>
        <v>0.79400000000000004</v>
      </c>
      <c r="HD23" s="102">
        <f>MIN(1,MAX(VLOOKUP(($AJ23-$AI23-$AH23-$AG23-$AF23-$AE23*(1+HD$3))/$AJ23,Уголь_коэфф!$A:$B,2,1),(HC23-0.05)))</f>
        <v>0.79400000000000004</v>
      </c>
      <c r="HE23" s="102">
        <f>MIN(1,MAX(VLOOKUP(($AJ23-$AI23-$AH23-$AG23-$AF23-$AE23*(1+HE$3))/$AJ23,Уголь_коэфф!$A:$B,2,1),(HD23-0.05)))</f>
        <v>0.79400000000000004</v>
      </c>
      <c r="HF23" s="102">
        <f>MIN(1,MAX(VLOOKUP(($AJ23-$AI23-$AH23-$AG23-$AF23-$AE23*(1+HF$3))/$AJ23,Уголь_коэфф!$A:$B,2,1),(HE23-0.05)))</f>
        <v>0.79400000000000004</v>
      </c>
      <c r="HG23" s="102">
        <f>MIN(1,MAX(VLOOKUP(($AJ23-$AI23-$AH23-$AG23-$AF23-$AE23*(1+HG$3))/$AJ23,Уголь_коэфф!$A:$B,2,1),(HF23-0.05)))</f>
        <v>0.78700000000000003</v>
      </c>
      <c r="HH23" s="102">
        <f>MIN(1,MAX(VLOOKUP(($AJ23-$AI23-$AH23-$AG23-$AF23-$AE23*(1+HH$3))/$AJ23,Уголь_коэфф!$A:$B,2,1),(HG23-0.05)))</f>
        <v>0.78700000000000003</v>
      </c>
      <c r="HI23" s="102">
        <f>MIN(1,MAX(VLOOKUP(($AJ23-$AI23-$AH23-$AG23-$AF23-$AE23*(1+HI$3))/$AJ23,Уголь_коэфф!$A:$B,2,1),(HH23-0.05)))</f>
        <v>0.78700000000000003</v>
      </c>
      <c r="HJ23" s="102">
        <f>MIN(1,MAX(VLOOKUP(($AJ23-$AI23-$AH23-$AG23-$AF23-$AE23*(1+HJ$3))/$AJ23,Уголь_коэфф!$A:$B,2,1),(HI23-0.05)))</f>
        <v>0.78700000000000003</v>
      </c>
      <c r="HK23" s="102">
        <f>MIN(1,MAX(VLOOKUP(($AJ23-$AI23-$AH23-$AG23-$AF23-$AE23*(1+HK$3))/$AJ23,Уголь_коэфф!$A:$B,2,1),(HJ23-0.05)))</f>
        <v>0.78700000000000003</v>
      </c>
      <c r="HL23" s="102">
        <f>MIN(1,MAX(VLOOKUP(($AJ23-$AI23-$AH23-$AG23-$AF23-$AE23*(1+HL$3))/$AJ23,Уголь_коэфф!$A:$B,2,1),(HK23-0.05)))</f>
        <v>0.78</v>
      </c>
      <c r="HM23" s="102">
        <f>MIN(1,MAX(VLOOKUP(($AJ23-$AI23-$AH23-$AG23-$AF23-$AE23*(1+HM$3))/$AJ23,Уголь_коэфф!$A:$B,2,1),(HL23-0.05)))</f>
        <v>0.78</v>
      </c>
      <c r="HN23" s="102">
        <f>MIN(1,MAX(VLOOKUP(($AJ23-$AI23-$AH23-$AG23-$AF23-$AE23*(1+HN$3))/$AJ23,Уголь_коэфф!$A:$B,2,1),(HM23-0.05)))</f>
        <v>0.78</v>
      </c>
      <c r="HO23" s="102">
        <f>MIN(1,MAX(VLOOKUP(($AJ23-$AI23-$AH23-$AG23-$AF23-$AE23*(1+HO$3))/$AJ23,Уголь_коэфф!$A:$B,2,1),(HN23-0.05)))</f>
        <v>0.78</v>
      </c>
      <c r="HP23" s="102">
        <f>MIN(1,MAX(VLOOKUP(($AJ23-$AI23-$AH23-$AG23-$AF23-$AE23*(1+HP$3))/$AJ23,Уголь_коэфф!$A:$B,2,1),(HO23-0.05)))</f>
        <v>0.78</v>
      </c>
      <c r="HQ23" s="102">
        <f>MIN(1,MAX(VLOOKUP(($AJ23-$AI23-$AH23-$AG23-$AF23-$AE23*(1+HQ$3))/$AJ23,Уголь_коэфф!$A:$B,2,1),(HP23-0.05)))</f>
        <v>0.77300000000000002</v>
      </c>
      <c r="HR23" s="102">
        <f>MIN(1,MAX(VLOOKUP(($AJ23-$AI23-$AH23-$AG23-$AF23-$AE23*(1+HR$3))/$AJ23,Уголь_коэфф!$A:$B,2,1),(HQ23-0.05)))</f>
        <v>0.77300000000000002</v>
      </c>
      <c r="HS23" s="102">
        <f>MIN(1,MAX(VLOOKUP(($AJ23-$AI23-$AH23-$AG23-$AF23-$AE23*(1+HS$3))/$AJ23,Уголь_коэфф!$A:$B,2,1),(HR23-0.05)))</f>
        <v>0.77300000000000002</v>
      </c>
      <c r="HT23" s="102">
        <f>MIN(1,MAX(VLOOKUP(($AJ23-$AI23-$AH23-$AG23-$AF23-$AE23*(1+HT$3))/$AJ23,Уголь_коэфф!$A:$B,2,1),(HS23-0.05)))</f>
        <v>0.77300000000000002</v>
      </c>
      <c r="HU23" s="102">
        <f>MIN(1,MAX(VLOOKUP(($AJ23-$AI23-$AH23-$AG23-$AF23-$AE23*(1+HU$3))/$AJ23,Уголь_коэфф!$A:$B,2,1),(HT23-0.05)))</f>
        <v>0.77300000000000002</v>
      </c>
      <c r="HV23" s="102">
        <f>MIN(1,MAX(VLOOKUP(($AJ23-$AI23-$AH23-$AG23-$AF23-$AE23*(1+HV$3))/$AJ23,Уголь_коэфф!$A:$B,2,1),(HU23-0.05)))</f>
        <v>0.76600000000000001</v>
      </c>
      <c r="HW23" s="102">
        <f>MIN(1,MAX(VLOOKUP(($AJ23-$AI23-$AH23-$AG23-$AF23-$AE23*(1+HW$3))/$AJ23,Уголь_коэфф!$A:$B,2,1),(HV23-0.05)))</f>
        <v>0.76600000000000001</v>
      </c>
      <c r="HX23" s="102">
        <f>MIN(1,MAX(VLOOKUP(($AJ23-$AI23-$AH23-$AG23-$AF23-$AE23*(1+HX$3))/$AJ23,Уголь_коэфф!$A:$B,2,1),(HW23-0.05)))</f>
        <v>0.76600000000000001</v>
      </c>
      <c r="HY23" s="102">
        <f>MIN(1,MAX(VLOOKUP(($AJ23-$AI23-$AH23-$AG23-$AF23-$AE23*(1+HY$3))/$AJ23,Уголь_коэфф!$A:$B,2,1),(HX23-0.05)))</f>
        <v>0.76600000000000001</v>
      </c>
      <c r="HZ23" s="102">
        <f>MIN(1,MAX(VLOOKUP(($AJ23-$AI23-$AH23-$AG23-$AF23-$AE23*(1+HZ$3))/$AJ23,Уголь_коэфф!$A:$B,2,1),(HY23-0.05)))</f>
        <v>0.76600000000000001</v>
      </c>
      <c r="IA23" s="102">
        <f>MIN(1,MAX(VLOOKUP(($AJ23-$AI23-$AH23-$AG23-$AF23-$AE23*(1+IA$3))/$AJ23,Уголь_коэфф!$A:$B,2,1),(HZ23-0.05)))</f>
        <v>0.75900000000000001</v>
      </c>
      <c r="IB23" s="102">
        <f>MIN(1,MAX(VLOOKUP(($AJ23-$AI23-$AH23-$AG23-$AF23-$AE23*(1+IB$3))/$AJ23,Уголь_коэфф!$A:$B,2,1),(IA23-0.05)))</f>
        <v>0.75900000000000001</v>
      </c>
      <c r="IC23" s="102">
        <f>MIN(1,MAX(VLOOKUP(($AJ23-$AI23-$AH23-$AG23-$AF23-$AE23*(1+IC$3))/$AJ23,Уголь_коэфф!$A:$B,2,1),(IB23-0.05)))</f>
        <v>0.75900000000000001</v>
      </c>
      <c r="ID23" s="102">
        <f>MIN(1,MAX(VLOOKUP(($AJ23-$AI23-$AH23-$AG23-$AF23-$AE23*(1+ID$3))/$AJ23,Уголь_коэфф!$A:$B,2,1),(IC23-0.05)))</f>
        <v>0.75900000000000001</v>
      </c>
      <c r="IE23" s="102">
        <f>MIN(1,MAX(VLOOKUP(($AJ23-$AI23-$AH23-$AG23-$AF23-$AE23*(1+IE$3))/$AJ23,Уголь_коэфф!$A:$B,2,1),(ID23-0.05)))</f>
        <v>0.75900000000000001</v>
      </c>
      <c r="IF23" s="102">
        <f>MIN(1,MAX(VLOOKUP(($AJ23-$AI23-$AH23-$AG23-$AF23-$AE23*(1+IF$3))/$AJ23,Уголь_коэфф!$A:$B,2,1),(IE23-0.05)))</f>
        <v>0.752</v>
      </c>
      <c r="IG23" s="102">
        <f>MIN(1,MAX(VLOOKUP(($AJ23-$AI23-$AH23-$AG23-$AF23-$AE23*(1+IG$3))/$AJ23,Уголь_коэфф!$A:$B,2,1),(IF23-0.05)))</f>
        <v>0.752</v>
      </c>
      <c r="IH23" s="102">
        <f>MIN(1,MAX(VLOOKUP(($AJ23-$AI23-$AH23-$AG23-$AF23-$AE23*(1+IH$3))/$AJ23,Уголь_коэфф!$A:$B,2,1),(IG23-0.05)))</f>
        <v>0.752</v>
      </c>
      <c r="II23" s="102">
        <f>MIN(1,MAX(VLOOKUP(($AJ23-$AI23-$AH23-$AG23-$AF23-$AE23*(1+II$3))/$AJ23,Уголь_коэфф!$A:$B,2,1),(IH23-0.05)))</f>
        <v>0.752</v>
      </c>
      <c r="IJ23" s="102">
        <f>MIN(1,MAX(VLOOKUP(($AJ23-$AI23-$AH23-$AG23-$AF23-$AE23*(1+IJ$3))/$AJ23,Уголь_коэфф!$A:$B,2,1),(II23-0.05)))</f>
        <v>0.752</v>
      </c>
      <c r="IK23" s="102">
        <f>MIN(1,MAX(VLOOKUP(($AJ23-$AI23-$AH23-$AG23-$AF23-$AE23*(1+IK$3))/$AJ23,Уголь_коэфф!$A:$B,2,1),(IJ23-0.05)))</f>
        <v>0.74399999999999999</v>
      </c>
      <c r="IL23" s="102">
        <f>MIN(1,MAX(VLOOKUP(($AJ23-$AI23-$AH23-$AG23-$AF23-$AE23*(1+IL$3))/$AJ23,Уголь_коэфф!$A:$B,2,1),(IK23-0.05)))</f>
        <v>0.74399999999999999</v>
      </c>
      <c r="IM23" s="102">
        <f>MIN(1,MAX(VLOOKUP(($AJ23-$AI23-$AH23-$AG23-$AF23-$AE23*(1+IM$3))/$AJ23,Уголь_коэфф!$A:$B,2,1),(IL23-0.05)))</f>
        <v>0.74399999999999999</v>
      </c>
      <c r="IN23" s="102">
        <f>MIN(1,MAX(VLOOKUP(($AJ23-$AI23-$AH23-$AG23-$AF23-$AE23*(1+IN$3))/$AJ23,Уголь_коэфф!$A:$B,2,1),(IM23-0.05)))</f>
        <v>0.74399999999999999</v>
      </c>
      <c r="IO23" s="102">
        <f>MIN(1,MAX(VLOOKUP(($AJ23-$AI23-$AH23-$AG23-$AF23-$AE23*(1+IO$3))/$AJ23,Уголь_коэфф!$A:$B,2,1),(IN23-0.05)))</f>
        <v>0.74399999999999999</v>
      </c>
      <c r="IP23" s="102">
        <f>MIN(1,MAX(VLOOKUP(($AJ23-$AI23-$AH23-$AG23-$AF23-$AE23*(1+IP$3))/$AJ23,Уголь_коэфф!$A:$B,2,1),(IO23-0.05)))</f>
        <v>0.73599999999999999</v>
      </c>
      <c r="IQ23" s="102">
        <f>MIN(1,MAX(VLOOKUP(($AJ23-$AI23-$AH23-$AG23-$AF23-$AE23*(1+IQ$3))/$AJ23,Уголь_коэфф!$A:$B,2,1),(IP23-0.05)))</f>
        <v>0.73599999999999999</v>
      </c>
      <c r="IR23" s="102">
        <f>MIN(1,MAX(VLOOKUP(($AJ23-$AI23-$AH23-$AG23-$AF23-$AE23*(1+IR$3))/$AJ23,Уголь_коэфф!$A:$B,2,1),(IQ23-0.05)))</f>
        <v>0.73599999999999999</v>
      </c>
      <c r="IS23" s="102">
        <f t="shared" si="20"/>
        <v>0.84799999999999998</v>
      </c>
      <c r="IT23" s="102">
        <f t="shared" si="7"/>
        <v>0.84799999999999998</v>
      </c>
      <c r="IU23" s="110"/>
    </row>
    <row r="24" spans="1:255" ht="14.6" customHeight="1">
      <c r="A24" t="s">
        <v>239</v>
      </c>
      <c r="B24" s="157">
        <v>1</v>
      </c>
      <c r="C24" s="158" t="s">
        <v>16</v>
      </c>
      <c r="D24" s="159">
        <v>16111</v>
      </c>
      <c r="E24" s="159" t="s">
        <v>17</v>
      </c>
      <c r="F24" s="158" t="s">
        <v>18</v>
      </c>
      <c r="G24" s="158" t="s">
        <v>45</v>
      </c>
      <c r="H24" s="159" t="s">
        <v>19</v>
      </c>
      <c r="I24" s="159" t="s">
        <v>72</v>
      </c>
      <c r="J24" s="159" t="s">
        <v>67</v>
      </c>
      <c r="K24" s="159">
        <v>6064</v>
      </c>
      <c r="L24" s="159" t="s">
        <v>22</v>
      </c>
      <c r="M24" s="159" t="s">
        <v>23</v>
      </c>
      <c r="N24" s="159" t="s">
        <v>24</v>
      </c>
      <c r="O24" s="159" t="s">
        <v>25</v>
      </c>
      <c r="P24" s="160">
        <v>54998897</v>
      </c>
      <c r="Q24" s="160" t="s">
        <v>123</v>
      </c>
      <c r="R24" s="158" t="s">
        <v>124</v>
      </c>
      <c r="S24" s="161">
        <v>756416</v>
      </c>
      <c r="T24" s="162">
        <v>4586950336</v>
      </c>
      <c r="U24" s="162">
        <v>10137</v>
      </c>
      <c r="V24" s="162"/>
      <c r="W24" s="163">
        <v>1667958938</v>
      </c>
      <c r="X24" s="105">
        <v>75</v>
      </c>
      <c r="Y24" s="105" t="s">
        <v>163</v>
      </c>
      <c r="Z24" s="107">
        <v>13</v>
      </c>
      <c r="AA24" s="107">
        <v>14</v>
      </c>
      <c r="AB24" s="107">
        <v>4</v>
      </c>
      <c r="AC24" s="88">
        <v>2442.4699999999998</v>
      </c>
      <c r="AD24" s="88">
        <v>1120.5700000000002</v>
      </c>
      <c r="AE24" s="88">
        <f t="shared" ref="AE24:AE26" si="28">AC24+AD24</f>
        <v>3563.04</v>
      </c>
      <c r="AF24" s="89">
        <f>'Цены,перевалка,аренда'!$C$26*SUM(Уголь_эластика_экспорт!Z24+Уголь_эластика_экспорт!AA24+Уголь_эластика_экспорт!AB24)/Уголь_эластика_экспорт!X24</f>
        <v>413.33333333333331</v>
      </c>
      <c r="AG24" s="90">
        <f>SUMIF('Цены,перевалка,аренда'!$A$20:$A$22,Уголь_эластика_экспорт!$O24,'Цены,перевалка,аренда'!$D$20:$D$22)</f>
        <v>763.05499999999995</v>
      </c>
      <c r="AH24" s="47"/>
      <c r="AI24" s="91">
        <v>2338</v>
      </c>
      <c r="AJ24" s="92">
        <f>SUMIF('Цены,перевалка,аренда'!$A$5:$A$17,Уголь_эластика_экспорт!A24,'Цены,перевалка,аренда'!$D$5:$D$17)</f>
        <v>8546.2160000000003</v>
      </c>
      <c r="AK24" s="47">
        <f>AJ24/'Цены,перевалка,аренда'!$C$1</f>
        <v>112.00000000000001</v>
      </c>
      <c r="AL24" s="47">
        <f t="shared" si="9"/>
        <v>4739.4283333333333</v>
      </c>
      <c r="AM24" s="47">
        <f t="shared" si="10"/>
        <v>3806.7876666666671</v>
      </c>
      <c r="AN24" s="47">
        <f t="shared" si="11"/>
        <v>7077.4283333333333</v>
      </c>
      <c r="AO24" s="93">
        <f t="shared" si="12"/>
        <v>0.17186409361367264</v>
      </c>
      <c r="AP24" s="94">
        <f t="shared" si="13"/>
        <v>0.5545645386605409</v>
      </c>
      <c r="AQ24" s="94">
        <f t="shared" si="5"/>
        <v>0.41691433963288543</v>
      </c>
      <c r="AR24" s="94">
        <f t="shared" si="6"/>
        <v>0.75178687162340607</v>
      </c>
      <c r="AS24" s="167">
        <f t="shared" si="14"/>
        <v>1</v>
      </c>
      <c r="AT24" s="173">
        <f t="shared" si="15"/>
        <v>756416</v>
      </c>
      <c r="AU24" s="97">
        <v>0.8</v>
      </c>
      <c r="AV24" s="93">
        <f t="shared" si="16"/>
        <v>0.1301726596503841</v>
      </c>
      <c r="AW24" s="94">
        <f t="shared" si="17"/>
        <v>0.59625597262382946</v>
      </c>
      <c r="AX24" s="94">
        <f t="shared" si="18"/>
        <v>0.45860577359617399</v>
      </c>
      <c r="AY24" s="94">
        <f t="shared" si="19"/>
        <v>0.76914243991230047</v>
      </c>
      <c r="AZ24" s="102">
        <f>MIN(IF($AU24=100%,1,1+VLOOKUP(($AJ24-$AI24-$AH24-$AG24-$AF24-$AE24*(1+AZ$3))/$AJ24,Уголь_коэфф!$A:$B,2,1)-VLOOKUP($AO24,Уголь_коэфф!$A:$B,2,1)),1+(1-$AU24))</f>
        <v>1.131</v>
      </c>
      <c r="BA24" s="102">
        <f>MIN(IF($AU24=100%,1,1+VLOOKUP(($AJ24-$AI24-$AH24-$AG24-$AF24-$AE24*(1+BA$3))/$AJ24,Уголь_коэфф!$A:$B,2,1)-VLOOKUP($AO24,Уголь_коэфф!$A:$B,2,1)),1+(1-$AU24))</f>
        <v>1.1239999999999999</v>
      </c>
      <c r="BB24" s="102">
        <f>MIN(IF($AU24=100%,1,1+VLOOKUP(($AJ24-$AI24-$AH24-$AG24-$AF24-$AE24*(1+BB$3))/$AJ24,Уголь_коэфф!$A:$B,2,1)-VLOOKUP($AO24,Уголь_коэфф!$A:$B,2,1)),1+(1-$AU24))</f>
        <v>1.1239999999999999</v>
      </c>
      <c r="BC24" s="102">
        <f>MIN(IF($AU24=100%,1,1+VLOOKUP(($AJ24-$AI24-$AH24-$AG24-$AF24-$AE24*(1+BC$3))/$AJ24,Уголь_коэфф!$A:$B,2,1)-VLOOKUP($AO24,Уголь_коэфф!$A:$B,2,1)),1+(1-$AU24))</f>
        <v>1.1239999999999999</v>
      </c>
      <c r="BD24" s="102">
        <f>MIN(IF($AU24=100%,1,1+VLOOKUP(($AJ24-$AI24-$AH24-$AG24-$AF24-$AE24*(1+BD$3))/$AJ24,Уголь_коэфф!$A:$B,2,1)-VLOOKUP($AO24,Уголь_коэфф!$A:$B,2,1)),1+(1-$AU24))</f>
        <v>1.1239999999999999</v>
      </c>
      <c r="BE24" s="102">
        <f>MIN(IF($AU24=100%,1,1+VLOOKUP(($AJ24-$AI24-$AH24-$AG24-$AF24-$AE24*(1+BE$3))/$AJ24,Уголь_коэфф!$A:$B,2,1)-VLOOKUP($AO24,Уголь_коэфф!$A:$B,2,1)),1+(1-$AU24))</f>
        <v>1.1170000000000002</v>
      </c>
      <c r="BF24" s="102">
        <f>MIN(IF($AU24=100%,1,1+VLOOKUP(($AJ24-$AI24-$AH24-$AG24-$AF24-$AE24*(1+BF$3))/$AJ24,Уголь_коэфф!$A:$B,2,1)-VLOOKUP($AO24,Уголь_коэфф!$A:$B,2,1)),1+(1-$AU24))</f>
        <v>1.1170000000000002</v>
      </c>
      <c r="BG24" s="102">
        <f>MIN(IF($AU24=100%,1,1+VLOOKUP(($AJ24-$AI24-$AH24-$AG24-$AF24-$AE24*(1+BG$3))/$AJ24,Уголь_коэфф!$A:$B,2,1)-VLOOKUP($AO24,Уголь_коэфф!$A:$B,2,1)),1+(1-$AU24))</f>
        <v>1.1170000000000002</v>
      </c>
      <c r="BH24" s="102">
        <f>MIN(IF($AU24=100%,1,1+VLOOKUP(($AJ24-$AI24-$AH24-$AG24-$AF24-$AE24*(1+BH$3))/$AJ24,Уголь_коэфф!$A:$B,2,1)-VLOOKUP($AO24,Уголь_коэфф!$A:$B,2,1)),1+(1-$AU24))</f>
        <v>1.1170000000000002</v>
      </c>
      <c r="BI24" s="102">
        <f>MIN(IF($AU24=100%,1,1+VLOOKUP(($AJ24-$AI24-$AH24-$AG24-$AF24-$AE24*(1+BI$3))/$AJ24,Уголь_коэфф!$A:$B,2,1)-VLOOKUP($AO24,Уголь_коэфф!$A:$B,2,1)),1+(1-$AU24))</f>
        <v>1.1170000000000002</v>
      </c>
      <c r="BJ24" s="102">
        <f>MIN(IF($AU24=100%,1,1+VLOOKUP(($AJ24-$AI24-$AH24-$AG24-$AF24-$AE24*(1+BJ$3))/$AJ24,Уголь_коэфф!$A:$B,2,1)-VLOOKUP($AO24,Уголь_коэфф!$A:$B,2,1)),1+(1-$AU24))</f>
        <v>1.1100000000000001</v>
      </c>
      <c r="BK24" s="102">
        <f>MIN(IF($AU24=100%,1,1+VLOOKUP(($AJ24-$AI24-$AH24-$AG24-$AF24-$AE24*(1+BK$3))/$AJ24,Уголь_коэфф!$A:$B,2,1)-VLOOKUP($AO24,Уголь_коэфф!$A:$B,2,1)),1+(1-$AU24))</f>
        <v>1.1100000000000001</v>
      </c>
      <c r="BL24" s="102">
        <f>MIN(IF($AU24=100%,1,1+VLOOKUP(($AJ24-$AI24-$AH24-$AG24-$AF24-$AE24*(1+BL$3))/$AJ24,Уголь_коэфф!$A:$B,2,1)-VLOOKUP($AO24,Уголь_коэфф!$A:$B,2,1)),1+(1-$AU24))</f>
        <v>1.1100000000000001</v>
      </c>
      <c r="BM24" s="102">
        <f>MIN(IF($AU24=100%,1,1+VLOOKUP(($AJ24-$AI24-$AH24-$AG24-$AF24-$AE24*(1+BM$3))/$AJ24,Уголь_коэфф!$A:$B,2,1)-VLOOKUP($AO24,Уголь_коэфф!$A:$B,2,1)),1+(1-$AU24))</f>
        <v>1.1100000000000001</v>
      </c>
      <c r="BN24" s="102">
        <f>MIN(IF($AU24=100%,1,1+VLOOKUP(($AJ24-$AI24-$AH24-$AG24-$AF24-$AE24*(1+BN$3))/$AJ24,Уголь_коэфф!$A:$B,2,1)-VLOOKUP($AO24,Уголь_коэфф!$A:$B,2,1)),1+(1-$AU24))</f>
        <v>1.1100000000000001</v>
      </c>
      <c r="BO24" s="102">
        <f>MIN(IF($AU24=100%,1,1+VLOOKUP(($AJ24-$AI24-$AH24-$AG24-$AF24-$AE24*(1+BO$3))/$AJ24,Уголь_коэфф!$A:$B,2,1)-VLOOKUP($AO24,Уголь_коэфф!$A:$B,2,1)),1+(1-$AU24))</f>
        <v>1.103</v>
      </c>
      <c r="BP24" s="102">
        <f>MIN(IF($AU24=100%,1,1+VLOOKUP(($AJ24-$AI24-$AH24-$AG24-$AF24-$AE24*(1+BP$3))/$AJ24,Уголь_коэфф!$A:$B,2,1)-VLOOKUP($AO24,Уголь_коэфф!$A:$B,2,1)),1+(1-$AU24))</f>
        <v>1.103</v>
      </c>
      <c r="BQ24" s="102">
        <f>MIN(IF($AU24=100%,1,1+VLOOKUP(($AJ24-$AI24-$AH24-$AG24-$AF24-$AE24*(1+BQ$3))/$AJ24,Уголь_коэфф!$A:$B,2,1)-VLOOKUP($AO24,Уголь_коэфф!$A:$B,2,1)),1+(1-$AU24))</f>
        <v>1.103</v>
      </c>
      <c r="BR24" s="102">
        <f>MIN(IF($AU24=100%,1,1+VLOOKUP(($AJ24-$AI24-$AH24-$AG24-$AF24-$AE24*(1+BR$3))/$AJ24,Уголь_коэфф!$A:$B,2,1)-VLOOKUP($AO24,Уголь_коэфф!$A:$B,2,1)),1+(1-$AU24))</f>
        <v>1.103</v>
      </c>
      <c r="BS24" s="102">
        <f>MIN(IF($AU24=100%,1,1+VLOOKUP(($AJ24-$AI24-$AH24-$AG24-$AF24-$AE24*(1+BS$3))/$AJ24,Уголь_коэфф!$A:$B,2,1)-VLOOKUP($AO24,Уголь_коэфф!$A:$B,2,1)),1+(1-$AU24))</f>
        <v>1.103</v>
      </c>
      <c r="BT24" s="102">
        <f>MIN(IF($AU24=100%,1,1+VLOOKUP(($AJ24-$AI24-$AH24-$AG24-$AF24-$AE24*(1+BT$3))/$AJ24,Уголь_коэфф!$A:$B,2,1)-VLOOKUP($AO24,Уголь_коэфф!$A:$B,2,1)),1+(1-$AU24))</f>
        <v>1.0960000000000003</v>
      </c>
      <c r="BU24" s="102">
        <f>MIN(IF($AU24=100%,1,1+VLOOKUP(($AJ24-$AI24-$AH24-$AG24-$AF24-$AE24*(1+BU$3))/$AJ24,Уголь_коэфф!$A:$B,2,1)-VLOOKUP($AO24,Уголь_коэфф!$A:$B,2,1)),1+(1-$AU24))</f>
        <v>1.0960000000000003</v>
      </c>
      <c r="BV24" s="102">
        <f>MIN(IF($AU24=100%,1,1+VLOOKUP(($AJ24-$AI24-$AH24-$AG24-$AF24-$AE24*(1+BV$3))/$AJ24,Уголь_коэфф!$A:$B,2,1)-VLOOKUP($AO24,Уголь_коэфф!$A:$B,2,1)),1+(1-$AU24))</f>
        <v>1.0960000000000003</v>
      </c>
      <c r="BW24" s="102">
        <f>MIN(IF($AU24=100%,1,1+VLOOKUP(($AJ24-$AI24-$AH24-$AG24-$AF24-$AE24*(1+BW$3))/$AJ24,Уголь_коэфф!$A:$B,2,1)-VLOOKUP($AO24,Уголь_коэфф!$A:$B,2,1)),1+(1-$AU24))</f>
        <v>1.0960000000000003</v>
      </c>
      <c r="BX24" s="102">
        <f>MIN(IF($AU24=100%,1,1+VLOOKUP(($AJ24-$AI24-$AH24-$AG24-$AF24-$AE24*(1+BX$3))/$AJ24,Уголь_коэфф!$A:$B,2,1)-VLOOKUP($AO24,Уголь_коэфф!$A:$B,2,1)),1+(1-$AU24))</f>
        <v>1.0960000000000003</v>
      </c>
      <c r="BY24" s="102">
        <f>MIN(IF($AU24=100%,1,1+VLOOKUP(($AJ24-$AI24-$AH24-$AG24-$AF24-$AE24*(1+BY$3))/$AJ24,Уголь_коэфф!$A:$B,2,1)-VLOOKUP($AO24,Уголь_коэфф!$A:$B,2,1)),1+(1-$AU24))</f>
        <v>1.0889999999999997</v>
      </c>
      <c r="BZ24" s="102">
        <f>MIN(IF($AU24=100%,1,1+VLOOKUP(($AJ24-$AI24-$AH24-$AG24-$AF24-$AE24*(1+BZ$3))/$AJ24,Уголь_коэфф!$A:$B,2,1)-VLOOKUP($AO24,Уголь_коэфф!$A:$B,2,1)),1+(1-$AU24))</f>
        <v>1.0889999999999997</v>
      </c>
      <c r="CA24" s="102">
        <f>MIN(IF($AU24=100%,1,1+VLOOKUP(($AJ24-$AI24-$AH24-$AG24-$AF24-$AE24*(1+CA$3))/$AJ24,Уголь_коэфф!$A:$B,2,1)-VLOOKUP($AO24,Уголь_коэфф!$A:$B,2,1)),1+(1-$AU24))</f>
        <v>1.0889999999999997</v>
      </c>
      <c r="CB24" s="102">
        <f>MIN(IF($AU24=100%,1,1+VLOOKUP(($AJ24-$AI24-$AH24-$AG24-$AF24-$AE24*(1+CB$3))/$AJ24,Уголь_коэфф!$A:$B,2,1)-VLOOKUP($AO24,Уголь_коэфф!$A:$B,2,1)),1+(1-$AU24))</f>
        <v>1.0889999999999997</v>
      </c>
      <c r="CC24" s="102">
        <f>MIN(IF($AU24=100%,1,1+VLOOKUP(($AJ24-$AI24-$AH24-$AG24-$AF24-$AE24*(1+CC$3))/$AJ24,Уголь_коэфф!$A:$B,2,1)-VLOOKUP($AO24,Уголь_коэфф!$A:$B,2,1)),1+(1-$AU24))</f>
        <v>1.083</v>
      </c>
      <c r="CD24" s="102">
        <f>MIN(IF($AU24=100%,1,1+VLOOKUP(($AJ24-$AI24-$AH24-$AG24-$AF24-$AE24*(1+CD$3))/$AJ24,Уголь_коэфф!$A:$B,2,1)-VLOOKUP($AO24,Уголь_коэфф!$A:$B,2,1)),1+(1-$AU24))</f>
        <v>1.083</v>
      </c>
      <c r="CE24" s="102">
        <f>MIN(IF($AU24=100%,1,1+VLOOKUP(($AJ24-$AI24-$AH24-$AG24-$AF24-$AE24*(1+CE$3))/$AJ24,Уголь_коэфф!$A:$B,2,1)-VLOOKUP($AO24,Уголь_коэфф!$A:$B,2,1)),1+(1-$AU24))</f>
        <v>1.083</v>
      </c>
      <c r="CF24" s="102">
        <f>MIN(IF($AU24=100%,1,1+VLOOKUP(($AJ24-$AI24-$AH24-$AG24-$AF24-$AE24*(1+CF$3))/$AJ24,Уголь_коэфф!$A:$B,2,1)-VLOOKUP($AO24,Уголь_коэфф!$A:$B,2,1)),1+(1-$AU24))</f>
        <v>1.083</v>
      </c>
      <c r="CG24" s="102">
        <f>MIN(IF($AU24=100%,1,1+VLOOKUP(($AJ24-$AI24-$AH24-$AG24-$AF24-$AE24*(1+CG$3))/$AJ24,Уголь_коэфф!$A:$B,2,1)-VLOOKUP($AO24,Уголь_коэфф!$A:$B,2,1)),1+(1-$AU24))</f>
        <v>1.083</v>
      </c>
      <c r="CH24" s="102">
        <f>MIN(IF($AU24=100%,1,1+VLOOKUP(($AJ24-$AI24-$AH24-$AG24-$AF24-$AE24*(1+CH$3))/$AJ24,Уголь_коэфф!$A:$B,2,1)-VLOOKUP($AO24,Уголь_коэфф!$A:$B,2,1)),1+(1-$AU24))</f>
        <v>1.0770000000000002</v>
      </c>
      <c r="CI24" s="102">
        <f>MIN(IF($AU24=100%,1,1+VLOOKUP(($AJ24-$AI24-$AH24-$AG24-$AF24-$AE24*(1+CI$3))/$AJ24,Уголь_коэфф!$A:$B,2,1)-VLOOKUP($AO24,Уголь_коэфф!$A:$B,2,1)),1+(1-$AU24))</f>
        <v>1.0770000000000002</v>
      </c>
      <c r="CJ24" s="102">
        <f>MIN(IF($AU24=100%,1,1+VLOOKUP(($AJ24-$AI24-$AH24-$AG24-$AF24-$AE24*(1+CJ$3))/$AJ24,Уголь_коэфф!$A:$B,2,1)-VLOOKUP($AO24,Уголь_коэфф!$A:$B,2,1)),1+(1-$AU24))</f>
        <v>1.0770000000000002</v>
      </c>
      <c r="CK24" s="102">
        <f>MIN(IF($AU24=100%,1,1+VLOOKUP(($AJ24-$AI24-$AH24-$AG24-$AF24-$AE24*(1+CK$3))/$AJ24,Уголь_коэфф!$A:$B,2,1)-VLOOKUP($AO24,Уголь_коэфф!$A:$B,2,1)),1+(1-$AU24))</f>
        <v>1.0770000000000002</v>
      </c>
      <c r="CL24" s="102">
        <f>MIN(IF($AU24=100%,1,1+VLOOKUP(($AJ24-$AI24-$AH24-$AG24-$AF24-$AE24*(1+CL$3))/$AJ24,Уголь_коэфф!$A:$B,2,1)-VLOOKUP($AO24,Уголь_коэфф!$A:$B,2,1)),1+(1-$AU24))</f>
        <v>1.0770000000000002</v>
      </c>
      <c r="CM24" s="102">
        <f>MIN(IF($AU24=100%,1,1+VLOOKUP(($AJ24-$AI24-$AH24-$AG24-$AF24-$AE24*(1+CM$3))/$AJ24,Уголь_коэфф!$A:$B,2,1)-VLOOKUP($AO24,Уголь_коэфф!$A:$B,2,1)),1+(1-$AU24))</f>
        <v>1.071</v>
      </c>
      <c r="CN24" s="102">
        <f>MIN(IF($AU24=100%,1,1+VLOOKUP(($AJ24-$AI24-$AH24-$AG24-$AF24-$AE24*(1+CN$3))/$AJ24,Уголь_коэфф!$A:$B,2,1)-VLOOKUP($AO24,Уголь_коэфф!$A:$B,2,1)),1+(1-$AU24))</f>
        <v>1.071</v>
      </c>
      <c r="CO24" s="102">
        <f>MIN(IF($AU24=100%,1,1+VLOOKUP(($AJ24-$AI24-$AH24-$AG24-$AF24-$AE24*(1+CO$3))/$AJ24,Уголь_коэфф!$A:$B,2,1)-VLOOKUP($AO24,Уголь_коэфф!$A:$B,2,1)),1+(1-$AU24))</f>
        <v>1.071</v>
      </c>
      <c r="CP24" s="102">
        <f>MIN(IF($AU24=100%,1,1+VLOOKUP(($AJ24-$AI24-$AH24-$AG24-$AF24-$AE24*(1+CP$3))/$AJ24,Уголь_коэфф!$A:$B,2,1)-VLOOKUP($AO24,Уголь_коэфф!$A:$B,2,1)),1+(1-$AU24))</f>
        <v>1.071</v>
      </c>
      <c r="CQ24" s="102">
        <f>MIN(IF($AU24=100%,1,1+VLOOKUP(($AJ24-$AI24-$AH24-$AG24-$AF24-$AE24*(1+CQ$3))/$AJ24,Уголь_коэфф!$A:$B,2,1)-VLOOKUP($AO24,Уголь_коэфф!$A:$B,2,1)),1+(1-$AU24))</f>
        <v>1.071</v>
      </c>
      <c r="CR24" s="102">
        <f>MIN(IF($AU24=100%,1,1+VLOOKUP(($AJ24-$AI24-$AH24-$AG24-$AF24-$AE24*(1+CR$3))/$AJ24,Уголь_коэфф!$A:$B,2,1)-VLOOKUP($AO24,Уголь_коэфф!$A:$B,2,1)),1+(1-$AU24))</f>
        <v>1.0649999999999997</v>
      </c>
      <c r="CS24" s="102">
        <f>MIN(IF($AU24=100%,1,1+VLOOKUP(($AJ24-$AI24-$AH24-$AG24-$AF24-$AE24*(1+CS$3))/$AJ24,Уголь_коэфф!$A:$B,2,1)-VLOOKUP($AO24,Уголь_коэфф!$A:$B,2,1)),1+(1-$AU24))</f>
        <v>1.0649999999999997</v>
      </c>
      <c r="CT24" s="102">
        <f>MIN(IF($AU24=100%,1,1+VLOOKUP(($AJ24-$AI24-$AH24-$AG24-$AF24-$AE24*(1+CT$3))/$AJ24,Уголь_коэфф!$A:$B,2,1)-VLOOKUP($AO24,Уголь_коэфф!$A:$B,2,1)),1+(1-$AU24))</f>
        <v>1.0649999999999997</v>
      </c>
      <c r="CU24" s="102">
        <f>MIN(IF($AU24=100%,1,1+VLOOKUP(($AJ24-$AI24-$AH24-$AG24-$AF24-$AE24*(1+CU$3))/$AJ24,Уголь_коэфф!$A:$B,2,1)-VLOOKUP($AO24,Уголь_коэфф!$A:$B,2,1)),1+(1-$AU24))</f>
        <v>1.0649999999999997</v>
      </c>
      <c r="CV24" s="102">
        <f>MIN(IF($AU24=100%,1,1+VLOOKUP(($AJ24-$AI24-$AH24-$AG24-$AF24-$AE24*(1+CV$3))/$AJ24,Уголь_коэфф!$A:$B,2,1)-VLOOKUP($AO24,Уголь_коэфф!$A:$B,2,1)),1+(1-$AU24))</f>
        <v>1.0649999999999997</v>
      </c>
      <c r="CW24" s="102">
        <f>MIN(IF($AU24=100%,1,1+VLOOKUP(($AJ24-$AI24-$AH24-$AG24-$AF24-$AE24*(1+CW$3))/$AJ24,Уголь_коэфф!$A:$B,2,1)-VLOOKUP($AO24,Уголь_коэфф!$A:$B,2,1)),1+(1-$AU24))</f>
        <v>1.0589999999999999</v>
      </c>
      <c r="CX24" s="102">
        <f>MIN(IF($AU24=100%,1,1+VLOOKUP(($AJ24-$AI24-$AH24-$AG24-$AF24-$AE24*(1+CX$3))/$AJ24,Уголь_коэфф!$A:$B,2,1)-VLOOKUP($AO24,Уголь_коэфф!$A:$B,2,1)),1+(1-$AU24))</f>
        <v>1.0589999999999999</v>
      </c>
      <c r="CY24" s="102">
        <f>MIN(IF($AU24=100%,1,1+VLOOKUP(($AJ24-$AI24-$AH24-$AG24-$AF24-$AE24*(1+CY$3))/$AJ24,Уголь_коэфф!$A:$B,2,1)-VLOOKUP($AO24,Уголь_коэфф!$A:$B,2,1)),1+(1-$AU24))</f>
        <v>1.0589999999999999</v>
      </c>
      <c r="CZ24" s="102">
        <f>MIN(IF($AU24=100%,1,1+VLOOKUP(($AJ24-$AI24-$AH24-$AG24-$AF24-$AE24*(1+CZ$3))/$AJ24,Уголь_коэфф!$A:$B,2,1)-VLOOKUP($AO24,Уголь_коэфф!$A:$B,2,1)),1+(1-$AU24))</f>
        <v>1.0589999999999999</v>
      </c>
      <c r="DA24" s="102">
        <f>MIN(IF($AU24=100%,1,1+VLOOKUP(($AJ24-$AI24-$AH24-$AG24-$AF24-$AE24*(1+DA$3))/$AJ24,Уголь_коэфф!$A:$B,2,1)-VLOOKUP($AO24,Уголь_коэфф!$A:$B,2,1)),1+(1-$AU24))</f>
        <v>1.0530000000000002</v>
      </c>
      <c r="DB24" s="102">
        <f>MIN(IF($AU24=100%,1,1+VLOOKUP(($AJ24-$AI24-$AH24-$AG24-$AF24-$AE24*(1+DB$3))/$AJ24,Уголь_коэфф!$A:$B,2,1)-VLOOKUP($AO24,Уголь_коэфф!$A:$B,2,1)),1+(1-$AU24))</f>
        <v>1.0530000000000002</v>
      </c>
      <c r="DC24" s="102">
        <f>MIN(IF($AU24=100%,1,1+VLOOKUP(($AJ24-$AI24-$AH24-$AG24-$AF24-$AE24*(1+DC$3))/$AJ24,Уголь_коэфф!$A:$B,2,1)-VLOOKUP($AO24,Уголь_коэфф!$A:$B,2,1)),1+(1-$AU24))</f>
        <v>1.0530000000000002</v>
      </c>
      <c r="DD24" s="102">
        <f>MIN(IF($AU24=100%,1,1+VLOOKUP(($AJ24-$AI24-$AH24-$AG24-$AF24-$AE24*(1+DD$3))/$AJ24,Уголь_коэфф!$A:$B,2,1)-VLOOKUP($AO24,Уголь_коэфф!$A:$B,2,1)),1+(1-$AU24))</f>
        <v>1.0530000000000002</v>
      </c>
      <c r="DE24" s="102">
        <f>MIN(IF($AU24=100%,1,1+VLOOKUP(($AJ24-$AI24-$AH24-$AG24-$AF24-$AE24*(1+DE$3))/$AJ24,Уголь_коэфф!$A:$B,2,1)-VLOOKUP($AO24,Уголь_коэфф!$A:$B,2,1)),1+(1-$AU24))</f>
        <v>1.0530000000000002</v>
      </c>
      <c r="DF24" s="102">
        <f>MIN(IF($AU24=100%,1,1+VLOOKUP(($AJ24-$AI24-$AH24-$AG24-$AF24-$AE24*(1+DF$3))/$AJ24,Уголь_коэфф!$A:$B,2,1)-VLOOKUP($AO24,Уголь_коэфф!$A:$B,2,1)),1+(1-$AU24))</f>
        <v>1.0469999999999999</v>
      </c>
      <c r="DG24" s="102">
        <f>MIN(IF($AU24=100%,1,1+VLOOKUP(($AJ24-$AI24-$AH24-$AG24-$AF24-$AE24*(1+DG$3))/$AJ24,Уголь_коэфф!$A:$B,2,1)-VLOOKUP($AO24,Уголь_коэфф!$A:$B,2,1)),1+(1-$AU24))</f>
        <v>1.0469999999999999</v>
      </c>
      <c r="DH24" s="102">
        <f>MIN(IF($AU24=100%,1,1+VLOOKUP(($AJ24-$AI24-$AH24-$AG24-$AF24-$AE24*(1+DH$3))/$AJ24,Уголь_коэфф!$A:$B,2,1)-VLOOKUP($AO24,Уголь_коэфф!$A:$B,2,1)),1+(1-$AU24))</f>
        <v>1.0469999999999999</v>
      </c>
      <c r="DI24" s="102">
        <f>MIN(IF($AU24=100%,1,1+VLOOKUP(($AJ24-$AI24-$AH24-$AG24-$AF24-$AE24*(1+DI$3))/$AJ24,Уголь_коэфф!$A:$B,2,1)-VLOOKUP($AO24,Уголь_коэфф!$A:$B,2,1)),1+(1-$AU24))</f>
        <v>1.0469999999999999</v>
      </c>
      <c r="DJ24" s="102">
        <f>MIN(IF($AU24=100%,1,1+VLOOKUP(($AJ24-$AI24-$AH24-$AG24-$AF24-$AE24*(1+DJ$3))/$AJ24,Уголь_коэфф!$A:$B,2,1)-VLOOKUP($AO24,Уголь_коэфф!$A:$B,2,1)),1+(1-$AU24))</f>
        <v>1.0469999999999999</v>
      </c>
      <c r="DK24" s="102">
        <f>MIN(IF($AU24=100%,1,1+VLOOKUP(($AJ24-$AI24-$AH24-$AG24-$AF24-$AE24*(1+DK$3))/$AJ24,Уголь_коэфф!$A:$B,2,1)-VLOOKUP($AO24,Уголь_коэфф!$A:$B,2,1)),1+(1-$AU24))</f>
        <v>1.0410000000000001</v>
      </c>
      <c r="DL24" s="102">
        <f>MIN(IF($AU24=100%,1,1+VLOOKUP(($AJ24-$AI24-$AH24-$AG24-$AF24-$AE24*(1+DL$3))/$AJ24,Уголь_коэфф!$A:$B,2,1)-VLOOKUP($AO24,Уголь_коэфф!$A:$B,2,1)),1+(1-$AU24))</f>
        <v>1.0410000000000001</v>
      </c>
      <c r="DM24" s="102">
        <f>MIN(IF($AU24=100%,1,1+VLOOKUP(($AJ24-$AI24-$AH24-$AG24-$AF24-$AE24*(1+DM$3))/$AJ24,Уголь_коэфф!$A:$B,2,1)-VLOOKUP($AO24,Уголь_коэфф!$A:$B,2,1)),1+(1-$AU24))</f>
        <v>1.0410000000000001</v>
      </c>
      <c r="DN24" s="102">
        <f>MIN(IF($AU24=100%,1,1+VLOOKUP(($AJ24-$AI24-$AH24-$AG24-$AF24-$AE24*(1+DN$3))/$AJ24,Уголь_коэфф!$A:$B,2,1)-VLOOKUP($AO24,Уголь_коэфф!$A:$B,2,1)),1+(1-$AU24))</f>
        <v>1.0410000000000001</v>
      </c>
      <c r="DO24" s="102">
        <f>MIN(IF($AU24=100%,1,1+VLOOKUP(($AJ24-$AI24-$AH24-$AG24-$AF24-$AE24*(1+DO$3))/$AJ24,Уголь_коэфф!$A:$B,2,1)-VLOOKUP($AO24,Уголь_коэфф!$A:$B,2,1)),1+(1-$AU24))</f>
        <v>1.0410000000000001</v>
      </c>
      <c r="DP24" s="102">
        <f>MIN(IF($AU24=100%,1,1+VLOOKUP(($AJ24-$AI24-$AH24-$AG24-$AF24-$AE24*(1+DP$3))/$AJ24,Уголь_коэфф!$A:$B,2,1)-VLOOKUP($AO24,Уголь_коэфф!$A:$B,2,1)),1+(1-$AU24))</f>
        <v>1.0350000000000004</v>
      </c>
      <c r="DQ24" s="102">
        <f>MIN(IF($AU24=100%,1,1+VLOOKUP(($AJ24-$AI24-$AH24-$AG24-$AF24-$AE24*(1+DQ$3))/$AJ24,Уголь_коэфф!$A:$B,2,1)-VLOOKUP($AO24,Уголь_коэфф!$A:$B,2,1)),1+(1-$AU24))</f>
        <v>1.0350000000000004</v>
      </c>
      <c r="DR24" s="102">
        <f>MIN(IF($AU24=100%,1,1+VLOOKUP(($AJ24-$AI24-$AH24-$AG24-$AF24-$AE24*(1+DR$3))/$AJ24,Уголь_коэфф!$A:$B,2,1)-VLOOKUP($AO24,Уголь_коэфф!$A:$B,2,1)),1+(1-$AU24))</f>
        <v>1.0350000000000004</v>
      </c>
      <c r="DS24" s="102">
        <f>MIN(IF($AU24=100%,1,1+VLOOKUP(($AJ24-$AI24-$AH24-$AG24-$AF24-$AE24*(1+DS$3))/$AJ24,Уголь_коэфф!$A:$B,2,1)-VLOOKUP($AO24,Уголь_коэфф!$A:$B,2,1)),1+(1-$AU24))</f>
        <v>1.0350000000000004</v>
      </c>
      <c r="DT24" s="102">
        <f>MIN(IF($AU24=100%,1,1+VLOOKUP(($AJ24-$AI24-$AH24-$AG24-$AF24-$AE24*(1+DT$3))/$AJ24,Уголь_коэфф!$A:$B,2,1)-VLOOKUP($AO24,Уголь_коэфф!$A:$B,2,1)),1+(1-$AU24))</f>
        <v>1.0350000000000004</v>
      </c>
      <c r="DU24" s="102">
        <f>MIN(IF($AU24=100%,1,1+VLOOKUP(($AJ24-$AI24-$AH24-$AG24-$AF24-$AE24*(1+DU$3))/$AJ24,Уголь_коэфф!$A:$B,2,1)-VLOOKUP($AO24,Уголь_коэфф!$A:$B,2,1)),1+(1-$AU24))</f>
        <v>1.0290000000000001</v>
      </c>
      <c r="DV24" s="102">
        <f>MIN(IF($AU24=100%,1,1+VLOOKUP(($AJ24-$AI24-$AH24-$AG24-$AF24-$AE24*(1+DV$3))/$AJ24,Уголь_коэфф!$A:$B,2,1)-VLOOKUP($AO24,Уголь_коэфф!$A:$B,2,1)),1+(1-$AU24))</f>
        <v>1.0290000000000001</v>
      </c>
      <c r="DW24" s="102">
        <f>MIN(IF($AU24=100%,1,1+VLOOKUP(($AJ24-$AI24-$AH24-$AG24-$AF24-$AE24*(1+DW$3))/$AJ24,Уголь_коэфф!$A:$B,2,1)-VLOOKUP($AO24,Уголь_коэфф!$A:$B,2,1)),1+(1-$AU24))</f>
        <v>1.0290000000000001</v>
      </c>
      <c r="DX24" s="102">
        <f>MIN(IF($AU24=100%,1,1+VLOOKUP(($AJ24-$AI24-$AH24-$AG24-$AF24-$AE24*(1+DX$3))/$AJ24,Уголь_коэфф!$A:$B,2,1)-VLOOKUP($AO24,Уголь_коэфф!$A:$B,2,1)),1+(1-$AU24))</f>
        <v>1.0290000000000001</v>
      </c>
      <c r="DY24" s="102">
        <f>MIN(IF($AU24=100%,1,1+VLOOKUP(($AJ24-$AI24-$AH24-$AG24-$AF24-$AE24*(1+DY$3))/$AJ24,Уголь_коэфф!$A:$B,2,1)-VLOOKUP($AO24,Уголь_коэфф!$A:$B,2,1)),1+(1-$AU24))</f>
        <v>1.0229999999999999</v>
      </c>
      <c r="DZ24" s="102">
        <f>MIN(IF($AU24=100%,1,1+VLOOKUP(($AJ24-$AI24-$AH24-$AG24-$AF24-$AE24*(1+DZ$3))/$AJ24,Уголь_коэфф!$A:$B,2,1)-VLOOKUP($AO24,Уголь_коэфф!$A:$B,2,1)),1+(1-$AU24))</f>
        <v>1.0229999999999999</v>
      </c>
      <c r="EA24" s="102">
        <f>MIN(IF($AU24=100%,1,1+VLOOKUP(($AJ24-$AI24-$AH24-$AG24-$AF24-$AE24*(1+EA$3))/$AJ24,Уголь_коэфф!$A:$B,2,1)-VLOOKUP($AO24,Уголь_коэфф!$A:$B,2,1)),1+(1-$AU24))</f>
        <v>1.0229999999999999</v>
      </c>
      <c r="EB24" s="102">
        <f>MIN(IF($AU24=100%,1,1+VLOOKUP(($AJ24-$AI24-$AH24-$AG24-$AF24-$AE24*(1+EB$3))/$AJ24,Уголь_коэфф!$A:$B,2,1)-VLOOKUP($AO24,Уголь_коэфф!$A:$B,2,1)),1+(1-$AU24))</f>
        <v>1.0229999999999999</v>
      </c>
      <c r="EC24" s="102">
        <f>MIN(IF($AU24=100%,1,1+VLOOKUP(($AJ24-$AI24-$AH24-$AG24-$AF24-$AE24*(1+EC$3))/$AJ24,Уголь_коэфф!$A:$B,2,1)-VLOOKUP($AO24,Уголь_коэфф!$A:$B,2,1)),1+(1-$AU24))</f>
        <v>1.0229999999999999</v>
      </c>
      <c r="ED24" s="102">
        <f>MIN(IF($AU24=100%,1,1+VLOOKUP(($AJ24-$AI24-$AH24-$AG24-$AF24-$AE24*(1+ED$3))/$AJ24,Уголь_коэфф!$A:$B,2,1)-VLOOKUP($AO24,Уголь_коэфф!$A:$B,2,1)),1+(1-$AU24))</f>
        <v>1.0170000000000001</v>
      </c>
      <c r="EE24" s="102">
        <f>MIN(IF($AU24=100%,1,1+VLOOKUP(($AJ24-$AI24-$AH24-$AG24-$AF24-$AE24*(1+EE$3))/$AJ24,Уголь_коэфф!$A:$B,2,1)-VLOOKUP($AO24,Уголь_коэфф!$A:$B,2,1)),1+(1-$AU24))</f>
        <v>1.0170000000000001</v>
      </c>
      <c r="EF24" s="102">
        <f>MIN(IF($AU24=100%,1,1+VLOOKUP(($AJ24-$AI24-$AH24-$AG24-$AF24-$AE24*(1+EF$3))/$AJ24,Уголь_коэфф!$A:$B,2,1)-VLOOKUP($AO24,Уголь_коэфф!$A:$B,2,1)),1+(1-$AU24))</f>
        <v>1.0170000000000001</v>
      </c>
      <c r="EG24" s="102">
        <f>MIN(IF($AU24=100%,1,1+VLOOKUP(($AJ24-$AI24-$AH24-$AG24-$AF24-$AE24*(1+EG$3))/$AJ24,Уголь_коэфф!$A:$B,2,1)-VLOOKUP($AO24,Уголь_коэфф!$A:$B,2,1)),1+(1-$AU24))</f>
        <v>1.0170000000000001</v>
      </c>
      <c r="EH24" s="102">
        <f>MIN(IF($AU24=100%,1,1+VLOOKUP(($AJ24-$AI24-$AH24-$AG24-$AF24-$AE24*(1+EH$3))/$AJ24,Уголь_коэфф!$A:$B,2,1)-VLOOKUP($AO24,Уголь_коэфф!$A:$B,2,1)),1+(1-$AU24))</f>
        <v>1.0170000000000001</v>
      </c>
      <c r="EI24" s="102">
        <f>MIN(IF($AU24=100%,1,1+VLOOKUP(($AJ24-$AI24-$AH24-$AG24-$AF24-$AE24*(1+EI$3))/$AJ24,Уголь_коэфф!$A:$B,2,1)-VLOOKUP($AO24,Уголь_коэфф!$A:$B,2,1)),1+(1-$AU24))</f>
        <v>1.0110000000000003</v>
      </c>
      <c r="EJ24" s="102">
        <f>MIN(IF($AU24=100%,1,1+VLOOKUP(($AJ24-$AI24-$AH24-$AG24-$AF24-$AE24*(1+EJ$3))/$AJ24,Уголь_коэфф!$A:$B,2,1)-VLOOKUP($AO24,Уголь_коэфф!$A:$B,2,1)),1+(1-$AU24))</f>
        <v>1.0110000000000003</v>
      </c>
      <c r="EK24" s="102">
        <f>MIN(IF($AU24=100%,1,1+VLOOKUP(($AJ24-$AI24-$AH24-$AG24-$AF24-$AE24*(1+EK$3))/$AJ24,Уголь_коэфф!$A:$B,2,1)-VLOOKUP($AO24,Уголь_коэфф!$A:$B,2,1)),1+(1-$AU24))</f>
        <v>1.0110000000000003</v>
      </c>
      <c r="EL24" s="102">
        <f>MIN(IF($AU24=100%,1,1+VLOOKUP(($AJ24-$AI24-$AH24-$AG24-$AF24-$AE24*(1+EL$3))/$AJ24,Уголь_коэфф!$A:$B,2,1)-VLOOKUP($AO24,Уголь_коэфф!$A:$B,2,1)),1+(1-$AU24))</f>
        <v>1.0110000000000003</v>
      </c>
      <c r="EM24" s="102">
        <f>MIN(IF($AU24=100%,1,1+VLOOKUP(($AJ24-$AI24-$AH24-$AG24-$AF24-$AE24*(1+EM$3))/$AJ24,Уголь_коэфф!$A:$B,2,1)-VLOOKUP($AO24,Уголь_коэфф!$A:$B,2,1)),1+(1-$AU24))</f>
        <v>1.0110000000000003</v>
      </c>
      <c r="EN24" s="102">
        <f>MIN(IF($AU24=100%,1,1+VLOOKUP(($AJ24-$AI24-$AH24-$AG24-$AF24-$AE24*(1+EN$3))/$AJ24,Уголь_коэфф!$A:$B,2,1)-VLOOKUP($AO24,Уголь_коэфф!$A:$B,2,1)),1+(1-$AU24))</f>
        <v>1.0050000000000001</v>
      </c>
      <c r="EO24" s="102">
        <f>MIN(IF($AU24=100%,1,1+VLOOKUP(($AJ24-$AI24-$AH24-$AG24-$AF24-$AE24*(1+EO$3))/$AJ24,Уголь_коэфф!$A:$B,2,1)-VLOOKUP($AO24,Уголь_коэфф!$A:$B,2,1)),1+(1-$AU24))</f>
        <v>1.0050000000000001</v>
      </c>
      <c r="EP24" s="102">
        <f>MIN(IF($AU24=100%,1,1+VLOOKUP(($AJ24-$AI24-$AH24-$AG24-$AF24-$AE24*(1+EP$3))/$AJ24,Уголь_коэфф!$A:$B,2,1)-VLOOKUP($AO24,Уголь_коэфф!$A:$B,2,1)),1+(1-$AU24))</f>
        <v>1.0050000000000001</v>
      </c>
      <c r="EQ24" s="102">
        <f>MIN(IF($AU24=100%,1,1+VLOOKUP(($AJ24-$AI24-$AH24-$AG24-$AF24-$AE24*(1+EQ$3))/$AJ24,Уголь_коэфф!$A:$B,2,1)-VLOOKUP($AO24,Уголь_коэфф!$A:$B,2,1)),1+(1-$AU24))</f>
        <v>1.0050000000000001</v>
      </c>
      <c r="ER24" s="102">
        <f>MIN(IF($AU24=100%,1,1+VLOOKUP(($AJ24-$AI24-$AH24-$AG24-$AF24-$AE24*(1+ER$3))/$AJ24,Уголь_коэфф!$A:$B,2,1)-VLOOKUP($AO24,Уголь_коэфф!$A:$B,2,1)),1+(1-$AU24))</f>
        <v>1.0050000000000001</v>
      </c>
      <c r="ES24" s="102">
        <f>MIN(IF($AU24=100%,1,1+VLOOKUP(($AJ24-$AI24-$AH24-$AG24-$AF24-$AE24*(1+ES$3))/$AJ24,Уголь_коэфф!$A:$B,2,1)-VLOOKUP($AO24,Уголь_коэфф!$A:$B,2,1)),1+(1-$AU24))</f>
        <v>1.0000000000000002</v>
      </c>
      <c r="ET24" s="102">
        <f>MIN(IF($AU24=100%,1,1+VLOOKUP(($AJ24-$AI24-$AH24-$AG24-$AF24-$AE24*(1+ET$3))/$AJ24,Уголь_коэфф!$A:$B,2,1)-VLOOKUP($AO24,Уголь_коэфф!$A:$B,2,1)),1+(1-$AU24))</f>
        <v>1.0000000000000002</v>
      </c>
      <c r="EU24" s="102">
        <f>MIN(IF($AU24=100%,1,1+VLOOKUP(($AJ24-$AI24-$AH24-$AG24-$AF24-$AE24*(1+EU$3))/$AJ24,Уголь_коэфф!$A:$B,2,1)-VLOOKUP($AO24,Уголь_коэфф!$A:$B,2,1)),1+(1-$AU24))</f>
        <v>1.0000000000000002</v>
      </c>
      <c r="EV24" s="103">
        <v>1</v>
      </c>
      <c r="EW24" s="102">
        <f>MIN(1,MAX(VLOOKUP(($AJ24-$AI24-$AH24-$AG24-$AF24-$AE24*(1+EW$3))/$AJ24,Уголь_коэфф!$A:$B,2,1),(EV24-0.05)))</f>
        <v>1</v>
      </c>
      <c r="EX24" s="102">
        <f>MIN(1,MAX(VLOOKUP(($AJ24-$AI24-$AH24-$AG24-$AF24-$AE24*(1+EX$3))/$AJ24,Уголь_коэфф!$A:$B,2,1),(EW24-0.05)))</f>
        <v>1</v>
      </c>
      <c r="EY24" s="102">
        <f>MIN(1,MAX(VLOOKUP(($AJ24-$AI24-$AH24-$AG24-$AF24-$AE24*(1+EY$3))/$AJ24,Уголь_коэфф!$A:$B,2,1),(EX24-0.05)))</f>
        <v>1</v>
      </c>
      <c r="EZ24" s="102">
        <f>MIN(1,MAX(VLOOKUP(($AJ24-$AI24-$AH24-$AG24-$AF24-$AE24*(1+EZ$3))/$AJ24,Уголь_коэфф!$A:$B,2,1),(EY24-0.05)))</f>
        <v>1</v>
      </c>
      <c r="FA24" s="102">
        <f>MIN(1,MAX(VLOOKUP(($AJ24-$AI24-$AH24-$AG24-$AF24-$AE24*(1+FA$3))/$AJ24,Уголь_коэфф!$A:$B,2,1),(EZ24-0.05)))</f>
        <v>1</v>
      </c>
      <c r="FB24" s="102">
        <f>MIN(1,MAX(VLOOKUP(($AJ24-$AI24-$AH24-$AG24-$AF24-$AE24*(1+FB$3))/$AJ24,Уголь_коэфф!$A:$B,2,1),(FA24-0.05)))</f>
        <v>1</v>
      </c>
      <c r="FC24" s="102">
        <f>MIN(1,MAX(VLOOKUP(($AJ24-$AI24-$AH24-$AG24-$AF24-$AE24*(1+FC$3))/$AJ24,Уголь_коэфф!$A:$B,2,1),(FB24-0.05)))</f>
        <v>1</v>
      </c>
      <c r="FD24" s="102">
        <f>MIN(1,MAX(VLOOKUP(($AJ24-$AI24-$AH24-$AG24-$AF24-$AE24*(1+FD$3))/$AJ24,Уголь_коэфф!$A:$B,2,1),(FC24-0.05)))</f>
        <v>1</v>
      </c>
      <c r="FE24" s="102">
        <f>MIN(1,MAX(VLOOKUP(($AJ24-$AI24-$AH24-$AG24-$AF24-$AE24*(1+FE$3))/$AJ24,Уголь_коэфф!$A:$B,2,1),(FD24-0.05)))</f>
        <v>1</v>
      </c>
      <c r="FF24" s="102">
        <f>MIN(1,MAX(VLOOKUP(($AJ24-$AI24-$AH24-$AG24-$AF24-$AE24*(1+FF$3))/$AJ24,Уголь_коэфф!$A:$B,2,1),(FE24-0.05)))</f>
        <v>1</v>
      </c>
      <c r="FG24" s="102">
        <f>MIN(1,MAX(VLOOKUP(($AJ24-$AI24-$AH24-$AG24-$AF24-$AE24*(1+FG$3))/$AJ24,Уголь_коэфф!$A:$B,2,1),(FF24-0.05)))</f>
        <v>1</v>
      </c>
      <c r="FH24" s="102">
        <f>MIN(1,MAX(VLOOKUP(($AJ24-$AI24-$AH24-$AG24-$AF24-$AE24*(1+FH$3))/$AJ24,Уголь_коэфф!$A:$B,2,1),(FG24-0.05)))</f>
        <v>1</v>
      </c>
      <c r="FI24" s="102">
        <f>MIN(1,MAX(VLOOKUP(($AJ24-$AI24-$AH24-$AG24-$AF24-$AE24*(1+FI$3))/$AJ24,Уголь_коэфф!$A:$B,2,1),(FH24-0.05)))</f>
        <v>1</v>
      </c>
      <c r="FJ24" s="102">
        <f>MIN(1,MAX(VLOOKUP(($AJ24-$AI24-$AH24-$AG24-$AF24-$AE24*(1+FJ$3))/$AJ24,Уголь_коэфф!$A:$B,2,1),(FI24-0.05)))</f>
        <v>1</v>
      </c>
      <c r="FK24" s="102">
        <f>MIN(1,MAX(VLOOKUP(($AJ24-$AI24-$AH24-$AG24-$AF24-$AE24*(1+FK$3))/$AJ24,Уголь_коэфф!$A:$B,2,1),(FJ24-0.05)))</f>
        <v>1</v>
      </c>
      <c r="FL24" s="102">
        <f>MIN(1,MAX(VLOOKUP(($AJ24-$AI24-$AH24-$AG24-$AF24-$AE24*(1+FL$3))/$AJ24,Уголь_коэфф!$A:$B,2,1),(FK24-0.05)))</f>
        <v>1</v>
      </c>
      <c r="FM24" s="102">
        <f>MIN(1,MAX(VLOOKUP(($AJ24-$AI24-$AH24-$AG24-$AF24-$AE24*(1+FM$3))/$AJ24,Уголь_коэфф!$A:$B,2,1),(FL24-0.05)))</f>
        <v>1</v>
      </c>
      <c r="FN24" s="102">
        <f>MIN(1,MAX(VLOOKUP(($AJ24-$AI24-$AH24-$AG24-$AF24-$AE24*(1+FN$3))/$AJ24,Уголь_коэфф!$A:$B,2,1),(FM24-0.05)))</f>
        <v>1</v>
      </c>
      <c r="FO24" s="102">
        <f>MIN(1,MAX(VLOOKUP(($AJ24-$AI24-$AH24-$AG24-$AF24-$AE24*(1+FO$3))/$AJ24,Уголь_коэфф!$A:$B,2,1),(FN24-0.05)))</f>
        <v>1</v>
      </c>
      <c r="FP24" s="102">
        <f>MIN(1,MAX(VLOOKUP(($AJ24-$AI24-$AH24-$AG24-$AF24-$AE24*(1+FP$3))/$AJ24,Уголь_коэфф!$A:$B,2,1),(FO24-0.05)))</f>
        <v>1</v>
      </c>
      <c r="FQ24" s="102">
        <f>MIN(1,MAX(VLOOKUP(($AJ24-$AI24-$AH24-$AG24-$AF24-$AE24*(1+FQ$3))/$AJ24,Уголь_коэфф!$A:$B,2,1),(FP24-0.05)))</f>
        <v>1</v>
      </c>
      <c r="FR24" s="102">
        <f>MIN(1,MAX(VLOOKUP(($AJ24-$AI24-$AH24-$AG24-$AF24-$AE24*(1+FR$3))/$AJ24,Уголь_коэфф!$A:$B,2,1),(FQ24-0.05)))</f>
        <v>1</v>
      </c>
      <c r="FS24" s="102">
        <f>MIN(1,MAX(VLOOKUP(($AJ24-$AI24-$AH24-$AG24-$AF24-$AE24*(1+FS$3))/$AJ24,Уголь_коэфф!$A:$B,2,1),(FR24-0.05)))</f>
        <v>1</v>
      </c>
      <c r="FT24" s="102">
        <f>MIN(1,MAX(VLOOKUP(($AJ24-$AI24-$AH24-$AG24-$AF24-$AE24*(1+FT$3))/$AJ24,Уголь_коэфф!$A:$B,2,1),(FS24-0.05)))</f>
        <v>1</v>
      </c>
      <c r="FU24" s="102">
        <f>MIN(1,MAX(VLOOKUP(($AJ24-$AI24-$AH24-$AG24-$AF24-$AE24*(1+FU$3))/$AJ24,Уголь_коэфф!$A:$B,2,1),(FT24-0.05)))</f>
        <v>1</v>
      </c>
      <c r="FV24" s="102">
        <f>MIN(1,MAX(VLOOKUP(($AJ24-$AI24-$AH24-$AG24-$AF24-$AE24*(1+FV$3))/$AJ24,Уголь_коэфф!$A:$B,2,1),(FU24-0.05)))</f>
        <v>1</v>
      </c>
      <c r="FW24" s="102">
        <f>MIN(1,MAX(VLOOKUP(($AJ24-$AI24-$AH24-$AG24-$AF24-$AE24*(1+FW$3))/$AJ24,Уголь_коэфф!$A:$B,2,1),(FV24-0.05)))</f>
        <v>1</v>
      </c>
      <c r="FX24" s="102">
        <f>MIN(1,MAX(VLOOKUP(($AJ24-$AI24-$AH24-$AG24-$AF24-$AE24*(1+FX$3))/$AJ24,Уголь_коэфф!$A:$B,2,1),(FW24-0.05)))</f>
        <v>1</v>
      </c>
      <c r="FY24" s="102">
        <f>MIN(1,MAX(VLOOKUP(($AJ24-$AI24-$AH24-$AG24-$AF24-$AE24*(1+FY$3))/$AJ24,Уголь_коэфф!$A:$B,2,1),(FX24-0.05)))</f>
        <v>1</v>
      </c>
      <c r="FZ24" s="102">
        <f>MIN(1,MAX(VLOOKUP(($AJ24-$AI24-$AH24-$AG24-$AF24-$AE24*(1+FZ$3))/$AJ24,Уголь_коэфф!$A:$B,2,1),(FY24-0.05)))</f>
        <v>1</v>
      </c>
      <c r="GA24" s="102">
        <f>MIN(1,MAX(VLOOKUP(($AJ24-$AI24-$AH24-$AG24-$AF24-$AE24*(1+GA$3))/$AJ24,Уголь_коэфф!$A:$B,2,1),(FZ24-0.05)))</f>
        <v>1</v>
      </c>
      <c r="GB24" s="102">
        <f>MIN(1,MAX(VLOOKUP(($AJ24-$AI24-$AH24-$AG24-$AF24-$AE24*(1+GB$3))/$AJ24,Уголь_коэфф!$A:$B,2,1),(GA24-0.05)))</f>
        <v>1</v>
      </c>
      <c r="GC24" s="102">
        <f>MIN(1,MAX(VLOOKUP(($AJ24-$AI24-$AH24-$AG24-$AF24-$AE24*(1+GC$3))/$AJ24,Уголь_коэфф!$A:$B,2,1),(GB24-0.05)))</f>
        <v>1</v>
      </c>
      <c r="GD24" s="102">
        <f>MIN(1,MAX(VLOOKUP(($AJ24-$AI24-$AH24-$AG24-$AF24-$AE24*(1+GD$3))/$AJ24,Уголь_коэфф!$A:$B,2,1),(GC24-0.05)))</f>
        <v>1</v>
      </c>
      <c r="GE24" s="102">
        <f>MIN(1,MAX(VLOOKUP(($AJ24-$AI24-$AH24-$AG24-$AF24-$AE24*(1+GE$3))/$AJ24,Уголь_коэфф!$A:$B,2,1),(GD24-0.05)))</f>
        <v>1</v>
      </c>
      <c r="GF24" s="102">
        <f>MIN(1,MAX(VLOOKUP(($AJ24-$AI24-$AH24-$AG24-$AF24-$AE24*(1+GF$3))/$AJ24,Уголь_коэфф!$A:$B,2,1),(GE24-0.05)))</f>
        <v>1</v>
      </c>
      <c r="GG24" s="102">
        <f>MIN(1,MAX(VLOOKUP(($AJ24-$AI24-$AH24-$AG24-$AF24-$AE24*(1+GG$3))/$AJ24,Уголь_коэфф!$A:$B,2,1),(GF24-0.05)))</f>
        <v>1</v>
      </c>
      <c r="GH24" s="102">
        <f>MIN(1,MAX(VLOOKUP(($AJ24-$AI24-$AH24-$AG24-$AF24-$AE24*(1+GH$3))/$AJ24,Уголь_коэфф!$A:$B,2,1),(GG24-0.05)))</f>
        <v>1</v>
      </c>
      <c r="GI24" s="102">
        <f>MIN(1,MAX(VLOOKUP(($AJ24-$AI24-$AH24-$AG24-$AF24-$AE24*(1+GI$3))/$AJ24,Уголь_коэфф!$A:$B,2,1),(GH24-0.05)))</f>
        <v>1</v>
      </c>
      <c r="GJ24" s="102">
        <f>MIN(1,MAX(VLOOKUP(($AJ24-$AI24-$AH24-$AG24-$AF24-$AE24*(1+GJ$3))/$AJ24,Уголь_коэфф!$A:$B,2,1),(GI24-0.05)))</f>
        <v>1</v>
      </c>
      <c r="GK24" s="102">
        <f>MIN(1,MAX(VLOOKUP(($AJ24-$AI24-$AH24-$AG24-$AF24-$AE24*(1+GK$3))/$AJ24,Уголь_коэфф!$A:$B,2,1),(GJ24-0.05)))</f>
        <v>1</v>
      </c>
      <c r="GL24" s="102">
        <f>MIN(1,MAX(VLOOKUP(($AJ24-$AI24-$AH24-$AG24-$AF24-$AE24*(1+GL$3))/$AJ24,Уголь_коэфф!$A:$B,2,1),(GK24-0.05)))</f>
        <v>1</v>
      </c>
      <c r="GM24" s="102">
        <f>MIN(1,MAX(VLOOKUP(($AJ24-$AI24-$AH24-$AG24-$AF24-$AE24*(1+GM$3))/$AJ24,Уголь_коэфф!$A:$B,2,1),(GL24-0.05)))</f>
        <v>1</v>
      </c>
      <c r="GN24" s="102">
        <f>MIN(1,MAX(VLOOKUP(($AJ24-$AI24-$AH24-$AG24-$AF24-$AE24*(1+GN$3))/$AJ24,Уголь_коэфф!$A:$B,2,1),(GM24-0.05)))</f>
        <v>1</v>
      </c>
      <c r="GO24" s="102">
        <f>MIN(1,MAX(VLOOKUP(($AJ24-$AI24-$AH24-$AG24-$AF24-$AE24*(1+GO$3))/$AJ24,Уголь_коэфф!$A:$B,2,1),(GN24-0.05)))</f>
        <v>1</v>
      </c>
      <c r="GP24" s="102">
        <f>MIN(1,MAX(VLOOKUP(($AJ24-$AI24-$AH24-$AG24-$AF24-$AE24*(1+GP$3))/$AJ24,Уголь_коэфф!$A:$B,2,1),(GO24-0.05)))</f>
        <v>1</v>
      </c>
      <c r="GQ24" s="102">
        <f>MIN(1,MAX(VLOOKUP(($AJ24-$AI24-$AH24-$AG24-$AF24-$AE24*(1+GQ$3))/$AJ24,Уголь_коэфф!$A:$B,2,1),(GP24-0.05)))</f>
        <v>1</v>
      </c>
      <c r="GR24" s="102">
        <f>MIN(1,MAX(VLOOKUP(($AJ24-$AI24-$AH24-$AG24-$AF24-$AE24*(1+GR$3))/$AJ24,Уголь_коэфф!$A:$B,2,1),(GQ24-0.05)))</f>
        <v>1</v>
      </c>
      <c r="GS24" s="102">
        <f>MIN(1,MAX(VLOOKUP(($AJ24-$AI24-$AH24-$AG24-$AF24-$AE24*(1+GS$3))/$AJ24,Уголь_коэфф!$A:$B,2,1),(GR24-0.05)))</f>
        <v>1</v>
      </c>
      <c r="GT24" s="102">
        <f>MIN(1,MAX(VLOOKUP(($AJ24-$AI24-$AH24-$AG24-$AF24-$AE24*(1+GT$3))/$AJ24,Уголь_коэфф!$A:$B,2,1),(GS24-0.05)))</f>
        <v>1</v>
      </c>
      <c r="GU24" s="102">
        <f>MIN(1,MAX(VLOOKUP(($AJ24-$AI24-$AH24-$AG24-$AF24-$AE24*(1+GU$3))/$AJ24,Уголь_коэфф!$A:$B,2,1),(GT24-0.05)))</f>
        <v>1</v>
      </c>
      <c r="GV24" s="102">
        <f>MIN(1,MAX(VLOOKUP(($AJ24-$AI24-$AH24-$AG24-$AF24-$AE24*(1+GV$3))/$AJ24,Уголь_коэфф!$A:$B,2,1),(GU24-0.05)))</f>
        <v>1</v>
      </c>
      <c r="GW24" s="102">
        <f>MIN(1,MAX(VLOOKUP(($AJ24-$AI24-$AH24-$AG24-$AF24-$AE24*(1+GW$3))/$AJ24,Уголь_коэфф!$A:$B,2,1),(GV24-0.05)))</f>
        <v>1</v>
      </c>
      <c r="GX24" s="102">
        <f>MIN(1,MAX(VLOOKUP(($AJ24-$AI24-$AH24-$AG24-$AF24-$AE24*(1+GX$3))/$AJ24,Уголь_коэфф!$A:$B,2,1),(GW24-0.05)))</f>
        <v>1</v>
      </c>
      <c r="GY24" s="102">
        <f>MIN(1,MAX(VLOOKUP(($AJ24-$AI24-$AH24-$AG24-$AF24-$AE24*(1+GY$3))/$AJ24,Уголь_коэфф!$A:$B,2,1),(GX24-0.05)))</f>
        <v>1</v>
      </c>
      <c r="GZ24" s="102">
        <f>MIN(1,MAX(VLOOKUP(($AJ24-$AI24-$AH24-$AG24-$AF24-$AE24*(1+GZ$3))/$AJ24,Уголь_коэфф!$A:$B,2,1),(GY24-0.05)))</f>
        <v>1</v>
      </c>
      <c r="HA24" s="102">
        <f>MIN(1,MAX(VLOOKUP(($AJ24-$AI24-$AH24-$AG24-$AF24-$AE24*(1+HA$3))/$AJ24,Уголь_коэфф!$A:$B,2,1),(GZ24-0.05)))</f>
        <v>1</v>
      </c>
      <c r="HB24" s="102">
        <f>MIN(1,MAX(VLOOKUP(($AJ24-$AI24-$AH24-$AG24-$AF24-$AE24*(1+HB$3))/$AJ24,Уголь_коэфф!$A:$B,2,1),(HA24-0.05)))</f>
        <v>1</v>
      </c>
      <c r="HC24" s="102">
        <f>MIN(1,MAX(VLOOKUP(($AJ24-$AI24-$AH24-$AG24-$AF24-$AE24*(1+HC$3))/$AJ24,Уголь_коэфф!$A:$B,2,1),(HB24-0.05)))</f>
        <v>1</v>
      </c>
      <c r="HD24" s="102">
        <f>MIN(1,MAX(VLOOKUP(($AJ24-$AI24-$AH24-$AG24-$AF24-$AE24*(1+HD$3))/$AJ24,Уголь_коэфф!$A:$B,2,1),(HC24-0.05)))</f>
        <v>1</v>
      </c>
      <c r="HE24" s="102">
        <f>MIN(1,MAX(VLOOKUP(($AJ24-$AI24-$AH24-$AG24-$AF24-$AE24*(1+HE$3))/$AJ24,Уголь_коэфф!$A:$B,2,1),(HD24-0.05)))</f>
        <v>1</v>
      </c>
      <c r="HF24" s="102">
        <f>MIN(1,MAX(VLOOKUP(($AJ24-$AI24-$AH24-$AG24-$AF24-$AE24*(1+HF$3))/$AJ24,Уголь_коэфф!$A:$B,2,1),(HE24-0.05)))</f>
        <v>1</v>
      </c>
      <c r="HG24" s="102">
        <f>MIN(1,MAX(VLOOKUP(($AJ24-$AI24-$AH24-$AG24-$AF24-$AE24*(1+HG$3))/$AJ24,Уголь_коэфф!$A:$B,2,1),(HF24-0.05)))</f>
        <v>1</v>
      </c>
      <c r="HH24" s="102">
        <f>MIN(1,MAX(VLOOKUP(($AJ24-$AI24-$AH24-$AG24-$AF24-$AE24*(1+HH$3))/$AJ24,Уголь_коэфф!$A:$B,2,1),(HG24-0.05)))</f>
        <v>1</v>
      </c>
      <c r="HI24" s="102">
        <f>MIN(1,MAX(VLOOKUP(($AJ24-$AI24-$AH24-$AG24-$AF24-$AE24*(1+HI$3))/$AJ24,Уголь_коэфф!$A:$B,2,1),(HH24-0.05)))</f>
        <v>1</v>
      </c>
      <c r="HJ24" s="102">
        <f>MIN(1,MAX(VLOOKUP(($AJ24-$AI24-$AH24-$AG24-$AF24-$AE24*(1+HJ$3))/$AJ24,Уголь_коэфф!$A:$B,2,1),(HI24-0.05)))</f>
        <v>1</v>
      </c>
      <c r="HK24" s="102">
        <f>MIN(1,MAX(VLOOKUP(($AJ24-$AI24-$AH24-$AG24-$AF24-$AE24*(1+HK$3))/$AJ24,Уголь_коэфф!$A:$B,2,1),(HJ24-0.05)))</f>
        <v>1</v>
      </c>
      <c r="HL24" s="102">
        <f>MIN(1,MAX(VLOOKUP(($AJ24-$AI24-$AH24-$AG24-$AF24-$AE24*(1+HL$3))/$AJ24,Уголь_коэфф!$A:$B,2,1),(HK24-0.05)))</f>
        <v>1</v>
      </c>
      <c r="HM24" s="102">
        <f>MIN(1,MAX(VLOOKUP(($AJ24-$AI24-$AH24-$AG24-$AF24-$AE24*(1+HM$3))/$AJ24,Уголь_коэфф!$A:$B,2,1),(HL24-0.05)))</f>
        <v>1</v>
      </c>
      <c r="HN24" s="102">
        <f>MIN(1,MAX(VLOOKUP(($AJ24-$AI24-$AH24-$AG24-$AF24-$AE24*(1+HN$3))/$AJ24,Уголь_коэфф!$A:$B,2,1),(HM24-0.05)))</f>
        <v>1</v>
      </c>
      <c r="HO24" s="102">
        <f>MIN(1,MAX(VLOOKUP(($AJ24-$AI24-$AH24-$AG24-$AF24-$AE24*(1+HO$3))/$AJ24,Уголь_коэфф!$A:$B,2,1),(HN24-0.05)))</f>
        <v>1</v>
      </c>
      <c r="HP24" s="102">
        <f>MIN(1,MAX(VLOOKUP(($AJ24-$AI24-$AH24-$AG24-$AF24-$AE24*(1+HP$3))/$AJ24,Уголь_коэфф!$A:$B,2,1),(HO24-0.05)))</f>
        <v>1</v>
      </c>
      <c r="HQ24" s="102">
        <f>MIN(1,MAX(VLOOKUP(($AJ24-$AI24-$AH24-$AG24-$AF24-$AE24*(1+HQ$3))/$AJ24,Уголь_коэфф!$A:$B,2,1),(HP24-0.05)))</f>
        <v>1</v>
      </c>
      <c r="HR24" s="102">
        <f>MIN(1,MAX(VLOOKUP(($AJ24-$AI24-$AH24-$AG24-$AF24-$AE24*(1+HR$3))/$AJ24,Уголь_коэфф!$A:$B,2,1),(HQ24-0.05)))</f>
        <v>1</v>
      </c>
      <c r="HS24" s="102">
        <f>MIN(1,MAX(VLOOKUP(($AJ24-$AI24-$AH24-$AG24-$AF24-$AE24*(1+HS$3))/$AJ24,Уголь_коэфф!$A:$B,2,1),(HR24-0.05)))</f>
        <v>1</v>
      </c>
      <c r="HT24" s="102">
        <f>MIN(1,MAX(VLOOKUP(($AJ24-$AI24-$AH24-$AG24-$AF24-$AE24*(1+HT$3))/$AJ24,Уголь_коэфф!$A:$B,2,1),(HS24-0.05)))</f>
        <v>1</v>
      </c>
      <c r="HU24" s="102">
        <f>MIN(1,MAX(VLOOKUP(($AJ24-$AI24-$AH24-$AG24-$AF24-$AE24*(1+HU$3))/$AJ24,Уголь_коэфф!$A:$B,2,1),(HT24-0.05)))</f>
        <v>1</v>
      </c>
      <c r="HV24" s="102">
        <f>MIN(1,MAX(VLOOKUP(($AJ24-$AI24-$AH24-$AG24-$AF24-$AE24*(1+HV$3))/$AJ24,Уголь_коэфф!$A:$B,2,1),(HU24-0.05)))</f>
        <v>1</v>
      </c>
      <c r="HW24" s="102">
        <f>MIN(1,MAX(VLOOKUP(($AJ24-$AI24-$AH24-$AG24-$AF24-$AE24*(1+HW$3))/$AJ24,Уголь_коэфф!$A:$B,2,1),(HV24-0.05)))</f>
        <v>1</v>
      </c>
      <c r="HX24" s="102">
        <f>MIN(1,MAX(VLOOKUP(($AJ24-$AI24-$AH24-$AG24-$AF24-$AE24*(1+HX$3))/$AJ24,Уголь_коэфф!$A:$B,2,1),(HW24-0.05)))</f>
        <v>1</v>
      </c>
      <c r="HY24" s="102">
        <f>MIN(1,MAX(VLOOKUP(($AJ24-$AI24-$AH24-$AG24-$AF24-$AE24*(1+HY$3))/$AJ24,Уголь_коэфф!$A:$B,2,1),(HX24-0.05)))</f>
        <v>1</v>
      </c>
      <c r="HZ24" s="102">
        <f>MIN(1,MAX(VLOOKUP(($AJ24-$AI24-$AH24-$AG24-$AF24-$AE24*(1+HZ$3))/$AJ24,Уголь_коэфф!$A:$B,2,1),(HY24-0.05)))</f>
        <v>1</v>
      </c>
      <c r="IA24" s="102">
        <f>MIN(1,MAX(VLOOKUP(($AJ24-$AI24-$AH24-$AG24-$AF24-$AE24*(1+IA$3))/$AJ24,Уголь_коэфф!$A:$B,2,1),(HZ24-0.05)))</f>
        <v>1</v>
      </c>
      <c r="IB24" s="102">
        <f>MIN(1,MAX(VLOOKUP(($AJ24-$AI24-$AH24-$AG24-$AF24-$AE24*(1+IB$3))/$AJ24,Уголь_коэфф!$A:$B,2,1),(IA24-0.05)))</f>
        <v>1</v>
      </c>
      <c r="IC24" s="102">
        <f>MIN(1,MAX(VLOOKUP(($AJ24-$AI24-$AH24-$AG24-$AF24-$AE24*(1+IC$3))/$AJ24,Уголь_коэфф!$A:$B,2,1),(IB24-0.05)))</f>
        <v>1</v>
      </c>
      <c r="ID24" s="102">
        <f>MIN(1,MAX(VLOOKUP(($AJ24-$AI24-$AH24-$AG24-$AF24-$AE24*(1+ID$3))/$AJ24,Уголь_коэфф!$A:$B,2,1),(IC24-0.05)))</f>
        <v>1</v>
      </c>
      <c r="IE24" s="102">
        <f>MIN(1,MAX(VLOOKUP(($AJ24-$AI24-$AH24-$AG24-$AF24-$AE24*(1+IE$3))/$AJ24,Уголь_коэфф!$A:$B,2,1),(ID24-0.05)))</f>
        <v>1</v>
      </c>
      <c r="IF24" s="102">
        <f>MIN(1,MAX(VLOOKUP(($AJ24-$AI24-$AH24-$AG24-$AF24-$AE24*(1+IF$3))/$AJ24,Уголь_коэфф!$A:$B,2,1),(IE24-0.05)))</f>
        <v>1</v>
      </c>
      <c r="IG24" s="102">
        <f>MIN(1,MAX(VLOOKUP(($AJ24-$AI24-$AH24-$AG24-$AF24-$AE24*(1+IG$3))/$AJ24,Уголь_коэфф!$A:$B,2,1),(IF24-0.05)))</f>
        <v>1</v>
      </c>
      <c r="IH24" s="102">
        <f>MIN(1,MAX(VLOOKUP(($AJ24-$AI24-$AH24-$AG24-$AF24-$AE24*(1+IH$3))/$AJ24,Уголь_коэфф!$A:$B,2,1),(IG24-0.05)))</f>
        <v>1</v>
      </c>
      <c r="II24" s="102">
        <f>MIN(1,MAX(VLOOKUP(($AJ24-$AI24-$AH24-$AG24-$AF24-$AE24*(1+II$3))/$AJ24,Уголь_коэфф!$A:$B,2,1),(IH24-0.05)))</f>
        <v>1</v>
      </c>
      <c r="IJ24" s="102">
        <f>MIN(1,MAX(VLOOKUP(($AJ24-$AI24-$AH24-$AG24-$AF24-$AE24*(1+IJ$3))/$AJ24,Уголь_коэфф!$A:$B,2,1),(II24-0.05)))</f>
        <v>1</v>
      </c>
      <c r="IK24" s="102">
        <f>MIN(1,MAX(VLOOKUP(($AJ24-$AI24-$AH24-$AG24-$AF24-$AE24*(1+IK$3))/$AJ24,Уголь_коэфф!$A:$B,2,1),(IJ24-0.05)))</f>
        <v>0.995</v>
      </c>
      <c r="IL24" s="102">
        <f>MIN(1,MAX(VLOOKUP(($AJ24-$AI24-$AH24-$AG24-$AF24-$AE24*(1+IL$3))/$AJ24,Уголь_коэфф!$A:$B,2,1),(IK24-0.05)))</f>
        <v>0.995</v>
      </c>
      <c r="IM24" s="102">
        <f>MIN(1,MAX(VLOOKUP(($AJ24-$AI24-$AH24-$AG24-$AF24-$AE24*(1+IM$3))/$AJ24,Уголь_коэфф!$A:$B,2,1),(IL24-0.05)))</f>
        <v>0.995</v>
      </c>
      <c r="IN24" s="102">
        <f>MIN(1,MAX(VLOOKUP(($AJ24-$AI24-$AH24-$AG24-$AF24-$AE24*(1+IN$3))/$AJ24,Уголь_коэфф!$A:$B,2,1),(IM24-0.05)))</f>
        <v>0.995</v>
      </c>
      <c r="IO24" s="102">
        <f>MIN(1,MAX(VLOOKUP(($AJ24-$AI24-$AH24-$AG24-$AF24-$AE24*(1+IO$3))/$AJ24,Уголь_коэфф!$A:$B,2,1),(IN24-0.05)))</f>
        <v>0.99</v>
      </c>
      <c r="IP24" s="102">
        <f>MIN(1,MAX(VLOOKUP(($AJ24-$AI24-$AH24-$AG24-$AF24-$AE24*(1+IP$3))/$AJ24,Уголь_коэфф!$A:$B,2,1),(IO24-0.05)))</f>
        <v>0.99</v>
      </c>
      <c r="IQ24" s="102">
        <f>MIN(1,MAX(VLOOKUP(($AJ24-$AI24-$AH24-$AG24-$AF24-$AE24*(1+IQ$3))/$AJ24,Уголь_коэфф!$A:$B,2,1),(IP24-0.05)))</f>
        <v>0.99</v>
      </c>
      <c r="IR24" s="102">
        <f>MIN(1,MAX(VLOOKUP(($AJ24-$AI24-$AH24-$AG24-$AF24-$AE24*(1+IR$3))/$AJ24,Уголь_коэфф!$A:$B,2,1),(IQ24-0.05)))</f>
        <v>0.99</v>
      </c>
      <c r="IS24" s="102">
        <f t="shared" si="20"/>
        <v>1</v>
      </c>
      <c r="IT24" s="102">
        <f t="shared" si="7"/>
        <v>1</v>
      </c>
      <c r="IU24" s="110"/>
    </row>
    <row r="25" spans="1:255" ht="14.6" customHeight="1">
      <c r="A25" t="s">
        <v>240</v>
      </c>
      <c r="B25" s="157">
        <v>1</v>
      </c>
      <c r="C25" s="158" t="s">
        <v>16</v>
      </c>
      <c r="D25" s="159">
        <v>16112</v>
      </c>
      <c r="E25" s="159" t="s">
        <v>28</v>
      </c>
      <c r="F25" s="158" t="s">
        <v>18</v>
      </c>
      <c r="G25" s="158" t="s">
        <v>45</v>
      </c>
      <c r="H25" s="159" t="s">
        <v>30</v>
      </c>
      <c r="I25" s="158" t="s">
        <v>72</v>
      </c>
      <c r="J25" s="159" t="s">
        <v>53</v>
      </c>
      <c r="K25" s="159">
        <v>4229</v>
      </c>
      <c r="L25" s="159" t="s">
        <v>22</v>
      </c>
      <c r="M25" s="159" t="s">
        <v>23</v>
      </c>
      <c r="N25" s="159" t="s">
        <v>24</v>
      </c>
      <c r="O25" s="159" t="s">
        <v>33</v>
      </c>
      <c r="P25" s="160">
        <v>87470970</v>
      </c>
      <c r="Q25" s="160" t="s">
        <v>125</v>
      </c>
      <c r="R25" s="158" t="s">
        <v>124</v>
      </c>
      <c r="S25" s="161">
        <v>3819419</v>
      </c>
      <c r="T25" s="162">
        <v>16151426937</v>
      </c>
      <c r="U25" s="162">
        <v>53944</v>
      </c>
      <c r="V25" s="162"/>
      <c r="W25" s="163">
        <v>6992355439</v>
      </c>
      <c r="X25" s="105">
        <v>69</v>
      </c>
      <c r="Y25" s="105" t="s">
        <v>163</v>
      </c>
      <c r="Z25" s="107">
        <v>11</v>
      </c>
      <c r="AA25" s="107">
        <v>12</v>
      </c>
      <c r="AB25" s="107">
        <v>4</v>
      </c>
      <c r="AC25" s="88">
        <v>2082.23</v>
      </c>
      <c r="AD25" s="88">
        <v>928.75999999999976</v>
      </c>
      <c r="AE25" s="88">
        <f t="shared" si="28"/>
        <v>3010.99</v>
      </c>
      <c r="AF25" s="89">
        <f>'Цены,перевалка,аренда'!$C$27*SUM(Уголь_эластика_экспорт!Z25+Уголь_эластика_экспорт!AA25+Уголь_эластика_экспорт!AB25)/Уголь_эластика_экспорт!X25</f>
        <v>273.91304347826087</v>
      </c>
      <c r="AG25" s="90">
        <f>SUMIF('Цены,перевалка,аренда'!$A$20:$A$22,Уголь_эластика_экспорт!$O25,'Цены,перевалка,аренда'!$D$20:$D$22)</f>
        <v>610.44399999999996</v>
      </c>
      <c r="AH25" s="47"/>
      <c r="AI25" s="91">
        <v>2338</v>
      </c>
      <c r="AJ25" s="92">
        <f>SUMIF('Цены,перевалка,аренда'!$A$5:$A$17,Уголь_эластика_экспорт!A25,'Цены,перевалка,аренда'!$D$5:$D$17)</f>
        <v>6485.9674999999997</v>
      </c>
      <c r="AK25" s="47">
        <f>AJ25/'Цены,перевалка,аренда'!$C$1</f>
        <v>85</v>
      </c>
      <c r="AL25" s="47">
        <f t="shared" si="9"/>
        <v>3895.3470434782607</v>
      </c>
      <c r="AM25" s="47">
        <f t="shared" si="10"/>
        <v>2590.620456521739</v>
      </c>
      <c r="AN25" s="47">
        <f t="shared" si="11"/>
        <v>6233.3470434782612</v>
      </c>
      <c r="AO25" s="93">
        <f t="shared" si="12"/>
        <v>3.8948770021086071E-2</v>
      </c>
      <c r="AP25" s="94">
        <f t="shared" si="13"/>
        <v>0.60058072191670109</v>
      </c>
      <c r="AQ25" s="94">
        <f t="shared" si="5"/>
        <v>0.46423143501721215</v>
      </c>
      <c r="AR25" s="94">
        <f t="shared" si="6"/>
        <v>0.77297092310199023</v>
      </c>
      <c r="AS25" s="167">
        <f t="shared" si="14"/>
        <v>1</v>
      </c>
      <c r="AT25" s="173">
        <f t="shared" si="15"/>
        <v>3819419</v>
      </c>
      <c r="AU25" s="97">
        <v>0.8</v>
      </c>
      <c r="AV25" s="93">
        <f t="shared" si="16"/>
        <v>-7.4743734806351717E-3</v>
      </c>
      <c r="AW25" s="94">
        <f t="shared" si="17"/>
        <v>0.64700386541842236</v>
      </c>
      <c r="AX25" s="94">
        <f t="shared" si="18"/>
        <v>0.51065457851893337</v>
      </c>
      <c r="AY25" s="94">
        <f t="shared" si="19"/>
        <v>0.78926047557488566</v>
      </c>
      <c r="AZ25" s="102">
        <f>MIN(IF($AU25=100%,1,1+VLOOKUP(($AJ25-$AI25-$AH25-$AG25-$AF25-$AE25*(1+AZ$3))/$AJ25,Уголь_коэфф!$A:$B,2,1)-VLOOKUP($AO25,Уголь_коэфф!$A:$B,2,1)),1+(1-$AU25))</f>
        <v>1.1339999999999999</v>
      </c>
      <c r="BA25" s="102">
        <f>MIN(IF($AU25=100%,1,1+VLOOKUP(($AJ25-$AI25-$AH25-$AG25-$AF25-$AE25*(1+BA$3))/$AJ25,Уголь_коэфф!$A:$B,2,1)-VLOOKUP($AO25,Уголь_коэфф!$A:$B,2,1)),1+(1-$AU25))</f>
        <v>1.1280000000000001</v>
      </c>
      <c r="BB25" s="102">
        <f>MIN(IF($AU25=100%,1,1+VLOOKUP(($AJ25-$AI25-$AH25-$AG25-$AF25-$AE25*(1+BB$3))/$AJ25,Уголь_коэфф!$A:$B,2,1)-VLOOKUP($AO25,Уголь_коэфф!$A:$B,2,1)),1+(1-$AU25))</f>
        <v>1.1280000000000001</v>
      </c>
      <c r="BC25" s="102">
        <f>MIN(IF($AU25=100%,1,1+VLOOKUP(($AJ25-$AI25-$AH25-$AG25-$AF25-$AE25*(1+BC$3))/$AJ25,Уголь_коэфф!$A:$B,2,1)-VLOOKUP($AO25,Уголь_коэфф!$A:$B,2,1)),1+(1-$AU25))</f>
        <v>1.1280000000000001</v>
      </c>
      <c r="BD25" s="102">
        <f>MIN(IF($AU25=100%,1,1+VLOOKUP(($AJ25-$AI25-$AH25-$AG25-$AF25-$AE25*(1+BD$3))/$AJ25,Уголь_коэфф!$A:$B,2,1)-VLOOKUP($AO25,Уголь_коэфф!$A:$B,2,1)),1+(1-$AU25))</f>
        <v>1.1280000000000001</v>
      </c>
      <c r="BE25" s="102">
        <f>MIN(IF($AU25=100%,1,1+VLOOKUP(($AJ25-$AI25-$AH25-$AG25-$AF25-$AE25*(1+BE$3))/$AJ25,Уголь_коэфф!$A:$B,2,1)-VLOOKUP($AO25,Уголь_коэфф!$A:$B,2,1)),1+(1-$AU25))</f>
        <v>1.1219999999999999</v>
      </c>
      <c r="BF25" s="102">
        <f>MIN(IF($AU25=100%,1,1+VLOOKUP(($AJ25-$AI25-$AH25-$AG25-$AF25-$AE25*(1+BF$3))/$AJ25,Уголь_коэфф!$A:$B,2,1)-VLOOKUP($AO25,Уголь_коэфф!$A:$B,2,1)),1+(1-$AU25))</f>
        <v>1.1219999999999999</v>
      </c>
      <c r="BG25" s="102">
        <f>MIN(IF($AU25=100%,1,1+VLOOKUP(($AJ25-$AI25-$AH25-$AG25-$AF25-$AE25*(1+BG$3))/$AJ25,Уголь_коэфф!$A:$B,2,1)-VLOOKUP($AO25,Уголь_коэфф!$A:$B,2,1)),1+(1-$AU25))</f>
        <v>1.1219999999999999</v>
      </c>
      <c r="BH25" s="102">
        <f>MIN(IF($AU25=100%,1,1+VLOOKUP(($AJ25-$AI25-$AH25-$AG25-$AF25-$AE25*(1+BH$3))/$AJ25,Уголь_коэфф!$A:$B,2,1)-VLOOKUP($AO25,Уголь_коэфф!$A:$B,2,1)),1+(1-$AU25))</f>
        <v>1.1219999999999999</v>
      </c>
      <c r="BI25" s="102">
        <f>MIN(IF($AU25=100%,1,1+VLOOKUP(($AJ25-$AI25-$AH25-$AG25-$AF25-$AE25*(1+BI$3))/$AJ25,Уголь_коэфф!$A:$B,2,1)-VLOOKUP($AO25,Уголь_коэфф!$A:$B,2,1)),1+(1-$AU25))</f>
        <v>1.1219999999999999</v>
      </c>
      <c r="BJ25" s="102">
        <f>MIN(IF($AU25=100%,1,1+VLOOKUP(($AJ25-$AI25-$AH25-$AG25-$AF25-$AE25*(1+BJ$3))/$AJ25,Уголь_коэфф!$A:$B,2,1)-VLOOKUP($AO25,Уголь_коэфф!$A:$B,2,1)),1+(1-$AU25))</f>
        <v>1.1160000000000001</v>
      </c>
      <c r="BK25" s="102">
        <f>MIN(IF($AU25=100%,1,1+VLOOKUP(($AJ25-$AI25-$AH25-$AG25-$AF25-$AE25*(1+BK$3))/$AJ25,Уголь_коэфф!$A:$B,2,1)-VLOOKUP($AO25,Уголь_коэфф!$A:$B,2,1)),1+(1-$AU25))</f>
        <v>1.1160000000000001</v>
      </c>
      <c r="BL25" s="102">
        <f>MIN(IF($AU25=100%,1,1+VLOOKUP(($AJ25-$AI25-$AH25-$AG25-$AF25-$AE25*(1+BL$3))/$AJ25,Уголь_коэфф!$A:$B,2,1)-VLOOKUP($AO25,Уголь_коэфф!$A:$B,2,1)),1+(1-$AU25))</f>
        <v>1.1160000000000001</v>
      </c>
      <c r="BM25" s="102">
        <f>MIN(IF($AU25=100%,1,1+VLOOKUP(($AJ25-$AI25-$AH25-$AG25-$AF25-$AE25*(1+BM$3))/$AJ25,Уголь_коэфф!$A:$B,2,1)-VLOOKUP($AO25,Уголь_коэфф!$A:$B,2,1)),1+(1-$AU25))</f>
        <v>1.1160000000000001</v>
      </c>
      <c r="BN25" s="102">
        <f>MIN(IF($AU25=100%,1,1+VLOOKUP(($AJ25-$AI25-$AH25-$AG25-$AF25-$AE25*(1+BN$3))/$AJ25,Уголь_коэфф!$A:$B,2,1)-VLOOKUP($AO25,Уголь_коэфф!$A:$B,2,1)),1+(1-$AU25))</f>
        <v>1.1100000000000003</v>
      </c>
      <c r="BO25" s="102">
        <f>MIN(IF($AU25=100%,1,1+VLOOKUP(($AJ25-$AI25-$AH25-$AG25-$AF25-$AE25*(1+BO$3))/$AJ25,Уголь_коэфф!$A:$B,2,1)-VLOOKUP($AO25,Уголь_коэфф!$A:$B,2,1)),1+(1-$AU25))</f>
        <v>1.1100000000000003</v>
      </c>
      <c r="BP25" s="102">
        <f>MIN(IF($AU25=100%,1,1+VLOOKUP(($AJ25-$AI25-$AH25-$AG25-$AF25-$AE25*(1+BP$3))/$AJ25,Уголь_коэфф!$A:$B,2,1)-VLOOKUP($AO25,Уголь_коэфф!$A:$B,2,1)),1+(1-$AU25))</f>
        <v>1.1100000000000003</v>
      </c>
      <c r="BQ25" s="102">
        <f>MIN(IF($AU25=100%,1,1+VLOOKUP(($AJ25-$AI25-$AH25-$AG25-$AF25-$AE25*(1+BQ$3))/$AJ25,Уголь_коэфф!$A:$B,2,1)-VLOOKUP($AO25,Уголь_коэфф!$A:$B,2,1)),1+(1-$AU25))</f>
        <v>1.1100000000000003</v>
      </c>
      <c r="BR25" s="102">
        <f>MIN(IF($AU25=100%,1,1+VLOOKUP(($AJ25-$AI25-$AH25-$AG25-$AF25-$AE25*(1+BR$3))/$AJ25,Уголь_коэфф!$A:$B,2,1)-VLOOKUP($AO25,Уголь_коэфф!$A:$B,2,1)),1+(1-$AU25))</f>
        <v>1.1040000000000001</v>
      </c>
      <c r="BS25" s="102">
        <f>MIN(IF($AU25=100%,1,1+VLOOKUP(($AJ25-$AI25-$AH25-$AG25-$AF25-$AE25*(1+BS$3))/$AJ25,Уголь_коэфф!$A:$B,2,1)-VLOOKUP($AO25,Уголь_коэфф!$A:$B,2,1)),1+(1-$AU25))</f>
        <v>1.1040000000000001</v>
      </c>
      <c r="BT25" s="102">
        <f>MIN(IF($AU25=100%,1,1+VLOOKUP(($AJ25-$AI25-$AH25-$AG25-$AF25-$AE25*(1+BT$3))/$AJ25,Уголь_коэфф!$A:$B,2,1)-VLOOKUP($AO25,Уголь_коэфф!$A:$B,2,1)),1+(1-$AU25))</f>
        <v>1.1040000000000001</v>
      </c>
      <c r="BU25" s="102">
        <f>MIN(IF($AU25=100%,1,1+VLOOKUP(($AJ25-$AI25-$AH25-$AG25-$AF25-$AE25*(1+BU$3))/$AJ25,Уголь_коэфф!$A:$B,2,1)-VLOOKUP($AO25,Уголь_коэфф!$A:$B,2,1)),1+(1-$AU25))</f>
        <v>1.1040000000000001</v>
      </c>
      <c r="BV25" s="102">
        <f>MIN(IF($AU25=100%,1,1+VLOOKUP(($AJ25-$AI25-$AH25-$AG25-$AF25-$AE25*(1+BV$3))/$AJ25,Уголь_коэфф!$A:$B,2,1)-VLOOKUP($AO25,Уголь_коэфф!$A:$B,2,1)),1+(1-$AU25))</f>
        <v>1.0979999999999999</v>
      </c>
      <c r="BW25" s="102">
        <f>MIN(IF($AU25=100%,1,1+VLOOKUP(($AJ25-$AI25-$AH25-$AG25-$AF25-$AE25*(1+BW$3))/$AJ25,Уголь_коэфф!$A:$B,2,1)-VLOOKUP($AO25,Уголь_коэфф!$A:$B,2,1)),1+(1-$AU25))</f>
        <v>1.0979999999999999</v>
      </c>
      <c r="BX25" s="102">
        <f>MIN(IF($AU25=100%,1,1+VLOOKUP(($AJ25-$AI25-$AH25-$AG25-$AF25-$AE25*(1+BX$3))/$AJ25,Уголь_коэфф!$A:$B,2,1)-VLOOKUP($AO25,Уголь_коэфф!$A:$B,2,1)),1+(1-$AU25))</f>
        <v>1.0979999999999999</v>
      </c>
      <c r="BY25" s="102">
        <f>MIN(IF($AU25=100%,1,1+VLOOKUP(($AJ25-$AI25-$AH25-$AG25-$AF25-$AE25*(1+BY$3))/$AJ25,Уголь_коэфф!$A:$B,2,1)-VLOOKUP($AO25,Уголь_коэфф!$A:$B,2,1)),1+(1-$AU25))</f>
        <v>1.0979999999999999</v>
      </c>
      <c r="BZ25" s="102">
        <f>MIN(IF($AU25=100%,1,1+VLOOKUP(($AJ25-$AI25-$AH25-$AG25-$AF25-$AE25*(1+BZ$3))/$AJ25,Уголь_коэфф!$A:$B,2,1)-VLOOKUP($AO25,Уголь_коэфф!$A:$B,2,1)),1+(1-$AU25))</f>
        <v>1.0979999999999999</v>
      </c>
      <c r="CA25" s="102">
        <f>MIN(IF($AU25=100%,1,1+VLOOKUP(($AJ25-$AI25-$AH25-$AG25-$AF25-$AE25*(1+CA$3))/$AJ25,Уголь_коэфф!$A:$B,2,1)-VLOOKUP($AO25,Уголь_коэфф!$A:$B,2,1)),1+(1-$AU25))</f>
        <v>1.0920000000000001</v>
      </c>
      <c r="CB25" s="102">
        <f>MIN(IF($AU25=100%,1,1+VLOOKUP(($AJ25-$AI25-$AH25-$AG25-$AF25-$AE25*(1+CB$3))/$AJ25,Уголь_коэфф!$A:$B,2,1)-VLOOKUP($AO25,Уголь_коэфф!$A:$B,2,1)),1+(1-$AU25))</f>
        <v>1.0920000000000001</v>
      </c>
      <c r="CC25" s="102">
        <f>MIN(IF($AU25=100%,1,1+VLOOKUP(($AJ25-$AI25-$AH25-$AG25-$AF25-$AE25*(1+CC$3))/$AJ25,Уголь_коэфф!$A:$B,2,1)-VLOOKUP($AO25,Уголь_коэфф!$A:$B,2,1)),1+(1-$AU25))</f>
        <v>1.0920000000000001</v>
      </c>
      <c r="CD25" s="102">
        <f>MIN(IF($AU25=100%,1,1+VLOOKUP(($AJ25-$AI25-$AH25-$AG25-$AF25-$AE25*(1+CD$3))/$AJ25,Уголь_коэфф!$A:$B,2,1)-VLOOKUP($AO25,Уголь_коэфф!$A:$B,2,1)),1+(1-$AU25))</f>
        <v>1.0920000000000001</v>
      </c>
      <c r="CE25" s="102">
        <f>MIN(IF($AU25=100%,1,1+VLOOKUP(($AJ25-$AI25-$AH25-$AG25-$AF25-$AE25*(1+CE$3))/$AJ25,Уголь_коэфф!$A:$B,2,1)-VLOOKUP($AO25,Уголь_коэфф!$A:$B,2,1)),1+(1-$AU25))</f>
        <v>1.0860000000000003</v>
      </c>
      <c r="CF25" s="102">
        <f>MIN(IF($AU25=100%,1,1+VLOOKUP(($AJ25-$AI25-$AH25-$AG25-$AF25-$AE25*(1+CF$3))/$AJ25,Уголь_коэфф!$A:$B,2,1)-VLOOKUP($AO25,Уголь_коэфф!$A:$B,2,1)),1+(1-$AU25))</f>
        <v>1.0860000000000003</v>
      </c>
      <c r="CG25" s="102">
        <f>MIN(IF($AU25=100%,1,1+VLOOKUP(($AJ25-$AI25-$AH25-$AG25-$AF25-$AE25*(1+CG$3))/$AJ25,Уголь_коэфф!$A:$B,2,1)-VLOOKUP($AO25,Уголь_коэфф!$A:$B,2,1)),1+(1-$AU25))</f>
        <v>1.0860000000000003</v>
      </c>
      <c r="CH25" s="102">
        <f>MIN(IF($AU25=100%,1,1+VLOOKUP(($AJ25-$AI25-$AH25-$AG25-$AF25-$AE25*(1+CH$3))/$AJ25,Уголь_коэфф!$A:$B,2,1)-VLOOKUP($AO25,Уголь_коэфф!$A:$B,2,1)),1+(1-$AU25))</f>
        <v>1.0860000000000003</v>
      </c>
      <c r="CI25" s="102">
        <f>MIN(IF($AU25=100%,1,1+VLOOKUP(($AJ25-$AI25-$AH25-$AG25-$AF25-$AE25*(1+CI$3))/$AJ25,Уголь_коэфф!$A:$B,2,1)-VLOOKUP($AO25,Уголь_коэфф!$A:$B,2,1)),1+(1-$AU25))</f>
        <v>1.08</v>
      </c>
      <c r="CJ25" s="102">
        <f>MIN(IF($AU25=100%,1,1+VLOOKUP(($AJ25-$AI25-$AH25-$AG25-$AF25-$AE25*(1+CJ$3))/$AJ25,Уголь_коэфф!$A:$B,2,1)-VLOOKUP($AO25,Уголь_коэфф!$A:$B,2,1)),1+(1-$AU25))</f>
        <v>1.08</v>
      </c>
      <c r="CK25" s="102">
        <f>MIN(IF($AU25=100%,1,1+VLOOKUP(($AJ25-$AI25-$AH25-$AG25-$AF25-$AE25*(1+CK$3))/$AJ25,Уголь_коэфф!$A:$B,2,1)-VLOOKUP($AO25,Уголь_коэфф!$A:$B,2,1)),1+(1-$AU25))</f>
        <v>1.08</v>
      </c>
      <c r="CL25" s="102">
        <f>MIN(IF($AU25=100%,1,1+VLOOKUP(($AJ25-$AI25-$AH25-$AG25-$AF25-$AE25*(1+CL$3))/$AJ25,Уголь_коэфф!$A:$B,2,1)-VLOOKUP($AO25,Уголь_коэфф!$A:$B,2,1)),1+(1-$AU25))</f>
        <v>1.08</v>
      </c>
      <c r="CM25" s="102">
        <f>MIN(IF($AU25=100%,1,1+VLOOKUP(($AJ25-$AI25-$AH25-$AG25-$AF25-$AE25*(1+CM$3))/$AJ25,Уголь_коэфф!$A:$B,2,1)-VLOOKUP($AO25,Уголь_коэфф!$A:$B,2,1)),1+(1-$AU25))</f>
        <v>1.08</v>
      </c>
      <c r="CN25" s="102">
        <f>MIN(IF($AU25=100%,1,1+VLOOKUP(($AJ25-$AI25-$AH25-$AG25-$AF25-$AE25*(1+CN$3))/$AJ25,Уголь_коэфф!$A:$B,2,1)-VLOOKUP($AO25,Уголь_коэфф!$A:$B,2,1)),1+(1-$AU25))</f>
        <v>1.0750000000000002</v>
      </c>
      <c r="CO25" s="102">
        <f>MIN(IF($AU25=100%,1,1+VLOOKUP(($AJ25-$AI25-$AH25-$AG25-$AF25-$AE25*(1+CO$3))/$AJ25,Уголь_коэфф!$A:$B,2,1)-VLOOKUP($AO25,Уголь_коэфф!$A:$B,2,1)),1+(1-$AU25))</f>
        <v>1.0750000000000002</v>
      </c>
      <c r="CP25" s="102">
        <f>MIN(IF($AU25=100%,1,1+VLOOKUP(($AJ25-$AI25-$AH25-$AG25-$AF25-$AE25*(1+CP$3))/$AJ25,Уголь_коэфф!$A:$B,2,1)-VLOOKUP($AO25,Уголь_коэфф!$A:$B,2,1)),1+(1-$AU25))</f>
        <v>1.0750000000000002</v>
      </c>
      <c r="CQ25" s="102">
        <f>MIN(IF($AU25=100%,1,1+VLOOKUP(($AJ25-$AI25-$AH25-$AG25-$AF25-$AE25*(1+CQ$3))/$AJ25,Уголь_коэфф!$A:$B,2,1)-VLOOKUP($AO25,Уголь_коэфф!$A:$B,2,1)),1+(1-$AU25))</f>
        <v>1.0750000000000002</v>
      </c>
      <c r="CR25" s="102">
        <f>MIN(IF($AU25=100%,1,1+VLOOKUP(($AJ25-$AI25-$AH25-$AG25-$AF25-$AE25*(1+CR$3))/$AJ25,Уголь_коэфф!$A:$B,2,1)-VLOOKUP($AO25,Уголь_коэфф!$A:$B,2,1)),1+(1-$AU25))</f>
        <v>1.0700000000000003</v>
      </c>
      <c r="CS25" s="102">
        <f>MIN(IF($AU25=100%,1,1+VLOOKUP(($AJ25-$AI25-$AH25-$AG25-$AF25-$AE25*(1+CS$3))/$AJ25,Уголь_коэфф!$A:$B,2,1)-VLOOKUP($AO25,Уголь_коэфф!$A:$B,2,1)),1+(1-$AU25))</f>
        <v>1.0700000000000003</v>
      </c>
      <c r="CT25" s="102">
        <f>MIN(IF($AU25=100%,1,1+VLOOKUP(($AJ25-$AI25-$AH25-$AG25-$AF25-$AE25*(1+CT$3))/$AJ25,Уголь_коэфф!$A:$B,2,1)-VLOOKUP($AO25,Уголь_коэфф!$A:$B,2,1)),1+(1-$AU25))</f>
        <v>1.0700000000000003</v>
      </c>
      <c r="CU25" s="102">
        <f>MIN(IF($AU25=100%,1,1+VLOOKUP(($AJ25-$AI25-$AH25-$AG25-$AF25-$AE25*(1+CU$3))/$AJ25,Уголь_коэфф!$A:$B,2,1)-VLOOKUP($AO25,Уголь_коэфф!$A:$B,2,1)),1+(1-$AU25))</f>
        <v>1.0700000000000003</v>
      </c>
      <c r="CV25" s="102">
        <f>MIN(IF($AU25=100%,1,1+VLOOKUP(($AJ25-$AI25-$AH25-$AG25-$AF25-$AE25*(1+CV$3))/$AJ25,Уголь_коэфф!$A:$B,2,1)-VLOOKUP($AO25,Уголь_коэфф!$A:$B,2,1)),1+(1-$AU25))</f>
        <v>1.0649999999999999</v>
      </c>
      <c r="CW25" s="102">
        <f>MIN(IF($AU25=100%,1,1+VLOOKUP(($AJ25-$AI25-$AH25-$AG25-$AF25-$AE25*(1+CW$3))/$AJ25,Уголь_коэфф!$A:$B,2,1)-VLOOKUP($AO25,Уголь_коэфф!$A:$B,2,1)),1+(1-$AU25))</f>
        <v>1.0649999999999999</v>
      </c>
      <c r="CX25" s="102">
        <f>MIN(IF($AU25=100%,1,1+VLOOKUP(($AJ25-$AI25-$AH25-$AG25-$AF25-$AE25*(1+CX$3))/$AJ25,Уголь_коэфф!$A:$B,2,1)-VLOOKUP($AO25,Уголь_коэфф!$A:$B,2,1)),1+(1-$AU25))</f>
        <v>1.0649999999999999</v>
      </c>
      <c r="CY25" s="102">
        <f>MIN(IF($AU25=100%,1,1+VLOOKUP(($AJ25-$AI25-$AH25-$AG25-$AF25-$AE25*(1+CY$3))/$AJ25,Уголь_коэфф!$A:$B,2,1)-VLOOKUP($AO25,Уголь_коэфф!$A:$B,2,1)),1+(1-$AU25))</f>
        <v>1.0649999999999999</v>
      </c>
      <c r="CZ25" s="102">
        <f>MIN(IF($AU25=100%,1,1+VLOOKUP(($AJ25-$AI25-$AH25-$AG25-$AF25-$AE25*(1+CZ$3))/$AJ25,Уголь_коэфф!$A:$B,2,1)-VLOOKUP($AO25,Уголь_коэфф!$A:$B,2,1)),1+(1-$AU25))</f>
        <v>1.0649999999999999</v>
      </c>
      <c r="DA25" s="102">
        <f>MIN(IF($AU25=100%,1,1+VLOOKUP(($AJ25-$AI25-$AH25-$AG25-$AF25-$AE25*(1+DA$3))/$AJ25,Уголь_коэфф!$A:$B,2,1)-VLOOKUP($AO25,Уголь_коэфф!$A:$B,2,1)),1+(1-$AU25))</f>
        <v>1.06</v>
      </c>
      <c r="DB25" s="102">
        <f>MIN(IF($AU25=100%,1,1+VLOOKUP(($AJ25-$AI25-$AH25-$AG25-$AF25-$AE25*(1+DB$3))/$AJ25,Уголь_коэфф!$A:$B,2,1)-VLOOKUP($AO25,Уголь_коэфф!$A:$B,2,1)),1+(1-$AU25))</f>
        <v>1.06</v>
      </c>
      <c r="DC25" s="102">
        <f>MIN(IF($AU25=100%,1,1+VLOOKUP(($AJ25-$AI25-$AH25-$AG25-$AF25-$AE25*(1+DC$3))/$AJ25,Уголь_коэфф!$A:$B,2,1)-VLOOKUP($AO25,Уголь_коэфф!$A:$B,2,1)),1+(1-$AU25))</f>
        <v>1.06</v>
      </c>
      <c r="DD25" s="102">
        <f>MIN(IF($AU25=100%,1,1+VLOOKUP(($AJ25-$AI25-$AH25-$AG25-$AF25-$AE25*(1+DD$3))/$AJ25,Уголь_коэфф!$A:$B,2,1)-VLOOKUP($AO25,Уголь_коэфф!$A:$B,2,1)),1+(1-$AU25))</f>
        <v>1.06</v>
      </c>
      <c r="DE25" s="102">
        <f>MIN(IF($AU25=100%,1,1+VLOOKUP(($AJ25-$AI25-$AH25-$AG25-$AF25-$AE25*(1+DE$3))/$AJ25,Уголь_коэфф!$A:$B,2,1)-VLOOKUP($AO25,Уголь_коэфф!$A:$B,2,1)),1+(1-$AU25))</f>
        <v>1.0549999999999997</v>
      </c>
      <c r="DF25" s="102">
        <f>MIN(IF($AU25=100%,1,1+VLOOKUP(($AJ25-$AI25-$AH25-$AG25-$AF25-$AE25*(1+DF$3))/$AJ25,Уголь_коэфф!$A:$B,2,1)-VLOOKUP($AO25,Уголь_коэфф!$A:$B,2,1)),1+(1-$AU25))</f>
        <v>1.0549999999999997</v>
      </c>
      <c r="DG25" s="102">
        <f>MIN(IF($AU25=100%,1,1+VLOOKUP(($AJ25-$AI25-$AH25-$AG25-$AF25-$AE25*(1+DG$3))/$AJ25,Уголь_коэфф!$A:$B,2,1)-VLOOKUP($AO25,Уголь_коэфф!$A:$B,2,1)),1+(1-$AU25))</f>
        <v>1.0549999999999997</v>
      </c>
      <c r="DH25" s="102">
        <f>MIN(IF($AU25=100%,1,1+VLOOKUP(($AJ25-$AI25-$AH25-$AG25-$AF25-$AE25*(1+DH$3))/$AJ25,Уголь_коэфф!$A:$B,2,1)-VLOOKUP($AO25,Уголь_коэфф!$A:$B,2,1)),1+(1-$AU25))</f>
        <v>1.0549999999999997</v>
      </c>
      <c r="DI25" s="102">
        <f>MIN(IF($AU25=100%,1,1+VLOOKUP(($AJ25-$AI25-$AH25-$AG25-$AF25-$AE25*(1+DI$3))/$AJ25,Уголь_коэфф!$A:$B,2,1)-VLOOKUP($AO25,Уголь_коэфф!$A:$B,2,1)),1+(1-$AU25))</f>
        <v>1.0499999999999998</v>
      </c>
      <c r="DJ25" s="102">
        <f>MIN(IF($AU25=100%,1,1+VLOOKUP(($AJ25-$AI25-$AH25-$AG25-$AF25-$AE25*(1+DJ$3))/$AJ25,Уголь_коэфф!$A:$B,2,1)-VLOOKUP($AO25,Уголь_коэфф!$A:$B,2,1)),1+(1-$AU25))</f>
        <v>1.0499999999999998</v>
      </c>
      <c r="DK25" s="102">
        <f>MIN(IF($AU25=100%,1,1+VLOOKUP(($AJ25-$AI25-$AH25-$AG25-$AF25-$AE25*(1+DK$3))/$AJ25,Уголь_коэфф!$A:$B,2,1)-VLOOKUP($AO25,Уголь_коэфф!$A:$B,2,1)),1+(1-$AU25))</f>
        <v>1.0499999999999998</v>
      </c>
      <c r="DL25" s="102">
        <f>MIN(IF($AU25=100%,1,1+VLOOKUP(($AJ25-$AI25-$AH25-$AG25-$AF25-$AE25*(1+DL$3))/$AJ25,Уголь_коэфф!$A:$B,2,1)-VLOOKUP($AO25,Уголь_коэфф!$A:$B,2,1)),1+(1-$AU25))</f>
        <v>1.0499999999999998</v>
      </c>
      <c r="DM25" s="102">
        <f>MIN(IF($AU25=100%,1,1+VLOOKUP(($AJ25-$AI25-$AH25-$AG25-$AF25-$AE25*(1+DM$3))/$AJ25,Уголь_коэфф!$A:$B,2,1)-VLOOKUP($AO25,Уголь_коэфф!$A:$B,2,1)),1+(1-$AU25))</f>
        <v>1.0499999999999998</v>
      </c>
      <c r="DN25" s="102">
        <f>MIN(IF($AU25=100%,1,1+VLOOKUP(($AJ25-$AI25-$AH25-$AG25-$AF25-$AE25*(1+DN$3))/$AJ25,Уголь_коэфф!$A:$B,2,1)-VLOOKUP($AO25,Уголь_коэфф!$A:$B,2,1)),1+(1-$AU25))</f>
        <v>1.0449999999999999</v>
      </c>
      <c r="DO25" s="102">
        <f>MIN(IF($AU25=100%,1,1+VLOOKUP(($AJ25-$AI25-$AH25-$AG25-$AF25-$AE25*(1+DO$3))/$AJ25,Уголь_коэфф!$A:$B,2,1)-VLOOKUP($AO25,Уголь_коэфф!$A:$B,2,1)),1+(1-$AU25))</f>
        <v>1.0449999999999999</v>
      </c>
      <c r="DP25" s="102">
        <f>MIN(IF($AU25=100%,1,1+VLOOKUP(($AJ25-$AI25-$AH25-$AG25-$AF25-$AE25*(1+DP$3))/$AJ25,Уголь_коэфф!$A:$B,2,1)-VLOOKUP($AO25,Уголь_коэфф!$A:$B,2,1)),1+(1-$AU25))</f>
        <v>1.0449999999999999</v>
      </c>
      <c r="DQ25" s="102">
        <f>MIN(IF($AU25=100%,1,1+VLOOKUP(($AJ25-$AI25-$AH25-$AG25-$AF25-$AE25*(1+DQ$3))/$AJ25,Уголь_коэфф!$A:$B,2,1)-VLOOKUP($AO25,Уголь_коэфф!$A:$B,2,1)),1+(1-$AU25))</f>
        <v>1.0449999999999999</v>
      </c>
      <c r="DR25" s="102">
        <f>MIN(IF($AU25=100%,1,1+VLOOKUP(($AJ25-$AI25-$AH25-$AG25-$AF25-$AE25*(1+DR$3))/$AJ25,Уголь_коэфф!$A:$B,2,1)-VLOOKUP($AO25,Уголь_коэфф!$A:$B,2,1)),1+(1-$AU25))</f>
        <v>1.04</v>
      </c>
      <c r="DS25" s="102">
        <f>MIN(IF($AU25=100%,1,1+VLOOKUP(($AJ25-$AI25-$AH25-$AG25-$AF25-$AE25*(1+DS$3))/$AJ25,Уголь_коэфф!$A:$B,2,1)-VLOOKUP($AO25,Уголь_коэфф!$A:$B,2,1)),1+(1-$AU25))</f>
        <v>1.04</v>
      </c>
      <c r="DT25" s="102">
        <f>MIN(IF($AU25=100%,1,1+VLOOKUP(($AJ25-$AI25-$AH25-$AG25-$AF25-$AE25*(1+DT$3))/$AJ25,Уголь_коэфф!$A:$B,2,1)-VLOOKUP($AO25,Уголь_коэфф!$A:$B,2,1)),1+(1-$AU25))</f>
        <v>1.04</v>
      </c>
      <c r="DU25" s="102">
        <f>MIN(IF($AU25=100%,1,1+VLOOKUP(($AJ25-$AI25-$AH25-$AG25-$AF25-$AE25*(1+DU$3))/$AJ25,Уголь_коэфф!$A:$B,2,1)-VLOOKUP($AO25,Уголь_коэфф!$A:$B,2,1)),1+(1-$AU25))</f>
        <v>1.04</v>
      </c>
      <c r="DV25" s="102">
        <f>MIN(IF($AU25=100%,1,1+VLOOKUP(($AJ25-$AI25-$AH25-$AG25-$AF25-$AE25*(1+DV$3))/$AJ25,Уголь_коэфф!$A:$B,2,1)-VLOOKUP($AO25,Уголь_коэфф!$A:$B,2,1)),1+(1-$AU25))</f>
        <v>1.0350000000000001</v>
      </c>
      <c r="DW25" s="102">
        <f>MIN(IF($AU25=100%,1,1+VLOOKUP(($AJ25-$AI25-$AH25-$AG25-$AF25-$AE25*(1+DW$3))/$AJ25,Уголь_коэфф!$A:$B,2,1)-VLOOKUP($AO25,Уголь_коэфф!$A:$B,2,1)),1+(1-$AU25))</f>
        <v>1.0350000000000001</v>
      </c>
      <c r="DX25" s="102">
        <f>MIN(IF($AU25=100%,1,1+VLOOKUP(($AJ25-$AI25-$AH25-$AG25-$AF25-$AE25*(1+DX$3))/$AJ25,Уголь_коэфф!$A:$B,2,1)-VLOOKUP($AO25,Уголь_коэфф!$A:$B,2,1)),1+(1-$AU25))</f>
        <v>1.0350000000000001</v>
      </c>
      <c r="DY25" s="102">
        <f>MIN(IF($AU25=100%,1,1+VLOOKUP(($AJ25-$AI25-$AH25-$AG25-$AF25-$AE25*(1+DY$3))/$AJ25,Уголь_коэфф!$A:$B,2,1)-VLOOKUP($AO25,Уголь_коэфф!$A:$B,2,1)),1+(1-$AU25))</f>
        <v>1.0350000000000001</v>
      </c>
      <c r="DZ25" s="102">
        <f>MIN(IF($AU25=100%,1,1+VLOOKUP(($AJ25-$AI25-$AH25-$AG25-$AF25-$AE25*(1+DZ$3))/$AJ25,Уголь_коэфф!$A:$B,2,1)-VLOOKUP($AO25,Уголь_коэфф!$A:$B,2,1)),1+(1-$AU25))</f>
        <v>1.0350000000000001</v>
      </c>
      <c r="EA25" s="102">
        <f>MIN(IF($AU25=100%,1,1+VLOOKUP(($AJ25-$AI25-$AH25-$AG25-$AF25-$AE25*(1+EA$3))/$AJ25,Уголь_коэфф!$A:$B,2,1)-VLOOKUP($AO25,Уголь_коэфф!$A:$B,2,1)),1+(1-$AU25))</f>
        <v>1.0300000000000002</v>
      </c>
      <c r="EB25" s="102">
        <f>MIN(IF($AU25=100%,1,1+VLOOKUP(($AJ25-$AI25-$AH25-$AG25-$AF25-$AE25*(1+EB$3))/$AJ25,Уголь_коэфф!$A:$B,2,1)-VLOOKUP($AO25,Уголь_коэфф!$A:$B,2,1)),1+(1-$AU25))</f>
        <v>1.0300000000000002</v>
      </c>
      <c r="EC25" s="102">
        <f>MIN(IF($AU25=100%,1,1+VLOOKUP(($AJ25-$AI25-$AH25-$AG25-$AF25-$AE25*(1+EC$3))/$AJ25,Уголь_коэфф!$A:$B,2,1)-VLOOKUP($AO25,Уголь_коэфф!$A:$B,2,1)),1+(1-$AU25))</f>
        <v>1.0300000000000002</v>
      </c>
      <c r="ED25" s="102">
        <f>MIN(IF($AU25=100%,1,1+VLOOKUP(($AJ25-$AI25-$AH25-$AG25-$AF25-$AE25*(1+ED$3))/$AJ25,Уголь_коэфф!$A:$B,2,1)-VLOOKUP($AO25,Уголь_коэфф!$A:$B,2,1)),1+(1-$AU25))</f>
        <v>1.0300000000000002</v>
      </c>
      <c r="EE25" s="102">
        <f>MIN(IF($AU25=100%,1,1+VLOOKUP(($AJ25-$AI25-$AH25-$AG25-$AF25-$AE25*(1+EE$3))/$AJ25,Уголь_коэфф!$A:$B,2,1)-VLOOKUP($AO25,Уголь_коэфф!$A:$B,2,1)),1+(1-$AU25))</f>
        <v>1.0249999999999999</v>
      </c>
      <c r="EF25" s="102">
        <f>MIN(IF($AU25=100%,1,1+VLOOKUP(($AJ25-$AI25-$AH25-$AG25-$AF25-$AE25*(1+EF$3))/$AJ25,Уголь_коэфф!$A:$B,2,1)-VLOOKUP($AO25,Уголь_коэфф!$A:$B,2,1)),1+(1-$AU25))</f>
        <v>1.0249999999999999</v>
      </c>
      <c r="EG25" s="102">
        <f>MIN(IF($AU25=100%,1,1+VLOOKUP(($AJ25-$AI25-$AH25-$AG25-$AF25-$AE25*(1+EG$3))/$AJ25,Уголь_коэфф!$A:$B,2,1)-VLOOKUP($AO25,Уголь_коэфф!$A:$B,2,1)),1+(1-$AU25))</f>
        <v>1.0249999999999999</v>
      </c>
      <c r="EH25" s="102">
        <f>MIN(IF($AU25=100%,1,1+VLOOKUP(($AJ25-$AI25-$AH25-$AG25-$AF25-$AE25*(1+EH$3))/$AJ25,Уголь_коэфф!$A:$B,2,1)-VLOOKUP($AO25,Уголь_коэфф!$A:$B,2,1)),1+(1-$AU25))</f>
        <v>1.0249999999999999</v>
      </c>
      <c r="EI25" s="102">
        <f>MIN(IF($AU25=100%,1,1+VLOOKUP(($AJ25-$AI25-$AH25-$AG25-$AF25-$AE25*(1+EI$3))/$AJ25,Уголь_коэфф!$A:$B,2,1)-VLOOKUP($AO25,Уголь_коэфф!$A:$B,2,1)),1+(1-$AU25))</f>
        <v>1.0249999999999999</v>
      </c>
      <c r="EJ25" s="102">
        <f>MIN(IF($AU25=100%,1,1+VLOOKUP(($AJ25-$AI25-$AH25-$AG25-$AF25-$AE25*(1+EJ$3))/$AJ25,Уголь_коэфф!$A:$B,2,1)-VLOOKUP($AO25,Уголь_коэфф!$A:$B,2,1)),1+(1-$AU25))</f>
        <v>1.0249999999999999</v>
      </c>
      <c r="EK25" s="102">
        <f>MIN(IF($AU25=100%,1,1+VLOOKUP(($AJ25-$AI25-$AH25-$AG25-$AF25-$AE25*(1+EK$3))/$AJ25,Уголь_коэфф!$A:$B,2,1)-VLOOKUP($AO25,Уголь_коэфф!$A:$B,2,1)),1+(1-$AU25))</f>
        <v>1.0249999999999999</v>
      </c>
      <c r="EL25" s="102">
        <f>MIN(IF($AU25=100%,1,1+VLOOKUP(($AJ25-$AI25-$AH25-$AG25-$AF25-$AE25*(1+EL$3))/$AJ25,Уголь_коэфф!$A:$B,2,1)-VLOOKUP($AO25,Уголь_коэфф!$A:$B,2,1)),1+(1-$AU25))</f>
        <v>1.0249999999999999</v>
      </c>
      <c r="EM25" s="102">
        <f>MIN(IF($AU25=100%,1,1+VLOOKUP(($AJ25-$AI25-$AH25-$AG25-$AF25-$AE25*(1+EM$3))/$AJ25,Уголь_коэфф!$A:$B,2,1)-VLOOKUP($AO25,Уголь_коэфф!$A:$B,2,1)),1+(1-$AU25))</f>
        <v>1.0249999999999999</v>
      </c>
      <c r="EN25" s="102">
        <f>MIN(IF($AU25=100%,1,1+VLOOKUP(($AJ25-$AI25-$AH25-$AG25-$AF25-$AE25*(1+EN$3))/$AJ25,Уголь_коэфф!$A:$B,2,1)-VLOOKUP($AO25,Уголь_коэфф!$A:$B,2,1)),1+(1-$AU25))</f>
        <v>1.0249999999999999</v>
      </c>
      <c r="EO25" s="102">
        <f>MIN(IF($AU25=100%,1,1+VLOOKUP(($AJ25-$AI25-$AH25-$AG25-$AF25-$AE25*(1+EO$3))/$AJ25,Уголь_коэфф!$A:$B,2,1)-VLOOKUP($AO25,Уголь_коэфф!$A:$B,2,1)),1+(1-$AU25))</f>
        <v>1.0249999999999999</v>
      </c>
      <c r="EP25" s="102">
        <f>MIN(IF($AU25=100%,1,1+VLOOKUP(($AJ25-$AI25-$AH25-$AG25-$AF25-$AE25*(1+EP$3))/$AJ25,Уголь_коэфф!$A:$B,2,1)-VLOOKUP($AO25,Уголь_коэфф!$A:$B,2,1)),1+(1-$AU25))</f>
        <v>1.0249999999999999</v>
      </c>
      <c r="EQ25" s="102">
        <f>MIN(IF($AU25=100%,1,1+VLOOKUP(($AJ25-$AI25-$AH25-$AG25-$AF25-$AE25*(1+EQ$3))/$AJ25,Уголь_коэфф!$A:$B,2,1)-VLOOKUP($AO25,Уголь_коэфф!$A:$B,2,1)),1+(1-$AU25))</f>
        <v>1.0249999999999999</v>
      </c>
      <c r="ER25" s="102">
        <f>MIN(IF($AU25=100%,1,1+VLOOKUP(($AJ25-$AI25-$AH25-$AG25-$AF25-$AE25*(1+ER$3))/$AJ25,Уголь_коэфф!$A:$B,2,1)-VLOOKUP($AO25,Уголь_коэфф!$A:$B,2,1)),1+(1-$AU25))</f>
        <v>1</v>
      </c>
      <c r="ES25" s="102">
        <f>MIN(IF($AU25=100%,1,1+VLOOKUP(($AJ25-$AI25-$AH25-$AG25-$AF25-$AE25*(1+ES$3))/$AJ25,Уголь_коэфф!$A:$B,2,1)-VLOOKUP($AO25,Уголь_коэфф!$A:$B,2,1)),1+(1-$AU25))</f>
        <v>1</v>
      </c>
      <c r="ET25" s="102">
        <f>MIN(IF($AU25=100%,1,1+VLOOKUP(($AJ25-$AI25-$AH25-$AG25-$AF25-$AE25*(1+ET$3))/$AJ25,Уголь_коэфф!$A:$B,2,1)-VLOOKUP($AO25,Уголь_коэфф!$A:$B,2,1)),1+(1-$AU25))</f>
        <v>1</v>
      </c>
      <c r="EU25" s="102">
        <f>MIN(IF($AU25=100%,1,1+VLOOKUP(($AJ25-$AI25-$AH25-$AG25-$AF25-$AE25*(1+EU$3))/$AJ25,Уголь_коэфф!$A:$B,2,1)-VLOOKUP($AO25,Уголь_коэфф!$A:$B,2,1)),1+(1-$AU25))</f>
        <v>1</v>
      </c>
      <c r="EV25" s="103">
        <v>1</v>
      </c>
      <c r="EW25" s="102">
        <f>MIN(1,MAX(VLOOKUP(($AJ25-$AI25-$AH25-$AG25-$AF25-$AE25*(1+EW$3))/$AJ25,Уголь_коэфф!$A:$B,2,1),(EV25-0.05)))</f>
        <v>1</v>
      </c>
      <c r="EX25" s="102">
        <f>MIN(1,MAX(VLOOKUP(($AJ25-$AI25-$AH25-$AG25-$AF25-$AE25*(1+EX$3))/$AJ25,Уголь_коэфф!$A:$B,2,1),(EW25-0.05)))</f>
        <v>1</v>
      </c>
      <c r="EY25" s="102">
        <f>MIN(1,MAX(VLOOKUP(($AJ25-$AI25-$AH25-$AG25-$AF25-$AE25*(1+EY$3))/$AJ25,Уголь_коэфф!$A:$B,2,1),(EX25-0.05)))</f>
        <v>1</v>
      </c>
      <c r="EZ25" s="102">
        <f>MIN(1,MAX(VLOOKUP(($AJ25-$AI25-$AH25-$AG25-$AF25-$AE25*(1+EZ$3))/$AJ25,Уголь_коэфф!$A:$B,2,1),(EY25-0.05)))</f>
        <v>1</v>
      </c>
      <c r="FA25" s="102">
        <f>MIN(1,MAX(VLOOKUP(($AJ25-$AI25-$AH25-$AG25-$AF25-$AE25*(1+FA$3))/$AJ25,Уголь_коэфф!$A:$B,2,1),(EZ25-0.05)))</f>
        <v>1</v>
      </c>
      <c r="FB25" s="102">
        <f>MIN(1,MAX(VLOOKUP(($AJ25-$AI25-$AH25-$AG25-$AF25-$AE25*(1+FB$3))/$AJ25,Уголь_коэфф!$A:$B,2,1),(FA25-0.05)))</f>
        <v>1</v>
      </c>
      <c r="FC25" s="102">
        <f>MIN(1,MAX(VLOOKUP(($AJ25-$AI25-$AH25-$AG25-$AF25-$AE25*(1+FC$3))/$AJ25,Уголь_коэфф!$A:$B,2,1),(FB25-0.05)))</f>
        <v>1</v>
      </c>
      <c r="FD25" s="102">
        <f>MIN(1,MAX(VLOOKUP(($AJ25-$AI25-$AH25-$AG25-$AF25-$AE25*(1+FD$3))/$AJ25,Уголь_коэфф!$A:$B,2,1),(FC25-0.05)))</f>
        <v>1</v>
      </c>
      <c r="FE25" s="102">
        <f>MIN(1,MAX(VLOOKUP(($AJ25-$AI25-$AH25-$AG25-$AF25-$AE25*(1+FE$3))/$AJ25,Уголь_коэфф!$A:$B,2,1),(FD25-0.05)))</f>
        <v>1</v>
      </c>
      <c r="FF25" s="102">
        <f>MIN(1,MAX(VLOOKUP(($AJ25-$AI25-$AH25-$AG25-$AF25-$AE25*(1+FF$3))/$AJ25,Уголь_коэфф!$A:$B,2,1),(FE25-0.05)))</f>
        <v>1</v>
      </c>
      <c r="FG25" s="102">
        <f>MIN(1,MAX(VLOOKUP(($AJ25-$AI25-$AH25-$AG25-$AF25-$AE25*(1+FG$3))/$AJ25,Уголь_коэфф!$A:$B,2,1),(FF25-0.05)))</f>
        <v>1</v>
      </c>
      <c r="FH25" s="102">
        <f>MIN(1,MAX(VLOOKUP(($AJ25-$AI25-$AH25-$AG25-$AF25-$AE25*(1+FH$3))/$AJ25,Уголь_коэфф!$A:$B,2,1),(FG25-0.05)))</f>
        <v>1</v>
      </c>
      <c r="FI25" s="102">
        <f>MIN(1,MAX(VLOOKUP(($AJ25-$AI25-$AH25-$AG25-$AF25-$AE25*(1+FI$3))/$AJ25,Уголь_коэфф!$A:$B,2,1),(FH25-0.05)))</f>
        <v>1</v>
      </c>
      <c r="FJ25" s="102">
        <f>MIN(1,MAX(VLOOKUP(($AJ25-$AI25-$AH25-$AG25-$AF25-$AE25*(1+FJ$3))/$AJ25,Уголь_коэфф!$A:$B,2,1),(FI25-0.05)))</f>
        <v>1</v>
      </c>
      <c r="FK25" s="102">
        <f>MIN(1,MAX(VLOOKUP(($AJ25-$AI25-$AH25-$AG25-$AF25-$AE25*(1+FK$3))/$AJ25,Уголь_коэфф!$A:$B,2,1),(FJ25-0.05)))</f>
        <v>1</v>
      </c>
      <c r="FL25" s="102">
        <f>MIN(1,MAX(VLOOKUP(($AJ25-$AI25-$AH25-$AG25-$AF25-$AE25*(1+FL$3))/$AJ25,Уголь_коэфф!$A:$B,2,1),(FK25-0.05)))</f>
        <v>1</v>
      </c>
      <c r="FM25" s="102">
        <f>MIN(1,MAX(VLOOKUP(($AJ25-$AI25-$AH25-$AG25-$AF25-$AE25*(1+FM$3))/$AJ25,Уголь_коэфф!$A:$B,2,1),(FL25-0.05)))</f>
        <v>1</v>
      </c>
      <c r="FN25" s="102">
        <f>MIN(1,MAX(VLOOKUP(($AJ25-$AI25-$AH25-$AG25-$AF25-$AE25*(1+FN$3))/$AJ25,Уголь_коэфф!$A:$B,2,1),(FM25-0.05)))</f>
        <v>1</v>
      </c>
      <c r="FO25" s="102">
        <f>MIN(1,MAX(VLOOKUP(($AJ25-$AI25-$AH25-$AG25-$AF25-$AE25*(1+FO$3))/$AJ25,Уголь_коэфф!$A:$B,2,1),(FN25-0.05)))</f>
        <v>1</v>
      </c>
      <c r="FP25" s="102">
        <f>MIN(1,MAX(VLOOKUP(($AJ25-$AI25-$AH25-$AG25-$AF25-$AE25*(1+FP$3))/$AJ25,Уголь_коэфф!$A:$B,2,1),(FO25-0.05)))</f>
        <v>1</v>
      </c>
      <c r="FQ25" s="102">
        <f>MIN(1,MAX(VLOOKUP(($AJ25-$AI25-$AH25-$AG25-$AF25-$AE25*(1+FQ$3))/$AJ25,Уголь_коэфф!$A:$B,2,1),(FP25-0.05)))</f>
        <v>1</v>
      </c>
      <c r="FR25" s="102">
        <f>MIN(1,MAX(VLOOKUP(($AJ25-$AI25-$AH25-$AG25-$AF25-$AE25*(1+FR$3))/$AJ25,Уголь_коэфф!$A:$B,2,1),(FQ25-0.05)))</f>
        <v>1</v>
      </c>
      <c r="FS25" s="102">
        <f>MIN(1,MAX(VLOOKUP(($AJ25-$AI25-$AH25-$AG25-$AF25-$AE25*(1+FS$3))/$AJ25,Уголь_коэфф!$A:$B,2,1),(FR25-0.05)))</f>
        <v>1</v>
      </c>
      <c r="FT25" s="102">
        <f>MIN(1,MAX(VLOOKUP(($AJ25-$AI25-$AH25-$AG25-$AF25-$AE25*(1+FT$3))/$AJ25,Уголь_коэфф!$A:$B,2,1),(FS25-0.05)))</f>
        <v>1</v>
      </c>
      <c r="FU25" s="102">
        <f>MIN(1,MAX(VLOOKUP(($AJ25-$AI25-$AH25-$AG25-$AF25-$AE25*(1+FU$3))/$AJ25,Уголь_коэфф!$A:$B,2,1),(FT25-0.05)))</f>
        <v>1</v>
      </c>
      <c r="FV25" s="102">
        <f>MIN(1,MAX(VLOOKUP(($AJ25-$AI25-$AH25-$AG25-$AF25-$AE25*(1+FV$3))/$AJ25,Уголь_коэфф!$A:$B,2,1),(FU25-0.05)))</f>
        <v>0.995</v>
      </c>
      <c r="FW25" s="102">
        <f>MIN(1,MAX(VLOOKUP(($AJ25-$AI25-$AH25-$AG25-$AF25-$AE25*(1+FW$3))/$AJ25,Уголь_коэфф!$A:$B,2,1),(FV25-0.05)))</f>
        <v>0.995</v>
      </c>
      <c r="FX25" s="102">
        <f>MIN(1,MAX(VLOOKUP(($AJ25-$AI25-$AH25-$AG25-$AF25-$AE25*(1+FX$3))/$AJ25,Уголь_коэфф!$A:$B,2,1),(FW25-0.05)))</f>
        <v>0.995</v>
      </c>
      <c r="FY25" s="102">
        <f>MIN(1,MAX(VLOOKUP(($AJ25-$AI25-$AH25-$AG25-$AF25-$AE25*(1+FY$3))/$AJ25,Уголь_коэфф!$A:$B,2,1),(FX25-0.05)))</f>
        <v>0.995</v>
      </c>
      <c r="FZ25" s="102">
        <f>MIN(1,MAX(VLOOKUP(($AJ25-$AI25-$AH25-$AG25-$AF25-$AE25*(1+FZ$3))/$AJ25,Уголь_коэфф!$A:$B,2,1),(FY25-0.05)))</f>
        <v>0.99</v>
      </c>
      <c r="GA25" s="102">
        <f>MIN(1,MAX(VLOOKUP(($AJ25-$AI25-$AH25-$AG25-$AF25-$AE25*(1+GA$3))/$AJ25,Уголь_коэфф!$A:$B,2,1),(FZ25-0.05)))</f>
        <v>0.99</v>
      </c>
      <c r="GB25" s="102">
        <f>MIN(1,MAX(VLOOKUP(($AJ25-$AI25-$AH25-$AG25-$AF25-$AE25*(1+GB$3))/$AJ25,Уголь_коэфф!$A:$B,2,1),(GA25-0.05)))</f>
        <v>0.99</v>
      </c>
      <c r="GC25" s="102">
        <f>MIN(1,MAX(VLOOKUP(($AJ25-$AI25-$AH25-$AG25-$AF25-$AE25*(1+GC$3))/$AJ25,Уголь_коэфф!$A:$B,2,1),(GB25-0.05)))</f>
        <v>0.99</v>
      </c>
      <c r="GD25" s="102">
        <f>MIN(1,MAX(VLOOKUP(($AJ25-$AI25-$AH25-$AG25-$AF25-$AE25*(1+GD$3))/$AJ25,Уголь_коэфф!$A:$B,2,1),(GC25-0.05)))</f>
        <v>0.99</v>
      </c>
      <c r="GE25" s="102">
        <f>MIN(1,MAX(VLOOKUP(($AJ25-$AI25-$AH25-$AG25-$AF25-$AE25*(1+GE$3))/$AJ25,Уголь_коэфф!$A:$B,2,1),(GD25-0.05)))</f>
        <v>0.98499999999999999</v>
      </c>
      <c r="GF25" s="102">
        <f>MIN(1,MAX(VLOOKUP(($AJ25-$AI25-$AH25-$AG25-$AF25-$AE25*(1+GF$3))/$AJ25,Уголь_коэфф!$A:$B,2,1),(GE25-0.05)))</f>
        <v>0.98499999999999999</v>
      </c>
      <c r="GG25" s="102">
        <f>MIN(1,MAX(VLOOKUP(($AJ25-$AI25-$AH25-$AG25-$AF25-$AE25*(1+GG$3))/$AJ25,Уголь_коэфф!$A:$B,2,1),(GF25-0.05)))</f>
        <v>0.98499999999999999</v>
      </c>
      <c r="GH25" s="102">
        <f>MIN(1,MAX(VLOOKUP(($AJ25-$AI25-$AH25-$AG25-$AF25-$AE25*(1+GH$3))/$AJ25,Уголь_коэфф!$A:$B,2,1),(GG25-0.05)))</f>
        <v>0.98499999999999999</v>
      </c>
      <c r="GI25" s="102">
        <f>MIN(1,MAX(VLOOKUP(($AJ25-$AI25-$AH25-$AG25-$AF25-$AE25*(1+GI$3))/$AJ25,Уголь_коэфф!$A:$B,2,1),(GH25-0.05)))</f>
        <v>0.98</v>
      </c>
      <c r="GJ25" s="102">
        <f>MIN(1,MAX(VLOOKUP(($AJ25-$AI25-$AH25-$AG25-$AF25-$AE25*(1+GJ$3))/$AJ25,Уголь_коэфф!$A:$B,2,1),(GI25-0.05)))</f>
        <v>0.98</v>
      </c>
      <c r="GK25" s="102">
        <f>MIN(1,MAX(VLOOKUP(($AJ25-$AI25-$AH25-$AG25-$AF25-$AE25*(1+GK$3))/$AJ25,Уголь_коэфф!$A:$B,2,1),(GJ25-0.05)))</f>
        <v>0.98</v>
      </c>
      <c r="GL25" s="102">
        <f>MIN(1,MAX(VLOOKUP(($AJ25-$AI25-$AH25-$AG25-$AF25-$AE25*(1+GL$3))/$AJ25,Уголь_коэфф!$A:$B,2,1),(GK25-0.05)))</f>
        <v>0.98</v>
      </c>
      <c r="GM25" s="102">
        <f>MIN(1,MAX(VLOOKUP(($AJ25-$AI25-$AH25-$AG25-$AF25-$AE25*(1+GM$3))/$AJ25,Уголь_коэфф!$A:$B,2,1),(GL25-0.05)))</f>
        <v>0.97499999999999998</v>
      </c>
      <c r="GN25" s="102">
        <f>MIN(1,MAX(VLOOKUP(($AJ25-$AI25-$AH25-$AG25-$AF25-$AE25*(1+GN$3))/$AJ25,Уголь_коэфф!$A:$B,2,1),(GM25-0.05)))</f>
        <v>0.97499999999999998</v>
      </c>
      <c r="GO25" s="102">
        <f>MIN(1,MAX(VLOOKUP(($AJ25-$AI25-$AH25-$AG25-$AF25-$AE25*(1+GO$3))/$AJ25,Уголь_коэфф!$A:$B,2,1),(GN25-0.05)))</f>
        <v>0.97499999999999998</v>
      </c>
      <c r="GP25" s="102">
        <f>MIN(1,MAX(VLOOKUP(($AJ25-$AI25-$AH25-$AG25-$AF25-$AE25*(1+GP$3))/$AJ25,Уголь_коэфф!$A:$B,2,1),(GO25-0.05)))</f>
        <v>0.97499999999999998</v>
      </c>
      <c r="GQ25" s="102">
        <f>MIN(1,MAX(VLOOKUP(($AJ25-$AI25-$AH25-$AG25-$AF25-$AE25*(1+GQ$3))/$AJ25,Уголь_коэфф!$A:$B,2,1),(GP25-0.05)))</f>
        <v>0.97</v>
      </c>
      <c r="GR25" s="102">
        <f>MIN(1,MAX(VLOOKUP(($AJ25-$AI25-$AH25-$AG25-$AF25-$AE25*(1+GR$3))/$AJ25,Уголь_коэфф!$A:$B,2,1),(GQ25-0.05)))</f>
        <v>0.97</v>
      </c>
      <c r="GS25" s="102">
        <f>MIN(1,MAX(VLOOKUP(($AJ25-$AI25-$AH25-$AG25-$AF25-$AE25*(1+GS$3))/$AJ25,Уголь_коэфф!$A:$B,2,1),(GR25-0.05)))</f>
        <v>0.97</v>
      </c>
      <c r="GT25" s="102">
        <f>MIN(1,MAX(VLOOKUP(($AJ25-$AI25-$AH25-$AG25-$AF25-$AE25*(1+GT$3))/$AJ25,Уголь_коэфф!$A:$B,2,1),(GS25-0.05)))</f>
        <v>0.97</v>
      </c>
      <c r="GU25" s="102">
        <f>MIN(1,MAX(VLOOKUP(($AJ25-$AI25-$AH25-$AG25-$AF25-$AE25*(1+GU$3))/$AJ25,Уголь_коэфф!$A:$B,2,1),(GT25-0.05)))</f>
        <v>0.97</v>
      </c>
      <c r="GV25" s="102">
        <f>MIN(1,MAX(VLOOKUP(($AJ25-$AI25-$AH25-$AG25-$AF25-$AE25*(1+GV$3))/$AJ25,Уголь_коэфф!$A:$B,2,1),(GU25-0.05)))</f>
        <v>0.96499999999999997</v>
      </c>
      <c r="GW25" s="102">
        <f>MIN(1,MAX(VLOOKUP(($AJ25-$AI25-$AH25-$AG25-$AF25-$AE25*(1+GW$3))/$AJ25,Уголь_коэфф!$A:$B,2,1),(GV25-0.05)))</f>
        <v>0.96499999999999997</v>
      </c>
      <c r="GX25" s="102">
        <f>MIN(1,MAX(VLOOKUP(($AJ25-$AI25-$AH25-$AG25-$AF25-$AE25*(1+GX$3))/$AJ25,Уголь_коэфф!$A:$B,2,1),(GW25-0.05)))</f>
        <v>0.96499999999999997</v>
      </c>
      <c r="GY25" s="102">
        <f>MIN(1,MAX(VLOOKUP(($AJ25-$AI25-$AH25-$AG25-$AF25-$AE25*(1+GY$3))/$AJ25,Уголь_коэфф!$A:$B,2,1),(GX25-0.05)))</f>
        <v>0.96499999999999997</v>
      </c>
      <c r="GZ25" s="102">
        <f>MIN(1,MAX(VLOOKUP(($AJ25-$AI25-$AH25-$AG25-$AF25-$AE25*(1+GZ$3))/$AJ25,Уголь_коэфф!$A:$B,2,1),(GY25-0.05)))</f>
        <v>0.96</v>
      </c>
      <c r="HA25" s="102">
        <f>MIN(1,MAX(VLOOKUP(($AJ25-$AI25-$AH25-$AG25-$AF25-$AE25*(1+HA$3))/$AJ25,Уголь_коэфф!$A:$B,2,1),(GZ25-0.05)))</f>
        <v>0.96</v>
      </c>
      <c r="HB25" s="102">
        <f>MIN(1,MAX(VLOOKUP(($AJ25-$AI25-$AH25-$AG25-$AF25-$AE25*(1+HB$3))/$AJ25,Уголь_коэфф!$A:$B,2,1),(HA25-0.05)))</f>
        <v>0.96</v>
      </c>
      <c r="HC25" s="102">
        <f>MIN(1,MAX(VLOOKUP(($AJ25-$AI25-$AH25-$AG25-$AF25-$AE25*(1+HC$3))/$AJ25,Уголь_коэфф!$A:$B,2,1),(HB25-0.05)))</f>
        <v>0.96</v>
      </c>
      <c r="HD25" s="102">
        <f>MIN(1,MAX(VLOOKUP(($AJ25-$AI25-$AH25-$AG25-$AF25-$AE25*(1+HD$3))/$AJ25,Уголь_коэфф!$A:$B,2,1),(HC25-0.05)))</f>
        <v>0.95499999999999996</v>
      </c>
      <c r="HE25" s="102">
        <f>MIN(1,MAX(VLOOKUP(($AJ25-$AI25-$AH25-$AG25-$AF25-$AE25*(1+HE$3))/$AJ25,Уголь_коэфф!$A:$B,2,1),(HD25-0.05)))</f>
        <v>0.95499999999999996</v>
      </c>
      <c r="HF25" s="102">
        <f>MIN(1,MAX(VLOOKUP(($AJ25-$AI25-$AH25-$AG25-$AF25-$AE25*(1+HF$3))/$AJ25,Уголь_коэфф!$A:$B,2,1),(HE25-0.05)))</f>
        <v>0.95499999999999996</v>
      </c>
      <c r="HG25" s="102">
        <f>MIN(1,MAX(VLOOKUP(($AJ25-$AI25-$AH25-$AG25-$AF25-$AE25*(1+HG$3))/$AJ25,Уголь_коэфф!$A:$B,2,1),(HF25-0.05)))</f>
        <v>0.95499999999999996</v>
      </c>
      <c r="HH25" s="102">
        <f>MIN(1,MAX(VLOOKUP(($AJ25-$AI25-$AH25-$AG25-$AF25-$AE25*(1+HH$3))/$AJ25,Уголь_коэфф!$A:$B,2,1),(HG25-0.05)))</f>
        <v>0.95499999999999996</v>
      </c>
      <c r="HI25" s="102">
        <f>MIN(1,MAX(VLOOKUP(($AJ25-$AI25-$AH25-$AG25-$AF25-$AE25*(1+HI$3))/$AJ25,Уголь_коэфф!$A:$B,2,1),(HH25-0.05)))</f>
        <v>0.95</v>
      </c>
      <c r="HJ25" s="102">
        <f>MIN(1,MAX(VLOOKUP(($AJ25-$AI25-$AH25-$AG25-$AF25-$AE25*(1+HJ$3))/$AJ25,Уголь_коэфф!$A:$B,2,1),(HI25-0.05)))</f>
        <v>0.95</v>
      </c>
      <c r="HK25" s="102">
        <f>MIN(1,MAX(VLOOKUP(($AJ25-$AI25-$AH25-$AG25-$AF25-$AE25*(1+HK$3))/$AJ25,Уголь_коэфф!$A:$B,2,1),(HJ25-0.05)))</f>
        <v>0.95</v>
      </c>
      <c r="HL25" s="102">
        <f>MIN(1,MAX(VLOOKUP(($AJ25-$AI25-$AH25-$AG25-$AF25-$AE25*(1+HL$3))/$AJ25,Уголь_коэфф!$A:$B,2,1),(HK25-0.05)))</f>
        <v>0.95</v>
      </c>
      <c r="HM25" s="102">
        <f>MIN(1,MAX(VLOOKUP(($AJ25-$AI25-$AH25-$AG25-$AF25-$AE25*(1+HM$3))/$AJ25,Уголь_коэфф!$A:$B,2,1),(HL25-0.05)))</f>
        <v>0.94499999999999995</v>
      </c>
      <c r="HN25" s="102">
        <f>MIN(1,MAX(VLOOKUP(($AJ25-$AI25-$AH25-$AG25-$AF25-$AE25*(1+HN$3))/$AJ25,Уголь_коэфф!$A:$B,2,1),(HM25-0.05)))</f>
        <v>0.94499999999999995</v>
      </c>
      <c r="HO25" s="102">
        <f>MIN(1,MAX(VLOOKUP(($AJ25-$AI25-$AH25-$AG25-$AF25-$AE25*(1+HO$3))/$AJ25,Уголь_коэфф!$A:$B,2,1),(HN25-0.05)))</f>
        <v>0.94499999999999995</v>
      </c>
      <c r="HP25" s="102">
        <f>MIN(1,MAX(VLOOKUP(($AJ25-$AI25-$AH25-$AG25-$AF25-$AE25*(1+HP$3))/$AJ25,Уголь_коэфф!$A:$B,2,1),(HO25-0.05)))</f>
        <v>0.94499999999999995</v>
      </c>
      <c r="HQ25" s="102">
        <f>MIN(1,MAX(VLOOKUP(($AJ25-$AI25-$AH25-$AG25-$AF25-$AE25*(1+HQ$3))/$AJ25,Уголь_коэфф!$A:$B,2,1),(HP25-0.05)))</f>
        <v>0.94</v>
      </c>
      <c r="HR25" s="102">
        <f>MIN(1,MAX(VLOOKUP(($AJ25-$AI25-$AH25-$AG25-$AF25-$AE25*(1+HR$3))/$AJ25,Уголь_коэфф!$A:$B,2,1),(HQ25-0.05)))</f>
        <v>0.94</v>
      </c>
      <c r="HS25" s="102">
        <f>MIN(1,MAX(VLOOKUP(($AJ25-$AI25-$AH25-$AG25-$AF25-$AE25*(1+HS$3))/$AJ25,Уголь_коэфф!$A:$B,2,1),(HR25-0.05)))</f>
        <v>0.94</v>
      </c>
      <c r="HT25" s="102">
        <f>MIN(1,MAX(VLOOKUP(($AJ25-$AI25-$AH25-$AG25-$AF25-$AE25*(1+HT$3))/$AJ25,Уголь_коэфф!$A:$B,2,1),(HS25-0.05)))</f>
        <v>0.94</v>
      </c>
      <c r="HU25" s="102">
        <f>MIN(1,MAX(VLOOKUP(($AJ25-$AI25-$AH25-$AG25-$AF25-$AE25*(1+HU$3))/$AJ25,Уголь_коэфф!$A:$B,2,1),(HT25-0.05)))</f>
        <v>0.94</v>
      </c>
      <c r="HV25" s="102">
        <f>MIN(1,MAX(VLOOKUP(($AJ25-$AI25-$AH25-$AG25-$AF25-$AE25*(1+HV$3))/$AJ25,Уголь_коэфф!$A:$B,2,1),(HU25-0.05)))</f>
        <v>0.93500000000000005</v>
      </c>
      <c r="HW25" s="102">
        <f>MIN(1,MAX(VLOOKUP(($AJ25-$AI25-$AH25-$AG25-$AF25-$AE25*(1+HW$3))/$AJ25,Уголь_коэфф!$A:$B,2,1),(HV25-0.05)))</f>
        <v>0.93500000000000005</v>
      </c>
      <c r="HX25" s="102">
        <f>MIN(1,MAX(VLOOKUP(($AJ25-$AI25-$AH25-$AG25-$AF25-$AE25*(1+HX$3))/$AJ25,Уголь_коэфф!$A:$B,2,1),(HW25-0.05)))</f>
        <v>0.93500000000000005</v>
      </c>
      <c r="HY25" s="102">
        <f>MIN(1,MAX(VLOOKUP(($AJ25-$AI25-$AH25-$AG25-$AF25-$AE25*(1+HY$3))/$AJ25,Уголь_коэфф!$A:$B,2,1),(HX25-0.05)))</f>
        <v>0.93500000000000005</v>
      </c>
      <c r="HZ25" s="102">
        <f>MIN(1,MAX(VLOOKUP(($AJ25-$AI25-$AH25-$AG25-$AF25-$AE25*(1+HZ$3))/$AJ25,Уголь_коэфф!$A:$B,2,1),(HY25-0.05)))</f>
        <v>0.93</v>
      </c>
      <c r="IA25" s="102">
        <f>MIN(1,MAX(VLOOKUP(($AJ25-$AI25-$AH25-$AG25-$AF25-$AE25*(1+IA$3))/$AJ25,Уголь_коэфф!$A:$B,2,1),(HZ25-0.05)))</f>
        <v>0.93</v>
      </c>
      <c r="IB25" s="102">
        <f>MIN(1,MAX(VLOOKUP(($AJ25-$AI25-$AH25-$AG25-$AF25-$AE25*(1+IB$3))/$AJ25,Уголь_коэфф!$A:$B,2,1),(IA25-0.05)))</f>
        <v>0.93</v>
      </c>
      <c r="IC25" s="102">
        <f>MIN(1,MAX(VLOOKUP(($AJ25-$AI25-$AH25-$AG25-$AF25-$AE25*(1+IC$3))/$AJ25,Уголь_коэфф!$A:$B,2,1),(IB25-0.05)))</f>
        <v>0.93</v>
      </c>
      <c r="ID25" s="102">
        <f>MIN(1,MAX(VLOOKUP(($AJ25-$AI25-$AH25-$AG25-$AF25-$AE25*(1+ID$3))/$AJ25,Уголь_коэфф!$A:$B,2,1),(IC25-0.05)))</f>
        <v>0.92500000000000004</v>
      </c>
      <c r="IE25" s="102">
        <f>MIN(1,MAX(VLOOKUP(($AJ25-$AI25-$AH25-$AG25-$AF25-$AE25*(1+IE$3))/$AJ25,Уголь_коэфф!$A:$B,2,1),(ID25-0.05)))</f>
        <v>0.92500000000000004</v>
      </c>
      <c r="IF25" s="102">
        <f>MIN(1,MAX(VLOOKUP(($AJ25-$AI25-$AH25-$AG25-$AF25-$AE25*(1+IF$3))/$AJ25,Уголь_коэфф!$A:$B,2,1),(IE25-0.05)))</f>
        <v>0.92500000000000004</v>
      </c>
      <c r="IG25" s="102">
        <f>MIN(1,MAX(VLOOKUP(($AJ25-$AI25-$AH25-$AG25-$AF25-$AE25*(1+IG$3))/$AJ25,Уголь_коэфф!$A:$B,2,1),(IF25-0.05)))</f>
        <v>0.92500000000000004</v>
      </c>
      <c r="IH25" s="102">
        <f>MIN(1,MAX(VLOOKUP(($AJ25-$AI25-$AH25-$AG25-$AF25-$AE25*(1+IH$3))/$AJ25,Уголь_коэфф!$A:$B,2,1),(IG25-0.05)))</f>
        <v>0.92500000000000004</v>
      </c>
      <c r="II25" s="102">
        <f>MIN(1,MAX(VLOOKUP(($AJ25-$AI25-$AH25-$AG25-$AF25-$AE25*(1+II$3))/$AJ25,Уголь_коэфф!$A:$B,2,1),(IH25-0.05)))</f>
        <v>0.92</v>
      </c>
      <c r="IJ25" s="102">
        <f>MIN(1,MAX(VLOOKUP(($AJ25-$AI25-$AH25-$AG25-$AF25-$AE25*(1+IJ$3))/$AJ25,Уголь_коэфф!$A:$B,2,1),(II25-0.05)))</f>
        <v>0.92</v>
      </c>
      <c r="IK25" s="102">
        <f>MIN(1,MAX(VLOOKUP(($AJ25-$AI25-$AH25-$AG25-$AF25-$AE25*(1+IK$3))/$AJ25,Уголь_коэфф!$A:$B,2,1),(IJ25-0.05)))</f>
        <v>0.92</v>
      </c>
      <c r="IL25" s="102">
        <f>MIN(1,MAX(VLOOKUP(($AJ25-$AI25-$AH25-$AG25-$AF25-$AE25*(1+IL$3))/$AJ25,Уголь_коэфф!$A:$B,2,1),(IK25-0.05)))</f>
        <v>0.92</v>
      </c>
      <c r="IM25" s="102">
        <f>MIN(1,MAX(VLOOKUP(($AJ25-$AI25-$AH25-$AG25-$AF25-$AE25*(1+IM$3))/$AJ25,Уголь_коэфф!$A:$B,2,1),(IL25-0.05)))</f>
        <v>0.91400000000000003</v>
      </c>
      <c r="IN25" s="102">
        <f>MIN(1,MAX(VLOOKUP(($AJ25-$AI25-$AH25-$AG25-$AF25-$AE25*(1+IN$3))/$AJ25,Уголь_коэфф!$A:$B,2,1),(IM25-0.05)))</f>
        <v>0.91400000000000003</v>
      </c>
      <c r="IO25" s="102">
        <f>MIN(1,MAX(VLOOKUP(($AJ25-$AI25-$AH25-$AG25-$AF25-$AE25*(1+IO$3))/$AJ25,Уголь_коэфф!$A:$B,2,1),(IN25-0.05)))</f>
        <v>0.91400000000000003</v>
      </c>
      <c r="IP25" s="102">
        <f>MIN(1,MAX(VLOOKUP(($AJ25-$AI25-$AH25-$AG25-$AF25-$AE25*(1+IP$3))/$AJ25,Уголь_коэфф!$A:$B,2,1),(IO25-0.05)))</f>
        <v>0.91400000000000003</v>
      </c>
      <c r="IQ25" s="102">
        <f>MIN(1,MAX(VLOOKUP(($AJ25-$AI25-$AH25-$AG25-$AF25-$AE25*(1+IQ$3))/$AJ25,Уголь_коэфф!$A:$B,2,1),(IP25-0.05)))</f>
        <v>0.90800000000000003</v>
      </c>
      <c r="IR25" s="102">
        <f>MIN(1,MAX(VLOOKUP(($AJ25-$AI25-$AH25-$AG25-$AF25-$AE25*(1+IR$3))/$AJ25,Уголь_коэфф!$A:$B,2,1),(IQ25-0.05)))</f>
        <v>0.90800000000000003</v>
      </c>
      <c r="IS25" s="102">
        <f t="shared" si="20"/>
        <v>1</v>
      </c>
      <c r="IT25" s="102">
        <f t="shared" si="7"/>
        <v>1</v>
      </c>
      <c r="IU25" s="110"/>
    </row>
    <row r="26" spans="1:255" ht="14.6" customHeight="1">
      <c r="A26" t="s">
        <v>241</v>
      </c>
      <c r="B26" s="157">
        <v>1</v>
      </c>
      <c r="C26" s="158" t="s">
        <v>16</v>
      </c>
      <c r="D26" s="159">
        <v>16112</v>
      </c>
      <c r="E26" s="159" t="s">
        <v>28</v>
      </c>
      <c r="F26" s="158" t="s">
        <v>18</v>
      </c>
      <c r="G26" s="158" t="s">
        <v>45</v>
      </c>
      <c r="H26" s="159" t="s">
        <v>34</v>
      </c>
      <c r="I26" s="158" t="s">
        <v>72</v>
      </c>
      <c r="J26" s="159" t="s">
        <v>55</v>
      </c>
      <c r="K26" s="159">
        <v>4598</v>
      </c>
      <c r="L26" s="159" t="s">
        <v>22</v>
      </c>
      <c r="M26" s="159" t="s">
        <v>23</v>
      </c>
      <c r="N26" s="159" t="s">
        <v>24</v>
      </c>
      <c r="O26" s="159" t="s">
        <v>36</v>
      </c>
      <c r="P26" s="164">
        <v>87470970</v>
      </c>
      <c r="Q26" s="160" t="s">
        <v>125</v>
      </c>
      <c r="R26" s="158" t="s">
        <v>124</v>
      </c>
      <c r="S26" s="161">
        <v>505459</v>
      </c>
      <c r="T26" s="162">
        <v>2324319541</v>
      </c>
      <c r="U26" s="162">
        <v>6990</v>
      </c>
      <c r="V26" s="162"/>
      <c r="W26" s="163">
        <v>965306586</v>
      </c>
      <c r="X26" s="105">
        <v>69</v>
      </c>
      <c r="Y26" s="105" t="s">
        <v>163</v>
      </c>
      <c r="Z26" s="107">
        <v>11</v>
      </c>
      <c r="AA26" s="107">
        <v>12</v>
      </c>
      <c r="AB26" s="107">
        <v>4</v>
      </c>
      <c r="AC26" s="88">
        <v>2192.58</v>
      </c>
      <c r="AD26" s="88">
        <v>993.42000000000007</v>
      </c>
      <c r="AE26" s="88">
        <f t="shared" si="28"/>
        <v>3186</v>
      </c>
      <c r="AF26" s="89">
        <f>'Цены,перевалка,аренда'!$C$27*SUM(Уголь_эластика_экспорт!Z26+Уголь_эластика_экспорт!AA26+Уголь_эластика_экспорт!AB26)/Уголь_эластика_экспорт!X26</f>
        <v>273.91304347826087</v>
      </c>
      <c r="AG26" s="90">
        <f>SUMIF('Цены,перевалка,аренда'!$A$20:$A$22,Уголь_эластика_экспорт!$O26,'Цены,перевалка,аренда'!$D$20:$D$22)</f>
        <v>991.97149999999988</v>
      </c>
      <c r="AH26" s="47"/>
      <c r="AI26" s="91">
        <v>2338</v>
      </c>
      <c r="AJ26" s="92">
        <f>SUMIF('Цены,перевалка,аренда'!$A$5:$A$17,Уголь_эластика_экспорт!A26,'Цены,перевалка,аренда'!$D$5:$D$17)</f>
        <v>7249.0224999999991</v>
      </c>
      <c r="AK26" s="47">
        <f>AJ26/'Цены,перевалка,аренда'!$C$1</f>
        <v>95</v>
      </c>
      <c r="AL26" s="47">
        <f t="shared" si="9"/>
        <v>4451.8845434782606</v>
      </c>
      <c r="AM26" s="47">
        <f t="shared" si="10"/>
        <v>2797.1379565217385</v>
      </c>
      <c r="AN26" s="47">
        <f t="shared" si="11"/>
        <v>6789.8845434782606</v>
      </c>
      <c r="AO26" s="93">
        <f t="shared" si="12"/>
        <v>6.3337913011269939E-2</v>
      </c>
      <c r="AP26" s="94">
        <f t="shared" si="13"/>
        <v>0.614135842933066</v>
      </c>
      <c r="AQ26" s="94">
        <f t="shared" si="5"/>
        <v>0.43950753360194433</v>
      </c>
      <c r="AR26" s="94">
        <f t="shared" si="6"/>
        <v>0.71565198263447682</v>
      </c>
      <c r="AS26" s="167">
        <f t="shared" si="14"/>
        <v>1</v>
      </c>
      <c r="AT26" s="173">
        <f t="shared" si="15"/>
        <v>505459</v>
      </c>
      <c r="AU26" s="97">
        <v>0.8</v>
      </c>
      <c r="AV26" s="93">
        <f t="shared" si="16"/>
        <v>1.9387159651075458E-2</v>
      </c>
      <c r="AW26" s="94">
        <f t="shared" si="17"/>
        <v>0.6580865962932605</v>
      </c>
      <c r="AX26" s="94">
        <f t="shared" si="18"/>
        <v>0.48345828696213877</v>
      </c>
      <c r="AY26" s="94">
        <f t="shared" si="19"/>
        <v>0.73464235510230214</v>
      </c>
      <c r="AZ26" s="102">
        <f>MIN(IF($AU26=100%,1,1+VLOOKUP(($AJ26-$AI26-$AH26-$AG26-$AF26-$AE26*(1+AZ$3))/$AJ26,Уголь_коэфф!$A:$B,2,1)-VLOOKUP($AO26,Уголь_коэфф!$A:$B,2,1)),1+(1-$AU26))</f>
        <v>1.1149999999999998</v>
      </c>
      <c r="BA26" s="102">
        <f>MIN(IF($AU26=100%,1,1+VLOOKUP(($AJ26-$AI26-$AH26-$AG26-$AF26-$AE26*(1+BA$3))/$AJ26,Уголь_коэфф!$A:$B,2,1)-VLOOKUP($AO26,Уголь_коэфф!$A:$B,2,1)),1+(1-$AU26))</f>
        <v>1.1149999999999998</v>
      </c>
      <c r="BB26" s="102">
        <f>MIN(IF($AU26=100%,1,1+VLOOKUP(($AJ26-$AI26-$AH26-$AG26-$AF26-$AE26*(1+BB$3))/$AJ26,Уголь_коэфф!$A:$B,2,1)-VLOOKUP($AO26,Уголь_коэфф!$A:$B,2,1)),1+(1-$AU26))</f>
        <v>1.109</v>
      </c>
      <c r="BC26" s="102">
        <f>MIN(IF($AU26=100%,1,1+VLOOKUP(($AJ26-$AI26-$AH26-$AG26-$AF26-$AE26*(1+BC$3))/$AJ26,Уголь_коэфф!$A:$B,2,1)-VLOOKUP($AO26,Уголь_коэфф!$A:$B,2,1)),1+(1-$AU26))</f>
        <v>1.109</v>
      </c>
      <c r="BD26" s="102">
        <f>MIN(IF($AU26=100%,1,1+VLOOKUP(($AJ26-$AI26-$AH26-$AG26-$AF26-$AE26*(1+BD$3))/$AJ26,Уголь_коэфф!$A:$B,2,1)-VLOOKUP($AO26,Уголь_коэфф!$A:$B,2,1)),1+(1-$AU26))</f>
        <v>1.109</v>
      </c>
      <c r="BE26" s="102">
        <f>MIN(IF($AU26=100%,1,1+VLOOKUP(($AJ26-$AI26-$AH26-$AG26-$AF26-$AE26*(1+BE$3))/$AJ26,Уголь_коэфф!$A:$B,2,1)-VLOOKUP($AO26,Уголь_коэфф!$A:$B,2,1)),1+(1-$AU26))</f>
        <v>1.109</v>
      </c>
      <c r="BF26" s="102">
        <f>MIN(IF($AU26=100%,1,1+VLOOKUP(($AJ26-$AI26-$AH26-$AG26-$AF26-$AE26*(1+BF$3))/$AJ26,Уголь_коэфф!$A:$B,2,1)-VLOOKUP($AO26,Уголь_коэфф!$A:$B,2,1)),1+(1-$AU26))</f>
        <v>1.1030000000000002</v>
      </c>
      <c r="BG26" s="102">
        <f>MIN(IF($AU26=100%,1,1+VLOOKUP(($AJ26-$AI26-$AH26-$AG26-$AF26-$AE26*(1+BG$3))/$AJ26,Уголь_коэфф!$A:$B,2,1)-VLOOKUP($AO26,Уголь_коэфф!$A:$B,2,1)),1+(1-$AU26))</f>
        <v>1.1030000000000002</v>
      </c>
      <c r="BH26" s="102">
        <f>MIN(IF($AU26=100%,1,1+VLOOKUP(($AJ26-$AI26-$AH26-$AG26-$AF26-$AE26*(1+BH$3))/$AJ26,Уголь_коэфф!$A:$B,2,1)-VLOOKUP($AO26,Уголь_коэфф!$A:$B,2,1)),1+(1-$AU26))</f>
        <v>1.1030000000000002</v>
      </c>
      <c r="BI26" s="102">
        <f>MIN(IF($AU26=100%,1,1+VLOOKUP(($AJ26-$AI26-$AH26-$AG26-$AF26-$AE26*(1+BI$3))/$AJ26,Уголь_коэфф!$A:$B,2,1)-VLOOKUP($AO26,Уголь_коэфф!$A:$B,2,1)),1+(1-$AU26))</f>
        <v>1.1030000000000002</v>
      </c>
      <c r="BJ26" s="102">
        <f>MIN(IF($AU26=100%,1,1+VLOOKUP(($AJ26-$AI26-$AH26-$AG26-$AF26-$AE26*(1+BJ$3))/$AJ26,Уголь_коэфф!$A:$B,2,1)-VLOOKUP($AO26,Уголь_коэфф!$A:$B,2,1)),1+(1-$AU26))</f>
        <v>1.1030000000000002</v>
      </c>
      <c r="BK26" s="102">
        <f>MIN(IF($AU26=100%,1,1+VLOOKUP(($AJ26-$AI26-$AH26-$AG26-$AF26-$AE26*(1+BK$3))/$AJ26,Уголь_коэфф!$A:$B,2,1)-VLOOKUP($AO26,Уголь_коэфф!$A:$B,2,1)),1+(1-$AU26))</f>
        <v>1.097</v>
      </c>
      <c r="BL26" s="102">
        <f>MIN(IF($AU26=100%,1,1+VLOOKUP(($AJ26-$AI26-$AH26-$AG26-$AF26-$AE26*(1+BL$3))/$AJ26,Уголь_коэфф!$A:$B,2,1)-VLOOKUP($AO26,Уголь_коэфф!$A:$B,2,1)),1+(1-$AU26))</f>
        <v>1.097</v>
      </c>
      <c r="BM26" s="102">
        <f>MIN(IF($AU26=100%,1,1+VLOOKUP(($AJ26-$AI26-$AH26-$AG26-$AF26-$AE26*(1+BM$3))/$AJ26,Уголь_коэфф!$A:$B,2,1)-VLOOKUP($AO26,Уголь_коэфф!$A:$B,2,1)),1+(1-$AU26))</f>
        <v>1.097</v>
      </c>
      <c r="BN26" s="102">
        <f>MIN(IF($AU26=100%,1,1+VLOOKUP(($AJ26-$AI26-$AH26-$AG26-$AF26-$AE26*(1+BN$3))/$AJ26,Уголь_коэфф!$A:$B,2,1)-VLOOKUP($AO26,Уголь_коэфф!$A:$B,2,1)),1+(1-$AU26))</f>
        <v>1.097</v>
      </c>
      <c r="BO26" s="102">
        <f>MIN(IF($AU26=100%,1,1+VLOOKUP(($AJ26-$AI26-$AH26-$AG26-$AF26-$AE26*(1+BO$3))/$AJ26,Уголь_коэфф!$A:$B,2,1)-VLOOKUP($AO26,Уголь_коэфф!$A:$B,2,1)),1+(1-$AU26))</f>
        <v>1.097</v>
      </c>
      <c r="BP26" s="102">
        <f>MIN(IF($AU26=100%,1,1+VLOOKUP(($AJ26-$AI26-$AH26-$AG26-$AF26-$AE26*(1+BP$3))/$AJ26,Уголь_коэфф!$A:$B,2,1)-VLOOKUP($AO26,Уголь_коэфф!$A:$B,2,1)),1+(1-$AU26))</f>
        <v>1.0910000000000002</v>
      </c>
      <c r="BQ26" s="102">
        <f>MIN(IF($AU26=100%,1,1+VLOOKUP(($AJ26-$AI26-$AH26-$AG26-$AF26-$AE26*(1+BQ$3))/$AJ26,Уголь_коэфф!$A:$B,2,1)-VLOOKUP($AO26,Уголь_коэфф!$A:$B,2,1)),1+(1-$AU26))</f>
        <v>1.0910000000000002</v>
      </c>
      <c r="BR26" s="102">
        <f>MIN(IF($AU26=100%,1,1+VLOOKUP(($AJ26-$AI26-$AH26-$AG26-$AF26-$AE26*(1+BR$3))/$AJ26,Уголь_коэфф!$A:$B,2,1)-VLOOKUP($AO26,Уголь_коэфф!$A:$B,2,1)),1+(1-$AU26))</f>
        <v>1.0910000000000002</v>
      </c>
      <c r="BS26" s="102">
        <f>MIN(IF($AU26=100%,1,1+VLOOKUP(($AJ26-$AI26-$AH26-$AG26-$AF26-$AE26*(1+BS$3))/$AJ26,Уголь_коэфф!$A:$B,2,1)-VLOOKUP($AO26,Уголь_коэфф!$A:$B,2,1)),1+(1-$AU26))</f>
        <v>1.0910000000000002</v>
      </c>
      <c r="BT26" s="102">
        <f>MIN(IF($AU26=100%,1,1+VLOOKUP(($AJ26-$AI26-$AH26-$AG26-$AF26-$AE26*(1+BT$3))/$AJ26,Уголь_коэфф!$A:$B,2,1)-VLOOKUP($AO26,Уголь_коэфф!$A:$B,2,1)),1+(1-$AU26))</f>
        <v>1.0850000000000004</v>
      </c>
      <c r="BU26" s="102">
        <f>MIN(IF($AU26=100%,1,1+VLOOKUP(($AJ26-$AI26-$AH26-$AG26-$AF26-$AE26*(1+BU$3))/$AJ26,Уголь_коэфф!$A:$B,2,1)-VLOOKUP($AO26,Уголь_коэфф!$A:$B,2,1)),1+(1-$AU26))</f>
        <v>1.0850000000000004</v>
      </c>
      <c r="BV26" s="102">
        <f>MIN(IF($AU26=100%,1,1+VLOOKUP(($AJ26-$AI26-$AH26-$AG26-$AF26-$AE26*(1+BV$3))/$AJ26,Уголь_коэфф!$A:$B,2,1)-VLOOKUP($AO26,Уголь_коэфф!$A:$B,2,1)),1+(1-$AU26))</f>
        <v>1.0850000000000004</v>
      </c>
      <c r="BW26" s="102">
        <f>MIN(IF($AU26=100%,1,1+VLOOKUP(($AJ26-$AI26-$AH26-$AG26-$AF26-$AE26*(1+BW$3))/$AJ26,Уголь_коэфф!$A:$B,2,1)-VLOOKUP($AO26,Уголь_коэфф!$A:$B,2,1)),1+(1-$AU26))</f>
        <v>1.0850000000000004</v>
      </c>
      <c r="BX26" s="102">
        <f>MIN(IF($AU26=100%,1,1+VLOOKUP(($AJ26-$AI26-$AH26-$AG26-$AF26-$AE26*(1+BX$3))/$AJ26,Уголь_коэфф!$A:$B,2,1)-VLOOKUP($AO26,Уголь_коэфф!$A:$B,2,1)),1+(1-$AU26))</f>
        <v>1.0850000000000004</v>
      </c>
      <c r="BY26" s="102">
        <f>MIN(IF($AU26=100%,1,1+VLOOKUP(($AJ26-$AI26-$AH26-$AG26-$AF26-$AE26*(1+BY$3))/$AJ26,Уголь_коэфф!$A:$B,2,1)-VLOOKUP($AO26,Уголь_коэфф!$A:$B,2,1)),1+(1-$AU26))</f>
        <v>1.0790000000000002</v>
      </c>
      <c r="BZ26" s="102">
        <f>MIN(IF($AU26=100%,1,1+VLOOKUP(($AJ26-$AI26-$AH26-$AG26-$AF26-$AE26*(1+BZ$3))/$AJ26,Уголь_коэфф!$A:$B,2,1)-VLOOKUP($AO26,Уголь_коэфф!$A:$B,2,1)),1+(1-$AU26))</f>
        <v>1.0790000000000002</v>
      </c>
      <c r="CA26" s="102">
        <f>MIN(IF($AU26=100%,1,1+VLOOKUP(($AJ26-$AI26-$AH26-$AG26-$AF26-$AE26*(1+CA$3))/$AJ26,Уголь_коэфф!$A:$B,2,1)-VLOOKUP($AO26,Уголь_коэфф!$A:$B,2,1)),1+(1-$AU26))</f>
        <v>1.0790000000000002</v>
      </c>
      <c r="CB26" s="102">
        <f>MIN(IF($AU26=100%,1,1+VLOOKUP(($AJ26-$AI26-$AH26-$AG26-$AF26-$AE26*(1+CB$3))/$AJ26,Уголь_коэфф!$A:$B,2,1)-VLOOKUP($AO26,Уголь_коэфф!$A:$B,2,1)),1+(1-$AU26))</f>
        <v>1.0790000000000002</v>
      </c>
      <c r="CC26" s="102">
        <f>MIN(IF($AU26=100%,1,1+VLOOKUP(($AJ26-$AI26-$AH26-$AG26-$AF26-$AE26*(1+CC$3))/$AJ26,Уголь_коэфф!$A:$B,2,1)-VLOOKUP($AO26,Уголь_коэфф!$A:$B,2,1)),1+(1-$AU26))</f>
        <v>1.073</v>
      </c>
      <c r="CD26" s="102">
        <f>MIN(IF($AU26=100%,1,1+VLOOKUP(($AJ26-$AI26-$AH26-$AG26-$AF26-$AE26*(1+CD$3))/$AJ26,Уголь_коэфф!$A:$B,2,1)-VLOOKUP($AO26,Уголь_коэфф!$A:$B,2,1)),1+(1-$AU26))</f>
        <v>1.073</v>
      </c>
      <c r="CE26" s="102">
        <f>MIN(IF($AU26=100%,1,1+VLOOKUP(($AJ26-$AI26-$AH26-$AG26-$AF26-$AE26*(1+CE$3))/$AJ26,Уголь_коэфф!$A:$B,2,1)-VLOOKUP($AO26,Уголь_коэфф!$A:$B,2,1)),1+(1-$AU26))</f>
        <v>1.073</v>
      </c>
      <c r="CF26" s="102">
        <f>MIN(IF($AU26=100%,1,1+VLOOKUP(($AJ26-$AI26-$AH26-$AG26-$AF26-$AE26*(1+CF$3))/$AJ26,Уголь_коэфф!$A:$B,2,1)-VLOOKUP($AO26,Уголь_коэфф!$A:$B,2,1)),1+(1-$AU26))</f>
        <v>1.073</v>
      </c>
      <c r="CG26" s="102">
        <f>MIN(IF($AU26=100%,1,1+VLOOKUP(($AJ26-$AI26-$AH26-$AG26-$AF26-$AE26*(1+CG$3))/$AJ26,Уголь_коэфф!$A:$B,2,1)-VLOOKUP($AO26,Уголь_коэфф!$A:$B,2,1)),1+(1-$AU26))</f>
        <v>1.073</v>
      </c>
      <c r="CH26" s="102">
        <f>MIN(IF($AU26=100%,1,1+VLOOKUP(($AJ26-$AI26-$AH26-$AG26-$AF26-$AE26*(1+CH$3))/$AJ26,Уголь_коэфф!$A:$B,2,1)-VLOOKUP($AO26,Уголь_коэфф!$A:$B,2,1)),1+(1-$AU26))</f>
        <v>1.0670000000000002</v>
      </c>
      <c r="CI26" s="102">
        <f>MIN(IF($AU26=100%,1,1+VLOOKUP(($AJ26-$AI26-$AH26-$AG26-$AF26-$AE26*(1+CI$3))/$AJ26,Уголь_коэфф!$A:$B,2,1)-VLOOKUP($AO26,Уголь_коэфф!$A:$B,2,1)),1+(1-$AU26))</f>
        <v>1.0670000000000002</v>
      </c>
      <c r="CJ26" s="102">
        <f>MIN(IF($AU26=100%,1,1+VLOOKUP(($AJ26-$AI26-$AH26-$AG26-$AF26-$AE26*(1+CJ$3))/$AJ26,Уголь_коэфф!$A:$B,2,1)-VLOOKUP($AO26,Уголь_коэфф!$A:$B,2,1)),1+(1-$AU26))</f>
        <v>1.0670000000000002</v>
      </c>
      <c r="CK26" s="102">
        <f>MIN(IF($AU26=100%,1,1+VLOOKUP(($AJ26-$AI26-$AH26-$AG26-$AF26-$AE26*(1+CK$3))/$AJ26,Уголь_коэфф!$A:$B,2,1)-VLOOKUP($AO26,Уголь_коэфф!$A:$B,2,1)),1+(1-$AU26))</f>
        <v>1.0670000000000002</v>
      </c>
      <c r="CL26" s="102">
        <f>MIN(IF($AU26=100%,1,1+VLOOKUP(($AJ26-$AI26-$AH26-$AG26-$AF26-$AE26*(1+CL$3))/$AJ26,Уголь_коэфф!$A:$B,2,1)-VLOOKUP($AO26,Уголь_коэфф!$A:$B,2,1)),1+(1-$AU26))</f>
        <v>1.0610000000000004</v>
      </c>
      <c r="CM26" s="102">
        <f>MIN(IF($AU26=100%,1,1+VLOOKUP(($AJ26-$AI26-$AH26-$AG26-$AF26-$AE26*(1+CM$3))/$AJ26,Уголь_коэфф!$A:$B,2,1)-VLOOKUP($AO26,Уголь_коэфф!$A:$B,2,1)),1+(1-$AU26))</f>
        <v>1.0610000000000004</v>
      </c>
      <c r="CN26" s="102">
        <f>MIN(IF($AU26=100%,1,1+VLOOKUP(($AJ26-$AI26-$AH26-$AG26-$AF26-$AE26*(1+CN$3))/$AJ26,Уголь_коэфф!$A:$B,2,1)-VLOOKUP($AO26,Уголь_коэфф!$A:$B,2,1)),1+(1-$AU26))</f>
        <v>1.0610000000000004</v>
      </c>
      <c r="CO26" s="102">
        <f>MIN(IF($AU26=100%,1,1+VLOOKUP(($AJ26-$AI26-$AH26-$AG26-$AF26-$AE26*(1+CO$3))/$AJ26,Уголь_коэфф!$A:$B,2,1)-VLOOKUP($AO26,Уголь_коэфф!$A:$B,2,1)),1+(1-$AU26))</f>
        <v>1.0610000000000004</v>
      </c>
      <c r="CP26" s="102">
        <f>MIN(IF($AU26=100%,1,1+VLOOKUP(($AJ26-$AI26-$AH26-$AG26-$AF26-$AE26*(1+CP$3))/$AJ26,Уголь_коэфф!$A:$B,2,1)-VLOOKUP($AO26,Уголь_коэфф!$A:$B,2,1)),1+(1-$AU26))</f>
        <v>1.0610000000000004</v>
      </c>
      <c r="CQ26" s="102">
        <f>MIN(IF($AU26=100%,1,1+VLOOKUP(($AJ26-$AI26-$AH26-$AG26-$AF26-$AE26*(1+CQ$3))/$AJ26,Уголь_коэфф!$A:$B,2,1)-VLOOKUP($AO26,Уголь_коэфф!$A:$B,2,1)),1+(1-$AU26))</f>
        <v>1.0550000000000002</v>
      </c>
      <c r="CR26" s="102">
        <f>MIN(IF($AU26=100%,1,1+VLOOKUP(($AJ26-$AI26-$AH26-$AG26-$AF26-$AE26*(1+CR$3))/$AJ26,Уголь_коэфф!$A:$B,2,1)-VLOOKUP($AO26,Уголь_коэфф!$A:$B,2,1)),1+(1-$AU26))</f>
        <v>1.0550000000000002</v>
      </c>
      <c r="CS26" s="102">
        <f>MIN(IF($AU26=100%,1,1+VLOOKUP(($AJ26-$AI26-$AH26-$AG26-$AF26-$AE26*(1+CS$3))/$AJ26,Уголь_коэфф!$A:$B,2,1)-VLOOKUP($AO26,Уголь_коэфф!$A:$B,2,1)),1+(1-$AU26))</f>
        <v>1.0550000000000002</v>
      </c>
      <c r="CT26" s="102">
        <f>MIN(IF($AU26=100%,1,1+VLOOKUP(($AJ26-$AI26-$AH26-$AG26-$AF26-$AE26*(1+CT$3))/$AJ26,Уголь_коэфф!$A:$B,2,1)-VLOOKUP($AO26,Уголь_коэфф!$A:$B,2,1)),1+(1-$AU26))</f>
        <v>1.0550000000000002</v>
      </c>
      <c r="CU26" s="102">
        <f>MIN(IF($AU26=100%,1,1+VLOOKUP(($AJ26-$AI26-$AH26-$AG26-$AF26-$AE26*(1+CU$3))/$AJ26,Уголь_коэфф!$A:$B,2,1)-VLOOKUP($AO26,Уголь_коэфф!$A:$B,2,1)),1+(1-$AU26))</f>
        <v>1.0500000000000003</v>
      </c>
      <c r="CV26" s="102">
        <f>MIN(IF($AU26=100%,1,1+VLOOKUP(($AJ26-$AI26-$AH26-$AG26-$AF26-$AE26*(1+CV$3))/$AJ26,Уголь_коэфф!$A:$B,2,1)-VLOOKUP($AO26,Уголь_коэфф!$A:$B,2,1)),1+(1-$AU26))</f>
        <v>1.0500000000000003</v>
      </c>
      <c r="CW26" s="102">
        <f>MIN(IF($AU26=100%,1,1+VLOOKUP(($AJ26-$AI26-$AH26-$AG26-$AF26-$AE26*(1+CW$3))/$AJ26,Уголь_коэфф!$A:$B,2,1)-VLOOKUP($AO26,Уголь_коэфф!$A:$B,2,1)),1+(1-$AU26))</f>
        <v>1.0500000000000003</v>
      </c>
      <c r="CX26" s="102">
        <f>MIN(IF($AU26=100%,1,1+VLOOKUP(($AJ26-$AI26-$AH26-$AG26-$AF26-$AE26*(1+CX$3))/$AJ26,Уголь_коэфф!$A:$B,2,1)-VLOOKUP($AO26,Уголь_коэфф!$A:$B,2,1)),1+(1-$AU26))</f>
        <v>1.0500000000000003</v>
      </c>
      <c r="CY26" s="102">
        <f>MIN(IF($AU26=100%,1,1+VLOOKUP(($AJ26-$AI26-$AH26-$AG26-$AF26-$AE26*(1+CY$3))/$AJ26,Уголь_коэфф!$A:$B,2,1)-VLOOKUP($AO26,Уголь_коэфф!$A:$B,2,1)),1+(1-$AU26))</f>
        <v>1.0500000000000003</v>
      </c>
      <c r="CZ26" s="102">
        <f>MIN(IF($AU26=100%,1,1+VLOOKUP(($AJ26-$AI26-$AH26-$AG26-$AF26-$AE26*(1+CZ$3))/$AJ26,Уголь_коэфф!$A:$B,2,1)-VLOOKUP($AO26,Уголь_коэфф!$A:$B,2,1)),1+(1-$AU26))</f>
        <v>1.0450000000000004</v>
      </c>
      <c r="DA26" s="102">
        <f>MIN(IF($AU26=100%,1,1+VLOOKUP(($AJ26-$AI26-$AH26-$AG26-$AF26-$AE26*(1+DA$3))/$AJ26,Уголь_коэфф!$A:$B,2,1)-VLOOKUP($AO26,Уголь_коэфф!$A:$B,2,1)),1+(1-$AU26))</f>
        <v>1.0450000000000004</v>
      </c>
      <c r="DB26" s="102">
        <f>MIN(IF($AU26=100%,1,1+VLOOKUP(($AJ26-$AI26-$AH26-$AG26-$AF26-$AE26*(1+DB$3))/$AJ26,Уголь_коэфф!$A:$B,2,1)-VLOOKUP($AO26,Уголь_коэфф!$A:$B,2,1)),1+(1-$AU26))</f>
        <v>1.0450000000000004</v>
      </c>
      <c r="DC26" s="102">
        <f>MIN(IF($AU26=100%,1,1+VLOOKUP(($AJ26-$AI26-$AH26-$AG26-$AF26-$AE26*(1+DC$3))/$AJ26,Уголь_коэфф!$A:$B,2,1)-VLOOKUP($AO26,Уголь_коэфф!$A:$B,2,1)),1+(1-$AU26))</f>
        <v>1.0450000000000004</v>
      </c>
      <c r="DD26" s="102">
        <f>MIN(IF($AU26=100%,1,1+VLOOKUP(($AJ26-$AI26-$AH26-$AG26-$AF26-$AE26*(1+DD$3))/$AJ26,Уголь_коэфф!$A:$B,2,1)-VLOOKUP($AO26,Уголь_коэфф!$A:$B,2,1)),1+(1-$AU26))</f>
        <v>1.0450000000000004</v>
      </c>
      <c r="DE26" s="102">
        <f>MIN(IF($AU26=100%,1,1+VLOOKUP(($AJ26-$AI26-$AH26-$AG26-$AF26-$AE26*(1+DE$3))/$AJ26,Уголь_коэфф!$A:$B,2,1)-VLOOKUP($AO26,Уголь_коэфф!$A:$B,2,1)),1+(1-$AU26))</f>
        <v>1.04</v>
      </c>
      <c r="DF26" s="102">
        <f>MIN(IF($AU26=100%,1,1+VLOOKUP(($AJ26-$AI26-$AH26-$AG26-$AF26-$AE26*(1+DF$3))/$AJ26,Уголь_коэфф!$A:$B,2,1)-VLOOKUP($AO26,Уголь_коэфф!$A:$B,2,1)),1+(1-$AU26))</f>
        <v>1.04</v>
      </c>
      <c r="DG26" s="102">
        <f>MIN(IF($AU26=100%,1,1+VLOOKUP(($AJ26-$AI26-$AH26-$AG26-$AF26-$AE26*(1+DG$3))/$AJ26,Уголь_коэфф!$A:$B,2,1)-VLOOKUP($AO26,Уголь_коэфф!$A:$B,2,1)),1+(1-$AU26))</f>
        <v>1.04</v>
      </c>
      <c r="DH26" s="102">
        <f>MIN(IF($AU26=100%,1,1+VLOOKUP(($AJ26-$AI26-$AH26-$AG26-$AF26-$AE26*(1+DH$3))/$AJ26,Уголь_коэфф!$A:$B,2,1)-VLOOKUP($AO26,Уголь_коэфф!$A:$B,2,1)),1+(1-$AU26))</f>
        <v>1.04</v>
      </c>
      <c r="DI26" s="102">
        <f>MIN(IF($AU26=100%,1,1+VLOOKUP(($AJ26-$AI26-$AH26-$AG26-$AF26-$AE26*(1+DI$3))/$AJ26,Уголь_коэфф!$A:$B,2,1)-VLOOKUP($AO26,Уголь_коэфф!$A:$B,2,1)),1+(1-$AU26))</f>
        <v>1.0350000000000001</v>
      </c>
      <c r="DJ26" s="102">
        <f>MIN(IF($AU26=100%,1,1+VLOOKUP(($AJ26-$AI26-$AH26-$AG26-$AF26-$AE26*(1+DJ$3))/$AJ26,Уголь_коэфф!$A:$B,2,1)-VLOOKUP($AO26,Уголь_коэфф!$A:$B,2,1)),1+(1-$AU26))</f>
        <v>1.0350000000000001</v>
      </c>
      <c r="DK26" s="102">
        <f>MIN(IF($AU26=100%,1,1+VLOOKUP(($AJ26-$AI26-$AH26-$AG26-$AF26-$AE26*(1+DK$3))/$AJ26,Уголь_коэфф!$A:$B,2,1)-VLOOKUP($AO26,Уголь_коэфф!$A:$B,2,1)),1+(1-$AU26))</f>
        <v>1.0350000000000001</v>
      </c>
      <c r="DL26" s="102">
        <f>MIN(IF($AU26=100%,1,1+VLOOKUP(($AJ26-$AI26-$AH26-$AG26-$AF26-$AE26*(1+DL$3))/$AJ26,Уголь_коэфф!$A:$B,2,1)-VLOOKUP($AO26,Уголь_коэфф!$A:$B,2,1)),1+(1-$AU26))</f>
        <v>1.0350000000000001</v>
      </c>
      <c r="DM26" s="102">
        <f>MIN(IF($AU26=100%,1,1+VLOOKUP(($AJ26-$AI26-$AH26-$AG26-$AF26-$AE26*(1+DM$3))/$AJ26,Уголь_коэфф!$A:$B,2,1)-VLOOKUP($AO26,Уголь_коэфф!$A:$B,2,1)),1+(1-$AU26))</f>
        <v>1.0350000000000001</v>
      </c>
      <c r="DN26" s="102">
        <f>MIN(IF($AU26=100%,1,1+VLOOKUP(($AJ26-$AI26-$AH26-$AG26-$AF26-$AE26*(1+DN$3))/$AJ26,Уголь_коэфф!$A:$B,2,1)-VLOOKUP($AO26,Уголь_коэфф!$A:$B,2,1)),1+(1-$AU26))</f>
        <v>1.0299999999999998</v>
      </c>
      <c r="DO26" s="102">
        <f>MIN(IF($AU26=100%,1,1+VLOOKUP(($AJ26-$AI26-$AH26-$AG26-$AF26-$AE26*(1+DO$3))/$AJ26,Уголь_коэфф!$A:$B,2,1)-VLOOKUP($AO26,Уголь_коэфф!$A:$B,2,1)),1+(1-$AU26))</f>
        <v>1.0299999999999998</v>
      </c>
      <c r="DP26" s="102">
        <f>MIN(IF($AU26=100%,1,1+VLOOKUP(($AJ26-$AI26-$AH26-$AG26-$AF26-$AE26*(1+DP$3))/$AJ26,Уголь_коэфф!$A:$B,2,1)-VLOOKUP($AO26,Уголь_коэфф!$A:$B,2,1)),1+(1-$AU26))</f>
        <v>1.0299999999999998</v>
      </c>
      <c r="DQ26" s="102">
        <f>MIN(IF($AU26=100%,1,1+VLOOKUP(($AJ26-$AI26-$AH26-$AG26-$AF26-$AE26*(1+DQ$3))/$AJ26,Уголь_коэфф!$A:$B,2,1)-VLOOKUP($AO26,Уголь_коэфф!$A:$B,2,1)),1+(1-$AU26))</f>
        <v>1.0299999999999998</v>
      </c>
      <c r="DR26" s="102">
        <f>MIN(IF($AU26=100%,1,1+VLOOKUP(($AJ26-$AI26-$AH26-$AG26-$AF26-$AE26*(1+DR$3))/$AJ26,Уголь_коэфф!$A:$B,2,1)-VLOOKUP($AO26,Уголь_коэфф!$A:$B,2,1)),1+(1-$AU26))</f>
        <v>1.0249999999999999</v>
      </c>
      <c r="DS26" s="102">
        <f>MIN(IF($AU26=100%,1,1+VLOOKUP(($AJ26-$AI26-$AH26-$AG26-$AF26-$AE26*(1+DS$3))/$AJ26,Уголь_коэфф!$A:$B,2,1)-VLOOKUP($AO26,Уголь_коэфф!$A:$B,2,1)),1+(1-$AU26))</f>
        <v>1.0249999999999999</v>
      </c>
      <c r="DT26" s="102">
        <f>MIN(IF($AU26=100%,1,1+VLOOKUP(($AJ26-$AI26-$AH26-$AG26-$AF26-$AE26*(1+DT$3))/$AJ26,Уголь_коэфф!$A:$B,2,1)-VLOOKUP($AO26,Уголь_коэфф!$A:$B,2,1)),1+(1-$AU26))</f>
        <v>1.0249999999999999</v>
      </c>
      <c r="DU26" s="102">
        <f>MIN(IF($AU26=100%,1,1+VLOOKUP(($AJ26-$AI26-$AH26-$AG26-$AF26-$AE26*(1+DU$3))/$AJ26,Уголь_коэфф!$A:$B,2,1)-VLOOKUP($AO26,Уголь_коэфф!$A:$B,2,1)),1+(1-$AU26))</f>
        <v>1.0249999999999999</v>
      </c>
      <c r="DV26" s="102">
        <f>MIN(IF($AU26=100%,1,1+VLOOKUP(($AJ26-$AI26-$AH26-$AG26-$AF26-$AE26*(1+DV$3))/$AJ26,Уголь_коэфф!$A:$B,2,1)-VLOOKUP($AO26,Уголь_коэфф!$A:$B,2,1)),1+(1-$AU26))</f>
        <v>1.0249999999999999</v>
      </c>
      <c r="DW26" s="102">
        <f>MIN(IF($AU26=100%,1,1+VLOOKUP(($AJ26-$AI26-$AH26-$AG26-$AF26-$AE26*(1+DW$3))/$AJ26,Уголь_коэфф!$A:$B,2,1)-VLOOKUP($AO26,Уголь_коэфф!$A:$B,2,1)),1+(1-$AU26))</f>
        <v>1.02</v>
      </c>
      <c r="DX26" s="102">
        <f>MIN(IF($AU26=100%,1,1+VLOOKUP(($AJ26-$AI26-$AH26-$AG26-$AF26-$AE26*(1+DX$3))/$AJ26,Уголь_коэфф!$A:$B,2,1)-VLOOKUP($AO26,Уголь_коэфф!$A:$B,2,1)),1+(1-$AU26))</f>
        <v>1.02</v>
      </c>
      <c r="DY26" s="102">
        <f>MIN(IF($AU26=100%,1,1+VLOOKUP(($AJ26-$AI26-$AH26-$AG26-$AF26-$AE26*(1+DY$3))/$AJ26,Уголь_коэфф!$A:$B,2,1)-VLOOKUP($AO26,Уголь_коэфф!$A:$B,2,1)),1+(1-$AU26))</f>
        <v>1.02</v>
      </c>
      <c r="DZ26" s="102">
        <f>MIN(IF($AU26=100%,1,1+VLOOKUP(($AJ26-$AI26-$AH26-$AG26-$AF26-$AE26*(1+DZ$3))/$AJ26,Уголь_коэфф!$A:$B,2,1)-VLOOKUP($AO26,Уголь_коэфф!$A:$B,2,1)),1+(1-$AU26))</f>
        <v>1.02</v>
      </c>
      <c r="EA26" s="102">
        <f>MIN(IF($AU26=100%,1,1+VLOOKUP(($AJ26-$AI26-$AH26-$AG26-$AF26-$AE26*(1+EA$3))/$AJ26,Уголь_коэфф!$A:$B,2,1)-VLOOKUP($AO26,Уголь_коэфф!$A:$B,2,1)),1+(1-$AU26))</f>
        <v>1.0150000000000001</v>
      </c>
      <c r="EB26" s="102">
        <f>MIN(IF($AU26=100%,1,1+VLOOKUP(($AJ26-$AI26-$AH26-$AG26-$AF26-$AE26*(1+EB$3))/$AJ26,Уголь_коэфф!$A:$B,2,1)-VLOOKUP($AO26,Уголь_коэфф!$A:$B,2,1)),1+(1-$AU26))</f>
        <v>1.0150000000000001</v>
      </c>
      <c r="EC26" s="102">
        <f>MIN(IF($AU26=100%,1,1+VLOOKUP(($AJ26-$AI26-$AH26-$AG26-$AF26-$AE26*(1+EC$3))/$AJ26,Уголь_коэфф!$A:$B,2,1)-VLOOKUP($AO26,Уголь_коэфф!$A:$B,2,1)),1+(1-$AU26))</f>
        <v>1.0150000000000001</v>
      </c>
      <c r="ED26" s="102">
        <f>MIN(IF($AU26=100%,1,1+VLOOKUP(($AJ26-$AI26-$AH26-$AG26-$AF26-$AE26*(1+ED$3))/$AJ26,Уголь_коэфф!$A:$B,2,1)-VLOOKUP($AO26,Уголь_коэфф!$A:$B,2,1)),1+(1-$AU26))</f>
        <v>1.0150000000000001</v>
      </c>
      <c r="EE26" s="102">
        <f>MIN(IF($AU26=100%,1,1+VLOOKUP(($AJ26-$AI26-$AH26-$AG26-$AF26-$AE26*(1+EE$3))/$AJ26,Уголь_коэфф!$A:$B,2,1)-VLOOKUP($AO26,Уголь_коэфф!$A:$B,2,1)),1+(1-$AU26))</f>
        <v>1.0150000000000001</v>
      </c>
      <c r="EF26" s="102">
        <f>MIN(IF($AU26=100%,1,1+VLOOKUP(($AJ26-$AI26-$AH26-$AG26-$AF26-$AE26*(1+EF$3))/$AJ26,Уголь_коэфф!$A:$B,2,1)-VLOOKUP($AO26,Уголь_коэфф!$A:$B,2,1)),1+(1-$AU26))</f>
        <v>1.0100000000000002</v>
      </c>
      <c r="EG26" s="102">
        <f>MIN(IF($AU26=100%,1,1+VLOOKUP(($AJ26-$AI26-$AH26-$AG26-$AF26-$AE26*(1+EG$3))/$AJ26,Уголь_коэфф!$A:$B,2,1)-VLOOKUP($AO26,Уголь_коэфф!$A:$B,2,1)),1+(1-$AU26))</f>
        <v>1.0100000000000002</v>
      </c>
      <c r="EH26" s="102">
        <f>MIN(IF($AU26=100%,1,1+VLOOKUP(($AJ26-$AI26-$AH26-$AG26-$AF26-$AE26*(1+EH$3))/$AJ26,Уголь_коэфф!$A:$B,2,1)-VLOOKUP($AO26,Уголь_коэфф!$A:$B,2,1)),1+(1-$AU26))</f>
        <v>1.0100000000000002</v>
      </c>
      <c r="EI26" s="102">
        <f>MIN(IF($AU26=100%,1,1+VLOOKUP(($AJ26-$AI26-$AH26-$AG26-$AF26-$AE26*(1+EI$3))/$AJ26,Уголь_коэфф!$A:$B,2,1)-VLOOKUP($AO26,Уголь_коэфф!$A:$B,2,1)),1+(1-$AU26))</f>
        <v>1.0100000000000002</v>
      </c>
      <c r="EJ26" s="102">
        <f>MIN(IF($AU26=100%,1,1+VLOOKUP(($AJ26-$AI26-$AH26-$AG26-$AF26-$AE26*(1+EJ$3))/$AJ26,Уголь_коэфф!$A:$B,2,1)-VLOOKUP($AO26,Уголь_коэфф!$A:$B,2,1)),1+(1-$AU26))</f>
        <v>1.0050000000000003</v>
      </c>
      <c r="EK26" s="102">
        <f>MIN(IF($AU26=100%,1,1+VLOOKUP(($AJ26-$AI26-$AH26-$AG26-$AF26-$AE26*(1+EK$3))/$AJ26,Уголь_коэфф!$A:$B,2,1)-VLOOKUP($AO26,Уголь_коэфф!$A:$B,2,1)),1+(1-$AU26))</f>
        <v>1.0050000000000003</v>
      </c>
      <c r="EL26" s="102">
        <f>MIN(IF($AU26=100%,1,1+VLOOKUP(($AJ26-$AI26-$AH26-$AG26-$AF26-$AE26*(1+EL$3))/$AJ26,Уголь_коэфф!$A:$B,2,1)-VLOOKUP($AO26,Уголь_коэфф!$A:$B,2,1)),1+(1-$AU26))</f>
        <v>1.0050000000000003</v>
      </c>
      <c r="EM26" s="102">
        <f>MIN(IF($AU26=100%,1,1+VLOOKUP(($AJ26-$AI26-$AH26-$AG26-$AF26-$AE26*(1+EM$3))/$AJ26,Уголь_коэфф!$A:$B,2,1)-VLOOKUP($AO26,Уголь_коэфф!$A:$B,2,1)),1+(1-$AU26))</f>
        <v>1.0050000000000003</v>
      </c>
      <c r="EN26" s="102">
        <f>MIN(IF($AU26=100%,1,1+VLOOKUP(($AJ26-$AI26-$AH26-$AG26-$AF26-$AE26*(1+EN$3))/$AJ26,Уголь_коэфф!$A:$B,2,1)-VLOOKUP($AO26,Уголь_коэфф!$A:$B,2,1)),1+(1-$AU26))</f>
        <v>1.0050000000000003</v>
      </c>
      <c r="EO26" s="102">
        <f>MIN(IF($AU26=100%,1,1+VLOOKUP(($AJ26-$AI26-$AH26-$AG26-$AF26-$AE26*(1+EO$3))/$AJ26,Уголь_коэфф!$A:$B,2,1)-VLOOKUP($AO26,Уголь_коэфф!$A:$B,2,1)),1+(1-$AU26))</f>
        <v>1</v>
      </c>
      <c r="EP26" s="102">
        <f>MIN(IF($AU26=100%,1,1+VLOOKUP(($AJ26-$AI26-$AH26-$AG26-$AF26-$AE26*(1+EP$3))/$AJ26,Уголь_коэфф!$A:$B,2,1)-VLOOKUP($AO26,Уголь_коэфф!$A:$B,2,1)),1+(1-$AU26))</f>
        <v>1</v>
      </c>
      <c r="EQ26" s="102">
        <f>MIN(IF($AU26=100%,1,1+VLOOKUP(($AJ26-$AI26-$AH26-$AG26-$AF26-$AE26*(1+EQ$3))/$AJ26,Уголь_коэфф!$A:$B,2,1)-VLOOKUP($AO26,Уголь_коэфф!$A:$B,2,1)),1+(1-$AU26))</f>
        <v>1</v>
      </c>
      <c r="ER26" s="102">
        <f>MIN(IF($AU26=100%,1,1+VLOOKUP(($AJ26-$AI26-$AH26-$AG26-$AF26-$AE26*(1+ER$3))/$AJ26,Уголь_коэфф!$A:$B,2,1)-VLOOKUP($AO26,Уголь_коэфф!$A:$B,2,1)),1+(1-$AU26))</f>
        <v>1</v>
      </c>
      <c r="ES26" s="102">
        <f>MIN(IF($AU26=100%,1,1+VLOOKUP(($AJ26-$AI26-$AH26-$AG26-$AF26-$AE26*(1+ES$3))/$AJ26,Уголь_коэфф!$A:$B,2,1)-VLOOKUP($AO26,Уголь_коэфф!$A:$B,2,1)),1+(1-$AU26))</f>
        <v>1</v>
      </c>
      <c r="ET26" s="102">
        <f>MIN(IF($AU26=100%,1,1+VLOOKUP(($AJ26-$AI26-$AH26-$AG26-$AF26-$AE26*(1+ET$3))/$AJ26,Уголь_коэфф!$A:$B,2,1)-VLOOKUP($AO26,Уголь_коэфф!$A:$B,2,1)),1+(1-$AU26))</f>
        <v>1</v>
      </c>
      <c r="EU26" s="102">
        <f>MIN(IF($AU26=100%,1,1+VLOOKUP(($AJ26-$AI26-$AH26-$AG26-$AF26-$AE26*(1+EU$3))/$AJ26,Уголь_коэфф!$A:$B,2,1)-VLOOKUP($AO26,Уголь_коэфф!$A:$B,2,1)),1+(1-$AU26))</f>
        <v>1</v>
      </c>
      <c r="EV26" s="103">
        <v>1</v>
      </c>
      <c r="EW26" s="102">
        <f>MIN(1,MAX(VLOOKUP(($AJ26-$AI26-$AH26-$AG26-$AF26-$AE26*(1+EW$3))/$AJ26,Уголь_коэфф!$A:$B,2,1),(EV26-0.05)))</f>
        <v>1</v>
      </c>
      <c r="EX26" s="102">
        <f>MIN(1,MAX(VLOOKUP(($AJ26-$AI26-$AH26-$AG26-$AF26-$AE26*(1+EX$3))/$AJ26,Уголь_коэфф!$A:$B,2,1),(EW26-0.05)))</f>
        <v>1</v>
      </c>
      <c r="EY26" s="102">
        <f>MIN(1,MAX(VLOOKUP(($AJ26-$AI26-$AH26-$AG26-$AF26-$AE26*(1+EY$3))/$AJ26,Уголь_коэфф!$A:$B,2,1),(EX26-0.05)))</f>
        <v>1</v>
      </c>
      <c r="EZ26" s="102">
        <f>MIN(1,MAX(VLOOKUP(($AJ26-$AI26-$AH26-$AG26-$AF26-$AE26*(1+EZ$3))/$AJ26,Уголь_коэфф!$A:$B,2,1),(EY26-0.05)))</f>
        <v>1</v>
      </c>
      <c r="FA26" s="102">
        <f>MIN(1,MAX(VLOOKUP(($AJ26-$AI26-$AH26-$AG26-$AF26-$AE26*(1+FA$3))/$AJ26,Уголь_коэфф!$A:$B,2,1),(EZ26-0.05)))</f>
        <v>1</v>
      </c>
      <c r="FB26" s="102">
        <f>MIN(1,MAX(VLOOKUP(($AJ26-$AI26-$AH26-$AG26-$AF26-$AE26*(1+FB$3))/$AJ26,Уголь_коэфф!$A:$B,2,1),(FA26-0.05)))</f>
        <v>1</v>
      </c>
      <c r="FC26" s="102">
        <f>MIN(1,MAX(VLOOKUP(($AJ26-$AI26-$AH26-$AG26-$AF26-$AE26*(1+FC$3))/$AJ26,Уголь_коэфф!$A:$B,2,1),(FB26-0.05)))</f>
        <v>1</v>
      </c>
      <c r="FD26" s="102">
        <f>MIN(1,MAX(VLOOKUP(($AJ26-$AI26-$AH26-$AG26-$AF26-$AE26*(1+FD$3))/$AJ26,Уголь_коэфф!$A:$B,2,1),(FC26-0.05)))</f>
        <v>1</v>
      </c>
      <c r="FE26" s="102">
        <f>MIN(1,MAX(VLOOKUP(($AJ26-$AI26-$AH26-$AG26-$AF26-$AE26*(1+FE$3))/$AJ26,Уголь_коэфф!$A:$B,2,1),(FD26-0.05)))</f>
        <v>1</v>
      </c>
      <c r="FF26" s="102">
        <f>MIN(1,MAX(VLOOKUP(($AJ26-$AI26-$AH26-$AG26-$AF26-$AE26*(1+FF$3))/$AJ26,Уголь_коэфф!$A:$B,2,1),(FE26-0.05)))</f>
        <v>1</v>
      </c>
      <c r="FG26" s="102">
        <f>MIN(1,MAX(VLOOKUP(($AJ26-$AI26-$AH26-$AG26-$AF26-$AE26*(1+FG$3))/$AJ26,Уголь_коэфф!$A:$B,2,1),(FF26-0.05)))</f>
        <v>1</v>
      </c>
      <c r="FH26" s="102">
        <f>MIN(1,MAX(VLOOKUP(($AJ26-$AI26-$AH26-$AG26-$AF26-$AE26*(1+FH$3))/$AJ26,Уголь_коэфф!$A:$B,2,1),(FG26-0.05)))</f>
        <v>1</v>
      </c>
      <c r="FI26" s="102">
        <f>MIN(1,MAX(VLOOKUP(($AJ26-$AI26-$AH26-$AG26-$AF26-$AE26*(1+FI$3))/$AJ26,Уголь_коэфф!$A:$B,2,1),(FH26-0.05)))</f>
        <v>1</v>
      </c>
      <c r="FJ26" s="102">
        <f>MIN(1,MAX(VLOOKUP(($AJ26-$AI26-$AH26-$AG26-$AF26-$AE26*(1+FJ$3))/$AJ26,Уголь_коэфф!$A:$B,2,1),(FI26-0.05)))</f>
        <v>1</v>
      </c>
      <c r="FK26" s="102">
        <f>MIN(1,MAX(VLOOKUP(($AJ26-$AI26-$AH26-$AG26-$AF26-$AE26*(1+FK$3))/$AJ26,Уголь_коэфф!$A:$B,2,1),(FJ26-0.05)))</f>
        <v>1</v>
      </c>
      <c r="FL26" s="102">
        <f>MIN(1,MAX(VLOOKUP(($AJ26-$AI26-$AH26-$AG26-$AF26-$AE26*(1+FL$3))/$AJ26,Уголь_коэфф!$A:$B,2,1),(FK26-0.05)))</f>
        <v>1</v>
      </c>
      <c r="FM26" s="102">
        <f>MIN(1,MAX(VLOOKUP(($AJ26-$AI26-$AH26-$AG26-$AF26-$AE26*(1+FM$3))/$AJ26,Уголь_коэфф!$A:$B,2,1),(FL26-0.05)))</f>
        <v>1</v>
      </c>
      <c r="FN26" s="102">
        <f>MIN(1,MAX(VLOOKUP(($AJ26-$AI26-$AH26-$AG26-$AF26-$AE26*(1+FN$3))/$AJ26,Уголь_коэфф!$A:$B,2,1),(FM26-0.05)))</f>
        <v>1</v>
      </c>
      <c r="FO26" s="102">
        <f>MIN(1,MAX(VLOOKUP(($AJ26-$AI26-$AH26-$AG26-$AF26-$AE26*(1+FO$3))/$AJ26,Уголь_коэфф!$A:$B,2,1),(FN26-0.05)))</f>
        <v>1</v>
      </c>
      <c r="FP26" s="102">
        <f>MIN(1,MAX(VLOOKUP(($AJ26-$AI26-$AH26-$AG26-$AF26-$AE26*(1+FP$3))/$AJ26,Уголь_коэфф!$A:$B,2,1),(FO26-0.05)))</f>
        <v>1</v>
      </c>
      <c r="FQ26" s="102">
        <f>MIN(1,MAX(VLOOKUP(($AJ26-$AI26-$AH26-$AG26-$AF26-$AE26*(1+FQ$3))/$AJ26,Уголь_коэфф!$A:$B,2,1),(FP26-0.05)))</f>
        <v>1</v>
      </c>
      <c r="FR26" s="102">
        <f>MIN(1,MAX(VLOOKUP(($AJ26-$AI26-$AH26-$AG26-$AF26-$AE26*(1+FR$3))/$AJ26,Уголь_коэфф!$A:$B,2,1),(FQ26-0.05)))</f>
        <v>1</v>
      </c>
      <c r="FS26" s="102">
        <f>MIN(1,MAX(VLOOKUP(($AJ26-$AI26-$AH26-$AG26-$AF26-$AE26*(1+FS$3))/$AJ26,Уголь_коэфф!$A:$B,2,1),(FR26-0.05)))</f>
        <v>1</v>
      </c>
      <c r="FT26" s="102">
        <f>MIN(1,MAX(VLOOKUP(($AJ26-$AI26-$AH26-$AG26-$AF26-$AE26*(1+FT$3))/$AJ26,Уголь_коэфф!$A:$B,2,1),(FS26-0.05)))</f>
        <v>1</v>
      </c>
      <c r="FU26" s="102">
        <f>MIN(1,MAX(VLOOKUP(($AJ26-$AI26-$AH26-$AG26-$AF26-$AE26*(1+FU$3))/$AJ26,Уголь_коэфф!$A:$B,2,1),(FT26-0.05)))</f>
        <v>1</v>
      </c>
      <c r="FV26" s="102">
        <f>MIN(1,MAX(VLOOKUP(($AJ26-$AI26-$AH26-$AG26-$AF26-$AE26*(1+FV$3))/$AJ26,Уголь_коэфф!$A:$B,2,1),(FU26-0.05)))</f>
        <v>1</v>
      </c>
      <c r="FW26" s="102">
        <f>MIN(1,MAX(VLOOKUP(($AJ26-$AI26-$AH26-$AG26-$AF26-$AE26*(1+FW$3))/$AJ26,Уголь_коэфф!$A:$B,2,1),(FV26-0.05)))</f>
        <v>1</v>
      </c>
      <c r="FX26" s="102">
        <f>MIN(1,MAX(VLOOKUP(($AJ26-$AI26-$AH26-$AG26-$AF26-$AE26*(1+FX$3))/$AJ26,Уголь_коэфф!$A:$B,2,1),(FW26-0.05)))</f>
        <v>1</v>
      </c>
      <c r="FY26" s="102">
        <f>MIN(1,MAX(VLOOKUP(($AJ26-$AI26-$AH26-$AG26-$AF26-$AE26*(1+FY$3))/$AJ26,Уголь_коэфф!$A:$B,2,1),(FX26-0.05)))</f>
        <v>1</v>
      </c>
      <c r="FZ26" s="102">
        <f>MIN(1,MAX(VLOOKUP(($AJ26-$AI26-$AH26-$AG26-$AF26-$AE26*(1+FZ$3))/$AJ26,Уголь_коэфф!$A:$B,2,1),(FY26-0.05)))</f>
        <v>1</v>
      </c>
      <c r="GA26" s="102">
        <f>MIN(1,MAX(VLOOKUP(($AJ26-$AI26-$AH26-$AG26-$AF26-$AE26*(1+GA$3))/$AJ26,Уголь_коэфф!$A:$B,2,1),(FZ26-0.05)))</f>
        <v>1</v>
      </c>
      <c r="GB26" s="102">
        <f>MIN(1,MAX(VLOOKUP(($AJ26-$AI26-$AH26-$AG26-$AF26-$AE26*(1+GB$3))/$AJ26,Уголь_коэфф!$A:$B,2,1),(GA26-0.05)))</f>
        <v>1</v>
      </c>
      <c r="GC26" s="102">
        <f>MIN(1,MAX(VLOOKUP(($AJ26-$AI26-$AH26-$AG26-$AF26-$AE26*(1+GC$3))/$AJ26,Уголь_коэфф!$A:$B,2,1),(GB26-0.05)))</f>
        <v>1</v>
      </c>
      <c r="GD26" s="102">
        <f>MIN(1,MAX(VLOOKUP(($AJ26-$AI26-$AH26-$AG26-$AF26-$AE26*(1+GD$3))/$AJ26,Уголь_коэфф!$A:$B,2,1),(GC26-0.05)))</f>
        <v>1</v>
      </c>
      <c r="GE26" s="102">
        <f>MIN(1,MAX(VLOOKUP(($AJ26-$AI26-$AH26-$AG26-$AF26-$AE26*(1+GE$3))/$AJ26,Уголь_коэфф!$A:$B,2,1),(GD26-0.05)))</f>
        <v>1</v>
      </c>
      <c r="GF26" s="102">
        <f>MIN(1,MAX(VLOOKUP(($AJ26-$AI26-$AH26-$AG26-$AF26-$AE26*(1+GF$3))/$AJ26,Уголь_коэфф!$A:$B,2,1),(GE26-0.05)))</f>
        <v>1</v>
      </c>
      <c r="GG26" s="102">
        <f>MIN(1,MAX(VLOOKUP(($AJ26-$AI26-$AH26-$AG26-$AF26-$AE26*(1+GG$3))/$AJ26,Уголь_коэфф!$A:$B,2,1),(GF26-0.05)))</f>
        <v>1</v>
      </c>
      <c r="GH26" s="102">
        <f>MIN(1,MAX(VLOOKUP(($AJ26-$AI26-$AH26-$AG26-$AF26-$AE26*(1+GH$3))/$AJ26,Уголь_коэфф!$A:$B,2,1),(GG26-0.05)))</f>
        <v>0.995</v>
      </c>
      <c r="GI26" s="102">
        <f>MIN(1,MAX(VLOOKUP(($AJ26-$AI26-$AH26-$AG26-$AF26-$AE26*(1+GI$3))/$AJ26,Уголь_коэфф!$A:$B,2,1),(GH26-0.05)))</f>
        <v>0.995</v>
      </c>
      <c r="GJ26" s="102">
        <f>MIN(1,MAX(VLOOKUP(($AJ26-$AI26-$AH26-$AG26-$AF26-$AE26*(1+GJ$3))/$AJ26,Уголь_коэфф!$A:$B,2,1),(GI26-0.05)))</f>
        <v>0.995</v>
      </c>
      <c r="GK26" s="102">
        <f>MIN(1,MAX(VLOOKUP(($AJ26-$AI26-$AH26-$AG26-$AF26-$AE26*(1+GK$3))/$AJ26,Уголь_коэфф!$A:$B,2,1),(GJ26-0.05)))</f>
        <v>0.995</v>
      </c>
      <c r="GL26" s="102">
        <f>MIN(1,MAX(VLOOKUP(($AJ26-$AI26-$AH26-$AG26-$AF26-$AE26*(1+GL$3))/$AJ26,Уголь_коэфф!$A:$B,2,1),(GK26-0.05)))</f>
        <v>0.995</v>
      </c>
      <c r="GM26" s="102">
        <f>MIN(1,MAX(VLOOKUP(($AJ26-$AI26-$AH26-$AG26-$AF26-$AE26*(1+GM$3))/$AJ26,Уголь_коэфф!$A:$B,2,1),(GL26-0.05)))</f>
        <v>0.99</v>
      </c>
      <c r="GN26" s="102">
        <f>MIN(1,MAX(VLOOKUP(($AJ26-$AI26-$AH26-$AG26-$AF26-$AE26*(1+GN$3))/$AJ26,Уголь_коэфф!$A:$B,2,1),(GM26-0.05)))</f>
        <v>0.99</v>
      </c>
      <c r="GO26" s="102">
        <f>MIN(1,MAX(VLOOKUP(($AJ26-$AI26-$AH26-$AG26-$AF26-$AE26*(1+GO$3))/$AJ26,Уголь_коэфф!$A:$B,2,1),(GN26-0.05)))</f>
        <v>0.99</v>
      </c>
      <c r="GP26" s="102">
        <f>MIN(1,MAX(VLOOKUP(($AJ26-$AI26-$AH26-$AG26-$AF26-$AE26*(1+GP$3))/$AJ26,Уголь_коэфф!$A:$B,2,1),(GO26-0.05)))</f>
        <v>0.99</v>
      </c>
      <c r="GQ26" s="102">
        <f>MIN(1,MAX(VLOOKUP(($AJ26-$AI26-$AH26-$AG26-$AF26-$AE26*(1+GQ$3))/$AJ26,Уголь_коэфф!$A:$B,2,1),(GP26-0.05)))</f>
        <v>0.99</v>
      </c>
      <c r="GR26" s="102">
        <f>MIN(1,MAX(VLOOKUP(($AJ26-$AI26-$AH26-$AG26-$AF26-$AE26*(1+GR$3))/$AJ26,Уголь_коэфф!$A:$B,2,1),(GQ26-0.05)))</f>
        <v>0.98499999999999999</v>
      </c>
      <c r="GS26" s="102">
        <f>MIN(1,MAX(VLOOKUP(($AJ26-$AI26-$AH26-$AG26-$AF26-$AE26*(1+GS$3))/$AJ26,Уголь_коэфф!$A:$B,2,1),(GR26-0.05)))</f>
        <v>0.98499999999999999</v>
      </c>
      <c r="GT26" s="102">
        <f>MIN(1,MAX(VLOOKUP(($AJ26-$AI26-$AH26-$AG26-$AF26-$AE26*(1+GT$3))/$AJ26,Уголь_коэфф!$A:$B,2,1),(GS26-0.05)))</f>
        <v>0.98499999999999999</v>
      </c>
      <c r="GU26" s="102">
        <f>MIN(1,MAX(VLOOKUP(($AJ26-$AI26-$AH26-$AG26-$AF26-$AE26*(1+GU$3))/$AJ26,Уголь_коэфф!$A:$B,2,1),(GT26-0.05)))</f>
        <v>0.98499999999999999</v>
      </c>
      <c r="GV26" s="102">
        <f>MIN(1,MAX(VLOOKUP(($AJ26-$AI26-$AH26-$AG26-$AF26-$AE26*(1+GV$3))/$AJ26,Уголь_коэфф!$A:$B,2,1),(GU26-0.05)))</f>
        <v>0.98</v>
      </c>
      <c r="GW26" s="102">
        <f>MIN(1,MAX(VLOOKUP(($AJ26-$AI26-$AH26-$AG26-$AF26-$AE26*(1+GW$3))/$AJ26,Уголь_коэфф!$A:$B,2,1),(GV26-0.05)))</f>
        <v>0.98</v>
      </c>
      <c r="GX26" s="102">
        <f>MIN(1,MAX(VLOOKUP(($AJ26-$AI26-$AH26-$AG26-$AF26-$AE26*(1+GX$3))/$AJ26,Уголь_коэфф!$A:$B,2,1),(GW26-0.05)))</f>
        <v>0.98</v>
      </c>
      <c r="GY26" s="102">
        <f>MIN(1,MAX(VLOOKUP(($AJ26-$AI26-$AH26-$AG26-$AF26-$AE26*(1+GY$3))/$AJ26,Уголь_коэфф!$A:$B,2,1),(GX26-0.05)))</f>
        <v>0.98</v>
      </c>
      <c r="GZ26" s="102">
        <f>MIN(1,MAX(VLOOKUP(($AJ26-$AI26-$AH26-$AG26-$AF26-$AE26*(1+GZ$3))/$AJ26,Уголь_коэфф!$A:$B,2,1),(GY26-0.05)))</f>
        <v>0.98</v>
      </c>
      <c r="HA26" s="102">
        <f>MIN(1,MAX(VLOOKUP(($AJ26-$AI26-$AH26-$AG26-$AF26-$AE26*(1+HA$3))/$AJ26,Уголь_коэфф!$A:$B,2,1),(GZ26-0.05)))</f>
        <v>0.97499999999999998</v>
      </c>
      <c r="HB26" s="102">
        <f>MIN(1,MAX(VLOOKUP(($AJ26-$AI26-$AH26-$AG26-$AF26-$AE26*(1+HB$3))/$AJ26,Уголь_коэфф!$A:$B,2,1),(HA26-0.05)))</f>
        <v>0.97499999999999998</v>
      </c>
      <c r="HC26" s="102">
        <f>MIN(1,MAX(VLOOKUP(($AJ26-$AI26-$AH26-$AG26-$AF26-$AE26*(1+HC$3))/$AJ26,Уголь_коэфф!$A:$B,2,1),(HB26-0.05)))</f>
        <v>0.97499999999999998</v>
      </c>
      <c r="HD26" s="102">
        <f>MIN(1,MAX(VLOOKUP(($AJ26-$AI26-$AH26-$AG26-$AF26-$AE26*(1+HD$3))/$AJ26,Уголь_коэфф!$A:$B,2,1),(HC26-0.05)))</f>
        <v>0.97499999999999998</v>
      </c>
      <c r="HE26" s="102">
        <f>MIN(1,MAX(VLOOKUP(($AJ26-$AI26-$AH26-$AG26-$AF26-$AE26*(1+HE$3))/$AJ26,Уголь_коэфф!$A:$B,2,1),(HD26-0.05)))</f>
        <v>0.97</v>
      </c>
      <c r="HF26" s="102">
        <f>MIN(1,MAX(VLOOKUP(($AJ26-$AI26-$AH26-$AG26-$AF26-$AE26*(1+HF$3))/$AJ26,Уголь_коэфф!$A:$B,2,1),(HE26-0.05)))</f>
        <v>0.97</v>
      </c>
      <c r="HG26" s="102">
        <f>MIN(1,MAX(VLOOKUP(($AJ26-$AI26-$AH26-$AG26-$AF26-$AE26*(1+HG$3))/$AJ26,Уголь_коэфф!$A:$B,2,1),(HF26-0.05)))</f>
        <v>0.97</v>
      </c>
      <c r="HH26" s="102">
        <f>MIN(1,MAX(VLOOKUP(($AJ26-$AI26-$AH26-$AG26-$AF26-$AE26*(1+HH$3))/$AJ26,Уголь_коэфф!$A:$B,2,1),(HG26-0.05)))</f>
        <v>0.97</v>
      </c>
      <c r="HI26" s="102">
        <f>MIN(1,MAX(VLOOKUP(($AJ26-$AI26-$AH26-$AG26-$AF26-$AE26*(1+HI$3))/$AJ26,Уголь_коэфф!$A:$B,2,1),(HH26-0.05)))</f>
        <v>0.97</v>
      </c>
      <c r="HJ26" s="102">
        <f>MIN(1,MAX(VLOOKUP(($AJ26-$AI26-$AH26-$AG26-$AF26-$AE26*(1+HJ$3))/$AJ26,Уголь_коэфф!$A:$B,2,1),(HI26-0.05)))</f>
        <v>0.96499999999999997</v>
      </c>
      <c r="HK26" s="102">
        <f>MIN(1,MAX(VLOOKUP(($AJ26-$AI26-$AH26-$AG26-$AF26-$AE26*(1+HK$3))/$AJ26,Уголь_коэфф!$A:$B,2,1),(HJ26-0.05)))</f>
        <v>0.96499999999999997</v>
      </c>
      <c r="HL26" s="102">
        <f>MIN(1,MAX(VLOOKUP(($AJ26-$AI26-$AH26-$AG26-$AF26-$AE26*(1+HL$3))/$AJ26,Уголь_коэфф!$A:$B,2,1),(HK26-0.05)))</f>
        <v>0.96499999999999997</v>
      </c>
      <c r="HM26" s="102">
        <f>MIN(1,MAX(VLOOKUP(($AJ26-$AI26-$AH26-$AG26-$AF26-$AE26*(1+HM$3))/$AJ26,Уголь_коэфф!$A:$B,2,1),(HL26-0.05)))</f>
        <v>0.96499999999999997</v>
      </c>
      <c r="HN26" s="102">
        <f>MIN(1,MAX(VLOOKUP(($AJ26-$AI26-$AH26-$AG26-$AF26-$AE26*(1+HN$3))/$AJ26,Уголь_коэфф!$A:$B,2,1),(HM26-0.05)))</f>
        <v>0.96</v>
      </c>
      <c r="HO26" s="102">
        <f>MIN(1,MAX(VLOOKUP(($AJ26-$AI26-$AH26-$AG26-$AF26-$AE26*(1+HO$3))/$AJ26,Уголь_коэфф!$A:$B,2,1),(HN26-0.05)))</f>
        <v>0.96</v>
      </c>
      <c r="HP26" s="102">
        <f>MIN(1,MAX(VLOOKUP(($AJ26-$AI26-$AH26-$AG26-$AF26-$AE26*(1+HP$3))/$AJ26,Уголь_коэфф!$A:$B,2,1),(HO26-0.05)))</f>
        <v>0.96</v>
      </c>
      <c r="HQ26" s="102">
        <f>MIN(1,MAX(VLOOKUP(($AJ26-$AI26-$AH26-$AG26-$AF26-$AE26*(1+HQ$3))/$AJ26,Уголь_коэфф!$A:$B,2,1),(HP26-0.05)))</f>
        <v>0.96</v>
      </c>
      <c r="HR26" s="102">
        <f>MIN(1,MAX(VLOOKUP(($AJ26-$AI26-$AH26-$AG26-$AF26-$AE26*(1+HR$3))/$AJ26,Уголь_коэфф!$A:$B,2,1),(HQ26-0.05)))</f>
        <v>0.96</v>
      </c>
      <c r="HS26" s="102">
        <f>MIN(1,MAX(VLOOKUP(($AJ26-$AI26-$AH26-$AG26-$AF26-$AE26*(1+HS$3))/$AJ26,Уголь_коэфф!$A:$B,2,1),(HR26-0.05)))</f>
        <v>0.95499999999999996</v>
      </c>
      <c r="HT26" s="102">
        <f>MIN(1,MAX(VLOOKUP(($AJ26-$AI26-$AH26-$AG26-$AF26-$AE26*(1+HT$3))/$AJ26,Уголь_коэфф!$A:$B,2,1),(HS26-0.05)))</f>
        <v>0.95499999999999996</v>
      </c>
      <c r="HU26" s="102">
        <f>MIN(1,MAX(VLOOKUP(($AJ26-$AI26-$AH26-$AG26-$AF26-$AE26*(1+HU$3))/$AJ26,Уголь_коэфф!$A:$B,2,1),(HT26-0.05)))</f>
        <v>0.95499999999999996</v>
      </c>
      <c r="HV26" s="102">
        <f>MIN(1,MAX(VLOOKUP(($AJ26-$AI26-$AH26-$AG26-$AF26-$AE26*(1+HV$3))/$AJ26,Уголь_коэфф!$A:$B,2,1),(HU26-0.05)))</f>
        <v>0.95499999999999996</v>
      </c>
      <c r="HW26" s="102">
        <f>MIN(1,MAX(VLOOKUP(($AJ26-$AI26-$AH26-$AG26-$AF26-$AE26*(1+HW$3))/$AJ26,Уголь_коэфф!$A:$B,2,1),(HV26-0.05)))</f>
        <v>0.95</v>
      </c>
      <c r="HX26" s="102">
        <f>MIN(1,MAX(VLOOKUP(($AJ26-$AI26-$AH26-$AG26-$AF26-$AE26*(1+HX$3))/$AJ26,Уголь_коэфф!$A:$B,2,1),(HW26-0.05)))</f>
        <v>0.95</v>
      </c>
      <c r="HY26" s="102">
        <f>MIN(1,MAX(VLOOKUP(($AJ26-$AI26-$AH26-$AG26-$AF26-$AE26*(1+HY$3))/$AJ26,Уголь_коэфф!$A:$B,2,1),(HX26-0.05)))</f>
        <v>0.95</v>
      </c>
      <c r="HZ26" s="102">
        <f>MIN(1,MAX(VLOOKUP(($AJ26-$AI26-$AH26-$AG26-$AF26-$AE26*(1+HZ$3))/$AJ26,Уголь_коэфф!$A:$B,2,1),(HY26-0.05)))</f>
        <v>0.95</v>
      </c>
      <c r="IA26" s="102">
        <f>MIN(1,MAX(VLOOKUP(($AJ26-$AI26-$AH26-$AG26-$AF26-$AE26*(1+IA$3))/$AJ26,Уголь_коэфф!$A:$B,2,1),(HZ26-0.05)))</f>
        <v>0.95</v>
      </c>
      <c r="IB26" s="102">
        <f>MIN(1,MAX(VLOOKUP(($AJ26-$AI26-$AH26-$AG26-$AF26-$AE26*(1+IB$3))/$AJ26,Уголь_коэфф!$A:$B,2,1),(IA26-0.05)))</f>
        <v>0.94499999999999995</v>
      </c>
      <c r="IC26" s="102">
        <f>MIN(1,MAX(VLOOKUP(($AJ26-$AI26-$AH26-$AG26-$AF26-$AE26*(1+IC$3))/$AJ26,Уголь_коэфф!$A:$B,2,1),(IB26-0.05)))</f>
        <v>0.94499999999999995</v>
      </c>
      <c r="ID26" s="102">
        <f>MIN(1,MAX(VLOOKUP(($AJ26-$AI26-$AH26-$AG26-$AF26-$AE26*(1+ID$3))/$AJ26,Уголь_коэфф!$A:$B,2,1),(IC26-0.05)))</f>
        <v>0.94499999999999995</v>
      </c>
      <c r="IE26" s="102">
        <f>MIN(1,MAX(VLOOKUP(($AJ26-$AI26-$AH26-$AG26-$AF26-$AE26*(1+IE$3))/$AJ26,Уголь_коэфф!$A:$B,2,1),(ID26-0.05)))</f>
        <v>0.94499999999999995</v>
      </c>
      <c r="IF26" s="102">
        <f>MIN(1,MAX(VLOOKUP(($AJ26-$AI26-$AH26-$AG26-$AF26-$AE26*(1+IF$3))/$AJ26,Уголь_коэфф!$A:$B,2,1),(IE26-0.05)))</f>
        <v>0.94</v>
      </c>
      <c r="IG26" s="102">
        <f>MIN(1,MAX(VLOOKUP(($AJ26-$AI26-$AH26-$AG26-$AF26-$AE26*(1+IG$3))/$AJ26,Уголь_коэфф!$A:$B,2,1),(IF26-0.05)))</f>
        <v>0.94</v>
      </c>
      <c r="IH26" s="102">
        <f>MIN(1,MAX(VLOOKUP(($AJ26-$AI26-$AH26-$AG26-$AF26-$AE26*(1+IH$3))/$AJ26,Уголь_коэфф!$A:$B,2,1),(IG26-0.05)))</f>
        <v>0.94</v>
      </c>
      <c r="II26" s="102">
        <f>MIN(1,MAX(VLOOKUP(($AJ26-$AI26-$AH26-$AG26-$AF26-$AE26*(1+II$3))/$AJ26,Уголь_коэфф!$A:$B,2,1),(IH26-0.05)))</f>
        <v>0.94</v>
      </c>
      <c r="IJ26" s="102">
        <f>MIN(1,MAX(VLOOKUP(($AJ26-$AI26-$AH26-$AG26-$AF26-$AE26*(1+IJ$3))/$AJ26,Уголь_коэфф!$A:$B,2,1),(II26-0.05)))</f>
        <v>0.94</v>
      </c>
      <c r="IK26" s="102">
        <f>MIN(1,MAX(VLOOKUP(($AJ26-$AI26-$AH26-$AG26-$AF26-$AE26*(1+IK$3))/$AJ26,Уголь_коэфф!$A:$B,2,1),(IJ26-0.05)))</f>
        <v>0.93500000000000005</v>
      </c>
      <c r="IL26" s="102">
        <f>MIN(1,MAX(VLOOKUP(($AJ26-$AI26-$AH26-$AG26-$AF26-$AE26*(1+IL$3))/$AJ26,Уголь_коэфф!$A:$B,2,1),(IK26-0.05)))</f>
        <v>0.93500000000000005</v>
      </c>
      <c r="IM26" s="102">
        <f>MIN(1,MAX(VLOOKUP(($AJ26-$AI26-$AH26-$AG26-$AF26-$AE26*(1+IM$3))/$AJ26,Уголь_коэфф!$A:$B,2,1),(IL26-0.05)))</f>
        <v>0.93500000000000005</v>
      </c>
      <c r="IN26" s="102">
        <f>MIN(1,MAX(VLOOKUP(($AJ26-$AI26-$AH26-$AG26-$AF26-$AE26*(1+IN$3))/$AJ26,Уголь_коэфф!$A:$B,2,1),(IM26-0.05)))</f>
        <v>0.93500000000000005</v>
      </c>
      <c r="IO26" s="102">
        <f>MIN(1,MAX(VLOOKUP(($AJ26-$AI26-$AH26-$AG26-$AF26-$AE26*(1+IO$3))/$AJ26,Уголь_коэфф!$A:$B,2,1),(IN26-0.05)))</f>
        <v>0.93500000000000005</v>
      </c>
      <c r="IP26" s="102">
        <f>MIN(1,MAX(VLOOKUP(($AJ26-$AI26-$AH26-$AG26-$AF26-$AE26*(1+IP$3))/$AJ26,Уголь_коэфф!$A:$B,2,1),(IO26-0.05)))</f>
        <v>0.93</v>
      </c>
      <c r="IQ26" s="102">
        <f>MIN(1,MAX(VLOOKUP(($AJ26-$AI26-$AH26-$AG26-$AF26-$AE26*(1+IQ$3))/$AJ26,Уголь_коэфф!$A:$B,2,1),(IP26-0.05)))</f>
        <v>0.93</v>
      </c>
      <c r="IR26" s="102">
        <f>MIN(1,MAX(VLOOKUP(($AJ26-$AI26-$AH26-$AG26-$AF26-$AE26*(1+IR$3))/$AJ26,Уголь_коэфф!$A:$B,2,1),(IQ26-0.05)))</f>
        <v>0.93</v>
      </c>
      <c r="IS26" s="102">
        <f t="shared" si="20"/>
        <v>1</v>
      </c>
      <c r="IT26" s="102">
        <f t="shared" si="7"/>
        <v>1</v>
      </c>
      <c r="IU26" s="110"/>
    </row>
    <row r="27" spans="1:255" ht="14.6" customHeight="1">
      <c r="A27" t="s">
        <v>239</v>
      </c>
      <c r="B27" s="36">
        <v>1</v>
      </c>
      <c r="C27" s="34" t="s">
        <v>16</v>
      </c>
      <c r="D27" s="1">
        <v>16122</v>
      </c>
      <c r="E27" s="1" t="s">
        <v>132</v>
      </c>
      <c r="F27" s="34" t="s">
        <v>18</v>
      </c>
      <c r="G27" s="1" t="s">
        <v>19</v>
      </c>
      <c r="H27" s="1" t="s">
        <v>19</v>
      </c>
      <c r="I27" s="1" t="s">
        <v>133</v>
      </c>
      <c r="J27" s="1" t="s">
        <v>134</v>
      </c>
      <c r="K27" s="1">
        <v>2546</v>
      </c>
      <c r="L27" s="1" t="s">
        <v>22</v>
      </c>
      <c r="M27" s="1" t="s">
        <v>23</v>
      </c>
      <c r="N27" s="1" t="s">
        <v>24</v>
      </c>
      <c r="O27" s="5" t="s">
        <v>25</v>
      </c>
      <c r="P27" s="4">
        <v>161878</v>
      </c>
      <c r="Q27" s="4" t="s">
        <v>135</v>
      </c>
      <c r="R27" s="1" t="s">
        <v>136</v>
      </c>
      <c r="S27" s="49">
        <v>1252273</v>
      </c>
      <c r="T27" s="45">
        <v>3188538444</v>
      </c>
      <c r="U27" s="45">
        <v>18092</v>
      </c>
      <c r="V27" s="45"/>
      <c r="W27" s="51">
        <v>1753178025</v>
      </c>
      <c r="X27" s="104">
        <v>69</v>
      </c>
      <c r="Y27" s="104" t="s">
        <v>163</v>
      </c>
      <c r="Z27" s="107">
        <v>11</v>
      </c>
      <c r="AA27" s="107">
        <v>11</v>
      </c>
      <c r="AB27" s="107">
        <v>4</v>
      </c>
      <c r="AC27" s="88">
        <v>1537.42</v>
      </c>
      <c r="AD27" s="88">
        <v>682.23</v>
      </c>
      <c r="AE27" s="88">
        <f>AC27+AD27</f>
        <v>2219.65</v>
      </c>
      <c r="AF27" s="89">
        <f>'Цены,перевалка,аренда'!$C$27*SUM(Уголь_эластика_экспорт!Z27+Уголь_эластика_экспорт!AA27+Уголь_эластика_экспорт!AB27)/Уголь_эластика_экспорт!X27</f>
        <v>263.768115942029</v>
      </c>
      <c r="AG27" s="90">
        <f>SUMIF('Цены,перевалка,аренда'!$A$20:$A$22,Уголь_эластика_экспорт!$O27,'Цены,перевалка,аренда'!$D$20:$D$22)</f>
        <v>763.05499999999995</v>
      </c>
      <c r="AH27" s="47"/>
      <c r="AI27" s="91">
        <v>4037</v>
      </c>
      <c r="AJ27" s="92">
        <f>SUMIF('Цены,перевалка,аренда'!$A$5:$A$17,Уголь_эластика_экспорт!A27,'Цены,перевалка,аренда'!$D$5:$D$17)</f>
        <v>8546.2160000000003</v>
      </c>
      <c r="AK27" s="47">
        <f>AJ27/'Цены,перевалка,аренда'!$C$1</f>
        <v>112.00000000000001</v>
      </c>
      <c r="AL27" s="47">
        <f t="shared" si="9"/>
        <v>3246.4731159420289</v>
      </c>
      <c r="AM27" s="47">
        <f t="shared" si="10"/>
        <v>5299.7428840579714</v>
      </c>
      <c r="AN27" s="47">
        <f t="shared" si="11"/>
        <v>7283.4731159420298</v>
      </c>
      <c r="AO27" s="93">
        <f t="shared" si="12"/>
        <v>0.14775461842503987</v>
      </c>
      <c r="AP27" s="94">
        <f t="shared" si="13"/>
        <v>0.37987257938975905</v>
      </c>
      <c r="AQ27" s="94">
        <f t="shared" si="5"/>
        <v>0.2597231336067331</v>
      </c>
      <c r="AR27" s="94">
        <f t="shared" si="6"/>
        <v>0.68371119079971943</v>
      </c>
      <c r="AS27" s="167">
        <f t="shared" si="14"/>
        <v>1</v>
      </c>
      <c r="AT27" s="173">
        <f t="shared" si="15"/>
        <v>1252273</v>
      </c>
      <c r="AU27" s="96">
        <f>7.6/11</f>
        <v>0.69090909090909092</v>
      </c>
      <c r="AV27" s="93">
        <f t="shared" si="16"/>
        <v>0.12178230506436664</v>
      </c>
      <c r="AW27" s="94">
        <f t="shared" si="17"/>
        <v>0.40584489275043234</v>
      </c>
      <c r="AX27" s="94">
        <f t="shared" si="18"/>
        <v>0.2856954469674064</v>
      </c>
      <c r="AY27" s="94">
        <f t="shared" si="19"/>
        <v>0.70395230313540036</v>
      </c>
      <c r="AZ27" s="102">
        <f>MIN(IF($AU27=100%,1,1+VLOOKUP(($AJ27-$AI27-$AH27-$AG27-$AF27-$AE27*(1+AZ$3))/$AJ27,Уголь_коэфф!$A:$B,2,1)-VLOOKUP($AO27,Уголь_коэфф!$A:$B,2,1)),1+(1-$AU27))</f>
        <v>1.0739999999999998</v>
      </c>
      <c r="BA27" s="102">
        <f>MIN(IF($AU27=100%,1,1+VLOOKUP(($AJ27-$AI27-$AH27-$AG27-$AF27-$AE27*(1+BA$3))/$AJ27,Уголь_коэфф!$A:$B,2,1)-VLOOKUP($AO27,Уголь_коэфф!$A:$B,2,1)),1+(1-$AU27))</f>
        <v>1.0739999999999998</v>
      </c>
      <c r="BB27" s="102">
        <f>MIN(IF($AU27=100%,1,1+VLOOKUP(($AJ27-$AI27-$AH27-$AG27-$AF27-$AE27*(1+BB$3))/$AJ27,Уголь_коэфф!$A:$B,2,1)-VLOOKUP($AO27,Уголь_коэфф!$A:$B,2,1)),1+(1-$AU27))</f>
        <v>1.0739999999999998</v>
      </c>
      <c r="BC27" s="102">
        <f>MIN(IF($AU27=100%,1,1+VLOOKUP(($AJ27-$AI27-$AH27-$AG27-$AF27-$AE27*(1+BC$3))/$AJ27,Уголь_коэфф!$A:$B,2,1)-VLOOKUP($AO27,Уголь_коэфф!$A:$B,2,1)),1+(1-$AU27))</f>
        <v>1.0739999999999998</v>
      </c>
      <c r="BD27" s="102">
        <f>MIN(IF($AU27=100%,1,1+VLOOKUP(($AJ27-$AI27-$AH27-$AG27-$AF27-$AE27*(1+BD$3))/$AJ27,Уголь_коэфф!$A:$B,2,1)-VLOOKUP($AO27,Уголь_коэфф!$A:$B,2,1)),1+(1-$AU27))</f>
        <v>1.0739999999999998</v>
      </c>
      <c r="BE27" s="102">
        <f>MIN(IF($AU27=100%,1,1+VLOOKUP(($AJ27-$AI27-$AH27-$AG27-$AF27-$AE27*(1+BE$3))/$AJ27,Уголь_коэфф!$A:$B,2,1)-VLOOKUP($AO27,Уголь_коэфф!$A:$B,2,1)),1+(1-$AU27))</f>
        <v>1.0739999999999998</v>
      </c>
      <c r="BF27" s="102">
        <f>MIN(IF($AU27=100%,1,1+VLOOKUP(($AJ27-$AI27-$AH27-$AG27-$AF27-$AE27*(1+BF$3))/$AJ27,Уголь_коэфф!$A:$B,2,1)-VLOOKUP($AO27,Уголь_коэфф!$A:$B,2,1)),1+(1-$AU27))</f>
        <v>1.0680000000000001</v>
      </c>
      <c r="BG27" s="102">
        <f>MIN(IF($AU27=100%,1,1+VLOOKUP(($AJ27-$AI27-$AH27-$AG27-$AF27-$AE27*(1+BG$3))/$AJ27,Уголь_коэфф!$A:$B,2,1)-VLOOKUP($AO27,Уголь_коэфф!$A:$B,2,1)),1+(1-$AU27))</f>
        <v>1.0680000000000001</v>
      </c>
      <c r="BH27" s="102">
        <f>MIN(IF($AU27=100%,1,1+VLOOKUP(($AJ27-$AI27-$AH27-$AG27-$AF27-$AE27*(1+BH$3))/$AJ27,Уголь_коэфф!$A:$B,2,1)-VLOOKUP($AO27,Уголь_коэфф!$A:$B,2,1)),1+(1-$AU27))</f>
        <v>1.0680000000000001</v>
      </c>
      <c r="BI27" s="102">
        <f>MIN(IF($AU27=100%,1,1+VLOOKUP(($AJ27-$AI27-$AH27-$AG27-$AF27-$AE27*(1+BI$3))/$AJ27,Уголь_коэфф!$A:$B,2,1)-VLOOKUP($AO27,Уголь_коэфф!$A:$B,2,1)),1+(1-$AU27))</f>
        <v>1.0680000000000001</v>
      </c>
      <c r="BJ27" s="102">
        <f>MIN(IF($AU27=100%,1,1+VLOOKUP(($AJ27-$AI27-$AH27-$AG27-$AF27-$AE27*(1+BJ$3))/$AJ27,Уголь_коэфф!$A:$B,2,1)-VLOOKUP($AO27,Уголь_коэфф!$A:$B,2,1)),1+(1-$AU27))</f>
        <v>1.0680000000000001</v>
      </c>
      <c r="BK27" s="102">
        <f>MIN(IF($AU27=100%,1,1+VLOOKUP(($AJ27-$AI27-$AH27-$AG27-$AF27-$AE27*(1+BK$3))/$AJ27,Уголь_коэфф!$A:$B,2,1)-VLOOKUP($AO27,Уголь_коэфф!$A:$B,2,1)),1+(1-$AU27))</f>
        <v>1.0680000000000001</v>
      </c>
      <c r="BL27" s="102">
        <f>MIN(IF($AU27=100%,1,1+VLOOKUP(($AJ27-$AI27-$AH27-$AG27-$AF27-$AE27*(1+BL$3))/$AJ27,Уголь_коэфф!$A:$B,2,1)-VLOOKUP($AO27,Уголь_коэфф!$A:$B,2,1)),1+(1-$AU27))</f>
        <v>1.0680000000000001</v>
      </c>
      <c r="BM27" s="102">
        <f>MIN(IF($AU27=100%,1,1+VLOOKUP(($AJ27-$AI27-$AH27-$AG27-$AF27-$AE27*(1+BM$3))/$AJ27,Уголь_коэфф!$A:$B,2,1)-VLOOKUP($AO27,Уголь_коэфф!$A:$B,2,1)),1+(1-$AU27))</f>
        <v>1.0680000000000001</v>
      </c>
      <c r="BN27" s="102">
        <f>MIN(IF($AU27=100%,1,1+VLOOKUP(($AJ27-$AI27-$AH27-$AG27-$AF27-$AE27*(1+BN$3))/$AJ27,Уголь_коэфф!$A:$B,2,1)-VLOOKUP($AO27,Уголь_коэфф!$A:$B,2,1)),1+(1-$AU27))</f>
        <v>1.0619999999999998</v>
      </c>
      <c r="BO27" s="102">
        <f>MIN(IF($AU27=100%,1,1+VLOOKUP(($AJ27-$AI27-$AH27-$AG27-$AF27-$AE27*(1+BO$3))/$AJ27,Уголь_коэфф!$A:$B,2,1)-VLOOKUP($AO27,Уголь_коэфф!$A:$B,2,1)),1+(1-$AU27))</f>
        <v>1.0619999999999998</v>
      </c>
      <c r="BP27" s="102">
        <f>MIN(IF($AU27=100%,1,1+VLOOKUP(($AJ27-$AI27-$AH27-$AG27-$AF27-$AE27*(1+BP$3))/$AJ27,Уголь_коэфф!$A:$B,2,1)-VLOOKUP($AO27,Уголь_коэфф!$A:$B,2,1)),1+(1-$AU27))</f>
        <v>1.0619999999999998</v>
      </c>
      <c r="BQ27" s="102">
        <f>MIN(IF($AU27=100%,1,1+VLOOKUP(($AJ27-$AI27-$AH27-$AG27-$AF27-$AE27*(1+BQ$3))/$AJ27,Уголь_коэфф!$A:$B,2,1)-VLOOKUP($AO27,Уголь_коэфф!$A:$B,2,1)),1+(1-$AU27))</f>
        <v>1.0619999999999998</v>
      </c>
      <c r="BR27" s="102">
        <f>MIN(IF($AU27=100%,1,1+VLOOKUP(($AJ27-$AI27-$AH27-$AG27-$AF27-$AE27*(1+BR$3))/$AJ27,Уголь_коэфф!$A:$B,2,1)-VLOOKUP($AO27,Уголь_коэфф!$A:$B,2,1)),1+(1-$AU27))</f>
        <v>1.0619999999999998</v>
      </c>
      <c r="BS27" s="102">
        <f>MIN(IF($AU27=100%,1,1+VLOOKUP(($AJ27-$AI27-$AH27-$AG27-$AF27-$AE27*(1+BS$3))/$AJ27,Уголь_коэфф!$A:$B,2,1)-VLOOKUP($AO27,Уголь_коэфф!$A:$B,2,1)),1+(1-$AU27))</f>
        <v>1.0619999999999998</v>
      </c>
      <c r="BT27" s="102">
        <f>MIN(IF($AU27=100%,1,1+VLOOKUP(($AJ27-$AI27-$AH27-$AG27-$AF27-$AE27*(1+BT$3))/$AJ27,Уголь_коэфф!$A:$B,2,1)-VLOOKUP($AO27,Уголь_коэфф!$A:$B,2,1)),1+(1-$AU27))</f>
        <v>1.0619999999999998</v>
      </c>
      <c r="BU27" s="102">
        <f>MIN(IF($AU27=100%,1,1+VLOOKUP(($AJ27-$AI27-$AH27-$AG27-$AF27-$AE27*(1+BU$3))/$AJ27,Уголь_коэфф!$A:$B,2,1)-VLOOKUP($AO27,Уголь_коэфф!$A:$B,2,1)),1+(1-$AU27))</f>
        <v>1.0619999999999998</v>
      </c>
      <c r="BV27" s="102">
        <f>MIN(IF($AU27=100%,1,1+VLOOKUP(($AJ27-$AI27-$AH27-$AG27-$AF27-$AE27*(1+BV$3))/$AJ27,Уголь_коэфф!$A:$B,2,1)-VLOOKUP($AO27,Уголь_коэфф!$A:$B,2,1)),1+(1-$AU27))</f>
        <v>1.056</v>
      </c>
      <c r="BW27" s="102">
        <f>MIN(IF($AU27=100%,1,1+VLOOKUP(($AJ27-$AI27-$AH27-$AG27-$AF27-$AE27*(1+BW$3))/$AJ27,Уголь_коэфф!$A:$B,2,1)-VLOOKUP($AO27,Уголь_коэфф!$A:$B,2,1)),1+(1-$AU27))</f>
        <v>1.056</v>
      </c>
      <c r="BX27" s="102">
        <f>MIN(IF($AU27=100%,1,1+VLOOKUP(($AJ27-$AI27-$AH27-$AG27-$AF27-$AE27*(1+BX$3))/$AJ27,Уголь_коэфф!$A:$B,2,1)-VLOOKUP($AO27,Уголь_коэфф!$A:$B,2,1)),1+(1-$AU27))</f>
        <v>1.056</v>
      </c>
      <c r="BY27" s="102">
        <f>MIN(IF($AU27=100%,1,1+VLOOKUP(($AJ27-$AI27-$AH27-$AG27-$AF27-$AE27*(1+BY$3))/$AJ27,Уголь_коэфф!$A:$B,2,1)-VLOOKUP($AO27,Уголь_коэфф!$A:$B,2,1)),1+(1-$AU27))</f>
        <v>1.056</v>
      </c>
      <c r="BZ27" s="102">
        <f>MIN(IF($AU27=100%,1,1+VLOOKUP(($AJ27-$AI27-$AH27-$AG27-$AF27-$AE27*(1+BZ$3))/$AJ27,Уголь_коэфф!$A:$B,2,1)-VLOOKUP($AO27,Уголь_коэфф!$A:$B,2,1)),1+(1-$AU27))</f>
        <v>1.056</v>
      </c>
      <c r="CA27" s="102">
        <f>MIN(IF($AU27=100%,1,1+VLOOKUP(($AJ27-$AI27-$AH27-$AG27-$AF27-$AE27*(1+CA$3))/$AJ27,Уголь_коэфф!$A:$B,2,1)-VLOOKUP($AO27,Уголь_коэфф!$A:$B,2,1)),1+(1-$AU27))</f>
        <v>1.056</v>
      </c>
      <c r="CB27" s="102">
        <f>MIN(IF($AU27=100%,1,1+VLOOKUP(($AJ27-$AI27-$AH27-$AG27-$AF27-$AE27*(1+CB$3))/$AJ27,Уголь_коэфф!$A:$B,2,1)-VLOOKUP($AO27,Уголь_коэфф!$A:$B,2,1)),1+(1-$AU27))</f>
        <v>1.056</v>
      </c>
      <c r="CC27" s="102">
        <f>MIN(IF($AU27=100%,1,1+VLOOKUP(($AJ27-$AI27-$AH27-$AG27-$AF27-$AE27*(1+CC$3))/$AJ27,Уголь_коэфф!$A:$B,2,1)-VLOOKUP($AO27,Уголь_коэфф!$A:$B,2,1)),1+(1-$AU27))</f>
        <v>1.0500000000000003</v>
      </c>
      <c r="CD27" s="102">
        <f>MIN(IF($AU27=100%,1,1+VLOOKUP(($AJ27-$AI27-$AH27-$AG27-$AF27-$AE27*(1+CD$3))/$AJ27,Уголь_коэфф!$A:$B,2,1)-VLOOKUP($AO27,Уголь_коэфф!$A:$B,2,1)),1+(1-$AU27))</f>
        <v>1.0500000000000003</v>
      </c>
      <c r="CE27" s="102">
        <f>MIN(IF($AU27=100%,1,1+VLOOKUP(($AJ27-$AI27-$AH27-$AG27-$AF27-$AE27*(1+CE$3))/$AJ27,Уголь_коэфф!$A:$B,2,1)-VLOOKUP($AO27,Уголь_коэфф!$A:$B,2,1)),1+(1-$AU27))</f>
        <v>1.0500000000000003</v>
      </c>
      <c r="CF27" s="102">
        <f>MIN(IF($AU27=100%,1,1+VLOOKUP(($AJ27-$AI27-$AH27-$AG27-$AF27-$AE27*(1+CF$3))/$AJ27,Уголь_коэфф!$A:$B,2,1)-VLOOKUP($AO27,Уголь_коэфф!$A:$B,2,1)),1+(1-$AU27))</f>
        <v>1.0500000000000003</v>
      </c>
      <c r="CG27" s="102">
        <f>MIN(IF($AU27=100%,1,1+VLOOKUP(($AJ27-$AI27-$AH27-$AG27-$AF27-$AE27*(1+CG$3))/$AJ27,Уголь_коэфф!$A:$B,2,1)-VLOOKUP($AO27,Уголь_коэфф!$A:$B,2,1)),1+(1-$AU27))</f>
        <v>1.0500000000000003</v>
      </c>
      <c r="CH27" s="102">
        <f>MIN(IF($AU27=100%,1,1+VLOOKUP(($AJ27-$AI27-$AH27-$AG27-$AF27-$AE27*(1+CH$3))/$AJ27,Уголь_коэфф!$A:$B,2,1)-VLOOKUP($AO27,Уголь_коэфф!$A:$B,2,1)),1+(1-$AU27))</f>
        <v>1.0500000000000003</v>
      </c>
      <c r="CI27" s="102">
        <f>MIN(IF($AU27=100%,1,1+VLOOKUP(($AJ27-$AI27-$AH27-$AG27-$AF27-$AE27*(1+CI$3))/$AJ27,Уголь_коэфф!$A:$B,2,1)-VLOOKUP($AO27,Уголь_коэфф!$A:$B,2,1)),1+(1-$AU27))</f>
        <v>1.0500000000000003</v>
      </c>
      <c r="CJ27" s="102">
        <f>MIN(IF($AU27=100%,1,1+VLOOKUP(($AJ27-$AI27-$AH27-$AG27-$AF27-$AE27*(1+CJ$3))/$AJ27,Уголь_коэфф!$A:$B,2,1)-VLOOKUP($AO27,Уголь_коэфф!$A:$B,2,1)),1+(1-$AU27))</f>
        <v>1.0500000000000003</v>
      </c>
      <c r="CK27" s="102">
        <f>MIN(IF($AU27=100%,1,1+VLOOKUP(($AJ27-$AI27-$AH27-$AG27-$AF27-$AE27*(1+CK$3))/$AJ27,Уголь_коэфф!$A:$B,2,1)-VLOOKUP($AO27,Уголь_коэфф!$A:$B,2,1)),1+(1-$AU27))</f>
        <v>1.044</v>
      </c>
      <c r="CL27" s="102">
        <f>MIN(IF($AU27=100%,1,1+VLOOKUP(($AJ27-$AI27-$AH27-$AG27-$AF27-$AE27*(1+CL$3))/$AJ27,Уголь_коэфф!$A:$B,2,1)-VLOOKUP($AO27,Уголь_коэфф!$A:$B,2,1)),1+(1-$AU27))</f>
        <v>1.044</v>
      </c>
      <c r="CM27" s="102">
        <f>MIN(IF($AU27=100%,1,1+VLOOKUP(($AJ27-$AI27-$AH27-$AG27-$AF27-$AE27*(1+CM$3))/$AJ27,Уголь_коэфф!$A:$B,2,1)-VLOOKUP($AO27,Уголь_коэфф!$A:$B,2,1)),1+(1-$AU27))</f>
        <v>1.044</v>
      </c>
      <c r="CN27" s="102">
        <f>MIN(IF($AU27=100%,1,1+VLOOKUP(($AJ27-$AI27-$AH27-$AG27-$AF27-$AE27*(1+CN$3))/$AJ27,Уголь_коэфф!$A:$B,2,1)-VLOOKUP($AO27,Уголь_коэфф!$A:$B,2,1)),1+(1-$AU27))</f>
        <v>1.044</v>
      </c>
      <c r="CO27" s="102">
        <f>MIN(IF($AU27=100%,1,1+VLOOKUP(($AJ27-$AI27-$AH27-$AG27-$AF27-$AE27*(1+CO$3))/$AJ27,Уголь_коэфф!$A:$B,2,1)-VLOOKUP($AO27,Уголь_коэфф!$A:$B,2,1)),1+(1-$AU27))</f>
        <v>1.044</v>
      </c>
      <c r="CP27" s="102">
        <f>MIN(IF($AU27=100%,1,1+VLOOKUP(($AJ27-$AI27-$AH27-$AG27-$AF27-$AE27*(1+CP$3))/$AJ27,Уголь_коэфф!$A:$B,2,1)-VLOOKUP($AO27,Уголь_коэфф!$A:$B,2,1)),1+(1-$AU27))</f>
        <v>1.044</v>
      </c>
      <c r="CQ27" s="102">
        <f>MIN(IF($AU27=100%,1,1+VLOOKUP(($AJ27-$AI27-$AH27-$AG27-$AF27-$AE27*(1+CQ$3))/$AJ27,Уголь_коэфф!$A:$B,2,1)-VLOOKUP($AO27,Уголь_коэфф!$A:$B,2,1)),1+(1-$AU27))</f>
        <v>1.044</v>
      </c>
      <c r="CR27" s="102">
        <f>MIN(IF($AU27=100%,1,1+VLOOKUP(($AJ27-$AI27-$AH27-$AG27-$AF27-$AE27*(1+CR$3))/$AJ27,Уголь_коэфф!$A:$B,2,1)-VLOOKUP($AO27,Уголь_коэфф!$A:$B,2,1)),1+(1-$AU27))</f>
        <v>1.044</v>
      </c>
      <c r="CS27" s="102">
        <f>MIN(IF($AU27=100%,1,1+VLOOKUP(($AJ27-$AI27-$AH27-$AG27-$AF27-$AE27*(1+CS$3))/$AJ27,Уголь_коэфф!$A:$B,2,1)-VLOOKUP($AO27,Уголь_коэфф!$A:$B,2,1)),1+(1-$AU27))</f>
        <v>1.0379999999999998</v>
      </c>
      <c r="CT27" s="102">
        <f>MIN(IF($AU27=100%,1,1+VLOOKUP(($AJ27-$AI27-$AH27-$AG27-$AF27-$AE27*(1+CT$3))/$AJ27,Уголь_коэфф!$A:$B,2,1)-VLOOKUP($AO27,Уголь_коэфф!$A:$B,2,1)),1+(1-$AU27))</f>
        <v>1.0379999999999998</v>
      </c>
      <c r="CU27" s="102">
        <f>MIN(IF($AU27=100%,1,1+VLOOKUP(($AJ27-$AI27-$AH27-$AG27-$AF27-$AE27*(1+CU$3))/$AJ27,Уголь_коэфф!$A:$B,2,1)-VLOOKUP($AO27,Уголь_коэфф!$A:$B,2,1)),1+(1-$AU27))</f>
        <v>1.0379999999999998</v>
      </c>
      <c r="CV27" s="102">
        <f>MIN(IF($AU27=100%,1,1+VLOOKUP(($AJ27-$AI27-$AH27-$AG27-$AF27-$AE27*(1+CV$3))/$AJ27,Уголь_коэфф!$A:$B,2,1)-VLOOKUP($AO27,Уголь_коэфф!$A:$B,2,1)),1+(1-$AU27))</f>
        <v>1.0379999999999998</v>
      </c>
      <c r="CW27" s="102">
        <f>MIN(IF($AU27=100%,1,1+VLOOKUP(($AJ27-$AI27-$AH27-$AG27-$AF27-$AE27*(1+CW$3))/$AJ27,Уголь_коэфф!$A:$B,2,1)-VLOOKUP($AO27,Уголь_коэфф!$A:$B,2,1)),1+(1-$AU27))</f>
        <v>1.0379999999999998</v>
      </c>
      <c r="CX27" s="102">
        <f>MIN(IF($AU27=100%,1,1+VLOOKUP(($AJ27-$AI27-$AH27-$AG27-$AF27-$AE27*(1+CX$3))/$AJ27,Уголь_коэфф!$A:$B,2,1)-VLOOKUP($AO27,Уголь_коэфф!$A:$B,2,1)),1+(1-$AU27))</f>
        <v>1.0379999999999998</v>
      </c>
      <c r="CY27" s="102">
        <f>MIN(IF($AU27=100%,1,1+VLOOKUP(($AJ27-$AI27-$AH27-$AG27-$AF27-$AE27*(1+CY$3))/$AJ27,Уголь_коэфф!$A:$B,2,1)-VLOOKUP($AO27,Уголь_коэфф!$A:$B,2,1)),1+(1-$AU27))</f>
        <v>1.0379999999999998</v>
      </c>
      <c r="CZ27" s="102">
        <f>MIN(IF($AU27=100%,1,1+VLOOKUP(($AJ27-$AI27-$AH27-$AG27-$AF27-$AE27*(1+CZ$3))/$AJ27,Уголь_коэфф!$A:$B,2,1)-VLOOKUP($AO27,Уголь_коэфф!$A:$B,2,1)),1+(1-$AU27))</f>
        <v>1.0379999999999998</v>
      </c>
      <c r="DA27" s="102">
        <f>MIN(IF($AU27=100%,1,1+VLOOKUP(($AJ27-$AI27-$AH27-$AG27-$AF27-$AE27*(1+DA$3))/$AJ27,Уголь_коэфф!$A:$B,2,1)-VLOOKUP($AO27,Уголь_коэфф!$A:$B,2,1)),1+(1-$AU27))</f>
        <v>1.032</v>
      </c>
      <c r="DB27" s="102">
        <f>MIN(IF($AU27=100%,1,1+VLOOKUP(($AJ27-$AI27-$AH27-$AG27-$AF27-$AE27*(1+DB$3))/$AJ27,Уголь_коэфф!$A:$B,2,1)-VLOOKUP($AO27,Уголь_коэфф!$A:$B,2,1)),1+(1-$AU27))</f>
        <v>1.032</v>
      </c>
      <c r="DC27" s="102">
        <f>MIN(IF($AU27=100%,1,1+VLOOKUP(($AJ27-$AI27-$AH27-$AG27-$AF27-$AE27*(1+DC$3))/$AJ27,Уголь_коэфф!$A:$B,2,1)-VLOOKUP($AO27,Уголь_коэфф!$A:$B,2,1)),1+(1-$AU27))</f>
        <v>1.032</v>
      </c>
      <c r="DD27" s="102">
        <f>MIN(IF($AU27=100%,1,1+VLOOKUP(($AJ27-$AI27-$AH27-$AG27-$AF27-$AE27*(1+DD$3))/$AJ27,Уголь_коэфф!$A:$B,2,1)-VLOOKUP($AO27,Уголь_коэфф!$A:$B,2,1)),1+(1-$AU27))</f>
        <v>1.032</v>
      </c>
      <c r="DE27" s="102">
        <f>MIN(IF($AU27=100%,1,1+VLOOKUP(($AJ27-$AI27-$AH27-$AG27-$AF27-$AE27*(1+DE$3))/$AJ27,Уголь_коэфф!$A:$B,2,1)-VLOOKUP($AO27,Уголь_коэфф!$A:$B,2,1)),1+(1-$AU27))</f>
        <v>1.032</v>
      </c>
      <c r="DF27" s="102">
        <f>MIN(IF($AU27=100%,1,1+VLOOKUP(($AJ27-$AI27-$AH27-$AG27-$AF27-$AE27*(1+DF$3))/$AJ27,Уголь_коэфф!$A:$B,2,1)-VLOOKUP($AO27,Уголь_коэфф!$A:$B,2,1)),1+(1-$AU27))</f>
        <v>1.032</v>
      </c>
      <c r="DG27" s="102">
        <f>MIN(IF($AU27=100%,1,1+VLOOKUP(($AJ27-$AI27-$AH27-$AG27-$AF27-$AE27*(1+DG$3))/$AJ27,Уголь_коэфф!$A:$B,2,1)-VLOOKUP($AO27,Уголь_коэфф!$A:$B,2,1)),1+(1-$AU27))</f>
        <v>1.032</v>
      </c>
      <c r="DH27" s="102">
        <f>MIN(IF($AU27=100%,1,1+VLOOKUP(($AJ27-$AI27-$AH27-$AG27-$AF27-$AE27*(1+DH$3))/$AJ27,Уголь_коэфф!$A:$B,2,1)-VLOOKUP($AO27,Уголь_коэфф!$A:$B,2,1)),1+(1-$AU27))</f>
        <v>1.0260000000000002</v>
      </c>
      <c r="DI27" s="102">
        <f>MIN(IF($AU27=100%,1,1+VLOOKUP(($AJ27-$AI27-$AH27-$AG27-$AF27-$AE27*(1+DI$3))/$AJ27,Уголь_коэфф!$A:$B,2,1)-VLOOKUP($AO27,Уголь_коэфф!$A:$B,2,1)),1+(1-$AU27))</f>
        <v>1.0260000000000002</v>
      </c>
      <c r="DJ27" s="102">
        <f>MIN(IF($AU27=100%,1,1+VLOOKUP(($AJ27-$AI27-$AH27-$AG27-$AF27-$AE27*(1+DJ$3))/$AJ27,Уголь_коэфф!$A:$B,2,1)-VLOOKUP($AO27,Уголь_коэфф!$A:$B,2,1)),1+(1-$AU27))</f>
        <v>1.0260000000000002</v>
      </c>
      <c r="DK27" s="102">
        <f>MIN(IF($AU27=100%,1,1+VLOOKUP(($AJ27-$AI27-$AH27-$AG27-$AF27-$AE27*(1+DK$3))/$AJ27,Уголь_коэфф!$A:$B,2,1)-VLOOKUP($AO27,Уголь_коэфф!$A:$B,2,1)),1+(1-$AU27))</f>
        <v>1.0260000000000002</v>
      </c>
      <c r="DL27" s="102">
        <f>MIN(IF($AU27=100%,1,1+VLOOKUP(($AJ27-$AI27-$AH27-$AG27-$AF27-$AE27*(1+DL$3))/$AJ27,Уголь_коэфф!$A:$B,2,1)-VLOOKUP($AO27,Уголь_коэфф!$A:$B,2,1)),1+(1-$AU27))</f>
        <v>1.0260000000000002</v>
      </c>
      <c r="DM27" s="102">
        <f>MIN(IF($AU27=100%,1,1+VLOOKUP(($AJ27-$AI27-$AH27-$AG27-$AF27-$AE27*(1+DM$3))/$AJ27,Уголь_коэфф!$A:$B,2,1)-VLOOKUP($AO27,Уголь_коэфф!$A:$B,2,1)),1+(1-$AU27))</f>
        <v>1.0260000000000002</v>
      </c>
      <c r="DN27" s="102">
        <f>MIN(IF($AU27=100%,1,1+VLOOKUP(($AJ27-$AI27-$AH27-$AG27-$AF27-$AE27*(1+DN$3))/$AJ27,Уголь_коэфф!$A:$B,2,1)-VLOOKUP($AO27,Уголь_коэфф!$A:$B,2,1)),1+(1-$AU27))</f>
        <v>1.0260000000000002</v>
      </c>
      <c r="DO27" s="102">
        <f>MIN(IF($AU27=100%,1,1+VLOOKUP(($AJ27-$AI27-$AH27-$AG27-$AF27-$AE27*(1+DO$3))/$AJ27,Уголь_коэфф!$A:$B,2,1)-VLOOKUP($AO27,Уголь_коэфф!$A:$B,2,1)),1+(1-$AU27))</f>
        <v>1.0260000000000002</v>
      </c>
      <c r="DP27" s="102">
        <f>MIN(IF($AU27=100%,1,1+VLOOKUP(($AJ27-$AI27-$AH27-$AG27-$AF27-$AE27*(1+DP$3))/$AJ27,Уголь_коэфф!$A:$B,2,1)-VLOOKUP($AO27,Уголь_коэфф!$A:$B,2,1)),1+(1-$AU27))</f>
        <v>1.02</v>
      </c>
      <c r="DQ27" s="102">
        <f>MIN(IF($AU27=100%,1,1+VLOOKUP(($AJ27-$AI27-$AH27-$AG27-$AF27-$AE27*(1+DQ$3))/$AJ27,Уголь_коэфф!$A:$B,2,1)-VLOOKUP($AO27,Уголь_коэфф!$A:$B,2,1)),1+(1-$AU27))</f>
        <v>1.02</v>
      </c>
      <c r="DR27" s="102">
        <f>MIN(IF($AU27=100%,1,1+VLOOKUP(($AJ27-$AI27-$AH27-$AG27-$AF27-$AE27*(1+DR$3))/$AJ27,Уголь_коэфф!$A:$B,2,1)-VLOOKUP($AO27,Уголь_коэфф!$A:$B,2,1)),1+(1-$AU27))</f>
        <v>1.02</v>
      </c>
      <c r="DS27" s="102">
        <f>MIN(IF($AU27=100%,1,1+VLOOKUP(($AJ27-$AI27-$AH27-$AG27-$AF27-$AE27*(1+DS$3))/$AJ27,Уголь_коэфф!$A:$B,2,1)-VLOOKUP($AO27,Уголь_коэфф!$A:$B,2,1)),1+(1-$AU27))</f>
        <v>1.02</v>
      </c>
      <c r="DT27" s="102">
        <f>MIN(IF($AU27=100%,1,1+VLOOKUP(($AJ27-$AI27-$AH27-$AG27-$AF27-$AE27*(1+DT$3))/$AJ27,Уголь_коэфф!$A:$B,2,1)-VLOOKUP($AO27,Уголь_коэфф!$A:$B,2,1)),1+(1-$AU27))</f>
        <v>1.02</v>
      </c>
      <c r="DU27" s="102">
        <f>MIN(IF($AU27=100%,1,1+VLOOKUP(($AJ27-$AI27-$AH27-$AG27-$AF27-$AE27*(1+DU$3))/$AJ27,Уголь_коэфф!$A:$B,2,1)-VLOOKUP($AO27,Уголь_коэфф!$A:$B,2,1)),1+(1-$AU27))</f>
        <v>1.02</v>
      </c>
      <c r="DV27" s="102">
        <f>MIN(IF($AU27=100%,1,1+VLOOKUP(($AJ27-$AI27-$AH27-$AG27-$AF27-$AE27*(1+DV$3))/$AJ27,Уголь_коэфф!$A:$B,2,1)-VLOOKUP($AO27,Уголь_коэфф!$A:$B,2,1)),1+(1-$AU27))</f>
        <v>1.02</v>
      </c>
      <c r="DW27" s="102">
        <f>MIN(IF($AU27=100%,1,1+VLOOKUP(($AJ27-$AI27-$AH27-$AG27-$AF27-$AE27*(1+DW$3))/$AJ27,Уголь_коэфф!$A:$B,2,1)-VLOOKUP($AO27,Уголь_коэфф!$A:$B,2,1)),1+(1-$AU27))</f>
        <v>1.02</v>
      </c>
      <c r="DX27" s="102">
        <f>MIN(IF($AU27=100%,1,1+VLOOKUP(($AJ27-$AI27-$AH27-$AG27-$AF27-$AE27*(1+DX$3))/$AJ27,Уголь_коэфф!$A:$B,2,1)-VLOOKUP($AO27,Уголь_коэфф!$A:$B,2,1)),1+(1-$AU27))</f>
        <v>1.0150000000000001</v>
      </c>
      <c r="DY27" s="102">
        <f>MIN(IF($AU27=100%,1,1+VLOOKUP(($AJ27-$AI27-$AH27-$AG27-$AF27-$AE27*(1+DY$3))/$AJ27,Уголь_коэфф!$A:$B,2,1)-VLOOKUP($AO27,Уголь_коэфф!$A:$B,2,1)),1+(1-$AU27))</f>
        <v>1.0150000000000001</v>
      </c>
      <c r="DZ27" s="102">
        <f>MIN(IF($AU27=100%,1,1+VLOOKUP(($AJ27-$AI27-$AH27-$AG27-$AF27-$AE27*(1+DZ$3))/$AJ27,Уголь_коэфф!$A:$B,2,1)-VLOOKUP($AO27,Уголь_коэфф!$A:$B,2,1)),1+(1-$AU27))</f>
        <v>1.0150000000000001</v>
      </c>
      <c r="EA27" s="102">
        <f>MIN(IF($AU27=100%,1,1+VLOOKUP(($AJ27-$AI27-$AH27-$AG27-$AF27-$AE27*(1+EA$3))/$AJ27,Уголь_коэфф!$A:$B,2,1)-VLOOKUP($AO27,Уголь_коэфф!$A:$B,2,1)),1+(1-$AU27))</f>
        <v>1.0150000000000001</v>
      </c>
      <c r="EB27" s="102">
        <f>MIN(IF($AU27=100%,1,1+VLOOKUP(($AJ27-$AI27-$AH27-$AG27-$AF27-$AE27*(1+EB$3))/$AJ27,Уголь_коэфф!$A:$B,2,1)-VLOOKUP($AO27,Уголь_коэфф!$A:$B,2,1)),1+(1-$AU27))</f>
        <v>1.0150000000000001</v>
      </c>
      <c r="EC27" s="102">
        <f>MIN(IF($AU27=100%,1,1+VLOOKUP(($AJ27-$AI27-$AH27-$AG27-$AF27-$AE27*(1+EC$3))/$AJ27,Уголь_коэфф!$A:$B,2,1)-VLOOKUP($AO27,Уголь_коэфф!$A:$B,2,1)),1+(1-$AU27))</f>
        <v>1.0150000000000001</v>
      </c>
      <c r="ED27" s="102">
        <f>MIN(IF($AU27=100%,1,1+VLOOKUP(($AJ27-$AI27-$AH27-$AG27-$AF27-$AE27*(1+ED$3))/$AJ27,Уголь_коэфф!$A:$B,2,1)-VLOOKUP($AO27,Уголь_коэфф!$A:$B,2,1)),1+(1-$AU27))</f>
        <v>1.0150000000000001</v>
      </c>
      <c r="EE27" s="102">
        <f>MIN(IF($AU27=100%,1,1+VLOOKUP(($AJ27-$AI27-$AH27-$AG27-$AF27-$AE27*(1+EE$3))/$AJ27,Уголь_коэфф!$A:$B,2,1)-VLOOKUP($AO27,Уголь_коэфф!$A:$B,2,1)),1+(1-$AU27))</f>
        <v>1.0100000000000002</v>
      </c>
      <c r="EF27" s="102">
        <f>MIN(IF($AU27=100%,1,1+VLOOKUP(($AJ27-$AI27-$AH27-$AG27-$AF27-$AE27*(1+EF$3))/$AJ27,Уголь_коэфф!$A:$B,2,1)-VLOOKUP($AO27,Уголь_коэфф!$A:$B,2,1)),1+(1-$AU27))</f>
        <v>1.0100000000000002</v>
      </c>
      <c r="EG27" s="102">
        <f>MIN(IF($AU27=100%,1,1+VLOOKUP(($AJ27-$AI27-$AH27-$AG27-$AF27-$AE27*(1+EG$3))/$AJ27,Уголь_коэфф!$A:$B,2,1)-VLOOKUP($AO27,Уголь_коэфф!$A:$B,2,1)),1+(1-$AU27))</f>
        <v>1.0100000000000002</v>
      </c>
      <c r="EH27" s="102">
        <f>MIN(IF($AU27=100%,1,1+VLOOKUP(($AJ27-$AI27-$AH27-$AG27-$AF27-$AE27*(1+EH$3))/$AJ27,Уголь_коэфф!$A:$B,2,1)-VLOOKUP($AO27,Уголь_коэфф!$A:$B,2,1)),1+(1-$AU27))</f>
        <v>1.0100000000000002</v>
      </c>
      <c r="EI27" s="102">
        <f>MIN(IF($AU27=100%,1,1+VLOOKUP(($AJ27-$AI27-$AH27-$AG27-$AF27-$AE27*(1+EI$3))/$AJ27,Уголь_коэфф!$A:$B,2,1)-VLOOKUP($AO27,Уголь_коэфф!$A:$B,2,1)),1+(1-$AU27))</f>
        <v>1.0100000000000002</v>
      </c>
      <c r="EJ27" s="102">
        <f>MIN(IF($AU27=100%,1,1+VLOOKUP(($AJ27-$AI27-$AH27-$AG27-$AF27-$AE27*(1+EJ$3))/$AJ27,Уголь_коэфф!$A:$B,2,1)-VLOOKUP($AO27,Уголь_коэфф!$A:$B,2,1)),1+(1-$AU27))</f>
        <v>1.0100000000000002</v>
      </c>
      <c r="EK27" s="102">
        <f>MIN(IF($AU27=100%,1,1+VLOOKUP(($AJ27-$AI27-$AH27-$AG27-$AF27-$AE27*(1+EK$3))/$AJ27,Уголь_коэфф!$A:$B,2,1)-VLOOKUP($AO27,Уголь_коэфф!$A:$B,2,1)),1+(1-$AU27))</f>
        <v>1.0100000000000002</v>
      </c>
      <c r="EL27" s="102">
        <f>MIN(IF($AU27=100%,1,1+VLOOKUP(($AJ27-$AI27-$AH27-$AG27-$AF27-$AE27*(1+EL$3))/$AJ27,Уголь_коэфф!$A:$B,2,1)-VLOOKUP($AO27,Уголь_коэфф!$A:$B,2,1)),1+(1-$AU27))</f>
        <v>1.0100000000000002</v>
      </c>
      <c r="EM27" s="102">
        <f>MIN(IF($AU27=100%,1,1+VLOOKUP(($AJ27-$AI27-$AH27-$AG27-$AF27-$AE27*(1+EM$3))/$AJ27,Уголь_коэфф!$A:$B,2,1)-VLOOKUP($AO27,Уголь_коэфф!$A:$B,2,1)),1+(1-$AU27))</f>
        <v>1.0049999999999999</v>
      </c>
      <c r="EN27" s="102">
        <f>MIN(IF($AU27=100%,1,1+VLOOKUP(($AJ27-$AI27-$AH27-$AG27-$AF27-$AE27*(1+EN$3))/$AJ27,Уголь_коэфф!$A:$B,2,1)-VLOOKUP($AO27,Уголь_коэфф!$A:$B,2,1)),1+(1-$AU27))</f>
        <v>1.0049999999999999</v>
      </c>
      <c r="EO27" s="102">
        <f>MIN(IF($AU27=100%,1,1+VLOOKUP(($AJ27-$AI27-$AH27-$AG27-$AF27-$AE27*(1+EO$3))/$AJ27,Уголь_коэфф!$A:$B,2,1)-VLOOKUP($AO27,Уголь_коэфф!$A:$B,2,1)),1+(1-$AU27))</f>
        <v>1.0049999999999999</v>
      </c>
      <c r="EP27" s="102">
        <f>MIN(IF($AU27=100%,1,1+VLOOKUP(($AJ27-$AI27-$AH27-$AG27-$AF27-$AE27*(1+EP$3))/$AJ27,Уголь_коэфф!$A:$B,2,1)-VLOOKUP($AO27,Уголь_коэфф!$A:$B,2,1)),1+(1-$AU27))</f>
        <v>1.0049999999999999</v>
      </c>
      <c r="EQ27" s="102">
        <f>MIN(IF($AU27=100%,1,1+VLOOKUP(($AJ27-$AI27-$AH27-$AG27-$AF27-$AE27*(1+EQ$3))/$AJ27,Уголь_коэфф!$A:$B,2,1)-VLOOKUP($AO27,Уголь_коэфф!$A:$B,2,1)),1+(1-$AU27))</f>
        <v>1.0049999999999999</v>
      </c>
      <c r="ER27" s="102">
        <f>MIN(IF($AU27=100%,1,1+VLOOKUP(($AJ27-$AI27-$AH27-$AG27-$AF27-$AE27*(1+ER$3))/$AJ27,Уголь_коэфф!$A:$B,2,1)-VLOOKUP($AO27,Уголь_коэфф!$A:$B,2,1)),1+(1-$AU27))</f>
        <v>1.0049999999999999</v>
      </c>
      <c r="ES27" s="102">
        <f>MIN(IF($AU27=100%,1,1+VLOOKUP(($AJ27-$AI27-$AH27-$AG27-$AF27-$AE27*(1+ES$3))/$AJ27,Уголь_коэфф!$A:$B,2,1)-VLOOKUP($AO27,Уголь_коэфф!$A:$B,2,1)),1+(1-$AU27))</f>
        <v>1.0049999999999999</v>
      </c>
      <c r="ET27" s="102">
        <f>MIN(IF($AU27=100%,1,1+VLOOKUP(($AJ27-$AI27-$AH27-$AG27-$AF27-$AE27*(1+ET$3))/$AJ27,Уголь_коэфф!$A:$B,2,1)-VLOOKUP($AO27,Уголь_коэфф!$A:$B,2,1)),1+(1-$AU27))</f>
        <v>1.0049999999999999</v>
      </c>
      <c r="EU27" s="102">
        <f>MIN(IF($AU27=100%,1,1+VLOOKUP(($AJ27-$AI27-$AH27-$AG27-$AF27-$AE27*(1+EU$3))/$AJ27,Уголь_коэфф!$A:$B,2,1)-VLOOKUP($AO27,Уголь_коэфф!$A:$B,2,1)),1+(1-$AU27))</f>
        <v>1</v>
      </c>
      <c r="EV27" s="103">
        <v>1</v>
      </c>
      <c r="EW27" s="102">
        <f>MIN(1,MAX(VLOOKUP(($AJ27-$AI27-$AH27-$AG27-$AF27-$AE27*(1+EW$3))/$AJ27,Уголь_коэфф!$A:$B,2,1),(EV27-0.05)))</f>
        <v>1</v>
      </c>
      <c r="EX27" s="102">
        <f>MIN(1,MAX(VLOOKUP(($AJ27-$AI27-$AH27-$AG27-$AF27-$AE27*(1+EX$3))/$AJ27,Уголь_коэфф!$A:$B,2,1),(EW27-0.05)))</f>
        <v>1</v>
      </c>
      <c r="EY27" s="102">
        <f>MIN(1,MAX(VLOOKUP(($AJ27-$AI27-$AH27-$AG27-$AF27-$AE27*(1+EY$3))/$AJ27,Уголь_коэфф!$A:$B,2,1),(EX27-0.05)))</f>
        <v>1</v>
      </c>
      <c r="EZ27" s="102">
        <f>MIN(1,MAX(VLOOKUP(($AJ27-$AI27-$AH27-$AG27-$AF27-$AE27*(1+EZ$3))/$AJ27,Уголь_коэфф!$A:$B,2,1),(EY27-0.05)))</f>
        <v>1</v>
      </c>
      <c r="FA27" s="102">
        <f>MIN(1,MAX(VLOOKUP(($AJ27-$AI27-$AH27-$AG27-$AF27-$AE27*(1+FA$3))/$AJ27,Уголь_коэфф!$A:$B,2,1),(EZ27-0.05)))</f>
        <v>1</v>
      </c>
      <c r="FB27" s="102">
        <f>MIN(1,MAX(VLOOKUP(($AJ27-$AI27-$AH27-$AG27-$AF27-$AE27*(1+FB$3))/$AJ27,Уголь_коэфф!$A:$B,2,1),(FA27-0.05)))</f>
        <v>1</v>
      </c>
      <c r="FC27" s="102">
        <f>MIN(1,MAX(VLOOKUP(($AJ27-$AI27-$AH27-$AG27-$AF27-$AE27*(1+FC$3))/$AJ27,Уголь_коэфф!$A:$B,2,1),(FB27-0.05)))</f>
        <v>1</v>
      </c>
      <c r="FD27" s="102">
        <f>MIN(1,MAX(VLOOKUP(($AJ27-$AI27-$AH27-$AG27-$AF27-$AE27*(1+FD$3))/$AJ27,Уголь_коэфф!$A:$B,2,1),(FC27-0.05)))</f>
        <v>1</v>
      </c>
      <c r="FE27" s="102">
        <f>MIN(1,MAX(VLOOKUP(($AJ27-$AI27-$AH27-$AG27-$AF27-$AE27*(1+FE$3))/$AJ27,Уголь_коэфф!$A:$B,2,1),(FD27-0.05)))</f>
        <v>1</v>
      </c>
      <c r="FF27" s="102">
        <f>MIN(1,MAX(VLOOKUP(($AJ27-$AI27-$AH27-$AG27-$AF27-$AE27*(1+FF$3))/$AJ27,Уголь_коэфф!$A:$B,2,1),(FE27-0.05)))</f>
        <v>1</v>
      </c>
      <c r="FG27" s="102">
        <f>MIN(1,MAX(VLOOKUP(($AJ27-$AI27-$AH27-$AG27-$AF27-$AE27*(1+FG$3))/$AJ27,Уголь_коэфф!$A:$B,2,1),(FF27-0.05)))</f>
        <v>1</v>
      </c>
      <c r="FH27" s="102">
        <f>MIN(1,MAX(VLOOKUP(($AJ27-$AI27-$AH27-$AG27-$AF27-$AE27*(1+FH$3))/$AJ27,Уголь_коэфф!$A:$B,2,1),(FG27-0.05)))</f>
        <v>1</v>
      </c>
      <c r="FI27" s="102">
        <f>MIN(1,MAX(VLOOKUP(($AJ27-$AI27-$AH27-$AG27-$AF27-$AE27*(1+FI$3))/$AJ27,Уголь_коэфф!$A:$B,2,1),(FH27-0.05)))</f>
        <v>1</v>
      </c>
      <c r="FJ27" s="102">
        <f>MIN(1,MAX(VLOOKUP(($AJ27-$AI27-$AH27-$AG27-$AF27-$AE27*(1+FJ$3))/$AJ27,Уголь_коэфф!$A:$B,2,1),(FI27-0.05)))</f>
        <v>1</v>
      </c>
      <c r="FK27" s="102">
        <f>MIN(1,MAX(VLOOKUP(($AJ27-$AI27-$AH27-$AG27-$AF27-$AE27*(1+FK$3))/$AJ27,Уголь_коэфф!$A:$B,2,1),(FJ27-0.05)))</f>
        <v>1</v>
      </c>
      <c r="FL27" s="102">
        <f>MIN(1,MAX(VLOOKUP(($AJ27-$AI27-$AH27-$AG27-$AF27-$AE27*(1+FL$3))/$AJ27,Уголь_коэфф!$A:$B,2,1),(FK27-0.05)))</f>
        <v>1</v>
      </c>
      <c r="FM27" s="102">
        <f>MIN(1,MAX(VLOOKUP(($AJ27-$AI27-$AH27-$AG27-$AF27-$AE27*(1+FM$3))/$AJ27,Уголь_коэфф!$A:$B,2,1),(FL27-0.05)))</f>
        <v>1</v>
      </c>
      <c r="FN27" s="102">
        <f>MIN(1,MAX(VLOOKUP(($AJ27-$AI27-$AH27-$AG27-$AF27-$AE27*(1+FN$3))/$AJ27,Уголь_коэфф!$A:$B,2,1),(FM27-0.05)))</f>
        <v>1</v>
      </c>
      <c r="FO27" s="102">
        <f>MIN(1,MAX(VLOOKUP(($AJ27-$AI27-$AH27-$AG27-$AF27-$AE27*(1+FO$3))/$AJ27,Уголь_коэфф!$A:$B,2,1),(FN27-0.05)))</f>
        <v>1</v>
      </c>
      <c r="FP27" s="102">
        <f>MIN(1,MAX(VLOOKUP(($AJ27-$AI27-$AH27-$AG27-$AF27-$AE27*(1+FP$3))/$AJ27,Уголь_коэфф!$A:$B,2,1),(FO27-0.05)))</f>
        <v>1</v>
      </c>
      <c r="FQ27" s="102">
        <f>MIN(1,MAX(VLOOKUP(($AJ27-$AI27-$AH27-$AG27-$AF27-$AE27*(1+FQ$3))/$AJ27,Уголь_коэфф!$A:$B,2,1),(FP27-0.05)))</f>
        <v>1</v>
      </c>
      <c r="FR27" s="102">
        <f>MIN(1,MAX(VLOOKUP(($AJ27-$AI27-$AH27-$AG27-$AF27-$AE27*(1+FR$3))/$AJ27,Уголь_коэфф!$A:$B,2,1),(FQ27-0.05)))</f>
        <v>1</v>
      </c>
      <c r="FS27" s="102">
        <f>MIN(1,MAX(VLOOKUP(($AJ27-$AI27-$AH27-$AG27-$AF27-$AE27*(1+FS$3))/$AJ27,Уголь_коэфф!$A:$B,2,1),(FR27-0.05)))</f>
        <v>1</v>
      </c>
      <c r="FT27" s="102">
        <f>MIN(1,MAX(VLOOKUP(($AJ27-$AI27-$AH27-$AG27-$AF27-$AE27*(1+FT$3))/$AJ27,Уголь_коэфф!$A:$B,2,1),(FS27-0.05)))</f>
        <v>1</v>
      </c>
      <c r="FU27" s="102">
        <f>MIN(1,MAX(VLOOKUP(($AJ27-$AI27-$AH27-$AG27-$AF27-$AE27*(1+FU$3))/$AJ27,Уголь_коэфф!$A:$B,2,1),(FT27-0.05)))</f>
        <v>1</v>
      </c>
      <c r="FV27" s="102">
        <f>MIN(1,MAX(VLOOKUP(($AJ27-$AI27-$AH27-$AG27-$AF27-$AE27*(1+FV$3))/$AJ27,Уголь_коэфф!$A:$B,2,1),(FU27-0.05)))</f>
        <v>1</v>
      </c>
      <c r="FW27" s="102">
        <f>MIN(1,MAX(VLOOKUP(($AJ27-$AI27-$AH27-$AG27-$AF27-$AE27*(1+FW$3))/$AJ27,Уголь_коэфф!$A:$B,2,1),(FV27-0.05)))</f>
        <v>1</v>
      </c>
      <c r="FX27" s="102">
        <f>MIN(1,MAX(VLOOKUP(($AJ27-$AI27-$AH27-$AG27-$AF27-$AE27*(1+FX$3))/$AJ27,Уголь_коэфф!$A:$B,2,1),(FW27-0.05)))</f>
        <v>1</v>
      </c>
      <c r="FY27" s="102">
        <f>MIN(1,MAX(VLOOKUP(($AJ27-$AI27-$AH27-$AG27-$AF27-$AE27*(1+FY$3))/$AJ27,Уголь_коэфф!$A:$B,2,1),(FX27-0.05)))</f>
        <v>1</v>
      </c>
      <c r="FZ27" s="102">
        <f>MIN(1,MAX(VLOOKUP(($AJ27-$AI27-$AH27-$AG27-$AF27-$AE27*(1+FZ$3))/$AJ27,Уголь_коэфф!$A:$B,2,1),(FY27-0.05)))</f>
        <v>1</v>
      </c>
      <c r="GA27" s="102">
        <f>MIN(1,MAX(VLOOKUP(($AJ27-$AI27-$AH27-$AG27-$AF27-$AE27*(1+GA$3))/$AJ27,Уголь_коэфф!$A:$B,2,1),(FZ27-0.05)))</f>
        <v>1</v>
      </c>
      <c r="GB27" s="102">
        <f>MIN(1,MAX(VLOOKUP(($AJ27-$AI27-$AH27-$AG27-$AF27-$AE27*(1+GB$3))/$AJ27,Уголь_коэфф!$A:$B,2,1),(GA27-0.05)))</f>
        <v>1</v>
      </c>
      <c r="GC27" s="102">
        <f>MIN(1,MAX(VLOOKUP(($AJ27-$AI27-$AH27-$AG27-$AF27-$AE27*(1+GC$3))/$AJ27,Уголь_коэфф!$A:$B,2,1),(GB27-0.05)))</f>
        <v>1</v>
      </c>
      <c r="GD27" s="102">
        <f>MIN(1,MAX(VLOOKUP(($AJ27-$AI27-$AH27-$AG27-$AF27-$AE27*(1+GD$3))/$AJ27,Уголь_коэфф!$A:$B,2,1),(GC27-0.05)))</f>
        <v>1</v>
      </c>
      <c r="GE27" s="102">
        <f>MIN(1,MAX(VLOOKUP(($AJ27-$AI27-$AH27-$AG27-$AF27-$AE27*(1+GE$3))/$AJ27,Уголь_коэфф!$A:$B,2,1),(GD27-0.05)))</f>
        <v>1</v>
      </c>
      <c r="GF27" s="102">
        <f>MIN(1,MAX(VLOOKUP(($AJ27-$AI27-$AH27-$AG27-$AF27-$AE27*(1+GF$3))/$AJ27,Уголь_коэфф!$A:$B,2,1),(GE27-0.05)))</f>
        <v>1</v>
      </c>
      <c r="GG27" s="102">
        <f>MIN(1,MAX(VLOOKUP(($AJ27-$AI27-$AH27-$AG27-$AF27-$AE27*(1+GG$3))/$AJ27,Уголь_коэфф!$A:$B,2,1),(GF27-0.05)))</f>
        <v>1</v>
      </c>
      <c r="GH27" s="102">
        <f>MIN(1,MAX(VLOOKUP(($AJ27-$AI27-$AH27-$AG27-$AF27-$AE27*(1+GH$3))/$AJ27,Уголь_коэфф!$A:$B,2,1),(GG27-0.05)))</f>
        <v>1</v>
      </c>
      <c r="GI27" s="102">
        <f>MIN(1,MAX(VLOOKUP(($AJ27-$AI27-$AH27-$AG27-$AF27-$AE27*(1+GI$3))/$AJ27,Уголь_коэфф!$A:$B,2,1),(GH27-0.05)))</f>
        <v>1</v>
      </c>
      <c r="GJ27" s="102">
        <f>MIN(1,MAX(VLOOKUP(($AJ27-$AI27-$AH27-$AG27-$AF27-$AE27*(1+GJ$3))/$AJ27,Уголь_коэфф!$A:$B,2,1),(GI27-0.05)))</f>
        <v>1</v>
      </c>
      <c r="GK27" s="102">
        <f>MIN(1,MAX(VLOOKUP(($AJ27-$AI27-$AH27-$AG27-$AF27-$AE27*(1+GK$3))/$AJ27,Уголь_коэфф!$A:$B,2,1),(GJ27-0.05)))</f>
        <v>1</v>
      </c>
      <c r="GL27" s="102">
        <f>MIN(1,MAX(VLOOKUP(($AJ27-$AI27-$AH27-$AG27-$AF27-$AE27*(1+GL$3))/$AJ27,Уголь_коэфф!$A:$B,2,1),(GK27-0.05)))</f>
        <v>1</v>
      </c>
      <c r="GM27" s="102">
        <f>MIN(1,MAX(VLOOKUP(($AJ27-$AI27-$AH27-$AG27-$AF27-$AE27*(1+GM$3))/$AJ27,Уголь_коэфф!$A:$B,2,1),(GL27-0.05)))</f>
        <v>1</v>
      </c>
      <c r="GN27" s="102">
        <f>MIN(1,MAX(VLOOKUP(($AJ27-$AI27-$AH27-$AG27-$AF27-$AE27*(1+GN$3))/$AJ27,Уголь_коэфф!$A:$B,2,1),(GM27-0.05)))</f>
        <v>1</v>
      </c>
      <c r="GO27" s="102">
        <f>MIN(1,MAX(VLOOKUP(($AJ27-$AI27-$AH27-$AG27-$AF27-$AE27*(1+GO$3))/$AJ27,Уголь_коэфф!$A:$B,2,1),(GN27-0.05)))</f>
        <v>1</v>
      </c>
      <c r="GP27" s="102">
        <f>MIN(1,MAX(VLOOKUP(($AJ27-$AI27-$AH27-$AG27-$AF27-$AE27*(1+GP$3))/$AJ27,Уголь_коэфф!$A:$B,2,1),(GO27-0.05)))</f>
        <v>1</v>
      </c>
      <c r="GQ27" s="102">
        <f>MIN(1,MAX(VLOOKUP(($AJ27-$AI27-$AH27-$AG27-$AF27-$AE27*(1+GQ$3))/$AJ27,Уголь_коэфф!$A:$B,2,1),(GP27-0.05)))</f>
        <v>1</v>
      </c>
      <c r="GR27" s="102">
        <f>MIN(1,MAX(VLOOKUP(($AJ27-$AI27-$AH27-$AG27-$AF27-$AE27*(1+GR$3))/$AJ27,Уголь_коэфф!$A:$B,2,1),(GQ27-0.05)))</f>
        <v>1</v>
      </c>
      <c r="GS27" s="102">
        <f>MIN(1,MAX(VLOOKUP(($AJ27-$AI27-$AH27-$AG27-$AF27-$AE27*(1+GS$3))/$AJ27,Уголь_коэфф!$A:$B,2,1),(GR27-0.05)))</f>
        <v>1</v>
      </c>
      <c r="GT27" s="102">
        <f>MIN(1,MAX(VLOOKUP(($AJ27-$AI27-$AH27-$AG27-$AF27-$AE27*(1+GT$3))/$AJ27,Уголь_коэфф!$A:$B,2,1),(GS27-0.05)))</f>
        <v>1</v>
      </c>
      <c r="GU27" s="102">
        <f>MIN(1,MAX(VLOOKUP(($AJ27-$AI27-$AH27-$AG27-$AF27-$AE27*(1+GU$3))/$AJ27,Уголь_коэфф!$A:$B,2,1),(GT27-0.05)))</f>
        <v>1</v>
      </c>
      <c r="GV27" s="102">
        <f>MIN(1,MAX(VLOOKUP(($AJ27-$AI27-$AH27-$AG27-$AF27-$AE27*(1+GV$3))/$AJ27,Уголь_коэфф!$A:$B,2,1),(GU27-0.05)))</f>
        <v>1</v>
      </c>
      <c r="GW27" s="102">
        <f>MIN(1,MAX(VLOOKUP(($AJ27-$AI27-$AH27-$AG27-$AF27-$AE27*(1+GW$3))/$AJ27,Уголь_коэфф!$A:$B,2,1),(GV27-0.05)))</f>
        <v>1</v>
      </c>
      <c r="GX27" s="102">
        <f>MIN(1,MAX(VLOOKUP(($AJ27-$AI27-$AH27-$AG27-$AF27-$AE27*(1+GX$3))/$AJ27,Уголь_коэфф!$A:$B,2,1),(GW27-0.05)))</f>
        <v>1</v>
      </c>
      <c r="GY27" s="102">
        <f>MIN(1,MAX(VLOOKUP(($AJ27-$AI27-$AH27-$AG27-$AF27-$AE27*(1+GY$3))/$AJ27,Уголь_коэфф!$A:$B,2,1),(GX27-0.05)))</f>
        <v>1</v>
      </c>
      <c r="GZ27" s="102">
        <f>MIN(1,MAX(VLOOKUP(($AJ27-$AI27-$AH27-$AG27-$AF27-$AE27*(1+GZ$3))/$AJ27,Уголь_коэфф!$A:$B,2,1),(GY27-0.05)))</f>
        <v>1</v>
      </c>
      <c r="HA27" s="102">
        <f>MIN(1,MAX(VLOOKUP(($AJ27-$AI27-$AH27-$AG27-$AF27-$AE27*(1+HA$3))/$AJ27,Уголь_коэфф!$A:$B,2,1),(GZ27-0.05)))</f>
        <v>1</v>
      </c>
      <c r="HB27" s="102">
        <f>MIN(1,MAX(VLOOKUP(($AJ27-$AI27-$AH27-$AG27-$AF27-$AE27*(1+HB$3))/$AJ27,Уголь_коэфф!$A:$B,2,1),(HA27-0.05)))</f>
        <v>1</v>
      </c>
      <c r="HC27" s="102">
        <f>MIN(1,MAX(VLOOKUP(($AJ27-$AI27-$AH27-$AG27-$AF27-$AE27*(1+HC$3))/$AJ27,Уголь_коэфф!$A:$B,2,1),(HB27-0.05)))</f>
        <v>1</v>
      </c>
      <c r="HD27" s="102">
        <f>MIN(1,MAX(VLOOKUP(($AJ27-$AI27-$AH27-$AG27-$AF27-$AE27*(1+HD$3))/$AJ27,Уголь_коэфф!$A:$B,2,1),(HC27-0.05)))</f>
        <v>1</v>
      </c>
      <c r="HE27" s="102">
        <f>MIN(1,MAX(VLOOKUP(($AJ27-$AI27-$AH27-$AG27-$AF27-$AE27*(1+HE$3))/$AJ27,Уголь_коэфф!$A:$B,2,1),(HD27-0.05)))</f>
        <v>1</v>
      </c>
      <c r="HF27" s="102">
        <f>MIN(1,MAX(VLOOKUP(($AJ27-$AI27-$AH27-$AG27-$AF27-$AE27*(1+HF$3))/$AJ27,Уголь_коэфф!$A:$B,2,1),(HE27-0.05)))</f>
        <v>1</v>
      </c>
      <c r="HG27" s="102">
        <f>MIN(1,MAX(VLOOKUP(($AJ27-$AI27-$AH27-$AG27-$AF27-$AE27*(1+HG$3))/$AJ27,Уголь_коэфф!$A:$B,2,1),(HF27-0.05)))</f>
        <v>1</v>
      </c>
      <c r="HH27" s="102">
        <f>MIN(1,MAX(VLOOKUP(($AJ27-$AI27-$AH27-$AG27-$AF27-$AE27*(1+HH$3))/$AJ27,Уголь_коэфф!$A:$B,2,1),(HG27-0.05)))</f>
        <v>1</v>
      </c>
      <c r="HI27" s="102">
        <f>MIN(1,MAX(VLOOKUP(($AJ27-$AI27-$AH27-$AG27-$AF27-$AE27*(1+HI$3))/$AJ27,Уголь_коэфф!$A:$B,2,1),(HH27-0.05)))</f>
        <v>1</v>
      </c>
      <c r="HJ27" s="102">
        <f>MIN(1,MAX(VLOOKUP(($AJ27-$AI27-$AH27-$AG27-$AF27-$AE27*(1+HJ$3))/$AJ27,Уголь_коэфф!$A:$B,2,1),(HI27-0.05)))</f>
        <v>1</v>
      </c>
      <c r="HK27" s="102">
        <f>MIN(1,MAX(VLOOKUP(($AJ27-$AI27-$AH27-$AG27-$AF27-$AE27*(1+HK$3))/$AJ27,Уголь_коэфф!$A:$B,2,1),(HJ27-0.05)))</f>
        <v>1</v>
      </c>
      <c r="HL27" s="102">
        <f>MIN(1,MAX(VLOOKUP(($AJ27-$AI27-$AH27-$AG27-$AF27-$AE27*(1+HL$3))/$AJ27,Уголь_коэфф!$A:$B,2,1),(HK27-0.05)))</f>
        <v>1</v>
      </c>
      <c r="HM27" s="102">
        <f>MIN(1,MAX(VLOOKUP(($AJ27-$AI27-$AH27-$AG27-$AF27-$AE27*(1+HM$3))/$AJ27,Уголь_коэфф!$A:$B,2,1),(HL27-0.05)))</f>
        <v>1</v>
      </c>
      <c r="HN27" s="102">
        <f>MIN(1,MAX(VLOOKUP(($AJ27-$AI27-$AH27-$AG27-$AF27-$AE27*(1+HN$3))/$AJ27,Уголь_коэфф!$A:$B,2,1),(HM27-0.05)))</f>
        <v>1</v>
      </c>
      <c r="HO27" s="102">
        <f>MIN(1,MAX(VLOOKUP(($AJ27-$AI27-$AH27-$AG27-$AF27-$AE27*(1+HO$3))/$AJ27,Уголь_коэфф!$A:$B,2,1),(HN27-0.05)))</f>
        <v>1</v>
      </c>
      <c r="HP27" s="102">
        <f>MIN(1,MAX(VLOOKUP(($AJ27-$AI27-$AH27-$AG27-$AF27-$AE27*(1+HP$3))/$AJ27,Уголь_коэфф!$A:$B,2,1),(HO27-0.05)))</f>
        <v>1</v>
      </c>
      <c r="HQ27" s="102">
        <f>MIN(1,MAX(VLOOKUP(($AJ27-$AI27-$AH27-$AG27-$AF27-$AE27*(1+HQ$3))/$AJ27,Уголь_коэфф!$A:$B,2,1),(HP27-0.05)))</f>
        <v>1</v>
      </c>
      <c r="HR27" s="102">
        <f>MIN(1,MAX(VLOOKUP(($AJ27-$AI27-$AH27-$AG27-$AF27-$AE27*(1+HR$3))/$AJ27,Уголь_коэфф!$A:$B,2,1),(HQ27-0.05)))</f>
        <v>1</v>
      </c>
      <c r="HS27" s="102">
        <f>MIN(1,MAX(VLOOKUP(($AJ27-$AI27-$AH27-$AG27-$AF27-$AE27*(1+HS$3))/$AJ27,Уголь_коэфф!$A:$B,2,1),(HR27-0.05)))</f>
        <v>1</v>
      </c>
      <c r="HT27" s="102">
        <f>MIN(1,MAX(VLOOKUP(($AJ27-$AI27-$AH27-$AG27-$AF27-$AE27*(1+HT$3))/$AJ27,Уголь_коэфф!$A:$B,2,1),(HS27-0.05)))</f>
        <v>1</v>
      </c>
      <c r="HU27" s="102">
        <f>MIN(1,MAX(VLOOKUP(($AJ27-$AI27-$AH27-$AG27-$AF27-$AE27*(1+HU$3))/$AJ27,Уголь_коэфф!$A:$B,2,1),(HT27-0.05)))</f>
        <v>1</v>
      </c>
      <c r="HV27" s="102">
        <f>MIN(1,MAX(VLOOKUP(($AJ27-$AI27-$AH27-$AG27-$AF27-$AE27*(1+HV$3))/$AJ27,Уголь_коэфф!$A:$B,2,1),(HU27-0.05)))</f>
        <v>1</v>
      </c>
      <c r="HW27" s="102">
        <f>MIN(1,MAX(VLOOKUP(($AJ27-$AI27-$AH27-$AG27-$AF27-$AE27*(1+HW$3))/$AJ27,Уголь_коэфф!$A:$B,2,1),(HV27-0.05)))</f>
        <v>1</v>
      </c>
      <c r="HX27" s="102">
        <f>MIN(1,MAX(VLOOKUP(($AJ27-$AI27-$AH27-$AG27-$AF27-$AE27*(1+HX$3))/$AJ27,Уголь_коэфф!$A:$B,2,1),(HW27-0.05)))</f>
        <v>1</v>
      </c>
      <c r="HY27" s="102">
        <f>MIN(1,MAX(VLOOKUP(($AJ27-$AI27-$AH27-$AG27-$AF27-$AE27*(1+HY$3))/$AJ27,Уголь_коэфф!$A:$B,2,1),(HX27-0.05)))</f>
        <v>1</v>
      </c>
      <c r="HZ27" s="102">
        <f>MIN(1,MAX(VLOOKUP(($AJ27-$AI27-$AH27-$AG27-$AF27-$AE27*(1+HZ$3))/$AJ27,Уголь_коэфф!$A:$B,2,1),(HY27-0.05)))</f>
        <v>1</v>
      </c>
      <c r="IA27" s="102">
        <f>MIN(1,MAX(VLOOKUP(($AJ27-$AI27-$AH27-$AG27-$AF27-$AE27*(1+IA$3))/$AJ27,Уголь_коэфф!$A:$B,2,1),(HZ27-0.05)))</f>
        <v>1</v>
      </c>
      <c r="IB27" s="102">
        <f>MIN(1,MAX(VLOOKUP(($AJ27-$AI27-$AH27-$AG27-$AF27-$AE27*(1+IB$3))/$AJ27,Уголь_коэфф!$A:$B,2,1),(IA27-0.05)))</f>
        <v>1</v>
      </c>
      <c r="IC27" s="102">
        <f>MIN(1,MAX(VLOOKUP(($AJ27-$AI27-$AH27-$AG27-$AF27-$AE27*(1+IC$3))/$AJ27,Уголь_коэфф!$A:$B,2,1),(IB27-0.05)))</f>
        <v>1</v>
      </c>
      <c r="ID27" s="102">
        <f>MIN(1,MAX(VLOOKUP(($AJ27-$AI27-$AH27-$AG27-$AF27-$AE27*(1+ID$3))/$AJ27,Уголь_коэфф!$A:$B,2,1),(IC27-0.05)))</f>
        <v>1</v>
      </c>
      <c r="IE27" s="102">
        <f>MIN(1,MAX(VLOOKUP(($AJ27-$AI27-$AH27-$AG27-$AF27-$AE27*(1+IE$3))/$AJ27,Уголь_коэфф!$A:$B,2,1),(ID27-0.05)))</f>
        <v>1</v>
      </c>
      <c r="IF27" s="102">
        <f>MIN(1,MAX(VLOOKUP(($AJ27-$AI27-$AH27-$AG27-$AF27-$AE27*(1+IF$3))/$AJ27,Уголь_коэфф!$A:$B,2,1),(IE27-0.05)))</f>
        <v>1</v>
      </c>
      <c r="IG27" s="102">
        <f>MIN(1,MAX(VLOOKUP(($AJ27-$AI27-$AH27-$AG27-$AF27-$AE27*(1+IG$3))/$AJ27,Уголь_коэфф!$A:$B,2,1),(IF27-0.05)))</f>
        <v>1</v>
      </c>
      <c r="IH27" s="102">
        <f>MIN(1,MAX(VLOOKUP(($AJ27-$AI27-$AH27-$AG27-$AF27-$AE27*(1+IH$3))/$AJ27,Уголь_коэфф!$A:$B,2,1),(IG27-0.05)))</f>
        <v>1</v>
      </c>
      <c r="II27" s="102">
        <f>MIN(1,MAX(VLOOKUP(($AJ27-$AI27-$AH27-$AG27-$AF27-$AE27*(1+II$3))/$AJ27,Уголь_коэфф!$A:$B,2,1),(IH27-0.05)))</f>
        <v>1</v>
      </c>
      <c r="IJ27" s="102">
        <f>MIN(1,MAX(VLOOKUP(($AJ27-$AI27-$AH27-$AG27-$AF27-$AE27*(1+IJ$3))/$AJ27,Уголь_коэфф!$A:$B,2,1),(II27-0.05)))</f>
        <v>1</v>
      </c>
      <c r="IK27" s="102">
        <f>MIN(1,MAX(VLOOKUP(($AJ27-$AI27-$AH27-$AG27-$AF27-$AE27*(1+IK$3))/$AJ27,Уголь_коэфф!$A:$B,2,1),(IJ27-0.05)))</f>
        <v>1</v>
      </c>
      <c r="IL27" s="102">
        <f>MIN(1,MAX(VLOOKUP(($AJ27-$AI27-$AH27-$AG27-$AF27-$AE27*(1+IL$3))/$AJ27,Уголь_коэфф!$A:$B,2,1),(IK27-0.05)))</f>
        <v>1</v>
      </c>
      <c r="IM27" s="102">
        <f>MIN(1,MAX(VLOOKUP(($AJ27-$AI27-$AH27-$AG27-$AF27-$AE27*(1+IM$3))/$AJ27,Уголь_коэфф!$A:$B,2,1),(IL27-0.05)))</f>
        <v>1</v>
      </c>
      <c r="IN27" s="102">
        <f>MIN(1,MAX(VLOOKUP(($AJ27-$AI27-$AH27-$AG27-$AF27-$AE27*(1+IN$3))/$AJ27,Уголь_коэфф!$A:$B,2,1),(IM27-0.05)))</f>
        <v>1</v>
      </c>
      <c r="IO27" s="102">
        <f>MIN(1,MAX(VLOOKUP(($AJ27-$AI27-$AH27-$AG27-$AF27-$AE27*(1+IO$3))/$AJ27,Уголь_коэфф!$A:$B,2,1),(IN27-0.05)))</f>
        <v>1</v>
      </c>
      <c r="IP27" s="102">
        <f>MIN(1,MAX(VLOOKUP(($AJ27-$AI27-$AH27-$AG27-$AF27-$AE27*(1+IP$3))/$AJ27,Уголь_коэфф!$A:$B,2,1),(IO27-0.05)))</f>
        <v>1</v>
      </c>
      <c r="IQ27" s="102">
        <f>MIN(1,MAX(VLOOKUP(($AJ27-$AI27-$AH27-$AG27-$AF27-$AE27*(1+IQ$3))/$AJ27,Уголь_коэфф!$A:$B,2,1),(IP27-0.05)))</f>
        <v>1</v>
      </c>
      <c r="IR27" s="102">
        <f>MIN(1,MAX(VLOOKUP(($AJ27-$AI27-$AH27-$AG27-$AF27-$AE27*(1+IR$3))/$AJ27,Уголь_коэфф!$A:$B,2,1),(IQ27-0.05)))</f>
        <v>1</v>
      </c>
      <c r="IS27" s="102">
        <f t="shared" si="20"/>
        <v>1</v>
      </c>
      <c r="IT27" s="102">
        <f t="shared" si="7"/>
        <v>1</v>
      </c>
      <c r="IU27" s="110"/>
    </row>
    <row r="28" spans="1:255" ht="14.6" customHeight="1">
      <c r="AC28" s="424"/>
      <c r="AD28" s="424"/>
      <c r="AE28" s="424"/>
      <c r="AF28" s="3"/>
      <c r="AG28" s="3"/>
      <c r="AH28" s="3"/>
      <c r="AI28" s="3"/>
      <c r="CX28" s="26"/>
    </row>
    <row r="29" spans="1:255" ht="14.6" customHeight="1">
      <c r="CX29" s="25"/>
      <c r="CY29" s="24"/>
    </row>
    <row r="30" spans="1:255" ht="14.6" customHeight="1">
      <c r="CX30" s="24"/>
      <c r="CY30" s="24"/>
    </row>
    <row r="32" spans="1:255">
      <c r="CZ32" s="25"/>
    </row>
    <row r="33" spans="102:104">
      <c r="CX33" s="25"/>
    </row>
    <row r="34" spans="102:104">
      <c r="CZ34" s="16"/>
    </row>
    <row r="38" spans="102:104" ht="30.9" customHeight="1"/>
    <row r="39" spans="102:104" ht="21" customHeight="1"/>
  </sheetData>
  <autoFilter ref="B3:IR27" xr:uid="{00000000-0009-0000-0000-000001000000}"/>
  <mergeCells count="8">
    <mergeCell ref="IS1:IT1"/>
    <mergeCell ref="AU2:AU3"/>
    <mergeCell ref="AC28:AE28"/>
    <mergeCell ref="B2:W2"/>
    <mergeCell ref="X2:AB2"/>
    <mergeCell ref="AC2:AS2"/>
    <mergeCell ref="AV2:AY2"/>
    <mergeCell ref="AZ2:IR2"/>
  </mergeCells>
  <conditionalFormatting sqref="AS4:AS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4:IR27 AZ4:EU2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4:IS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T4:IT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1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Option Button 4">
              <controlPr defaultSize="0" autoFill="0" autoLine="0" autoPict="0">
                <anchor moveWithCells="1">
                  <from>
                    <xdr:col>255</xdr:col>
                    <xdr:colOff>81643</xdr:colOff>
                    <xdr:row>0</xdr:row>
                    <xdr:rowOff>446314</xdr:rowOff>
                  </from>
                  <to>
                    <xdr:col>256</xdr:col>
                    <xdr:colOff>10886</xdr:colOff>
                    <xdr:row>2</xdr:row>
                    <xdr:rowOff>212271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Option Button 5">
              <controlPr defaultSize="0" autoFill="0" autoLine="0" autoPict="0">
                <anchor moveWithCells="1">
                  <from>
                    <xdr:col>255</xdr:col>
                    <xdr:colOff>97971</xdr:colOff>
                    <xdr:row>2</xdr:row>
                    <xdr:rowOff>277586</xdr:rowOff>
                  </from>
                  <to>
                    <xdr:col>256</xdr:col>
                    <xdr:colOff>424543</xdr:colOff>
                    <xdr:row>2</xdr:row>
                    <xdr:rowOff>1088571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Scroll Bar 7">
              <controlPr defaultSize="0" autoPict="0" altText="">
                <anchor moveWithCells="1">
                  <from>
                    <xdr:col>256</xdr:col>
                    <xdr:colOff>2155371</xdr:colOff>
                    <xdr:row>0</xdr:row>
                    <xdr:rowOff>136071</xdr:rowOff>
                  </from>
                  <to>
                    <xdr:col>265</xdr:col>
                    <xdr:colOff>593271</xdr:colOff>
                    <xdr:row>0</xdr:row>
                    <xdr:rowOff>353786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N84"/>
  <sheetViews>
    <sheetView view="pageBreakPreview" zoomScaleNormal="85" zoomScaleSheetLayoutView="100" workbookViewId="0">
      <pane xSplit="2" ySplit="4" topLeftCell="C5" activePane="bottomRight" state="frozen"/>
      <selection sqref="A1:XFD1048576"/>
      <selection pane="topRight" sqref="A1:XFD1048576"/>
      <selection pane="bottomLeft" sqref="A1:XFD1048576"/>
      <selection pane="bottomRight" activeCell="H7" sqref="H7"/>
    </sheetView>
  </sheetViews>
  <sheetFormatPr defaultColWidth="9.15234375" defaultRowHeight="14.6"/>
  <cols>
    <col min="1" max="1" width="22.765625" style="185" customWidth="1"/>
    <col min="2" max="2" width="28.84375" style="185" bestFit="1" customWidth="1"/>
    <col min="3" max="4" width="6.69140625" style="185" hidden="1" customWidth="1"/>
    <col min="5" max="5" width="6.84375" style="185" hidden="1" customWidth="1"/>
    <col min="6" max="6" width="6.4609375" style="185" hidden="1" customWidth="1"/>
    <col min="7" max="7" width="7.23046875" style="185" bestFit="1" customWidth="1"/>
    <col min="8" max="18" width="7.23046875" style="185" customWidth="1"/>
    <col min="19" max="19" width="6.23046875" style="185" customWidth="1"/>
    <col min="20" max="20" width="6.15234375" style="185" customWidth="1"/>
    <col min="21" max="22" width="6.4609375" style="185" customWidth="1"/>
    <col min="23" max="27" width="6.4609375" style="185" bestFit="1" customWidth="1"/>
    <col min="28" max="33" width="6.4609375" style="185" customWidth="1"/>
    <col min="34" max="34" width="3.69140625" style="185" customWidth="1"/>
    <col min="35" max="36" width="9.15234375" style="185"/>
    <col min="37" max="37" width="9.15234375" style="185" customWidth="1"/>
    <col min="38" max="38" width="2.921875" style="185" customWidth="1"/>
    <col min="39" max="16384" width="9.15234375" style="185"/>
  </cols>
  <sheetData>
    <row r="1" spans="1:40" ht="18.45">
      <c r="B1" s="181" t="s">
        <v>267</v>
      </c>
      <c r="C1" s="182"/>
      <c r="D1" s="182"/>
      <c r="E1" s="182"/>
      <c r="F1" s="183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4"/>
      <c r="U1" s="184"/>
      <c r="V1" s="184"/>
    </row>
    <row r="2" spans="1:40" ht="43.2" customHeight="1" thickBot="1">
      <c r="B2" s="186" t="s">
        <v>329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7"/>
      <c r="AC2" s="187"/>
      <c r="AD2" s="187"/>
      <c r="AE2" s="187"/>
      <c r="AF2" s="187"/>
      <c r="AG2" s="187"/>
      <c r="AH2" s="188"/>
      <c r="AI2" s="188"/>
      <c r="AJ2" s="188"/>
      <c r="AK2" s="188"/>
    </row>
    <row r="3" spans="1:40" ht="15" customHeight="1" thickBot="1">
      <c r="B3" s="442" t="s">
        <v>268</v>
      </c>
      <c r="C3" s="444" t="s">
        <v>269</v>
      </c>
      <c r="D3" s="445"/>
      <c r="E3" s="445"/>
      <c r="F3" s="445"/>
      <c r="G3" s="446" t="s">
        <v>270</v>
      </c>
      <c r="H3" s="447" t="s">
        <v>270</v>
      </c>
      <c r="I3" s="448"/>
      <c r="J3" s="448"/>
      <c r="K3" s="448"/>
      <c r="L3" s="448"/>
      <c r="M3" s="448"/>
      <c r="N3" s="448"/>
      <c r="O3" s="448"/>
      <c r="P3" s="448"/>
      <c r="Q3" s="448"/>
      <c r="R3" s="449"/>
      <c r="S3" s="444" t="s">
        <v>271</v>
      </c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50"/>
      <c r="AI3" s="451" t="s">
        <v>272</v>
      </c>
      <c r="AJ3" s="453" t="s">
        <v>273</v>
      </c>
      <c r="AK3" s="440" t="s">
        <v>274</v>
      </c>
    </row>
    <row r="4" spans="1:40" ht="15" thickBot="1">
      <c r="B4" s="443"/>
      <c r="C4" s="189" t="s">
        <v>275</v>
      </c>
      <c r="D4" s="190" t="s">
        <v>276</v>
      </c>
      <c r="E4" s="191" t="s">
        <v>277</v>
      </c>
      <c r="F4" s="192" t="s">
        <v>278</v>
      </c>
      <c r="G4" s="193" t="s">
        <v>279</v>
      </c>
      <c r="H4" s="194" t="s">
        <v>280</v>
      </c>
      <c r="I4" s="195" t="s">
        <v>281</v>
      </c>
      <c r="J4" s="191" t="s">
        <v>282</v>
      </c>
      <c r="K4" s="191" t="s">
        <v>283</v>
      </c>
      <c r="L4" s="191" t="s">
        <v>284</v>
      </c>
      <c r="M4" s="191" t="s">
        <v>285</v>
      </c>
      <c r="N4" s="191" t="s">
        <v>286</v>
      </c>
      <c r="O4" s="191" t="s">
        <v>287</v>
      </c>
      <c r="P4" s="191" t="s">
        <v>288</v>
      </c>
      <c r="Q4" s="191" t="s">
        <v>289</v>
      </c>
      <c r="R4" s="191" t="s">
        <v>290</v>
      </c>
      <c r="S4" s="196" t="s">
        <v>276</v>
      </c>
      <c r="T4" s="190" t="s">
        <v>277</v>
      </c>
      <c r="U4" s="190" t="s">
        <v>278</v>
      </c>
      <c r="V4" s="193" t="s">
        <v>279</v>
      </c>
      <c r="W4" s="194" t="s">
        <v>280</v>
      </c>
      <c r="X4" s="195" t="s">
        <v>281</v>
      </c>
      <c r="Y4" s="191" t="s">
        <v>282</v>
      </c>
      <c r="Z4" s="191" t="s">
        <v>283</v>
      </c>
      <c r="AA4" s="191" t="s">
        <v>284</v>
      </c>
      <c r="AB4" s="191" t="s">
        <v>285</v>
      </c>
      <c r="AC4" s="191" t="s">
        <v>286</v>
      </c>
      <c r="AD4" s="191" t="s">
        <v>287</v>
      </c>
      <c r="AE4" s="191" t="s">
        <v>288</v>
      </c>
      <c r="AF4" s="191" t="s">
        <v>289</v>
      </c>
      <c r="AG4" s="197" t="s">
        <v>290</v>
      </c>
      <c r="AI4" s="452"/>
      <c r="AJ4" s="454"/>
      <c r="AK4" s="441"/>
    </row>
    <row r="5" spans="1:40">
      <c r="A5" s="185" t="s">
        <v>256</v>
      </c>
      <c r="B5" s="198" t="s">
        <v>291</v>
      </c>
      <c r="C5" s="199">
        <f>SUM(C7:C16)</f>
        <v>1282.8145220000001</v>
      </c>
      <c r="D5" s="200">
        <f>SUM(D7:D16)</f>
        <v>1234.2891749999999</v>
      </c>
      <c r="E5" s="201">
        <f>SUM(E7:E16)</f>
        <v>1232.2394939999999</v>
      </c>
      <c r="F5" s="202">
        <f t="shared" ref="F5:R5" si="0">SUM(F7:F16)</f>
        <v>1181.4249879999998</v>
      </c>
      <c r="G5" s="203">
        <f t="shared" si="0"/>
        <v>1115.763469</v>
      </c>
      <c r="H5" s="204">
        <f t="shared" si="0"/>
        <v>1108.5330749999998</v>
      </c>
      <c r="I5" s="205">
        <f t="shared" si="0"/>
        <v>1114.7266721354536</v>
      </c>
      <c r="J5" s="201">
        <f t="shared" si="0"/>
        <v>1135.0010000000002</v>
      </c>
      <c r="K5" s="201">
        <f t="shared" si="0"/>
        <v>1156.8280000000002</v>
      </c>
      <c r="L5" s="201">
        <f t="shared" si="0"/>
        <v>1183.7850000000001</v>
      </c>
      <c r="M5" s="201">
        <f t="shared" si="0"/>
        <v>1222.808771</v>
      </c>
      <c r="N5" s="201">
        <f t="shared" si="0"/>
        <v>1240.9717709999998</v>
      </c>
      <c r="O5" s="201">
        <f t="shared" si="0"/>
        <v>1272.614</v>
      </c>
      <c r="P5" s="201">
        <f t="shared" si="0"/>
        <v>1306.6799999999998</v>
      </c>
      <c r="Q5" s="201">
        <f t="shared" si="0"/>
        <v>1343.4157709999999</v>
      </c>
      <c r="R5" s="201">
        <f t="shared" si="0"/>
        <v>1363.5647709999998</v>
      </c>
      <c r="S5" s="206">
        <f t="shared" ref="S5:AA20" si="1">D5/C5*100</f>
        <v>96.217274892994993</v>
      </c>
      <c r="T5" s="207">
        <f t="shared" si="1"/>
        <v>99.833938347551339</v>
      </c>
      <c r="U5" s="207">
        <f t="shared" si="1"/>
        <v>95.876247576268625</v>
      </c>
      <c r="V5" s="208">
        <f>G5/F5*100</f>
        <v>94.44217621373015</v>
      </c>
      <c r="W5" s="209">
        <f t="shared" ref="W5:AG28" si="2">H5/G5*100</f>
        <v>99.351977887707648</v>
      </c>
      <c r="X5" s="210">
        <f t="shared" si="2"/>
        <v>100.5587201027316</v>
      </c>
      <c r="Y5" s="211">
        <f t="shared" si="2"/>
        <v>101.81877121731621</v>
      </c>
      <c r="Z5" s="211">
        <f t="shared" si="2"/>
        <v>101.92308200609514</v>
      </c>
      <c r="AA5" s="211">
        <f t="shared" si="2"/>
        <v>102.33025134246402</v>
      </c>
      <c r="AB5" s="211">
        <f t="shared" si="2"/>
        <v>103.29652521361564</v>
      </c>
      <c r="AC5" s="211">
        <f t="shared" si="2"/>
        <v>101.48535081124305</v>
      </c>
      <c r="AD5" s="211">
        <f t="shared" si="2"/>
        <v>102.5497944223584</v>
      </c>
      <c r="AE5" s="211">
        <f t="shared" si="2"/>
        <v>102.67685252558904</v>
      </c>
      <c r="AF5" s="211">
        <f t="shared" si="2"/>
        <v>102.81138235834328</v>
      </c>
      <c r="AG5" s="212">
        <f t="shared" si="2"/>
        <v>101.49983351654429</v>
      </c>
      <c r="AI5" s="213">
        <f>R5-G5</f>
        <v>247.80130199999985</v>
      </c>
      <c r="AJ5" s="214">
        <f>R5/G5*100</f>
        <v>122.20912486246669</v>
      </c>
      <c r="AK5" s="215">
        <f>(R5/G5)^(1/11)*100</f>
        <v>101.84002850254107</v>
      </c>
    </row>
    <row r="6" spans="1:40">
      <c r="A6" s="185" t="s">
        <v>256</v>
      </c>
      <c r="B6" s="216" t="s">
        <v>292</v>
      </c>
      <c r="C6" s="217">
        <f>C5-C7</f>
        <v>911.15413200000012</v>
      </c>
      <c r="D6" s="218">
        <f>D5-D7</f>
        <v>879.88858199999981</v>
      </c>
      <c r="E6" s="219">
        <f>E5-E7</f>
        <v>881.9573509999999</v>
      </c>
      <c r="F6" s="220">
        <f>F5-F7</f>
        <v>850.0216029999998</v>
      </c>
      <c r="G6" s="221">
        <f t="shared" ref="G6:R6" si="3">G5-G7</f>
        <v>791.29712899999993</v>
      </c>
      <c r="H6" s="222">
        <f t="shared" si="3"/>
        <v>780.29248499999983</v>
      </c>
      <c r="I6" s="223">
        <f t="shared" si="3"/>
        <v>788.50018940582504</v>
      </c>
      <c r="J6" s="219">
        <f t="shared" si="3"/>
        <v>808.27600000000029</v>
      </c>
      <c r="K6" s="219">
        <f t="shared" si="3"/>
        <v>829.31700000000023</v>
      </c>
      <c r="L6" s="219">
        <f t="shared" si="3"/>
        <v>854.8850000000001</v>
      </c>
      <c r="M6" s="219">
        <f t="shared" si="3"/>
        <v>879.26900000000001</v>
      </c>
      <c r="N6" s="219">
        <f t="shared" si="3"/>
        <v>896.17999999999984</v>
      </c>
      <c r="O6" s="219">
        <f t="shared" si="3"/>
        <v>915.57400000000007</v>
      </c>
      <c r="P6" s="219">
        <f t="shared" si="3"/>
        <v>935.61799999999982</v>
      </c>
      <c r="Q6" s="219">
        <f t="shared" si="3"/>
        <v>956.46199999999999</v>
      </c>
      <c r="R6" s="219">
        <f t="shared" si="3"/>
        <v>975.31899999999985</v>
      </c>
      <c r="S6" s="224">
        <f t="shared" si="1"/>
        <v>96.568577268988307</v>
      </c>
      <c r="T6" s="225">
        <f t="shared" si="1"/>
        <v>100.23511715486724</v>
      </c>
      <c r="U6" s="225">
        <f t="shared" si="1"/>
        <v>96.37899180002411</v>
      </c>
      <c r="V6" s="226">
        <f>G6/F6*100</f>
        <v>93.091413936687928</v>
      </c>
      <c r="W6" s="227">
        <f t="shared" si="2"/>
        <v>98.609290543754753</v>
      </c>
      <c r="X6" s="228">
        <f t="shared" si="2"/>
        <v>101.05187536258602</v>
      </c>
      <c r="Y6" s="229">
        <f t="shared" si="2"/>
        <v>102.50802864220962</v>
      </c>
      <c r="Z6" s="229">
        <f t="shared" si="2"/>
        <v>102.60319494826024</v>
      </c>
      <c r="AA6" s="229">
        <f t="shared" si="2"/>
        <v>103.08301891797707</v>
      </c>
      <c r="AB6" s="229">
        <f t="shared" si="2"/>
        <v>102.85231346906308</v>
      </c>
      <c r="AC6" s="229">
        <f t="shared" si="2"/>
        <v>101.92330219762096</v>
      </c>
      <c r="AD6" s="229">
        <f t="shared" si="2"/>
        <v>102.16407418152606</v>
      </c>
      <c r="AE6" s="229">
        <f t="shared" si="2"/>
        <v>102.18922774128576</v>
      </c>
      <c r="AF6" s="229">
        <f t="shared" si="2"/>
        <v>102.22783229907935</v>
      </c>
      <c r="AG6" s="230">
        <f t="shared" si="2"/>
        <v>101.97153676779631</v>
      </c>
      <c r="AI6" s="213">
        <f t="shared" ref="AI6:AI69" si="4">R6-G6</f>
        <v>184.02187099999992</v>
      </c>
      <c r="AJ6" s="214">
        <f t="shared" ref="AJ6:AJ69" si="5">R6/G6*100</f>
        <v>123.25572332513795</v>
      </c>
      <c r="AK6" s="231">
        <f t="shared" ref="AK6:AK69" si="6">(R6/G6)^(1/11)*100</f>
        <v>101.91900858615975</v>
      </c>
    </row>
    <row r="7" spans="1:40">
      <c r="A7" s="185" t="s">
        <v>256</v>
      </c>
      <c r="B7" s="232" t="s">
        <v>293</v>
      </c>
      <c r="C7" s="233">
        <f t="shared" ref="C7:R17" si="7">C20+C33</f>
        <v>371.66039000000001</v>
      </c>
      <c r="D7" s="234">
        <f t="shared" si="7"/>
        <v>354.40059300000007</v>
      </c>
      <c r="E7" s="235">
        <f t="shared" si="7"/>
        <v>350.28214300000002</v>
      </c>
      <c r="F7" s="236">
        <f t="shared" si="7"/>
        <v>331.40338499999996</v>
      </c>
      <c r="G7" s="237">
        <f t="shared" si="7"/>
        <v>324.46634000000006</v>
      </c>
      <c r="H7" s="238">
        <f t="shared" si="7"/>
        <v>328.24059</v>
      </c>
      <c r="I7" s="239">
        <f t="shared" si="7"/>
        <v>326.22648272962857</v>
      </c>
      <c r="J7" s="235">
        <f t="shared" si="7"/>
        <v>326.72499999999997</v>
      </c>
      <c r="K7" s="235">
        <f t="shared" si="7"/>
        <v>327.51099999999997</v>
      </c>
      <c r="L7" s="235">
        <f t="shared" si="7"/>
        <v>328.9</v>
      </c>
      <c r="M7" s="235">
        <f t="shared" si="7"/>
        <v>343.53977099999997</v>
      </c>
      <c r="N7" s="235">
        <f t="shared" si="7"/>
        <v>344.79177099999993</v>
      </c>
      <c r="O7" s="235">
        <f t="shared" si="7"/>
        <v>357.03999999999996</v>
      </c>
      <c r="P7" s="235">
        <f t="shared" si="7"/>
        <v>371.06200000000001</v>
      </c>
      <c r="Q7" s="235">
        <f t="shared" si="7"/>
        <v>386.95377100000002</v>
      </c>
      <c r="R7" s="235">
        <f t="shared" si="7"/>
        <v>388.24577099999999</v>
      </c>
      <c r="S7" s="240">
        <f t="shared" si="1"/>
        <v>95.356030003627794</v>
      </c>
      <c r="T7" s="241">
        <f t="shared" si="1"/>
        <v>98.837911086678105</v>
      </c>
      <c r="U7" s="241">
        <f t="shared" si="1"/>
        <v>94.610413811474231</v>
      </c>
      <c r="V7" s="242">
        <f t="shared" si="1"/>
        <v>97.90676700541249</v>
      </c>
      <c r="W7" s="243">
        <f t="shared" si="2"/>
        <v>101.1632177316143</v>
      </c>
      <c r="X7" s="244">
        <f t="shared" si="2"/>
        <v>99.38639298985801</v>
      </c>
      <c r="Y7" s="245">
        <f t="shared" si="2"/>
        <v>100.15281324379313</v>
      </c>
      <c r="Z7" s="245">
        <f t="shared" si="2"/>
        <v>100.24056928609689</v>
      </c>
      <c r="AA7" s="245">
        <f t="shared" si="2"/>
        <v>100.42410789255933</v>
      </c>
      <c r="AB7" s="245">
        <f t="shared" si="2"/>
        <v>104.45113134691395</v>
      </c>
      <c r="AC7" s="245">
        <f t="shared" si="2"/>
        <v>100.36444106496188</v>
      </c>
      <c r="AD7" s="245">
        <f t="shared" si="2"/>
        <v>103.55235537219363</v>
      </c>
      <c r="AE7" s="245">
        <f t="shared" si="2"/>
        <v>103.92729105982524</v>
      </c>
      <c r="AF7" s="245">
        <f t="shared" si="2"/>
        <v>104.28278050568369</v>
      </c>
      <c r="AG7" s="246">
        <f t="shared" si="2"/>
        <v>100.33389001395724</v>
      </c>
      <c r="AI7" s="247">
        <f t="shared" si="4"/>
        <v>63.779430999999931</v>
      </c>
      <c r="AJ7" s="248">
        <f t="shared" si="5"/>
        <v>119.65671724222608</v>
      </c>
      <c r="AK7" s="249">
        <f t="shared" si="6"/>
        <v>101.64480556456139</v>
      </c>
      <c r="AN7" s="250"/>
    </row>
    <row r="8" spans="1:40">
      <c r="A8" s="185" t="s">
        <v>256</v>
      </c>
      <c r="B8" s="232" t="s">
        <v>294</v>
      </c>
      <c r="C8" s="233">
        <f t="shared" si="7"/>
        <v>12.034458000000001</v>
      </c>
      <c r="D8" s="234">
        <f t="shared" si="7"/>
        <v>10.144067</v>
      </c>
      <c r="E8" s="235">
        <f t="shared" si="7"/>
        <v>11.535412000000001</v>
      </c>
      <c r="F8" s="236">
        <f t="shared" si="7"/>
        <v>11.799099</v>
      </c>
      <c r="G8" s="237">
        <f t="shared" si="7"/>
        <v>9.9870170000000016</v>
      </c>
      <c r="H8" s="238">
        <f t="shared" si="7"/>
        <v>9.2023639999999993</v>
      </c>
      <c r="I8" s="239">
        <f t="shared" si="7"/>
        <v>9.6144280000000002</v>
      </c>
      <c r="J8" s="235">
        <f t="shared" si="7"/>
        <v>10.093</v>
      </c>
      <c r="K8" s="235">
        <f t="shared" si="7"/>
        <v>10.588000000000001</v>
      </c>
      <c r="L8" s="235">
        <f t="shared" si="7"/>
        <v>11.114999999999998</v>
      </c>
      <c r="M8" s="235">
        <f t="shared" si="7"/>
        <v>11.234</v>
      </c>
      <c r="N8" s="235">
        <f t="shared" si="7"/>
        <v>11.353999999999999</v>
      </c>
      <c r="O8" s="235">
        <f t="shared" si="7"/>
        <v>11.475999999999999</v>
      </c>
      <c r="P8" s="235">
        <f t="shared" si="7"/>
        <v>11.599</v>
      </c>
      <c r="Q8" s="235">
        <f t="shared" si="7"/>
        <v>11.724</v>
      </c>
      <c r="R8" s="235">
        <f t="shared" si="7"/>
        <v>11.850000000000001</v>
      </c>
      <c r="S8" s="240">
        <f t="shared" si="1"/>
        <v>84.291847626208011</v>
      </c>
      <c r="T8" s="241">
        <f t="shared" si="1"/>
        <v>113.71584986573926</v>
      </c>
      <c r="U8" s="241">
        <f t="shared" si="1"/>
        <v>102.28589147921201</v>
      </c>
      <c r="V8" s="242">
        <f t="shared" si="1"/>
        <v>84.642200222237321</v>
      </c>
      <c r="W8" s="243">
        <f t="shared" si="2"/>
        <v>92.143269606930659</v>
      </c>
      <c r="X8" s="244">
        <f t="shared" si="2"/>
        <v>104.47780592030485</v>
      </c>
      <c r="Y8" s="245">
        <f t="shared" si="2"/>
        <v>104.97764401584784</v>
      </c>
      <c r="Z8" s="245">
        <f t="shared" si="2"/>
        <v>104.90438918062024</v>
      </c>
      <c r="AA8" s="245">
        <f t="shared" si="2"/>
        <v>104.9773328296184</v>
      </c>
      <c r="AB8" s="245">
        <f t="shared" si="2"/>
        <v>101.07062528115161</v>
      </c>
      <c r="AC8" s="245">
        <f t="shared" si="2"/>
        <v>101.06818586434039</v>
      </c>
      <c r="AD8" s="245">
        <f t="shared" si="2"/>
        <v>101.07451118548529</v>
      </c>
      <c r="AE8" s="245">
        <f t="shared" si="2"/>
        <v>101.07180202161032</v>
      </c>
      <c r="AF8" s="245">
        <f t="shared" si="2"/>
        <v>101.07767911026812</v>
      </c>
      <c r="AG8" s="246">
        <f t="shared" si="2"/>
        <v>101.07471852610033</v>
      </c>
      <c r="AI8" s="247">
        <f t="shared" si="4"/>
        <v>1.8629829999999998</v>
      </c>
      <c r="AJ8" s="248">
        <f t="shared" si="5"/>
        <v>118.65404855123407</v>
      </c>
      <c r="AK8" s="249">
        <f t="shared" si="6"/>
        <v>101.56707841339994</v>
      </c>
      <c r="AN8" s="250"/>
    </row>
    <row r="9" spans="1:40">
      <c r="A9" s="185" t="s">
        <v>256</v>
      </c>
      <c r="B9" s="232" t="s">
        <v>295</v>
      </c>
      <c r="C9" s="233">
        <f t="shared" si="7"/>
        <v>217.50863400000003</v>
      </c>
      <c r="D9" s="234">
        <f t="shared" si="7"/>
        <v>215.97843</v>
      </c>
      <c r="E9" s="235">
        <f t="shared" si="7"/>
        <v>210.057006</v>
      </c>
      <c r="F9" s="236">
        <f t="shared" si="7"/>
        <v>207.50457999999998</v>
      </c>
      <c r="G9" s="237">
        <f t="shared" si="7"/>
        <v>197.09127100000001</v>
      </c>
      <c r="H9" s="238">
        <f t="shared" si="7"/>
        <v>193.91946799999999</v>
      </c>
      <c r="I9" s="239">
        <f t="shared" si="7"/>
        <v>195.63765418567573</v>
      </c>
      <c r="J9" s="235">
        <f t="shared" si="7"/>
        <v>196.98899999999998</v>
      </c>
      <c r="K9" s="235">
        <f t="shared" si="7"/>
        <v>199.22000000000003</v>
      </c>
      <c r="L9" s="235">
        <f t="shared" si="7"/>
        <v>202.22</v>
      </c>
      <c r="M9" s="235">
        <f t="shared" si="7"/>
        <v>205.59399999999999</v>
      </c>
      <c r="N9" s="235">
        <f t="shared" si="7"/>
        <v>207.64699999999999</v>
      </c>
      <c r="O9" s="235">
        <f t="shared" si="7"/>
        <v>210.226</v>
      </c>
      <c r="P9" s="235">
        <f t="shared" si="7"/>
        <v>212.85199999999998</v>
      </c>
      <c r="Q9" s="235">
        <f t="shared" si="7"/>
        <v>215.529</v>
      </c>
      <c r="R9" s="235">
        <f t="shared" si="7"/>
        <v>217.7</v>
      </c>
      <c r="S9" s="240">
        <f t="shared" si="1"/>
        <v>99.296485858119993</v>
      </c>
      <c r="T9" s="241">
        <f t="shared" si="1"/>
        <v>97.258326213409362</v>
      </c>
      <c r="U9" s="241">
        <f t="shared" si="1"/>
        <v>98.784888898206987</v>
      </c>
      <c r="V9" s="242">
        <f t="shared" si="1"/>
        <v>94.981648597828553</v>
      </c>
      <c r="W9" s="243">
        <f t="shared" si="2"/>
        <v>98.390693314875406</v>
      </c>
      <c r="X9" s="244">
        <f t="shared" si="2"/>
        <v>100.88603078556079</v>
      </c>
      <c r="Y9" s="245">
        <f t="shared" si="2"/>
        <v>100.6907391217448</v>
      </c>
      <c r="Z9" s="245">
        <f t="shared" si="2"/>
        <v>101.13255054850781</v>
      </c>
      <c r="AA9" s="245">
        <f t="shared" si="2"/>
        <v>101.50587290432686</v>
      </c>
      <c r="AB9" s="245">
        <f t="shared" si="2"/>
        <v>101.66847987340519</v>
      </c>
      <c r="AC9" s="245">
        <f t="shared" si="2"/>
        <v>100.9985699971789</v>
      </c>
      <c r="AD9" s="245">
        <f t="shared" si="2"/>
        <v>101.24201168328943</v>
      </c>
      <c r="AE9" s="245">
        <f t="shared" si="2"/>
        <v>101.24913188663626</v>
      </c>
      <c r="AF9" s="245">
        <f t="shared" si="2"/>
        <v>101.25768139364442</v>
      </c>
      <c r="AG9" s="246">
        <f t="shared" si="2"/>
        <v>101.00728904230985</v>
      </c>
      <c r="AI9" s="247">
        <f t="shared" si="4"/>
        <v>20.608728999999983</v>
      </c>
      <c r="AJ9" s="248">
        <f t="shared" si="5"/>
        <v>110.45643924027462</v>
      </c>
      <c r="AK9" s="249">
        <f t="shared" si="6"/>
        <v>100.90819971610989</v>
      </c>
      <c r="AN9" s="250"/>
    </row>
    <row r="10" spans="1:40">
      <c r="A10" s="185" t="s">
        <v>256</v>
      </c>
      <c r="B10" s="232" t="s">
        <v>296</v>
      </c>
      <c r="C10" s="233">
        <f t="shared" si="7"/>
        <v>139.651454</v>
      </c>
      <c r="D10" s="234">
        <f t="shared" si="7"/>
        <v>133.17008500000003</v>
      </c>
      <c r="E10" s="235">
        <f t="shared" si="7"/>
        <v>128.00870700000002</v>
      </c>
      <c r="F10" s="236">
        <f t="shared" si="7"/>
        <v>125.29599399999999</v>
      </c>
      <c r="G10" s="237">
        <f t="shared" si="7"/>
        <v>125.55675000000001</v>
      </c>
      <c r="H10" s="238">
        <f t="shared" si="7"/>
        <v>125.694456</v>
      </c>
      <c r="I10" s="239">
        <f t="shared" si="7"/>
        <v>126.5371395094912</v>
      </c>
      <c r="J10" s="235">
        <f t="shared" si="7"/>
        <v>128.83199999999999</v>
      </c>
      <c r="K10" s="235">
        <f t="shared" si="7"/>
        <v>131.47999999999999</v>
      </c>
      <c r="L10" s="235">
        <f t="shared" si="7"/>
        <v>134.5</v>
      </c>
      <c r="M10" s="235">
        <f t="shared" si="7"/>
        <v>137.624</v>
      </c>
      <c r="N10" s="235">
        <f t="shared" si="7"/>
        <v>139.934</v>
      </c>
      <c r="O10" s="235">
        <f t="shared" si="7"/>
        <v>142.66</v>
      </c>
      <c r="P10" s="235">
        <f t="shared" si="7"/>
        <v>145.446</v>
      </c>
      <c r="Q10" s="235">
        <f t="shared" si="7"/>
        <v>148.29300000000001</v>
      </c>
      <c r="R10" s="235">
        <f t="shared" si="7"/>
        <v>150.80000000000001</v>
      </c>
      <c r="S10" s="240">
        <f t="shared" si="1"/>
        <v>95.35889615585387</v>
      </c>
      <c r="T10" s="241">
        <f t="shared" si="1"/>
        <v>96.124221141707594</v>
      </c>
      <c r="U10" s="241">
        <f t="shared" si="1"/>
        <v>97.880837121493599</v>
      </c>
      <c r="V10" s="242">
        <f t="shared" si="1"/>
        <v>100.20811200077155</v>
      </c>
      <c r="W10" s="243">
        <f t="shared" si="2"/>
        <v>100.10967630175199</v>
      </c>
      <c r="X10" s="244">
        <f t="shared" si="2"/>
        <v>100.6704221779608</v>
      </c>
      <c r="Y10" s="245">
        <f t="shared" si="2"/>
        <v>101.81358650859708</v>
      </c>
      <c r="Z10" s="245">
        <f t="shared" si="2"/>
        <v>102.05538996522603</v>
      </c>
      <c r="AA10" s="245">
        <f t="shared" si="2"/>
        <v>102.29692728932159</v>
      </c>
      <c r="AB10" s="245">
        <f t="shared" si="2"/>
        <v>102.32267657992564</v>
      </c>
      <c r="AC10" s="245">
        <f t="shared" si="2"/>
        <v>101.67848631052723</v>
      </c>
      <c r="AD10" s="245">
        <f t="shared" si="2"/>
        <v>101.94806122886504</v>
      </c>
      <c r="AE10" s="245">
        <f t="shared" si="2"/>
        <v>101.95289499509323</v>
      </c>
      <c r="AF10" s="245">
        <f t="shared" si="2"/>
        <v>101.95742749886556</v>
      </c>
      <c r="AG10" s="246">
        <f t="shared" si="2"/>
        <v>101.69057204318479</v>
      </c>
      <c r="AI10" s="247">
        <f t="shared" si="4"/>
        <v>25.243250000000003</v>
      </c>
      <c r="AJ10" s="248">
        <f t="shared" si="5"/>
        <v>120.10505209795571</v>
      </c>
      <c r="AK10" s="249">
        <f t="shared" si="6"/>
        <v>101.67936919911442</v>
      </c>
      <c r="AN10" s="250"/>
    </row>
    <row r="11" spans="1:40">
      <c r="A11" s="185" t="s">
        <v>256</v>
      </c>
      <c r="B11" s="232" t="s">
        <v>297</v>
      </c>
      <c r="C11" s="233">
        <f t="shared" si="7"/>
        <v>69.282990999999996</v>
      </c>
      <c r="D11" s="234">
        <f t="shared" si="7"/>
        <v>66.28562500000001</v>
      </c>
      <c r="E11" s="235">
        <f t="shared" si="7"/>
        <v>67.793019999999999</v>
      </c>
      <c r="F11" s="236">
        <f t="shared" si="7"/>
        <v>61.493634999999998</v>
      </c>
      <c r="G11" s="237">
        <f t="shared" si="7"/>
        <v>50.634930999999995</v>
      </c>
      <c r="H11" s="238">
        <f t="shared" si="7"/>
        <v>45.239082999999994</v>
      </c>
      <c r="I11" s="239">
        <f t="shared" si="7"/>
        <v>46.100852467206835</v>
      </c>
      <c r="J11" s="235">
        <f t="shared" si="7"/>
        <v>47.344999999999999</v>
      </c>
      <c r="K11" s="235">
        <f t="shared" si="7"/>
        <v>48.969000000000001</v>
      </c>
      <c r="L11" s="235">
        <f t="shared" si="7"/>
        <v>51.010000000000005</v>
      </c>
      <c r="M11" s="235">
        <f t="shared" si="7"/>
        <v>53.078000000000003</v>
      </c>
      <c r="N11" s="235">
        <f t="shared" si="7"/>
        <v>54.492999999999995</v>
      </c>
      <c r="O11" s="235">
        <f t="shared" si="7"/>
        <v>56.099000000000004</v>
      </c>
      <c r="P11" s="235">
        <f t="shared" si="7"/>
        <v>57.760000000000005</v>
      </c>
      <c r="Q11" s="235">
        <f t="shared" si="7"/>
        <v>59.478999999999999</v>
      </c>
      <c r="R11" s="235">
        <f t="shared" si="7"/>
        <v>61.1</v>
      </c>
      <c r="S11" s="240">
        <f t="shared" si="1"/>
        <v>95.673734697741338</v>
      </c>
      <c r="T11" s="241">
        <f t="shared" si="1"/>
        <v>102.27409034764324</v>
      </c>
      <c r="U11" s="241">
        <f t="shared" si="1"/>
        <v>90.707915062642144</v>
      </c>
      <c r="V11" s="242">
        <f t="shared" si="1"/>
        <v>82.341743173907346</v>
      </c>
      <c r="W11" s="243">
        <f t="shared" si="2"/>
        <v>89.343625253483609</v>
      </c>
      <c r="X11" s="244">
        <f t="shared" si="2"/>
        <v>101.90492249192329</v>
      </c>
      <c r="Y11" s="245">
        <f t="shared" si="2"/>
        <v>102.69875168507605</v>
      </c>
      <c r="Z11" s="245">
        <f t="shared" si="2"/>
        <v>103.43014045833773</v>
      </c>
      <c r="AA11" s="245">
        <f t="shared" si="2"/>
        <v>104.16794298433705</v>
      </c>
      <c r="AB11" s="245">
        <f t="shared" si="2"/>
        <v>104.05410703783571</v>
      </c>
      <c r="AC11" s="245">
        <f t="shared" si="2"/>
        <v>102.66588793850558</v>
      </c>
      <c r="AD11" s="245">
        <f t="shared" si="2"/>
        <v>102.94716752610429</v>
      </c>
      <c r="AE11" s="245">
        <f t="shared" si="2"/>
        <v>102.96083709157027</v>
      </c>
      <c r="AF11" s="245">
        <f t="shared" si="2"/>
        <v>102.97610803324098</v>
      </c>
      <c r="AG11" s="246">
        <f t="shared" si="2"/>
        <v>102.72533162965081</v>
      </c>
      <c r="AI11" s="247">
        <f t="shared" si="4"/>
        <v>10.465069000000007</v>
      </c>
      <c r="AJ11" s="248">
        <f t="shared" si="5"/>
        <v>120.66768689780581</v>
      </c>
      <c r="AK11" s="249">
        <f t="shared" si="6"/>
        <v>101.72257902182092</v>
      </c>
      <c r="AN11" s="250"/>
    </row>
    <row r="12" spans="1:40">
      <c r="A12" s="185" t="s">
        <v>256</v>
      </c>
      <c r="B12" s="232" t="s">
        <v>298</v>
      </c>
      <c r="C12" s="233">
        <f t="shared" si="7"/>
        <v>41.776198000000001</v>
      </c>
      <c r="D12" s="234">
        <f t="shared" si="7"/>
        <v>31.415287999999997</v>
      </c>
      <c r="E12" s="235">
        <f t="shared" si="7"/>
        <v>26.944126000000004</v>
      </c>
      <c r="F12" s="236">
        <f t="shared" si="7"/>
        <v>26.339061000000004</v>
      </c>
      <c r="G12" s="237">
        <f t="shared" si="7"/>
        <v>24.786527</v>
      </c>
      <c r="H12" s="238">
        <f t="shared" si="7"/>
        <v>22.928183000000008</v>
      </c>
      <c r="I12" s="239">
        <f t="shared" si="7"/>
        <v>23.558</v>
      </c>
      <c r="J12" s="235">
        <f t="shared" si="7"/>
        <v>24.59</v>
      </c>
      <c r="K12" s="235">
        <f t="shared" si="7"/>
        <v>25.643000000000001</v>
      </c>
      <c r="L12" s="235">
        <f t="shared" si="7"/>
        <v>26.75</v>
      </c>
      <c r="M12" s="235">
        <f t="shared" si="7"/>
        <v>27.282999999999998</v>
      </c>
      <c r="N12" s="235">
        <f t="shared" si="7"/>
        <v>27.831</v>
      </c>
      <c r="O12" s="235">
        <f t="shared" si="7"/>
        <v>28.693000000000001</v>
      </c>
      <c r="P12" s="235">
        <f t="shared" si="7"/>
        <v>29.607999999999997</v>
      </c>
      <c r="Q12" s="235">
        <f t="shared" si="7"/>
        <v>30.58</v>
      </c>
      <c r="R12" s="235">
        <f t="shared" si="7"/>
        <v>31.200000000000003</v>
      </c>
      <c r="S12" s="240">
        <f t="shared" si="1"/>
        <v>75.199011647732988</v>
      </c>
      <c r="T12" s="241">
        <f t="shared" si="1"/>
        <v>85.767560049107331</v>
      </c>
      <c r="U12" s="241">
        <f t="shared" si="1"/>
        <v>97.754371398055369</v>
      </c>
      <c r="V12" s="242">
        <f t="shared" si="1"/>
        <v>94.105583338753021</v>
      </c>
      <c r="W12" s="243">
        <f t="shared" si="2"/>
        <v>92.502604338235884</v>
      </c>
      <c r="X12" s="244">
        <f t="shared" si="2"/>
        <v>102.74691195547415</v>
      </c>
      <c r="Y12" s="245">
        <f t="shared" si="2"/>
        <v>104.38067747686561</v>
      </c>
      <c r="Z12" s="245">
        <f t="shared" si="2"/>
        <v>104.28222854819032</v>
      </c>
      <c r="AA12" s="245">
        <f t="shared" si="2"/>
        <v>104.31696759349529</v>
      </c>
      <c r="AB12" s="245">
        <f t="shared" si="2"/>
        <v>101.99252336448596</v>
      </c>
      <c r="AC12" s="245">
        <f t="shared" si="2"/>
        <v>102.00857676941686</v>
      </c>
      <c r="AD12" s="245">
        <f t="shared" si="2"/>
        <v>103.09726563903561</v>
      </c>
      <c r="AE12" s="245">
        <f t="shared" si="2"/>
        <v>103.18893109817724</v>
      </c>
      <c r="AF12" s="245">
        <f t="shared" si="2"/>
        <v>103.28289651445554</v>
      </c>
      <c r="AG12" s="246">
        <f t="shared" si="2"/>
        <v>102.02746893394377</v>
      </c>
      <c r="AI12" s="247">
        <f t="shared" si="4"/>
        <v>6.4134730000000033</v>
      </c>
      <c r="AJ12" s="248">
        <f t="shared" si="5"/>
        <v>125.87483514733631</v>
      </c>
      <c r="AK12" s="249">
        <f t="shared" si="6"/>
        <v>102.11401580556361</v>
      </c>
      <c r="AN12" s="250"/>
    </row>
    <row r="13" spans="1:40">
      <c r="A13" s="185" t="s">
        <v>256</v>
      </c>
      <c r="B13" s="232" t="s">
        <v>299</v>
      </c>
      <c r="C13" s="233">
        <f t="shared" si="7"/>
        <v>196.25281899999999</v>
      </c>
      <c r="D13" s="234">
        <f t="shared" si="7"/>
        <v>197.30380899999997</v>
      </c>
      <c r="E13" s="235">
        <f t="shared" si="7"/>
        <v>193.827315</v>
      </c>
      <c r="F13" s="236">
        <f t="shared" si="7"/>
        <v>172.70009099999999</v>
      </c>
      <c r="G13" s="237">
        <f t="shared" si="7"/>
        <v>152.53915099999998</v>
      </c>
      <c r="H13" s="238">
        <f t="shared" si="7"/>
        <v>148.30014799999998</v>
      </c>
      <c r="I13" s="239">
        <f t="shared" si="7"/>
        <v>148.59473374157494</v>
      </c>
      <c r="J13" s="235">
        <f t="shared" si="7"/>
        <v>150.86199999999999</v>
      </c>
      <c r="K13" s="235">
        <f t="shared" si="7"/>
        <v>153.69999999999999</v>
      </c>
      <c r="L13" s="235">
        <f t="shared" si="7"/>
        <v>157.13999999999999</v>
      </c>
      <c r="M13" s="235">
        <f t="shared" si="7"/>
        <v>160.39000000000001</v>
      </c>
      <c r="N13" s="235">
        <f t="shared" si="7"/>
        <v>163.70899999999997</v>
      </c>
      <c r="O13" s="235">
        <f t="shared" si="7"/>
        <v>167.09800000000001</v>
      </c>
      <c r="P13" s="235">
        <f t="shared" si="7"/>
        <v>170.559</v>
      </c>
      <c r="Q13" s="235">
        <f t="shared" si="7"/>
        <v>174.09299999999999</v>
      </c>
      <c r="R13" s="235">
        <f t="shared" si="7"/>
        <v>177.7</v>
      </c>
      <c r="S13" s="240">
        <f t="shared" si="1"/>
        <v>100.5355286132221</v>
      </c>
      <c r="T13" s="241">
        <f t="shared" si="1"/>
        <v>98.237999551240307</v>
      </c>
      <c r="U13" s="241">
        <f t="shared" si="1"/>
        <v>89.099975924445943</v>
      </c>
      <c r="V13" s="242">
        <f t="shared" si="1"/>
        <v>88.326039735555199</v>
      </c>
      <c r="W13" s="243">
        <f t="shared" si="2"/>
        <v>97.221039338287653</v>
      </c>
      <c r="X13" s="244">
        <f t="shared" si="2"/>
        <v>100.19864156951141</v>
      </c>
      <c r="Y13" s="245">
        <f t="shared" si="2"/>
        <v>101.52580525657666</v>
      </c>
      <c r="Z13" s="245">
        <f t="shared" si="2"/>
        <v>101.88118943140087</v>
      </c>
      <c r="AA13" s="245">
        <f t="shared" si="2"/>
        <v>102.23812621990891</v>
      </c>
      <c r="AB13" s="245">
        <f t="shared" si="2"/>
        <v>102.06821942217132</v>
      </c>
      <c r="AC13" s="245">
        <f t="shared" si="2"/>
        <v>102.06933100567363</v>
      </c>
      <c r="AD13" s="245">
        <f t="shared" si="2"/>
        <v>102.07013664490043</v>
      </c>
      <c r="AE13" s="245">
        <f t="shared" si="2"/>
        <v>102.0712396318328</v>
      </c>
      <c r="AF13" s="245">
        <f t="shared" si="2"/>
        <v>102.07201027210525</v>
      </c>
      <c r="AG13" s="246">
        <f t="shared" si="2"/>
        <v>102.07188112101005</v>
      </c>
      <c r="AI13" s="247">
        <f t="shared" si="4"/>
        <v>25.160849000000013</v>
      </c>
      <c r="AJ13" s="248">
        <f t="shared" si="5"/>
        <v>116.49468273230393</v>
      </c>
      <c r="AK13" s="249">
        <f t="shared" si="6"/>
        <v>101.3976354471793</v>
      </c>
      <c r="AN13" s="250"/>
    </row>
    <row r="14" spans="1:40">
      <c r="A14" s="185" t="s">
        <v>256</v>
      </c>
      <c r="B14" s="232" t="s">
        <v>300</v>
      </c>
      <c r="C14" s="233">
        <f t="shared" si="7"/>
        <v>64.987162000000012</v>
      </c>
      <c r="D14" s="234">
        <f t="shared" si="7"/>
        <v>60.504542999999998</v>
      </c>
      <c r="E14" s="235">
        <f t="shared" si="7"/>
        <v>63.753810000000001</v>
      </c>
      <c r="F14" s="236">
        <f t="shared" si="7"/>
        <v>67.717740000000006</v>
      </c>
      <c r="G14" s="237">
        <f t="shared" si="7"/>
        <v>70.265239999999991</v>
      </c>
      <c r="H14" s="238">
        <f t="shared" si="7"/>
        <v>70.124746999999999</v>
      </c>
      <c r="I14" s="239">
        <f t="shared" si="7"/>
        <v>70.810646227691365</v>
      </c>
      <c r="J14" s="235">
        <f t="shared" si="7"/>
        <v>72.906000000000006</v>
      </c>
      <c r="K14" s="235">
        <f t="shared" si="7"/>
        <v>75.13300000000001</v>
      </c>
      <c r="L14" s="235">
        <f t="shared" si="7"/>
        <v>77.78</v>
      </c>
      <c r="M14" s="235">
        <f t="shared" si="7"/>
        <v>80.057000000000002</v>
      </c>
      <c r="N14" s="235">
        <f t="shared" si="7"/>
        <v>82.42</v>
      </c>
      <c r="O14" s="235">
        <f t="shared" si="7"/>
        <v>84.873000000000005</v>
      </c>
      <c r="P14" s="235">
        <f t="shared" si="7"/>
        <v>87.418000000000006</v>
      </c>
      <c r="Q14" s="235">
        <f t="shared" si="7"/>
        <v>90.058999999999997</v>
      </c>
      <c r="R14" s="235">
        <f t="shared" si="7"/>
        <v>92.8</v>
      </c>
      <c r="S14" s="240">
        <f t="shared" si="1"/>
        <v>93.10230072825766</v>
      </c>
      <c r="T14" s="241">
        <f t="shared" si="1"/>
        <v>105.37028599654079</v>
      </c>
      <c r="U14" s="241">
        <f t="shared" si="1"/>
        <v>106.21755782125022</v>
      </c>
      <c r="V14" s="242">
        <f t="shared" si="1"/>
        <v>103.76193889518461</v>
      </c>
      <c r="W14" s="243">
        <f t="shared" si="2"/>
        <v>99.800053340741471</v>
      </c>
      <c r="X14" s="244">
        <f t="shared" si="2"/>
        <v>100.97811294448074</v>
      </c>
      <c r="Y14" s="245">
        <f t="shared" si="2"/>
        <v>102.95909426609531</v>
      </c>
      <c r="Z14" s="245">
        <f t="shared" si="2"/>
        <v>103.05461827558776</v>
      </c>
      <c r="AA14" s="245">
        <f t="shared" si="2"/>
        <v>103.52308572797571</v>
      </c>
      <c r="AB14" s="245">
        <f t="shared" si="2"/>
        <v>102.92748778606327</v>
      </c>
      <c r="AC14" s="245">
        <f t="shared" si="2"/>
        <v>102.95164695154702</v>
      </c>
      <c r="AD14" s="245">
        <f t="shared" si="2"/>
        <v>102.97621936423198</v>
      </c>
      <c r="AE14" s="245">
        <f t="shared" si="2"/>
        <v>102.99859790510529</v>
      </c>
      <c r="AF14" s="245">
        <f t="shared" si="2"/>
        <v>103.02111693243954</v>
      </c>
      <c r="AG14" s="246">
        <f t="shared" si="2"/>
        <v>103.04356033267081</v>
      </c>
      <c r="AI14" s="247">
        <f t="shared" si="4"/>
        <v>22.534760000000006</v>
      </c>
      <c r="AJ14" s="248">
        <f t="shared" si="5"/>
        <v>132.0709927127553</v>
      </c>
      <c r="AK14" s="249">
        <f t="shared" si="6"/>
        <v>102.561058579226</v>
      </c>
      <c r="AN14" s="250"/>
    </row>
    <row r="15" spans="1:40">
      <c r="A15" s="185" t="s">
        <v>256</v>
      </c>
      <c r="B15" s="232" t="s">
        <v>301</v>
      </c>
      <c r="C15" s="233">
        <f t="shared" si="7"/>
        <v>27.655439000000001</v>
      </c>
      <c r="D15" s="234">
        <f t="shared" si="7"/>
        <v>26.825572000000001</v>
      </c>
      <c r="E15" s="235">
        <f t="shared" si="7"/>
        <v>35.679511000000005</v>
      </c>
      <c r="F15" s="236">
        <f t="shared" si="7"/>
        <v>34.154890999999999</v>
      </c>
      <c r="G15" s="237">
        <f t="shared" si="7"/>
        <v>29.932774999999999</v>
      </c>
      <c r="H15" s="238">
        <f t="shared" si="7"/>
        <v>33.506471000000005</v>
      </c>
      <c r="I15" s="239">
        <f t="shared" si="7"/>
        <v>34.318799765636129</v>
      </c>
      <c r="J15" s="235">
        <f t="shared" si="7"/>
        <v>35.754999999999995</v>
      </c>
      <c r="K15" s="235">
        <f t="shared" si="7"/>
        <v>37.162999999999997</v>
      </c>
      <c r="L15" s="235">
        <f t="shared" si="7"/>
        <v>38.650000000000006</v>
      </c>
      <c r="M15" s="235">
        <f t="shared" si="7"/>
        <v>39.342999999999982</v>
      </c>
      <c r="N15" s="235">
        <f t="shared" si="7"/>
        <v>40.059999999999988</v>
      </c>
      <c r="O15" s="235">
        <f t="shared" si="7"/>
        <v>41.024999999999991</v>
      </c>
      <c r="P15" s="235">
        <f t="shared" si="7"/>
        <v>42.059999999999995</v>
      </c>
      <c r="Q15" s="235">
        <f t="shared" si="7"/>
        <v>43.173000000000002</v>
      </c>
      <c r="R15" s="235">
        <f t="shared" si="7"/>
        <v>44</v>
      </c>
      <c r="S15" s="240">
        <f t="shared" si="1"/>
        <v>96.999262965957627</v>
      </c>
      <c r="T15" s="241">
        <f t="shared" si="1"/>
        <v>133.00559257413042</v>
      </c>
      <c r="U15" s="241">
        <f t="shared" si="1"/>
        <v>95.726903319947382</v>
      </c>
      <c r="V15" s="242">
        <f t="shared" si="1"/>
        <v>87.638326821186467</v>
      </c>
      <c r="W15" s="243">
        <f t="shared" si="2"/>
        <v>111.93907347380924</v>
      </c>
      <c r="X15" s="244">
        <f t="shared" si="2"/>
        <v>102.4243936809583</v>
      </c>
      <c r="Y15" s="245">
        <f t="shared" si="2"/>
        <v>104.18487897062749</v>
      </c>
      <c r="Z15" s="245">
        <f t="shared" si="2"/>
        <v>103.93791078170887</v>
      </c>
      <c r="AA15" s="245">
        <f t="shared" si="2"/>
        <v>104.00129160724379</v>
      </c>
      <c r="AB15" s="245">
        <f t="shared" si="2"/>
        <v>101.79301423027161</v>
      </c>
      <c r="AC15" s="245">
        <f t="shared" si="2"/>
        <v>101.82243346974052</v>
      </c>
      <c r="AD15" s="245">
        <f t="shared" si="2"/>
        <v>102.40888666999501</v>
      </c>
      <c r="AE15" s="245">
        <f t="shared" si="2"/>
        <v>102.52285191956125</v>
      </c>
      <c r="AF15" s="245">
        <f t="shared" si="2"/>
        <v>102.64621968616264</v>
      </c>
      <c r="AG15" s="246">
        <f t="shared" si="2"/>
        <v>101.9155490700206</v>
      </c>
      <c r="AI15" s="247">
        <f t="shared" si="4"/>
        <v>14.067225000000001</v>
      </c>
      <c r="AJ15" s="248">
        <f t="shared" si="5"/>
        <v>146.99606033854195</v>
      </c>
      <c r="AK15" s="249">
        <f t="shared" si="6"/>
        <v>103.56418901296458</v>
      </c>
      <c r="AN15" s="250"/>
    </row>
    <row r="16" spans="1:40">
      <c r="A16" s="185" t="s">
        <v>256</v>
      </c>
      <c r="B16" s="251" t="s">
        <v>302</v>
      </c>
      <c r="C16" s="252">
        <f t="shared" si="7"/>
        <v>142.004977</v>
      </c>
      <c r="D16" s="253">
        <f t="shared" si="7"/>
        <v>138.26116300000001</v>
      </c>
      <c r="E16" s="254">
        <f t="shared" si="7"/>
        <v>144.35844400000002</v>
      </c>
      <c r="F16" s="255">
        <f t="shared" si="7"/>
        <v>143.01651200000003</v>
      </c>
      <c r="G16" s="256">
        <f t="shared" si="7"/>
        <v>130.503467</v>
      </c>
      <c r="H16" s="257">
        <f t="shared" si="7"/>
        <v>131.377565</v>
      </c>
      <c r="I16" s="258">
        <f t="shared" si="7"/>
        <v>133.32793550854885</v>
      </c>
      <c r="J16" s="254">
        <f t="shared" si="7"/>
        <v>140.904</v>
      </c>
      <c r="K16" s="254">
        <f t="shared" si="7"/>
        <v>147.42099999999999</v>
      </c>
      <c r="L16" s="254">
        <f t="shared" si="7"/>
        <v>155.72000000000003</v>
      </c>
      <c r="M16" s="254">
        <f t="shared" si="7"/>
        <v>164.666</v>
      </c>
      <c r="N16" s="254">
        <f t="shared" si="7"/>
        <v>168.732</v>
      </c>
      <c r="O16" s="254">
        <f t="shared" si="7"/>
        <v>173.42399999999998</v>
      </c>
      <c r="P16" s="254">
        <f t="shared" si="7"/>
        <v>178.316</v>
      </c>
      <c r="Q16" s="254">
        <f t="shared" si="7"/>
        <v>183.53199999999998</v>
      </c>
      <c r="R16" s="254">
        <f t="shared" si="7"/>
        <v>188.16899999999998</v>
      </c>
      <c r="S16" s="259">
        <f t="shared" si="1"/>
        <v>97.363603671440345</v>
      </c>
      <c r="T16" s="260">
        <f t="shared" si="1"/>
        <v>104.40997375380098</v>
      </c>
      <c r="U16" s="260">
        <f t="shared" si="1"/>
        <v>99.070416691385248</v>
      </c>
      <c r="V16" s="261">
        <f t="shared" si="1"/>
        <v>91.250629158121242</v>
      </c>
      <c r="W16" s="262">
        <f t="shared" si="2"/>
        <v>100.66978910223128</v>
      </c>
      <c r="X16" s="263">
        <f t="shared" si="2"/>
        <v>101.48455370484972</v>
      </c>
      <c r="Y16" s="264">
        <f t="shared" si="2"/>
        <v>105.68227840816253</v>
      </c>
      <c r="Z16" s="264">
        <f t="shared" si="2"/>
        <v>104.62513484358145</v>
      </c>
      <c r="AA16" s="264">
        <f t="shared" si="2"/>
        <v>105.6294557763141</v>
      </c>
      <c r="AB16" s="264">
        <f t="shared" si="2"/>
        <v>105.74492679167736</v>
      </c>
      <c r="AC16" s="264">
        <f t="shared" si="2"/>
        <v>102.46924076615696</v>
      </c>
      <c r="AD16" s="264">
        <f t="shared" si="2"/>
        <v>102.78074105682381</v>
      </c>
      <c r="AE16" s="264">
        <f t="shared" si="2"/>
        <v>102.82083218009043</v>
      </c>
      <c r="AF16" s="264">
        <f t="shared" si="2"/>
        <v>102.92514412615805</v>
      </c>
      <c r="AG16" s="265">
        <f t="shared" si="2"/>
        <v>102.52653488220038</v>
      </c>
      <c r="AI16" s="266">
        <f t="shared" si="4"/>
        <v>57.665532999999982</v>
      </c>
      <c r="AJ16" s="267">
        <f t="shared" si="5"/>
        <v>144.18697397518181</v>
      </c>
      <c r="AK16" s="268">
        <f t="shared" si="6"/>
        <v>103.38268819841375</v>
      </c>
      <c r="AN16" s="250"/>
    </row>
    <row r="17" spans="1:37" ht="15" thickBot="1">
      <c r="A17" s="185" t="s">
        <v>256</v>
      </c>
      <c r="B17" s="269" t="s">
        <v>303</v>
      </c>
      <c r="C17" s="270">
        <f t="shared" si="7"/>
        <v>46.054611000000001</v>
      </c>
      <c r="D17" s="271">
        <f t="shared" si="7"/>
        <v>44.986288999999999</v>
      </c>
      <c r="E17" s="272">
        <f t="shared" si="7"/>
        <v>50.746234000000001</v>
      </c>
      <c r="F17" s="273">
        <f t="shared" si="7"/>
        <v>51.559927000000002</v>
      </c>
      <c r="G17" s="274">
        <f t="shared" si="7"/>
        <v>50.881788999999998</v>
      </c>
      <c r="H17" s="275">
        <f t="shared" si="7"/>
        <v>51.020594000000003</v>
      </c>
      <c r="I17" s="276">
        <f t="shared" si="7"/>
        <v>53.451000000000001</v>
      </c>
      <c r="J17" s="272">
        <f t="shared" si="7"/>
        <v>59.091999999999999</v>
      </c>
      <c r="K17" s="272">
        <f t="shared" si="7"/>
        <v>64.034999999999997</v>
      </c>
      <c r="L17" s="272">
        <f t="shared" si="7"/>
        <v>71.828999999999994</v>
      </c>
      <c r="M17" s="272">
        <f t="shared" si="7"/>
        <v>78.421999999999997</v>
      </c>
      <c r="N17" s="272">
        <f t="shared" si="7"/>
        <v>80.496000000000009</v>
      </c>
      <c r="O17" s="272">
        <f t="shared" si="7"/>
        <v>82.789000000000001</v>
      </c>
      <c r="P17" s="272">
        <f t="shared" si="7"/>
        <v>85.17</v>
      </c>
      <c r="Q17" s="272">
        <f t="shared" si="7"/>
        <v>87.644000000000005</v>
      </c>
      <c r="R17" s="272">
        <f t="shared" si="7"/>
        <v>90.08</v>
      </c>
      <c r="S17" s="277">
        <f>D17/C17*100</f>
        <v>97.680314789761226</v>
      </c>
      <c r="T17" s="278">
        <f>E17/D17*100</f>
        <v>112.8037789469587</v>
      </c>
      <c r="U17" s="278">
        <f t="shared" si="1"/>
        <v>101.60345494800657</v>
      </c>
      <c r="V17" s="279">
        <f t="shared" si="1"/>
        <v>98.684757641336446</v>
      </c>
      <c r="W17" s="280">
        <f t="shared" si="1"/>
        <v>100.27279897725295</v>
      </c>
      <c r="X17" s="281">
        <f t="shared" si="1"/>
        <v>104.76357840914199</v>
      </c>
      <c r="Y17" s="282">
        <f t="shared" si="1"/>
        <v>110.55359113954837</v>
      </c>
      <c r="Z17" s="282">
        <f t="shared" si="1"/>
        <v>108.36492249373858</v>
      </c>
      <c r="AA17" s="282">
        <f t="shared" si="1"/>
        <v>112.17146872803936</v>
      </c>
      <c r="AB17" s="282">
        <f t="shared" si="2"/>
        <v>109.17874396135265</v>
      </c>
      <c r="AC17" s="282">
        <f t="shared" si="2"/>
        <v>102.64466603759151</v>
      </c>
      <c r="AD17" s="282">
        <f t="shared" si="2"/>
        <v>102.84858874975154</v>
      </c>
      <c r="AE17" s="282">
        <f t="shared" si="2"/>
        <v>102.87598594016114</v>
      </c>
      <c r="AF17" s="282">
        <f t="shared" si="2"/>
        <v>102.90477867793824</v>
      </c>
      <c r="AG17" s="283">
        <f t="shared" si="2"/>
        <v>102.7794258591575</v>
      </c>
      <c r="AI17" s="284">
        <f t="shared" si="4"/>
        <v>39.198211000000001</v>
      </c>
      <c r="AJ17" s="285">
        <f t="shared" si="5"/>
        <v>177.0378003021867</v>
      </c>
      <c r="AK17" s="286">
        <f t="shared" si="6"/>
        <v>105.32984739944457</v>
      </c>
    </row>
    <row r="18" spans="1:37">
      <c r="A18" s="185" t="s">
        <v>304</v>
      </c>
      <c r="B18" s="198" t="s">
        <v>304</v>
      </c>
      <c r="C18" s="199">
        <f>SUM(C20:C29)</f>
        <v>792.75903200000016</v>
      </c>
      <c r="D18" s="200">
        <f>SUM(D20:D29)</f>
        <v>805.04258799999991</v>
      </c>
      <c r="E18" s="201">
        <f>SUM(E20:E29)</f>
        <v>800.57302400000003</v>
      </c>
      <c r="F18" s="202">
        <f t="shared" ref="F18:R18" si="8">SUM(F20:F29)</f>
        <v>767.24542299999996</v>
      </c>
      <c r="G18" s="203">
        <f t="shared" si="8"/>
        <v>703.91744399999993</v>
      </c>
      <c r="H18" s="204">
        <f t="shared" si="8"/>
        <v>688.20139099999994</v>
      </c>
      <c r="I18" s="205">
        <f t="shared" si="8"/>
        <v>690.58316016849824</v>
      </c>
      <c r="J18" s="201">
        <f t="shared" si="8"/>
        <v>700.32800000000009</v>
      </c>
      <c r="K18" s="201">
        <f t="shared" si="8"/>
        <v>712.524</v>
      </c>
      <c r="L18" s="201">
        <f t="shared" si="8"/>
        <v>727.30000000000007</v>
      </c>
      <c r="M18" s="201">
        <f t="shared" si="8"/>
        <v>741.8</v>
      </c>
      <c r="N18" s="201">
        <f t="shared" si="8"/>
        <v>756.13800000000003</v>
      </c>
      <c r="O18" s="201">
        <f t="shared" si="8"/>
        <v>770.82799999999997</v>
      </c>
      <c r="P18" s="201">
        <f t="shared" si="8"/>
        <v>785.87799999999993</v>
      </c>
      <c r="Q18" s="201">
        <f t="shared" si="8"/>
        <v>801.29699999999991</v>
      </c>
      <c r="R18" s="201">
        <f t="shared" si="8"/>
        <v>817.1</v>
      </c>
      <c r="S18" s="206">
        <f t="shared" si="1"/>
        <v>101.54946906994051</v>
      </c>
      <c r="T18" s="207">
        <f t="shared" si="1"/>
        <v>99.444804030665779</v>
      </c>
      <c r="U18" s="207">
        <f t="shared" si="1"/>
        <v>95.837031725915352</v>
      </c>
      <c r="V18" s="208">
        <f t="shared" si="1"/>
        <v>91.746059722014138</v>
      </c>
      <c r="W18" s="209">
        <f t="shared" si="2"/>
        <v>97.76734429101603</v>
      </c>
      <c r="X18" s="210">
        <f t="shared" si="2"/>
        <v>100.346086073008</v>
      </c>
      <c r="Y18" s="211">
        <f t="shared" si="2"/>
        <v>101.41110302039861</v>
      </c>
      <c r="Z18" s="211">
        <f t="shared" si="2"/>
        <v>101.74146971133524</v>
      </c>
      <c r="AA18" s="211">
        <f t="shared" si="2"/>
        <v>102.07375470861334</v>
      </c>
      <c r="AB18" s="211">
        <f t="shared" si="2"/>
        <v>101.99367523717859</v>
      </c>
      <c r="AC18" s="211">
        <f t="shared" si="2"/>
        <v>101.93286600161771</v>
      </c>
      <c r="AD18" s="211">
        <f t="shared" si="2"/>
        <v>101.94276706103911</v>
      </c>
      <c r="AE18" s="211">
        <f t="shared" si="2"/>
        <v>101.95244594124759</v>
      </c>
      <c r="AF18" s="211">
        <f t="shared" si="2"/>
        <v>101.96200937041118</v>
      </c>
      <c r="AG18" s="212">
        <f t="shared" si="2"/>
        <v>101.97217760705458</v>
      </c>
      <c r="AI18" s="287">
        <f t="shared" si="4"/>
        <v>113.18255600000009</v>
      </c>
      <c r="AJ18" s="288">
        <f t="shared" si="5"/>
        <v>116.07895314496568</v>
      </c>
      <c r="AK18" s="215">
        <f t="shared" si="6"/>
        <v>101.3646862011846</v>
      </c>
    </row>
    <row r="19" spans="1:37">
      <c r="A19" s="185" t="s">
        <v>304</v>
      </c>
      <c r="B19" s="216" t="s">
        <v>292</v>
      </c>
      <c r="C19" s="217">
        <f>C18-C20</f>
        <v>636.18852600000014</v>
      </c>
      <c r="D19" s="218">
        <f>D18-D20</f>
        <v>647.76155899999992</v>
      </c>
      <c r="E19" s="219">
        <f>E18-E20</f>
        <v>646.04869499999995</v>
      </c>
      <c r="F19" s="220">
        <f>F18-F20</f>
        <v>613.39495899999997</v>
      </c>
      <c r="G19" s="221">
        <f t="shared" ref="G19:R19" si="9">G18-G20</f>
        <v>556.47905199999991</v>
      </c>
      <c r="H19" s="222">
        <f t="shared" si="9"/>
        <v>544.77861999999993</v>
      </c>
      <c r="I19" s="223">
        <f t="shared" si="9"/>
        <v>547.04416016849825</v>
      </c>
      <c r="J19" s="219">
        <f t="shared" si="9"/>
        <v>556.80300000000011</v>
      </c>
      <c r="K19" s="219">
        <f t="shared" si="9"/>
        <v>568.71299999999997</v>
      </c>
      <c r="L19" s="219">
        <f t="shared" si="9"/>
        <v>582.90000000000009</v>
      </c>
      <c r="M19" s="219">
        <f t="shared" si="9"/>
        <v>596.48099999999999</v>
      </c>
      <c r="N19" s="219">
        <f t="shared" si="9"/>
        <v>609.89499999999998</v>
      </c>
      <c r="O19" s="219">
        <f t="shared" si="9"/>
        <v>623.65499999999997</v>
      </c>
      <c r="P19" s="219">
        <f t="shared" si="9"/>
        <v>637.76899999999989</v>
      </c>
      <c r="Q19" s="219">
        <f t="shared" si="9"/>
        <v>652.24599999999987</v>
      </c>
      <c r="R19" s="219">
        <f t="shared" si="9"/>
        <v>667.1</v>
      </c>
      <c r="S19" s="224">
        <f t="shared" si="1"/>
        <v>101.81912004492828</v>
      </c>
      <c r="T19" s="225">
        <f t="shared" si="1"/>
        <v>99.735571835623546</v>
      </c>
      <c r="U19" s="225">
        <f t="shared" si="1"/>
        <v>94.945623100438269</v>
      </c>
      <c r="V19" s="226">
        <f t="shared" si="1"/>
        <v>90.721164860437</v>
      </c>
      <c r="W19" s="227">
        <f t="shared" si="2"/>
        <v>97.897417349683096</v>
      </c>
      <c r="X19" s="228">
        <f t="shared" si="2"/>
        <v>100.41586436863075</v>
      </c>
      <c r="Y19" s="229">
        <f t="shared" si="2"/>
        <v>101.78392176392049</v>
      </c>
      <c r="Z19" s="229">
        <f t="shared" si="2"/>
        <v>102.1389970959208</v>
      </c>
      <c r="AA19" s="229">
        <f t="shared" si="2"/>
        <v>102.49457986717381</v>
      </c>
      <c r="AB19" s="229">
        <f t="shared" si="2"/>
        <v>102.32990221307254</v>
      </c>
      <c r="AC19" s="229">
        <f t="shared" si="2"/>
        <v>102.2488562083285</v>
      </c>
      <c r="AD19" s="229">
        <f t="shared" si="2"/>
        <v>102.2561260544848</v>
      </c>
      <c r="AE19" s="229">
        <f t="shared" si="2"/>
        <v>102.26311021317875</v>
      </c>
      <c r="AF19" s="229">
        <f t="shared" si="2"/>
        <v>102.26994413337745</v>
      </c>
      <c r="AG19" s="230">
        <f t="shared" si="2"/>
        <v>102.27736160896353</v>
      </c>
      <c r="AI19" s="213">
        <f t="shared" si="4"/>
        <v>110.62094800000011</v>
      </c>
      <c r="AJ19" s="214">
        <f t="shared" si="5"/>
        <v>119.87872636039498</v>
      </c>
      <c r="AK19" s="231">
        <f t="shared" si="6"/>
        <v>101.66193567823616</v>
      </c>
    </row>
    <row r="20" spans="1:37">
      <c r="A20" s="185" t="s">
        <v>304</v>
      </c>
      <c r="B20" s="232" t="s">
        <v>293</v>
      </c>
      <c r="C20" s="233">
        <v>156.57050600000002</v>
      </c>
      <c r="D20" s="234">
        <v>157.28102900000002</v>
      </c>
      <c r="E20" s="235">
        <v>154.52432900000002</v>
      </c>
      <c r="F20" s="236">
        <v>153.85046399999999</v>
      </c>
      <c r="G20" s="237">
        <v>147.43839200000002</v>
      </c>
      <c r="H20" s="238">
        <v>143.42277100000001</v>
      </c>
      <c r="I20" s="239">
        <v>143.53899999999999</v>
      </c>
      <c r="J20" s="235">
        <v>143.52499999999998</v>
      </c>
      <c r="K20" s="235">
        <v>143.81100000000001</v>
      </c>
      <c r="L20" s="235">
        <v>144.4</v>
      </c>
      <c r="M20" s="235">
        <v>145.31899999999999</v>
      </c>
      <c r="N20" s="235">
        <v>146.24299999999999</v>
      </c>
      <c r="O20" s="235">
        <v>147.173</v>
      </c>
      <c r="P20" s="235">
        <v>148.10900000000001</v>
      </c>
      <c r="Q20" s="235">
        <v>149.05099999999999</v>
      </c>
      <c r="R20" s="235">
        <v>150</v>
      </c>
      <c r="S20" s="240">
        <f t="shared" si="1"/>
        <v>100.4538038600961</v>
      </c>
      <c r="T20" s="241">
        <f t="shared" si="1"/>
        <v>98.247277489518453</v>
      </c>
      <c r="U20" s="241">
        <f t="shared" si="1"/>
        <v>99.563910094700987</v>
      </c>
      <c r="V20" s="242">
        <f t="shared" si="1"/>
        <v>95.832269963124745</v>
      </c>
      <c r="W20" s="243">
        <f t="shared" si="2"/>
        <v>97.276407490933565</v>
      </c>
      <c r="X20" s="244">
        <f t="shared" si="2"/>
        <v>100.08103943271323</v>
      </c>
      <c r="Y20" s="245">
        <f t="shared" si="2"/>
        <v>99.990246553201573</v>
      </c>
      <c r="Z20" s="245">
        <f t="shared" si="2"/>
        <v>100.19926842013589</v>
      </c>
      <c r="AA20" s="245">
        <f t="shared" si="2"/>
        <v>100.40956533227639</v>
      </c>
      <c r="AB20" s="245">
        <f t="shared" si="2"/>
        <v>100.63642659279776</v>
      </c>
      <c r="AC20" s="245">
        <f t="shared" si="2"/>
        <v>100.63584252575369</v>
      </c>
      <c r="AD20" s="245">
        <f t="shared" si="2"/>
        <v>100.63592787347086</v>
      </c>
      <c r="AE20" s="245">
        <f t="shared" si="2"/>
        <v>100.63598622029856</v>
      </c>
      <c r="AF20" s="245">
        <f t="shared" si="2"/>
        <v>100.6360180677744</v>
      </c>
      <c r="AG20" s="246">
        <f t="shared" si="2"/>
        <v>100.63669482257751</v>
      </c>
      <c r="AI20" s="247">
        <f t="shared" si="4"/>
        <v>2.5616079999999783</v>
      </c>
      <c r="AJ20" s="248">
        <f t="shared" si="5"/>
        <v>101.73740907320801</v>
      </c>
      <c r="AK20" s="249">
        <f t="shared" si="6"/>
        <v>100.15671254711414</v>
      </c>
    </row>
    <row r="21" spans="1:37">
      <c r="A21" s="185" t="s">
        <v>304</v>
      </c>
      <c r="B21" s="232" t="s">
        <v>294</v>
      </c>
      <c r="C21" s="233">
        <v>7.9128999999999996</v>
      </c>
      <c r="D21" s="234">
        <v>7.406706999999999</v>
      </c>
      <c r="E21" s="235">
        <v>8.8908290000000001</v>
      </c>
      <c r="F21" s="236">
        <v>9.0443160000000002</v>
      </c>
      <c r="G21" s="237">
        <v>8.0008340000000011</v>
      </c>
      <c r="H21" s="238">
        <v>7.5184219999999993</v>
      </c>
      <c r="I21" s="239">
        <v>7.7498000000000014</v>
      </c>
      <c r="J21" s="235">
        <v>8.0549999999999997</v>
      </c>
      <c r="K21" s="235">
        <v>8.3719999999999999</v>
      </c>
      <c r="L21" s="235">
        <v>8.6999999999999993</v>
      </c>
      <c r="M21" s="235">
        <v>8.8130000000000006</v>
      </c>
      <c r="N21" s="235">
        <v>8.9269999999999996</v>
      </c>
      <c r="O21" s="235">
        <v>9.0429999999999993</v>
      </c>
      <c r="P21" s="235">
        <v>9.16</v>
      </c>
      <c r="Q21" s="235">
        <v>9.2789999999999999</v>
      </c>
      <c r="R21" s="235">
        <v>9.4</v>
      </c>
      <c r="S21" s="240">
        <f t="shared" ref="S21:AC43" si="10">D21/C21*100</f>
        <v>93.602939503848134</v>
      </c>
      <c r="T21" s="241">
        <f t="shared" si="10"/>
        <v>120.03754164975071</v>
      </c>
      <c r="U21" s="241">
        <f t="shared" si="10"/>
        <v>101.72635195210707</v>
      </c>
      <c r="V21" s="242">
        <f t="shared" si="10"/>
        <v>88.462565881156749</v>
      </c>
      <c r="W21" s="243">
        <f t="shared" si="2"/>
        <v>93.970478577608262</v>
      </c>
      <c r="X21" s="244">
        <f t="shared" si="2"/>
        <v>103.07748088628175</v>
      </c>
      <c r="Y21" s="245">
        <f t="shared" si="2"/>
        <v>103.93816614622311</v>
      </c>
      <c r="Z21" s="245">
        <f t="shared" si="2"/>
        <v>103.93544382371198</v>
      </c>
      <c r="AA21" s="245">
        <f t="shared" si="2"/>
        <v>103.91782130912566</v>
      </c>
      <c r="AB21" s="245">
        <f t="shared" si="2"/>
        <v>101.29885057471266</v>
      </c>
      <c r="AC21" s="245">
        <f t="shared" si="2"/>
        <v>101.29354362873026</v>
      </c>
      <c r="AD21" s="245">
        <f t="shared" si="2"/>
        <v>101.2994286994511</v>
      </c>
      <c r="AE21" s="245">
        <f t="shared" si="2"/>
        <v>101.29381842308969</v>
      </c>
      <c r="AF21" s="245">
        <f t="shared" si="2"/>
        <v>101.29912663755458</v>
      </c>
      <c r="AG21" s="246">
        <f t="shared" si="2"/>
        <v>101.30401982972303</v>
      </c>
      <c r="AI21" s="247">
        <f t="shared" si="4"/>
        <v>1.3991659999999992</v>
      </c>
      <c r="AJ21" s="248">
        <f t="shared" si="5"/>
        <v>117.48775190186423</v>
      </c>
      <c r="AK21" s="249">
        <f t="shared" si="6"/>
        <v>101.47591197767383</v>
      </c>
    </row>
    <row r="22" spans="1:37">
      <c r="A22" s="185" t="s">
        <v>304</v>
      </c>
      <c r="B22" s="232" t="s">
        <v>295</v>
      </c>
      <c r="C22" s="233">
        <v>126.07659400000001</v>
      </c>
      <c r="D22" s="234">
        <v>129.03155699999999</v>
      </c>
      <c r="E22" s="235">
        <v>126.18906699999999</v>
      </c>
      <c r="F22" s="236">
        <v>125.68165099999999</v>
      </c>
      <c r="G22" s="237">
        <v>120.69455500000001</v>
      </c>
      <c r="H22" s="238">
        <v>119.03292</v>
      </c>
      <c r="I22" s="239">
        <v>119.409491495</v>
      </c>
      <c r="J22" s="235">
        <v>120.258</v>
      </c>
      <c r="K22" s="235">
        <v>121.616</v>
      </c>
      <c r="L22" s="235">
        <v>123.5</v>
      </c>
      <c r="M22" s="235">
        <v>125.346</v>
      </c>
      <c r="N22" s="235">
        <v>127.22</v>
      </c>
      <c r="O22" s="235">
        <v>129.12200000000001</v>
      </c>
      <c r="P22" s="235">
        <v>131.05199999999999</v>
      </c>
      <c r="Q22" s="235">
        <v>133.011</v>
      </c>
      <c r="R22" s="235">
        <v>135</v>
      </c>
      <c r="S22" s="240">
        <f t="shared" si="10"/>
        <v>102.34378396992543</v>
      </c>
      <c r="T22" s="241">
        <f t="shared" si="10"/>
        <v>97.797058280866906</v>
      </c>
      <c r="U22" s="241">
        <f t="shared" si="10"/>
        <v>99.597892264311611</v>
      </c>
      <c r="V22" s="242">
        <f t="shared" si="10"/>
        <v>96.031961737994692</v>
      </c>
      <c r="W22" s="243">
        <f t="shared" si="2"/>
        <v>98.623272607451099</v>
      </c>
      <c r="X22" s="244">
        <f t="shared" si="2"/>
        <v>100.31635911729293</v>
      </c>
      <c r="Y22" s="245">
        <f t="shared" si="2"/>
        <v>100.71058715214069</v>
      </c>
      <c r="Z22" s="245">
        <f t="shared" si="2"/>
        <v>101.1292388032397</v>
      </c>
      <c r="AA22" s="245">
        <f t="shared" si="2"/>
        <v>101.5491382712801</v>
      </c>
      <c r="AB22" s="245">
        <f t="shared" si="2"/>
        <v>101.49473684210525</v>
      </c>
      <c r="AC22" s="245">
        <f t="shared" si="2"/>
        <v>101.49506166929937</v>
      </c>
      <c r="AD22" s="245">
        <f t="shared" si="2"/>
        <v>101.4950479484358</v>
      </c>
      <c r="AE22" s="245">
        <f t="shared" si="2"/>
        <v>101.49471042889668</v>
      </c>
      <c r="AF22" s="245">
        <f t="shared" si="2"/>
        <v>101.49482648109147</v>
      </c>
      <c r="AG22" s="246">
        <f t="shared" si="2"/>
        <v>101.49536504499628</v>
      </c>
      <c r="AI22" s="247">
        <f t="shared" si="4"/>
        <v>14.305444999999992</v>
      </c>
      <c r="AJ22" s="248">
        <f t="shared" si="5"/>
        <v>111.85260180129914</v>
      </c>
      <c r="AK22" s="249">
        <f t="shared" si="6"/>
        <v>101.02349095914217</v>
      </c>
    </row>
    <row r="23" spans="1:37">
      <c r="A23" s="185" t="s">
        <v>304</v>
      </c>
      <c r="B23" s="232" t="s">
        <v>296</v>
      </c>
      <c r="C23" s="233">
        <v>112.11913699999999</v>
      </c>
      <c r="D23" s="234">
        <v>114.84624400000001</v>
      </c>
      <c r="E23" s="235">
        <v>112.751079</v>
      </c>
      <c r="F23" s="236">
        <v>108.86578299999999</v>
      </c>
      <c r="G23" s="237">
        <v>105.30535900000001</v>
      </c>
      <c r="H23" s="238">
        <v>102.66740799999999</v>
      </c>
      <c r="I23" s="239">
        <v>103.22913950949119</v>
      </c>
      <c r="J23" s="235">
        <v>105.075</v>
      </c>
      <c r="K23" s="235">
        <v>107.259</v>
      </c>
      <c r="L23" s="235">
        <v>109.8</v>
      </c>
      <c r="M23" s="235">
        <v>112.322</v>
      </c>
      <c r="N23" s="235">
        <v>114.381</v>
      </c>
      <c r="O23" s="235">
        <v>116.477</v>
      </c>
      <c r="P23" s="235">
        <v>118.61199999999999</v>
      </c>
      <c r="Q23" s="235">
        <v>120.786</v>
      </c>
      <c r="R23" s="235">
        <v>123</v>
      </c>
      <c r="S23" s="240">
        <f t="shared" si="10"/>
        <v>102.43232963878417</v>
      </c>
      <c r="T23" s="241">
        <f t="shared" si="10"/>
        <v>98.175678257270647</v>
      </c>
      <c r="U23" s="241">
        <f t="shared" si="10"/>
        <v>96.554094174123151</v>
      </c>
      <c r="V23" s="242">
        <f t="shared" si="10"/>
        <v>96.729528873181408</v>
      </c>
      <c r="W23" s="243">
        <f t="shared" si="2"/>
        <v>97.494950850507038</v>
      </c>
      <c r="X23" s="244">
        <f t="shared" si="2"/>
        <v>100.54713712991683</v>
      </c>
      <c r="Y23" s="245">
        <f t="shared" si="2"/>
        <v>101.78811961358944</v>
      </c>
      <c r="Z23" s="245">
        <f t="shared" si="2"/>
        <v>102.07851534618129</v>
      </c>
      <c r="AA23" s="245">
        <f t="shared" si="2"/>
        <v>102.36903196934523</v>
      </c>
      <c r="AB23" s="245">
        <f t="shared" si="2"/>
        <v>102.29690346083788</v>
      </c>
      <c r="AC23" s="245">
        <f t="shared" si="2"/>
        <v>101.83312262958279</v>
      </c>
      <c r="AD23" s="245">
        <f t="shared" si="2"/>
        <v>101.83247217632298</v>
      </c>
      <c r="AE23" s="245">
        <f t="shared" si="2"/>
        <v>101.83297990161147</v>
      </c>
      <c r="AF23" s="245">
        <f t="shared" si="2"/>
        <v>101.83286682629075</v>
      </c>
      <c r="AG23" s="246">
        <f t="shared" si="2"/>
        <v>101.83299389002036</v>
      </c>
      <c r="AI23" s="247">
        <f t="shared" si="4"/>
        <v>17.69464099999999</v>
      </c>
      <c r="AJ23" s="248">
        <f t="shared" si="5"/>
        <v>116.80317238175884</v>
      </c>
      <c r="AK23" s="249">
        <f t="shared" si="6"/>
        <v>101.42201621896885</v>
      </c>
    </row>
    <row r="24" spans="1:37">
      <c r="A24" s="185" t="s">
        <v>304</v>
      </c>
      <c r="B24" s="232" t="s">
        <v>297</v>
      </c>
      <c r="C24" s="233">
        <v>39.636424999999996</v>
      </c>
      <c r="D24" s="234">
        <v>42.413809999999998</v>
      </c>
      <c r="E24" s="235">
        <v>45.233941999999999</v>
      </c>
      <c r="F24" s="236">
        <v>41.038584999999998</v>
      </c>
      <c r="G24" s="237">
        <v>29.816009000000001</v>
      </c>
      <c r="H24" s="238">
        <v>25.582208999999995</v>
      </c>
      <c r="I24" s="239">
        <v>25.637059913883192</v>
      </c>
      <c r="J24" s="235">
        <v>26.102</v>
      </c>
      <c r="K24" s="235">
        <v>26.88</v>
      </c>
      <c r="L24" s="235">
        <v>28</v>
      </c>
      <c r="M24" s="235">
        <v>29.061</v>
      </c>
      <c r="N24" s="235">
        <v>30.161999999999999</v>
      </c>
      <c r="O24" s="235">
        <v>31.305</v>
      </c>
      <c r="P24" s="235">
        <v>32.491</v>
      </c>
      <c r="Q24" s="235">
        <v>33.722000000000001</v>
      </c>
      <c r="R24" s="235">
        <v>35</v>
      </c>
      <c r="S24" s="240">
        <f t="shared" si="10"/>
        <v>107.00715314259548</v>
      </c>
      <c r="T24" s="241">
        <f t="shared" si="10"/>
        <v>106.64908905849298</v>
      </c>
      <c r="U24" s="241">
        <f t="shared" si="10"/>
        <v>90.725201442757296</v>
      </c>
      <c r="V24" s="242">
        <f t="shared" si="10"/>
        <v>72.653599045873534</v>
      </c>
      <c r="W24" s="243">
        <f t="shared" si="2"/>
        <v>85.800245767299018</v>
      </c>
      <c r="X24" s="244">
        <f t="shared" si="2"/>
        <v>100.21441038920133</v>
      </c>
      <c r="Y24" s="245">
        <f t="shared" si="2"/>
        <v>101.81354682509843</v>
      </c>
      <c r="Z24" s="245">
        <f t="shared" si="2"/>
        <v>102.98061451229789</v>
      </c>
      <c r="AA24" s="245">
        <f t="shared" si="2"/>
        <v>104.16666666666667</v>
      </c>
      <c r="AB24" s="245">
        <f t="shared" si="2"/>
        <v>103.78928571428571</v>
      </c>
      <c r="AC24" s="245">
        <f t="shared" si="2"/>
        <v>103.78858263652317</v>
      </c>
      <c r="AD24" s="245">
        <f t="shared" si="2"/>
        <v>103.78953650288443</v>
      </c>
      <c r="AE24" s="245">
        <f t="shared" si="2"/>
        <v>103.78853218335729</v>
      </c>
      <c r="AF24" s="245">
        <f t="shared" si="2"/>
        <v>103.7887414976455</v>
      </c>
      <c r="AG24" s="246">
        <f t="shared" si="2"/>
        <v>103.78981080600201</v>
      </c>
      <c r="AI24" s="247">
        <f t="shared" si="4"/>
        <v>5.1839909999999989</v>
      </c>
      <c r="AJ24" s="248">
        <f t="shared" si="5"/>
        <v>117.38660261338127</v>
      </c>
      <c r="AK24" s="249">
        <f t="shared" si="6"/>
        <v>101.46796667345966</v>
      </c>
    </row>
    <row r="25" spans="1:37">
      <c r="A25" s="185" t="s">
        <v>304</v>
      </c>
      <c r="B25" s="232" t="s">
        <v>298</v>
      </c>
      <c r="C25" s="233">
        <v>22.43515</v>
      </c>
      <c r="D25" s="234">
        <v>21.468298999999998</v>
      </c>
      <c r="E25" s="235">
        <v>19.072505000000003</v>
      </c>
      <c r="F25" s="236">
        <v>19.289507000000004</v>
      </c>
      <c r="G25" s="237">
        <v>18.687860999999998</v>
      </c>
      <c r="H25" s="238">
        <v>17.953913000000007</v>
      </c>
      <c r="I25" s="239">
        <v>18.021999999999998</v>
      </c>
      <c r="J25" s="235">
        <v>18.812999999999999</v>
      </c>
      <c r="K25" s="235">
        <v>19.638999999999999</v>
      </c>
      <c r="L25" s="235">
        <v>20.5</v>
      </c>
      <c r="M25" s="235">
        <v>20.835999999999999</v>
      </c>
      <c r="N25" s="235">
        <v>21.177</v>
      </c>
      <c r="O25" s="235">
        <v>21.524000000000001</v>
      </c>
      <c r="P25" s="235">
        <v>21.876999999999999</v>
      </c>
      <c r="Q25" s="235">
        <v>22.234999999999999</v>
      </c>
      <c r="R25" s="235">
        <v>22.6</v>
      </c>
      <c r="S25" s="240">
        <f t="shared" si="10"/>
        <v>95.690463402295052</v>
      </c>
      <c r="T25" s="241">
        <f t="shared" si="10"/>
        <v>88.840317530513275</v>
      </c>
      <c r="U25" s="241">
        <f t="shared" si="10"/>
        <v>101.13777398406765</v>
      </c>
      <c r="V25" s="242">
        <f t="shared" si="10"/>
        <v>96.880967460702834</v>
      </c>
      <c r="W25" s="243">
        <f t="shared" si="2"/>
        <v>96.072594932079227</v>
      </c>
      <c r="X25" s="244">
        <f t="shared" si="2"/>
        <v>100.37923209274764</v>
      </c>
      <c r="Y25" s="245">
        <f t="shared" si="2"/>
        <v>104.38908001331706</v>
      </c>
      <c r="Z25" s="245">
        <f t="shared" si="2"/>
        <v>104.3905809812364</v>
      </c>
      <c r="AA25" s="245">
        <f t="shared" si="2"/>
        <v>104.38413361169103</v>
      </c>
      <c r="AB25" s="245">
        <f t="shared" si="2"/>
        <v>101.6390243902439</v>
      </c>
      <c r="AC25" s="245">
        <f t="shared" si="2"/>
        <v>101.63659051641389</v>
      </c>
      <c r="AD25" s="245">
        <f t="shared" si="2"/>
        <v>101.63857014685745</v>
      </c>
      <c r="AE25" s="245">
        <f t="shared" si="2"/>
        <v>101.64002973425012</v>
      </c>
      <c r="AF25" s="245">
        <f t="shared" si="2"/>
        <v>101.63642181286284</v>
      </c>
      <c r="AG25" s="246">
        <f t="shared" si="2"/>
        <v>101.6415561052395</v>
      </c>
      <c r="AI25" s="247">
        <f t="shared" si="4"/>
        <v>3.9121390000000034</v>
      </c>
      <c r="AJ25" s="248">
        <f t="shared" si="5"/>
        <v>120.93411867735962</v>
      </c>
      <c r="AK25" s="249">
        <f t="shared" si="6"/>
        <v>101.74297686453532</v>
      </c>
    </row>
    <row r="26" spans="1:37">
      <c r="A26" s="185" t="s">
        <v>304</v>
      </c>
      <c r="B26" s="232" t="s">
        <v>299</v>
      </c>
      <c r="C26" s="233">
        <v>191.38905499999998</v>
      </c>
      <c r="D26" s="234">
        <v>192.96150599999999</v>
      </c>
      <c r="E26" s="235">
        <v>189.839393</v>
      </c>
      <c r="F26" s="236">
        <v>168.60355299999998</v>
      </c>
      <c r="G26" s="237">
        <v>148.64243499999998</v>
      </c>
      <c r="H26" s="238">
        <v>144.97518199999999</v>
      </c>
      <c r="I26" s="239">
        <v>145.16073374157494</v>
      </c>
      <c r="J26" s="235">
        <v>147.06700000000001</v>
      </c>
      <c r="K26" s="235">
        <v>149.505</v>
      </c>
      <c r="L26" s="235">
        <v>152.5</v>
      </c>
      <c r="M26" s="235">
        <v>155.68</v>
      </c>
      <c r="N26" s="235">
        <v>158.92599999999999</v>
      </c>
      <c r="O26" s="235">
        <v>162.24</v>
      </c>
      <c r="P26" s="235">
        <v>165.62299999999999</v>
      </c>
      <c r="Q26" s="235">
        <v>169.07599999999999</v>
      </c>
      <c r="R26" s="235">
        <v>172.6</v>
      </c>
      <c r="S26" s="240">
        <f t="shared" si="10"/>
        <v>100.82159922885872</v>
      </c>
      <c r="T26" s="241">
        <f t="shared" si="10"/>
        <v>98.382002159539539</v>
      </c>
      <c r="U26" s="241">
        <f t="shared" si="10"/>
        <v>88.813786398906132</v>
      </c>
      <c r="V26" s="242">
        <f t="shared" si="10"/>
        <v>88.160914971940116</v>
      </c>
      <c r="W26" s="243">
        <f t="shared" si="2"/>
        <v>97.532835761201042</v>
      </c>
      <c r="X26" s="244">
        <f t="shared" si="2"/>
        <v>100.12798862468402</v>
      </c>
      <c r="Y26" s="245">
        <f t="shared" si="2"/>
        <v>101.31321067983765</v>
      </c>
      <c r="Z26" s="245">
        <f t="shared" si="2"/>
        <v>101.65774782922068</v>
      </c>
      <c r="AA26" s="245">
        <f t="shared" si="2"/>
        <v>102.00327748235844</v>
      </c>
      <c r="AB26" s="245">
        <f t="shared" si="2"/>
        <v>102.08524590163934</v>
      </c>
      <c r="AC26" s="245">
        <f t="shared" si="2"/>
        <v>102.0850462487153</v>
      </c>
      <c r="AD26" s="245">
        <f t="shared" si="2"/>
        <v>102.08524722197754</v>
      </c>
      <c r="AE26" s="245">
        <f t="shared" si="2"/>
        <v>102.08518244575934</v>
      </c>
      <c r="AF26" s="245">
        <f t="shared" si="2"/>
        <v>102.0848553642912</v>
      </c>
      <c r="AG26" s="246">
        <f t="shared" si="2"/>
        <v>102.08426979583145</v>
      </c>
      <c r="AI26" s="247">
        <f t="shared" si="4"/>
        <v>23.957565000000017</v>
      </c>
      <c r="AJ26" s="248">
        <f t="shared" si="5"/>
        <v>116.11758109317843</v>
      </c>
      <c r="AK26" s="249">
        <f t="shared" si="6"/>
        <v>101.36775223168021</v>
      </c>
    </row>
    <row r="27" spans="1:37">
      <c r="A27" s="185" t="s">
        <v>304</v>
      </c>
      <c r="B27" s="232" t="s">
        <v>300</v>
      </c>
      <c r="C27" s="233">
        <v>26.306975000000001</v>
      </c>
      <c r="D27" s="234">
        <v>30.78435</v>
      </c>
      <c r="E27" s="235">
        <v>33.040373000000002</v>
      </c>
      <c r="F27" s="236">
        <v>31.475928</v>
      </c>
      <c r="G27" s="237">
        <v>27.801417999999998</v>
      </c>
      <c r="H27" s="238">
        <v>28.197012000000001</v>
      </c>
      <c r="I27" s="239">
        <v>28.359000000000002</v>
      </c>
      <c r="J27" s="235">
        <v>29.07</v>
      </c>
      <c r="K27" s="235">
        <v>30.106000000000002</v>
      </c>
      <c r="L27" s="235">
        <v>31.5</v>
      </c>
      <c r="M27" s="235">
        <v>32.914999999999999</v>
      </c>
      <c r="N27" s="235">
        <v>34.393000000000001</v>
      </c>
      <c r="O27" s="235">
        <v>35.938000000000002</v>
      </c>
      <c r="P27" s="235">
        <v>37.552</v>
      </c>
      <c r="Q27" s="235">
        <v>39.238</v>
      </c>
      <c r="R27" s="235">
        <v>41</v>
      </c>
      <c r="S27" s="240">
        <f t="shared" si="10"/>
        <v>117.01972575714234</v>
      </c>
      <c r="T27" s="241">
        <f t="shared" si="10"/>
        <v>107.32847372122525</v>
      </c>
      <c r="U27" s="241">
        <f t="shared" si="10"/>
        <v>95.265050427850795</v>
      </c>
      <c r="V27" s="242">
        <f t="shared" si="10"/>
        <v>88.325967704589985</v>
      </c>
      <c r="W27" s="243">
        <f t="shared" si="2"/>
        <v>101.42292742046467</v>
      </c>
      <c r="X27" s="244">
        <f t="shared" si="2"/>
        <v>100.57448640302739</v>
      </c>
      <c r="Y27" s="245">
        <f t="shared" si="2"/>
        <v>102.50714059028878</v>
      </c>
      <c r="Z27" s="245">
        <f t="shared" si="2"/>
        <v>103.56381148950808</v>
      </c>
      <c r="AA27" s="245">
        <f t="shared" si="2"/>
        <v>104.63030625124559</v>
      </c>
      <c r="AB27" s="245">
        <f t="shared" si="2"/>
        <v>104.49206349206348</v>
      </c>
      <c r="AC27" s="245">
        <f t="shared" si="2"/>
        <v>104.49035394197175</v>
      </c>
      <c r="AD27" s="245">
        <f t="shared" si="2"/>
        <v>104.49219317884453</v>
      </c>
      <c r="AE27" s="245">
        <f t="shared" si="2"/>
        <v>104.49106795035894</v>
      </c>
      <c r="AF27" s="245">
        <f t="shared" si="2"/>
        <v>104.489774179804</v>
      </c>
      <c r="AG27" s="246">
        <f t="shared" si="2"/>
        <v>104.49054487996329</v>
      </c>
      <c r="AI27" s="247">
        <f t="shared" si="4"/>
        <v>13.198582000000002</v>
      </c>
      <c r="AJ27" s="248">
        <f t="shared" si="5"/>
        <v>147.47449212842309</v>
      </c>
      <c r="AK27" s="249">
        <f t="shared" si="6"/>
        <v>103.59478677106789</v>
      </c>
    </row>
    <row r="28" spans="1:37">
      <c r="A28" s="185" t="s">
        <v>304</v>
      </c>
      <c r="B28" s="232" t="s">
        <v>301</v>
      </c>
      <c r="C28" s="233">
        <v>13.031995999999999</v>
      </c>
      <c r="D28" s="234">
        <v>12.123923000000001</v>
      </c>
      <c r="E28" s="235">
        <v>11.058006000000001</v>
      </c>
      <c r="F28" s="236">
        <v>10.721032999999998</v>
      </c>
      <c r="G28" s="237">
        <v>12.269730000000001</v>
      </c>
      <c r="H28" s="238">
        <v>11.254414000000001</v>
      </c>
      <c r="I28" s="239">
        <v>11.346</v>
      </c>
      <c r="J28" s="235">
        <v>11.872999999999999</v>
      </c>
      <c r="K28" s="235">
        <v>12.423999999999999</v>
      </c>
      <c r="L28" s="235">
        <v>13</v>
      </c>
      <c r="M28" s="235">
        <v>13.162000000000001</v>
      </c>
      <c r="N28" s="235">
        <v>13.326000000000001</v>
      </c>
      <c r="O28" s="235">
        <v>13.492000000000001</v>
      </c>
      <c r="P28" s="235">
        <v>13.66</v>
      </c>
      <c r="Q28" s="235">
        <v>13.83</v>
      </c>
      <c r="R28" s="235">
        <v>14</v>
      </c>
      <c r="S28" s="240">
        <f t="shared" si="10"/>
        <v>93.031972999377857</v>
      </c>
      <c r="T28" s="241">
        <f t="shared" si="10"/>
        <v>91.208151025043634</v>
      </c>
      <c r="U28" s="241">
        <f t="shared" si="10"/>
        <v>96.952678448537625</v>
      </c>
      <c r="V28" s="242">
        <f t="shared" si="10"/>
        <v>114.44540838555393</v>
      </c>
      <c r="W28" s="243">
        <f t="shared" si="2"/>
        <v>91.725033884201196</v>
      </c>
      <c r="X28" s="244">
        <f t="shared" si="2"/>
        <v>100.81377848726729</v>
      </c>
      <c r="Y28" s="245">
        <f t="shared" si="2"/>
        <v>104.64480874316939</v>
      </c>
      <c r="Z28" s="245">
        <f t="shared" si="2"/>
        <v>104.640781605323</v>
      </c>
      <c r="AA28" s="245">
        <f t="shared" si="2"/>
        <v>104.63618802318095</v>
      </c>
      <c r="AB28" s="245">
        <f t="shared" si="2"/>
        <v>101.24615384615385</v>
      </c>
      <c r="AC28" s="245">
        <f t="shared" si="2"/>
        <v>101.24601124449171</v>
      </c>
      <c r="AD28" s="245">
        <f t="shared" ref="AD28:AG82" si="11">O28/N28*100</f>
        <v>101.24568512681975</v>
      </c>
      <c r="AE28" s="245">
        <f t="shared" si="11"/>
        <v>101.24518233026978</v>
      </c>
      <c r="AF28" s="245">
        <f t="shared" si="11"/>
        <v>101.24450951683748</v>
      </c>
      <c r="AG28" s="246">
        <f t="shared" si="11"/>
        <v>101.22921185827911</v>
      </c>
      <c r="AI28" s="247">
        <f t="shared" si="4"/>
        <v>1.7302699999999991</v>
      </c>
      <c r="AJ28" s="248">
        <f t="shared" si="5"/>
        <v>114.10194030349486</v>
      </c>
      <c r="AK28" s="249">
        <f t="shared" si="6"/>
        <v>101.20651193736343</v>
      </c>
    </row>
    <row r="29" spans="1:37">
      <c r="A29" s="185" t="s">
        <v>304</v>
      </c>
      <c r="B29" s="251" t="s">
        <v>302</v>
      </c>
      <c r="C29" s="252">
        <v>97.280293999999984</v>
      </c>
      <c r="D29" s="253">
        <v>96.725162999999995</v>
      </c>
      <c r="E29" s="254">
        <v>99.973500999999999</v>
      </c>
      <c r="F29" s="255">
        <v>98.674603000000019</v>
      </c>
      <c r="G29" s="256">
        <v>85.260850999999988</v>
      </c>
      <c r="H29" s="257">
        <v>87.597139999999996</v>
      </c>
      <c r="I29" s="258">
        <v>88.130935508548845</v>
      </c>
      <c r="J29" s="254">
        <v>90.49</v>
      </c>
      <c r="K29" s="254">
        <v>92.912000000000006</v>
      </c>
      <c r="L29" s="254">
        <v>95.4</v>
      </c>
      <c r="M29" s="254">
        <v>98.346000000000004</v>
      </c>
      <c r="N29" s="254">
        <v>101.383</v>
      </c>
      <c r="O29" s="254">
        <v>104.514</v>
      </c>
      <c r="P29" s="254">
        <v>107.742</v>
      </c>
      <c r="Q29" s="254">
        <v>111.069</v>
      </c>
      <c r="R29" s="254">
        <v>114.5</v>
      </c>
      <c r="S29" s="259">
        <f t="shared" si="10"/>
        <v>99.429348969689599</v>
      </c>
      <c r="T29" s="260">
        <f t="shared" si="10"/>
        <v>103.35831742149662</v>
      </c>
      <c r="U29" s="260">
        <f t="shared" si="10"/>
        <v>98.700757713786587</v>
      </c>
      <c r="V29" s="261">
        <f t="shared" si="10"/>
        <v>86.406074519499171</v>
      </c>
      <c r="W29" s="262">
        <f t="shared" si="10"/>
        <v>102.7401661754467</v>
      </c>
      <c r="X29" s="263">
        <f t="shared" si="10"/>
        <v>100.6093754985024</v>
      </c>
      <c r="Y29" s="264">
        <f t="shared" si="10"/>
        <v>102.67677232499402</v>
      </c>
      <c r="Z29" s="264">
        <f t="shared" si="10"/>
        <v>102.67653884407117</v>
      </c>
      <c r="AA29" s="264">
        <f t="shared" si="10"/>
        <v>102.67780265197175</v>
      </c>
      <c r="AB29" s="264">
        <f t="shared" si="10"/>
        <v>103.08805031446539</v>
      </c>
      <c r="AC29" s="264">
        <f t="shared" si="10"/>
        <v>103.08807679010839</v>
      </c>
      <c r="AD29" s="264">
        <f t="shared" si="11"/>
        <v>103.08828896363296</v>
      </c>
      <c r="AE29" s="264">
        <f t="shared" si="11"/>
        <v>103.08858143406626</v>
      </c>
      <c r="AF29" s="264">
        <f t="shared" si="11"/>
        <v>103.08793228267528</v>
      </c>
      <c r="AG29" s="265">
        <f t="shared" si="11"/>
        <v>103.08907075781721</v>
      </c>
      <c r="AI29" s="266">
        <f t="shared" si="4"/>
        <v>29.239149000000012</v>
      </c>
      <c r="AJ29" s="267">
        <f t="shared" si="5"/>
        <v>134.29375693188896</v>
      </c>
      <c r="AK29" s="268">
        <f t="shared" si="6"/>
        <v>102.71678992861388</v>
      </c>
    </row>
    <row r="30" spans="1:37" ht="15" thickBot="1">
      <c r="A30" s="185" t="s">
        <v>304</v>
      </c>
      <c r="B30" s="269" t="s">
        <v>303</v>
      </c>
      <c r="C30" s="270">
        <v>21.058302000000001</v>
      </c>
      <c r="D30" s="271">
        <v>20.773652000000002</v>
      </c>
      <c r="E30" s="272">
        <v>23.369199999999999</v>
      </c>
      <c r="F30" s="273">
        <v>23.746445000000001</v>
      </c>
      <c r="G30" s="274">
        <v>20.925098000000002</v>
      </c>
      <c r="H30" s="275">
        <v>21.091524</v>
      </c>
      <c r="I30" s="276">
        <v>21.963999999999999</v>
      </c>
      <c r="J30" s="272">
        <v>23.652999999999999</v>
      </c>
      <c r="K30" s="272">
        <v>25.471</v>
      </c>
      <c r="L30" s="272">
        <v>27.428999999999998</v>
      </c>
      <c r="M30" s="272">
        <v>28.498000000000001</v>
      </c>
      <c r="N30" s="272">
        <v>29.608000000000001</v>
      </c>
      <c r="O30" s="272">
        <v>30.762</v>
      </c>
      <c r="P30" s="272">
        <v>31.960999999999999</v>
      </c>
      <c r="Q30" s="272">
        <v>33.206000000000003</v>
      </c>
      <c r="R30" s="272">
        <v>34.5</v>
      </c>
      <c r="S30" s="277">
        <f>D30/C30*100</f>
        <v>98.648276579944579</v>
      </c>
      <c r="T30" s="278">
        <f>E30/D30*100</f>
        <v>112.49442322418801</v>
      </c>
      <c r="U30" s="278">
        <f t="shared" si="10"/>
        <v>101.61428290228164</v>
      </c>
      <c r="V30" s="279">
        <f t="shared" si="10"/>
        <v>88.118865792332286</v>
      </c>
      <c r="W30" s="280">
        <f t="shared" si="10"/>
        <v>100.79534155586749</v>
      </c>
      <c r="X30" s="281">
        <f t="shared" si="10"/>
        <v>104.13661905133075</v>
      </c>
      <c r="Y30" s="282">
        <f t="shared" si="10"/>
        <v>107.68985612820981</v>
      </c>
      <c r="Z30" s="282">
        <f t="shared" si="10"/>
        <v>107.68612860947873</v>
      </c>
      <c r="AA30" s="282">
        <f t="shared" si="10"/>
        <v>107.68717364846295</v>
      </c>
      <c r="AB30" s="282">
        <f t="shared" si="10"/>
        <v>103.89733493747495</v>
      </c>
      <c r="AC30" s="282">
        <f t="shared" si="10"/>
        <v>103.89501017615271</v>
      </c>
      <c r="AD30" s="282">
        <f t="shared" si="11"/>
        <v>103.8975952445285</v>
      </c>
      <c r="AE30" s="282">
        <f t="shared" si="11"/>
        <v>103.89766595149858</v>
      </c>
      <c r="AF30" s="282">
        <f t="shared" si="11"/>
        <v>103.89537248521637</v>
      </c>
      <c r="AG30" s="283">
        <f t="shared" si="11"/>
        <v>103.89688610492078</v>
      </c>
      <c r="AI30" s="284">
        <f t="shared" si="4"/>
        <v>13.574901999999998</v>
      </c>
      <c r="AJ30" s="285">
        <f t="shared" si="5"/>
        <v>164.87377980260831</v>
      </c>
      <c r="AK30" s="286">
        <f t="shared" si="6"/>
        <v>104.65043888719514</v>
      </c>
    </row>
    <row r="31" spans="1:37">
      <c r="A31" s="185" t="s">
        <v>23</v>
      </c>
      <c r="B31" s="198" t="s">
        <v>23</v>
      </c>
      <c r="C31" s="199">
        <f>SUM(C33:C42)</f>
        <v>490.05548999999996</v>
      </c>
      <c r="D31" s="200">
        <f>SUM(D33:D42)</f>
        <v>429.24658700000003</v>
      </c>
      <c r="E31" s="201">
        <f>SUM(E33:E42)</f>
        <v>431.66647000000006</v>
      </c>
      <c r="F31" s="202">
        <f t="shared" ref="F31:R31" si="12">SUM(F33:F42)</f>
        <v>414.17956499999997</v>
      </c>
      <c r="G31" s="203">
        <f t="shared" si="12"/>
        <v>411.846025</v>
      </c>
      <c r="H31" s="204">
        <f t="shared" si="12"/>
        <v>420.33168399999994</v>
      </c>
      <c r="I31" s="205">
        <f t="shared" si="12"/>
        <v>424.14351196695549</v>
      </c>
      <c r="J31" s="201">
        <f t="shared" si="12"/>
        <v>434.673</v>
      </c>
      <c r="K31" s="201">
        <f t="shared" si="12"/>
        <v>444.30399999999997</v>
      </c>
      <c r="L31" s="201">
        <f t="shared" si="12"/>
        <v>456.48500000000001</v>
      </c>
      <c r="M31" s="201">
        <f t="shared" si="12"/>
        <v>481.00877099999991</v>
      </c>
      <c r="N31" s="201">
        <f t="shared" si="12"/>
        <v>484.8337709999999</v>
      </c>
      <c r="O31" s="201">
        <f t="shared" si="12"/>
        <v>501.78599999999994</v>
      </c>
      <c r="P31" s="201">
        <f t="shared" si="12"/>
        <v>520.80199999999991</v>
      </c>
      <c r="Q31" s="201">
        <f t="shared" si="12"/>
        <v>542.11877100000004</v>
      </c>
      <c r="R31" s="201">
        <f t="shared" si="12"/>
        <v>546.46477100000016</v>
      </c>
      <c r="S31" s="206">
        <f t="shared" ref="S31:T42" si="13">D31/C31*100</f>
        <v>87.59142500372765</v>
      </c>
      <c r="T31" s="207">
        <f t="shared" si="13"/>
        <v>100.5637512500478</v>
      </c>
      <c r="U31" s="207">
        <f t="shared" si="10"/>
        <v>95.94897769104</v>
      </c>
      <c r="V31" s="208">
        <f t="shared" si="10"/>
        <v>99.436587365192679</v>
      </c>
      <c r="W31" s="209">
        <f t="shared" si="10"/>
        <v>102.06039599386688</v>
      </c>
      <c r="X31" s="210">
        <f t="shared" si="10"/>
        <v>100.90686191692262</v>
      </c>
      <c r="Y31" s="211">
        <f t="shared" si="10"/>
        <v>102.48252955331422</v>
      </c>
      <c r="Z31" s="211">
        <f t="shared" si="10"/>
        <v>102.21568857508979</v>
      </c>
      <c r="AA31" s="211">
        <f t="shared" si="10"/>
        <v>102.74159134286435</v>
      </c>
      <c r="AB31" s="211">
        <f t="shared" si="10"/>
        <v>105.3723059903392</v>
      </c>
      <c r="AC31" s="211">
        <f t="shared" si="10"/>
        <v>100.79520379473496</v>
      </c>
      <c r="AD31" s="211">
        <f t="shared" si="11"/>
        <v>103.49650334072955</v>
      </c>
      <c r="AE31" s="211">
        <f t="shared" si="11"/>
        <v>103.78966332261162</v>
      </c>
      <c r="AF31" s="211">
        <f t="shared" si="11"/>
        <v>104.09306627086687</v>
      </c>
      <c r="AG31" s="212">
        <f t="shared" si="11"/>
        <v>100.80166934488976</v>
      </c>
      <c r="AI31" s="287">
        <f t="shared" si="4"/>
        <v>134.61874600000016</v>
      </c>
      <c r="AJ31" s="288">
        <f t="shared" si="5"/>
        <v>132.68666876170533</v>
      </c>
      <c r="AK31" s="215">
        <f t="shared" si="6"/>
        <v>102.60443124595461</v>
      </c>
    </row>
    <row r="32" spans="1:37">
      <c r="A32" s="185" t="s">
        <v>23</v>
      </c>
      <c r="B32" s="216" t="s">
        <v>292</v>
      </c>
      <c r="C32" s="289">
        <f>C31-C33</f>
        <v>274.96560599999998</v>
      </c>
      <c r="D32" s="290">
        <f>D31-D33</f>
        <v>232.12702300000001</v>
      </c>
      <c r="E32" s="291">
        <f>E31-E33</f>
        <v>235.90865600000006</v>
      </c>
      <c r="F32" s="292">
        <f t="shared" ref="F32:R32" si="14">F31-F33</f>
        <v>236.62664399999997</v>
      </c>
      <c r="G32" s="293">
        <f t="shared" si="14"/>
        <v>234.81807699999999</v>
      </c>
      <c r="H32" s="294">
        <f t="shared" si="14"/>
        <v>235.51386499999995</v>
      </c>
      <c r="I32" s="295">
        <f t="shared" si="14"/>
        <v>241.4560292373269</v>
      </c>
      <c r="J32" s="291">
        <f t="shared" si="14"/>
        <v>251.47300000000001</v>
      </c>
      <c r="K32" s="291">
        <f t="shared" si="14"/>
        <v>260.60399999999998</v>
      </c>
      <c r="L32" s="291">
        <f t="shared" si="14"/>
        <v>271.98500000000001</v>
      </c>
      <c r="M32" s="291">
        <f t="shared" si="14"/>
        <v>282.78799999999995</v>
      </c>
      <c r="N32" s="291">
        <f t="shared" si="14"/>
        <v>286.28499999999997</v>
      </c>
      <c r="O32" s="291">
        <f t="shared" si="14"/>
        <v>291.91899999999998</v>
      </c>
      <c r="P32" s="291">
        <f t="shared" si="14"/>
        <v>297.84899999999993</v>
      </c>
      <c r="Q32" s="291">
        <f t="shared" si="14"/>
        <v>304.21600000000001</v>
      </c>
      <c r="R32" s="291">
        <f t="shared" si="14"/>
        <v>308.21900000000016</v>
      </c>
      <c r="S32" s="224">
        <f t="shared" si="13"/>
        <v>84.420384926251472</v>
      </c>
      <c r="T32" s="225">
        <f t="shared" si="13"/>
        <v>101.62912225863512</v>
      </c>
      <c r="U32" s="225">
        <f t="shared" si="10"/>
        <v>100.3043500023161</v>
      </c>
      <c r="V32" s="226">
        <f t="shared" si="10"/>
        <v>99.235687507785471</v>
      </c>
      <c r="W32" s="227">
        <f t="shared" si="10"/>
        <v>100.29630938507343</v>
      </c>
      <c r="X32" s="228">
        <f t="shared" si="10"/>
        <v>102.5230634456816</v>
      </c>
      <c r="Y32" s="229">
        <f t="shared" si="10"/>
        <v>104.14856932515337</v>
      </c>
      <c r="Z32" s="229">
        <f t="shared" si="10"/>
        <v>103.63100611198814</v>
      </c>
      <c r="AA32" s="229">
        <f t="shared" si="10"/>
        <v>104.3671624380286</v>
      </c>
      <c r="AB32" s="229">
        <f t="shared" si="10"/>
        <v>103.97191021563688</v>
      </c>
      <c r="AC32" s="229">
        <f t="shared" si="10"/>
        <v>101.23661541508126</v>
      </c>
      <c r="AD32" s="229">
        <f t="shared" si="11"/>
        <v>101.96796898195855</v>
      </c>
      <c r="AE32" s="229">
        <f t="shared" si="11"/>
        <v>102.03138541855787</v>
      </c>
      <c r="AF32" s="229">
        <f t="shared" si="11"/>
        <v>102.13766035810094</v>
      </c>
      <c r="AG32" s="230">
        <f t="shared" si="11"/>
        <v>101.31584137586458</v>
      </c>
      <c r="AI32" s="213">
        <f t="shared" si="4"/>
        <v>73.400923000000176</v>
      </c>
      <c r="AJ32" s="214">
        <f t="shared" si="5"/>
        <v>131.25863389129114</v>
      </c>
      <c r="AK32" s="231">
        <f t="shared" si="6"/>
        <v>102.50354802300818</v>
      </c>
    </row>
    <row r="33" spans="1:37">
      <c r="A33" s="185" t="s">
        <v>23</v>
      </c>
      <c r="B33" s="232" t="s">
        <v>293</v>
      </c>
      <c r="C33" s="233">
        <f t="shared" ref="C33:R43" si="15">C46+C59+C72</f>
        <v>215.08988399999998</v>
      </c>
      <c r="D33" s="234">
        <f t="shared" si="15"/>
        <v>197.11956400000003</v>
      </c>
      <c r="E33" s="235">
        <f t="shared" si="15"/>
        <v>195.757814</v>
      </c>
      <c r="F33" s="236">
        <f t="shared" si="15"/>
        <v>177.552921</v>
      </c>
      <c r="G33" s="237">
        <f t="shared" si="15"/>
        <v>177.02794800000001</v>
      </c>
      <c r="H33" s="238">
        <f t="shared" si="15"/>
        <v>184.81781899999999</v>
      </c>
      <c r="I33" s="239">
        <f t="shared" si="15"/>
        <v>182.68748272962858</v>
      </c>
      <c r="J33" s="235">
        <f t="shared" si="15"/>
        <v>183.2</v>
      </c>
      <c r="K33" s="235">
        <f t="shared" si="15"/>
        <v>183.7</v>
      </c>
      <c r="L33" s="235">
        <f t="shared" si="15"/>
        <v>184.5</v>
      </c>
      <c r="M33" s="235">
        <f t="shared" si="15"/>
        <v>198.22077099999996</v>
      </c>
      <c r="N33" s="235">
        <f t="shared" si="15"/>
        <v>198.54877099999993</v>
      </c>
      <c r="O33" s="235">
        <f t="shared" si="15"/>
        <v>209.86699999999999</v>
      </c>
      <c r="P33" s="235">
        <f t="shared" si="15"/>
        <v>222.95299999999997</v>
      </c>
      <c r="Q33" s="235">
        <f t="shared" si="15"/>
        <v>237.90277100000003</v>
      </c>
      <c r="R33" s="235">
        <f t="shared" si="15"/>
        <v>238.24577100000002</v>
      </c>
      <c r="S33" s="240">
        <f t="shared" si="13"/>
        <v>91.645204476469033</v>
      </c>
      <c r="T33" s="241">
        <f t="shared" si="13"/>
        <v>99.309175622973669</v>
      </c>
      <c r="U33" s="241">
        <f t="shared" si="10"/>
        <v>90.700298175581381</v>
      </c>
      <c r="V33" s="242">
        <f t="shared" si="10"/>
        <v>99.704328716732292</v>
      </c>
      <c r="W33" s="243">
        <f t="shared" si="10"/>
        <v>104.40036225240547</v>
      </c>
      <c r="X33" s="244">
        <f t="shared" si="10"/>
        <v>98.847331776828611</v>
      </c>
      <c r="Y33" s="245">
        <f t="shared" si="10"/>
        <v>100.28054317828108</v>
      </c>
      <c r="Z33" s="245">
        <f t="shared" si="10"/>
        <v>100.27292576419214</v>
      </c>
      <c r="AA33" s="245">
        <f t="shared" si="10"/>
        <v>100.43549265106151</v>
      </c>
      <c r="AB33" s="245">
        <f t="shared" si="10"/>
        <v>107.43673224932246</v>
      </c>
      <c r="AC33" s="245">
        <f t="shared" si="10"/>
        <v>100.16547206347006</v>
      </c>
      <c r="AD33" s="245">
        <f t="shared" si="11"/>
        <v>105.70047799490034</v>
      </c>
      <c r="AE33" s="245">
        <f t="shared" si="11"/>
        <v>106.2353776439364</v>
      </c>
      <c r="AF33" s="245">
        <f t="shared" si="11"/>
        <v>106.70534641830342</v>
      </c>
      <c r="AG33" s="246">
        <f t="shared" si="11"/>
        <v>100.14417654681289</v>
      </c>
      <c r="AI33" s="247">
        <f t="shared" si="4"/>
        <v>61.21782300000001</v>
      </c>
      <c r="AJ33" s="248">
        <f t="shared" si="5"/>
        <v>134.58088041556016</v>
      </c>
      <c r="AK33" s="249">
        <f t="shared" si="6"/>
        <v>102.73673520013095</v>
      </c>
    </row>
    <row r="34" spans="1:37">
      <c r="A34" s="185" t="s">
        <v>23</v>
      </c>
      <c r="B34" s="232" t="s">
        <v>294</v>
      </c>
      <c r="C34" s="233">
        <f t="shared" si="15"/>
        <v>4.1215580000000003</v>
      </c>
      <c r="D34" s="234">
        <f t="shared" si="15"/>
        <v>2.7373599999999998</v>
      </c>
      <c r="E34" s="235">
        <f t="shared" si="15"/>
        <v>2.6445829999999999</v>
      </c>
      <c r="F34" s="236">
        <f t="shared" si="15"/>
        <v>2.7547830000000002</v>
      </c>
      <c r="G34" s="237">
        <f t="shared" si="15"/>
        <v>1.986183</v>
      </c>
      <c r="H34" s="238">
        <f t="shared" si="15"/>
        <v>1.683942</v>
      </c>
      <c r="I34" s="239">
        <f t="shared" si="15"/>
        <v>1.8646279999999997</v>
      </c>
      <c r="J34" s="235">
        <f t="shared" si="15"/>
        <v>2.0379999999999998</v>
      </c>
      <c r="K34" s="235">
        <f t="shared" si="15"/>
        <v>2.2160000000000002</v>
      </c>
      <c r="L34" s="235">
        <f t="shared" si="15"/>
        <v>2.415</v>
      </c>
      <c r="M34" s="235">
        <f t="shared" si="15"/>
        <v>2.4209999999999998</v>
      </c>
      <c r="N34" s="235">
        <f t="shared" si="15"/>
        <v>2.427</v>
      </c>
      <c r="O34" s="235">
        <f t="shared" si="15"/>
        <v>2.4330000000000003</v>
      </c>
      <c r="P34" s="235">
        <f t="shared" si="15"/>
        <v>2.4390000000000001</v>
      </c>
      <c r="Q34" s="235">
        <f t="shared" si="15"/>
        <v>2.4449999999999998</v>
      </c>
      <c r="R34" s="235">
        <f t="shared" si="15"/>
        <v>2.4500000000000002</v>
      </c>
      <c r="S34" s="240">
        <f t="shared" si="13"/>
        <v>66.415661262076128</v>
      </c>
      <c r="T34" s="241">
        <f t="shared" si="13"/>
        <v>96.610712511324778</v>
      </c>
      <c r="U34" s="241">
        <f t="shared" si="10"/>
        <v>104.16700856051786</v>
      </c>
      <c r="V34" s="242">
        <f t="shared" si="10"/>
        <v>72.099435781330143</v>
      </c>
      <c r="W34" s="243">
        <f t="shared" si="10"/>
        <v>84.782822126662055</v>
      </c>
      <c r="X34" s="244">
        <f t="shared" si="10"/>
        <v>110.72994200512842</v>
      </c>
      <c r="Y34" s="245">
        <f t="shared" si="10"/>
        <v>109.29794039347259</v>
      </c>
      <c r="Z34" s="245">
        <f t="shared" si="10"/>
        <v>108.73405299313055</v>
      </c>
      <c r="AA34" s="245">
        <f t="shared" si="10"/>
        <v>108.98014440433212</v>
      </c>
      <c r="AB34" s="245">
        <f t="shared" si="10"/>
        <v>100.24844720496893</v>
      </c>
      <c r="AC34" s="245">
        <f t="shared" si="10"/>
        <v>100.24783147459728</v>
      </c>
      <c r="AD34" s="245">
        <f t="shared" si="11"/>
        <v>100.24721878862795</v>
      </c>
      <c r="AE34" s="245">
        <f t="shared" si="11"/>
        <v>100.2466091245376</v>
      </c>
      <c r="AF34" s="245">
        <f t="shared" si="11"/>
        <v>100.2460024600246</v>
      </c>
      <c r="AG34" s="246">
        <f t="shared" si="11"/>
        <v>100.20449897750512</v>
      </c>
      <c r="AI34" s="247">
        <f t="shared" si="4"/>
        <v>0.46381700000000015</v>
      </c>
      <c r="AJ34" s="248">
        <f t="shared" si="5"/>
        <v>123.35217852534232</v>
      </c>
      <c r="AK34" s="249">
        <f t="shared" si="6"/>
        <v>101.92625672700611</v>
      </c>
    </row>
    <row r="35" spans="1:37">
      <c r="A35" s="185" t="s">
        <v>23</v>
      </c>
      <c r="B35" s="232" t="s">
        <v>295</v>
      </c>
      <c r="C35" s="233">
        <f t="shared" si="15"/>
        <v>91.432040000000001</v>
      </c>
      <c r="D35" s="234">
        <f t="shared" si="15"/>
        <v>86.946873000000011</v>
      </c>
      <c r="E35" s="235">
        <f t="shared" si="15"/>
        <v>83.867938999999993</v>
      </c>
      <c r="F35" s="236">
        <f t="shared" si="15"/>
        <v>81.822928999999988</v>
      </c>
      <c r="G35" s="237">
        <f t="shared" si="15"/>
        <v>76.396715999999998</v>
      </c>
      <c r="H35" s="238">
        <f t="shared" si="15"/>
        <v>74.886548000000005</v>
      </c>
      <c r="I35" s="239">
        <f t="shared" si="15"/>
        <v>76.228162690675745</v>
      </c>
      <c r="J35" s="235">
        <f t="shared" si="15"/>
        <v>76.730999999999995</v>
      </c>
      <c r="K35" s="235">
        <f t="shared" si="15"/>
        <v>77.604000000000013</v>
      </c>
      <c r="L35" s="235">
        <f t="shared" si="15"/>
        <v>78.72</v>
      </c>
      <c r="M35" s="235">
        <f t="shared" si="15"/>
        <v>80.248000000000005</v>
      </c>
      <c r="N35" s="235">
        <f t="shared" si="15"/>
        <v>80.427000000000007</v>
      </c>
      <c r="O35" s="235">
        <f t="shared" si="15"/>
        <v>81.103999999999999</v>
      </c>
      <c r="P35" s="235">
        <f t="shared" si="15"/>
        <v>81.8</v>
      </c>
      <c r="Q35" s="235">
        <f t="shared" si="15"/>
        <v>82.518000000000001</v>
      </c>
      <c r="R35" s="235">
        <f t="shared" si="15"/>
        <v>82.7</v>
      </c>
      <c r="S35" s="240">
        <f t="shared" si="13"/>
        <v>95.094534694840021</v>
      </c>
      <c r="T35" s="241">
        <f t="shared" si="13"/>
        <v>96.458832970335777</v>
      </c>
      <c r="U35" s="241">
        <f t="shared" si="10"/>
        <v>97.561630791952567</v>
      </c>
      <c r="V35" s="242">
        <f t="shared" si="10"/>
        <v>93.368346664783914</v>
      </c>
      <c r="W35" s="243">
        <f t="shared" si="10"/>
        <v>98.023255345164316</v>
      </c>
      <c r="X35" s="244">
        <f t="shared" si="10"/>
        <v>101.79152962248406</v>
      </c>
      <c r="Y35" s="245">
        <f t="shared" si="10"/>
        <v>100.6596476834483</v>
      </c>
      <c r="Z35" s="245">
        <f t="shared" si="10"/>
        <v>101.13774093912502</v>
      </c>
      <c r="AA35" s="245">
        <f t="shared" si="10"/>
        <v>101.43807020256685</v>
      </c>
      <c r="AB35" s="245">
        <f t="shared" si="10"/>
        <v>101.94105691056912</v>
      </c>
      <c r="AC35" s="245">
        <f t="shared" si="10"/>
        <v>100.22305851859237</v>
      </c>
      <c r="AD35" s="245">
        <f t="shared" si="11"/>
        <v>100.84175712136472</v>
      </c>
      <c r="AE35" s="245">
        <f t="shared" si="11"/>
        <v>100.85815742750049</v>
      </c>
      <c r="AF35" s="245">
        <f t="shared" si="11"/>
        <v>100.87775061124695</v>
      </c>
      <c r="AG35" s="246">
        <f t="shared" si="11"/>
        <v>100.22055793887394</v>
      </c>
      <c r="AI35" s="247">
        <f t="shared" si="4"/>
        <v>6.303284000000005</v>
      </c>
      <c r="AJ35" s="248">
        <f t="shared" si="5"/>
        <v>108.25072637939046</v>
      </c>
      <c r="AK35" s="249">
        <f t="shared" si="6"/>
        <v>100.72332976526741</v>
      </c>
    </row>
    <row r="36" spans="1:37">
      <c r="A36" s="185" t="s">
        <v>23</v>
      </c>
      <c r="B36" s="232" t="s">
        <v>296</v>
      </c>
      <c r="C36" s="233">
        <f t="shared" si="15"/>
        <v>27.532316999999999</v>
      </c>
      <c r="D36" s="234">
        <f t="shared" si="15"/>
        <v>18.323841000000002</v>
      </c>
      <c r="E36" s="235">
        <f t="shared" si="15"/>
        <v>15.257628</v>
      </c>
      <c r="F36" s="236">
        <f t="shared" si="15"/>
        <v>16.430211</v>
      </c>
      <c r="G36" s="237">
        <f t="shared" si="15"/>
        <v>20.251391000000002</v>
      </c>
      <c r="H36" s="238">
        <f t="shared" si="15"/>
        <v>23.027048000000001</v>
      </c>
      <c r="I36" s="239">
        <f t="shared" si="15"/>
        <v>23.308</v>
      </c>
      <c r="J36" s="235">
        <f t="shared" si="15"/>
        <v>23.756999999999998</v>
      </c>
      <c r="K36" s="235">
        <f t="shared" si="15"/>
        <v>24.220999999999997</v>
      </c>
      <c r="L36" s="235">
        <f t="shared" si="15"/>
        <v>24.700000000000003</v>
      </c>
      <c r="M36" s="235">
        <f t="shared" si="15"/>
        <v>25.302</v>
      </c>
      <c r="N36" s="235">
        <f t="shared" si="15"/>
        <v>25.553000000000001</v>
      </c>
      <c r="O36" s="235">
        <f t="shared" si="15"/>
        <v>26.183</v>
      </c>
      <c r="P36" s="235">
        <f t="shared" si="15"/>
        <v>26.834000000000003</v>
      </c>
      <c r="Q36" s="235">
        <f t="shared" si="15"/>
        <v>27.506999999999998</v>
      </c>
      <c r="R36" s="235">
        <f t="shared" si="15"/>
        <v>27.8</v>
      </c>
      <c r="S36" s="240">
        <f t="shared" si="13"/>
        <v>66.553937323909224</v>
      </c>
      <c r="T36" s="241">
        <f t="shared" si="13"/>
        <v>83.266537839964883</v>
      </c>
      <c r="U36" s="241">
        <f t="shared" si="10"/>
        <v>107.68522472824739</v>
      </c>
      <c r="V36" s="242">
        <f t="shared" si="10"/>
        <v>123.25703546959927</v>
      </c>
      <c r="W36" s="243">
        <f t="shared" si="10"/>
        <v>113.7060066639373</v>
      </c>
      <c r="X36" s="244">
        <f t="shared" si="10"/>
        <v>101.22009560235423</v>
      </c>
      <c r="Y36" s="245">
        <f t="shared" si="10"/>
        <v>101.92637720954178</v>
      </c>
      <c r="Z36" s="245">
        <f t="shared" si="10"/>
        <v>101.95310855747779</v>
      </c>
      <c r="AA36" s="245">
        <f t="shared" si="10"/>
        <v>101.97762272408244</v>
      </c>
      <c r="AB36" s="245">
        <f t="shared" si="10"/>
        <v>102.43724696356273</v>
      </c>
      <c r="AC36" s="245">
        <f t="shared" si="10"/>
        <v>100.99201644138805</v>
      </c>
      <c r="AD36" s="245">
        <f t="shared" si="11"/>
        <v>102.4654639376981</v>
      </c>
      <c r="AE36" s="245">
        <f t="shared" si="11"/>
        <v>102.48634610243288</v>
      </c>
      <c r="AF36" s="245">
        <f t="shared" si="11"/>
        <v>102.50801222329878</v>
      </c>
      <c r="AG36" s="246">
        <f t="shared" si="11"/>
        <v>101.06518340785983</v>
      </c>
      <c r="AI36" s="247">
        <f t="shared" si="4"/>
        <v>7.548608999999999</v>
      </c>
      <c r="AJ36" s="248">
        <f t="shared" si="5"/>
        <v>137.27452104401124</v>
      </c>
      <c r="AK36" s="249">
        <f t="shared" si="6"/>
        <v>102.92199032798275</v>
      </c>
    </row>
    <row r="37" spans="1:37">
      <c r="A37" s="185" t="s">
        <v>23</v>
      </c>
      <c r="B37" s="232" t="s">
        <v>297</v>
      </c>
      <c r="C37" s="233">
        <f t="shared" si="15"/>
        <v>29.646566</v>
      </c>
      <c r="D37" s="234">
        <f t="shared" si="15"/>
        <v>23.871815000000005</v>
      </c>
      <c r="E37" s="235">
        <f t="shared" si="15"/>
        <v>22.559078</v>
      </c>
      <c r="F37" s="236">
        <f t="shared" si="15"/>
        <v>20.45505</v>
      </c>
      <c r="G37" s="237">
        <f t="shared" si="15"/>
        <v>20.818921999999997</v>
      </c>
      <c r="H37" s="238">
        <f t="shared" si="15"/>
        <v>19.656874000000002</v>
      </c>
      <c r="I37" s="239">
        <f t="shared" si="15"/>
        <v>20.463792553323643</v>
      </c>
      <c r="J37" s="235">
        <f t="shared" si="15"/>
        <v>21.243000000000002</v>
      </c>
      <c r="K37" s="235">
        <f t="shared" si="15"/>
        <v>22.089000000000002</v>
      </c>
      <c r="L37" s="235">
        <f t="shared" si="15"/>
        <v>23.01</v>
      </c>
      <c r="M37" s="235">
        <f t="shared" si="15"/>
        <v>24.016999999999999</v>
      </c>
      <c r="N37" s="235">
        <f t="shared" si="15"/>
        <v>24.331</v>
      </c>
      <c r="O37" s="235">
        <f t="shared" si="15"/>
        <v>24.794</v>
      </c>
      <c r="P37" s="235">
        <f t="shared" si="15"/>
        <v>25.269000000000002</v>
      </c>
      <c r="Q37" s="235">
        <f t="shared" si="15"/>
        <v>25.757000000000001</v>
      </c>
      <c r="R37" s="235">
        <f t="shared" si="15"/>
        <v>26.1</v>
      </c>
      <c r="S37" s="240">
        <f t="shared" si="13"/>
        <v>80.521349420367955</v>
      </c>
      <c r="T37" s="241">
        <f t="shared" si="13"/>
        <v>94.500891532545779</v>
      </c>
      <c r="U37" s="241">
        <f t="shared" si="10"/>
        <v>90.673253578891831</v>
      </c>
      <c r="V37" s="242">
        <f t="shared" si="10"/>
        <v>101.77888589859228</v>
      </c>
      <c r="W37" s="243">
        <f t="shared" si="10"/>
        <v>94.418308498393927</v>
      </c>
      <c r="X37" s="244">
        <f t="shared" si="10"/>
        <v>104.10501971637831</v>
      </c>
      <c r="Y37" s="245">
        <f t="shared" si="10"/>
        <v>103.80773722488603</v>
      </c>
      <c r="Z37" s="245">
        <f t="shared" si="10"/>
        <v>103.98248834910324</v>
      </c>
      <c r="AA37" s="245">
        <f t="shared" si="10"/>
        <v>104.16949612929511</v>
      </c>
      <c r="AB37" s="245">
        <f t="shared" si="10"/>
        <v>104.37635810517165</v>
      </c>
      <c r="AC37" s="245">
        <f t="shared" si="10"/>
        <v>101.30740725319565</v>
      </c>
      <c r="AD37" s="245">
        <f t="shared" si="11"/>
        <v>101.902922198019</v>
      </c>
      <c r="AE37" s="245">
        <f t="shared" si="11"/>
        <v>101.91578607727676</v>
      </c>
      <c r="AF37" s="245">
        <f t="shared" si="11"/>
        <v>101.93122007202501</v>
      </c>
      <c r="AG37" s="246">
        <f t="shared" si="11"/>
        <v>101.33167682571728</v>
      </c>
      <c r="AI37" s="247">
        <f t="shared" si="4"/>
        <v>5.2810780000000044</v>
      </c>
      <c r="AJ37" s="248">
        <f t="shared" si="5"/>
        <v>125.36672167752012</v>
      </c>
      <c r="AK37" s="249">
        <f t="shared" si="6"/>
        <v>102.07647421701694</v>
      </c>
    </row>
    <row r="38" spans="1:37">
      <c r="A38" s="185" t="s">
        <v>23</v>
      </c>
      <c r="B38" s="232" t="s">
        <v>298</v>
      </c>
      <c r="C38" s="233">
        <f t="shared" si="15"/>
        <v>19.341048000000001</v>
      </c>
      <c r="D38" s="234">
        <f t="shared" si="15"/>
        <v>9.9469890000000003</v>
      </c>
      <c r="E38" s="235">
        <f t="shared" si="15"/>
        <v>7.8716209999999993</v>
      </c>
      <c r="F38" s="236">
        <f t="shared" si="15"/>
        <v>7.0495540000000005</v>
      </c>
      <c r="G38" s="237">
        <f t="shared" si="15"/>
        <v>6.0986660000000006</v>
      </c>
      <c r="H38" s="238">
        <f t="shared" si="15"/>
        <v>4.9742699999999997</v>
      </c>
      <c r="I38" s="239">
        <f t="shared" si="15"/>
        <v>5.5359999999999996</v>
      </c>
      <c r="J38" s="235">
        <f t="shared" si="15"/>
        <v>5.7770000000000001</v>
      </c>
      <c r="K38" s="235">
        <f t="shared" si="15"/>
        <v>6.0039999999999996</v>
      </c>
      <c r="L38" s="235">
        <f t="shared" si="15"/>
        <v>6.25</v>
      </c>
      <c r="M38" s="235">
        <f t="shared" si="15"/>
        <v>6.4470000000000001</v>
      </c>
      <c r="N38" s="235">
        <f t="shared" si="15"/>
        <v>6.6539999999999999</v>
      </c>
      <c r="O38" s="235">
        <f t="shared" si="15"/>
        <v>7.1690000000000005</v>
      </c>
      <c r="P38" s="235">
        <f t="shared" si="15"/>
        <v>7.7309999999999999</v>
      </c>
      <c r="Q38" s="235">
        <f t="shared" si="15"/>
        <v>8.3449999999999989</v>
      </c>
      <c r="R38" s="235">
        <f t="shared" si="15"/>
        <v>8.6</v>
      </c>
      <c r="S38" s="240">
        <f t="shared" si="13"/>
        <v>51.429420991044537</v>
      </c>
      <c r="T38" s="241">
        <f t="shared" si="13"/>
        <v>79.135716345921352</v>
      </c>
      <c r="U38" s="241">
        <f t="shared" si="10"/>
        <v>89.556572909188603</v>
      </c>
      <c r="V38" s="242">
        <f t="shared" si="10"/>
        <v>86.511373627324502</v>
      </c>
      <c r="W38" s="243">
        <f t="shared" si="10"/>
        <v>81.563246782165137</v>
      </c>
      <c r="X38" s="244">
        <f t="shared" si="10"/>
        <v>111.29271229748285</v>
      </c>
      <c r="Y38" s="245">
        <f t="shared" si="10"/>
        <v>104.35332369942199</v>
      </c>
      <c r="Z38" s="245">
        <f t="shared" si="10"/>
        <v>103.92937510818763</v>
      </c>
      <c r="AA38" s="245">
        <f t="shared" si="10"/>
        <v>104.09726848767488</v>
      </c>
      <c r="AB38" s="245">
        <f t="shared" si="10"/>
        <v>103.152</v>
      </c>
      <c r="AC38" s="245">
        <f t="shared" si="10"/>
        <v>103.21079571893902</v>
      </c>
      <c r="AD38" s="245">
        <f t="shared" si="11"/>
        <v>107.73970544033664</v>
      </c>
      <c r="AE38" s="245">
        <f t="shared" si="11"/>
        <v>107.83930813223601</v>
      </c>
      <c r="AF38" s="245">
        <f t="shared" si="11"/>
        <v>107.9420514810503</v>
      </c>
      <c r="AG38" s="246">
        <f t="shared" si="11"/>
        <v>103.05572198921512</v>
      </c>
      <c r="AI38" s="247">
        <f t="shared" si="4"/>
        <v>2.5013339999999991</v>
      </c>
      <c r="AJ38" s="248">
        <f t="shared" si="5"/>
        <v>141.01444479825588</v>
      </c>
      <c r="AK38" s="249">
        <f t="shared" si="6"/>
        <v>103.17379809670597</v>
      </c>
    </row>
    <row r="39" spans="1:37">
      <c r="A39" s="185" t="s">
        <v>23</v>
      </c>
      <c r="B39" s="232" t="s">
        <v>299</v>
      </c>
      <c r="C39" s="233">
        <f t="shared" si="15"/>
        <v>4.8637639999999998</v>
      </c>
      <c r="D39" s="234">
        <f t="shared" si="15"/>
        <v>4.3423030000000002</v>
      </c>
      <c r="E39" s="235">
        <f t="shared" si="15"/>
        <v>3.9879219999999997</v>
      </c>
      <c r="F39" s="236">
        <f t="shared" si="15"/>
        <v>4.0965379999999998</v>
      </c>
      <c r="G39" s="237">
        <f t="shared" si="15"/>
        <v>3.8967159999999996</v>
      </c>
      <c r="H39" s="238">
        <f t="shared" si="15"/>
        <v>3.3249659999999999</v>
      </c>
      <c r="I39" s="239">
        <f t="shared" si="15"/>
        <v>3.4340000000000002</v>
      </c>
      <c r="J39" s="235">
        <f t="shared" si="15"/>
        <v>3.7949999999999999</v>
      </c>
      <c r="K39" s="235">
        <f t="shared" si="15"/>
        <v>4.1949999999999994</v>
      </c>
      <c r="L39" s="235">
        <f t="shared" si="15"/>
        <v>4.6399999999999997</v>
      </c>
      <c r="M39" s="235">
        <f t="shared" si="15"/>
        <v>4.71</v>
      </c>
      <c r="N39" s="235">
        <f t="shared" si="15"/>
        <v>4.7830000000000004</v>
      </c>
      <c r="O39" s="235">
        <f t="shared" si="15"/>
        <v>4.8579999999999997</v>
      </c>
      <c r="P39" s="235">
        <f t="shared" si="15"/>
        <v>4.9360000000000008</v>
      </c>
      <c r="Q39" s="235">
        <f t="shared" si="15"/>
        <v>5.0170000000000003</v>
      </c>
      <c r="R39" s="235">
        <f t="shared" si="15"/>
        <v>5.1000000000000005</v>
      </c>
      <c r="S39" s="240">
        <f t="shared" si="13"/>
        <v>89.278653322817476</v>
      </c>
      <c r="T39" s="241">
        <f t="shared" si="13"/>
        <v>91.838869834739754</v>
      </c>
      <c r="U39" s="241">
        <f t="shared" si="10"/>
        <v>102.72362398261552</v>
      </c>
      <c r="V39" s="242">
        <f t="shared" si="10"/>
        <v>95.122173894151601</v>
      </c>
      <c r="W39" s="243">
        <f t="shared" si="10"/>
        <v>85.327388498417648</v>
      </c>
      <c r="X39" s="244">
        <f t="shared" si="10"/>
        <v>103.27925157730937</v>
      </c>
      <c r="Y39" s="245">
        <f t="shared" si="10"/>
        <v>110.51252184041932</v>
      </c>
      <c r="Z39" s="245">
        <f t="shared" si="10"/>
        <v>110.54018445322791</v>
      </c>
      <c r="AA39" s="245">
        <f t="shared" si="10"/>
        <v>110.60786650774732</v>
      </c>
      <c r="AB39" s="245">
        <f t="shared" si="10"/>
        <v>101.50862068965519</v>
      </c>
      <c r="AC39" s="245">
        <f t="shared" si="10"/>
        <v>101.54989384288749</v>
      </c>
      <c r="AD39" s="245">
        <f t="shared" si="11"/>
        <v>101.56805352289358</v>
      </c>
      <c r="AE39" s="245">
        <f t="shared" si="11"/>
        <v>101.60559901193909</v>
      </c>
      <c r="AF39" s="245">
        <f t="shared" si="11"/>
        <v>101.64100486223661</v>
      </c>
      <c r="AG39" s="246">
        <f t="shared" si="11"/>
        <v>101.65437512457645</v>
      </c>
      <c r="AI39" s="247">
        <f t="shared" si="4"/>
        <v>1.2032840000000009</v>
      </c>
      <c r="AJ39" s="248">
        <f t="shared" si="5"/>
        <v>130.87943796776571</v>
      </c>
      <c r="AK39" s="249">
        <f t="shared" si="6"/>
        <v>102.47659217739611</v>
      </c>
    </row>
    <row r="40" spans="1:37">
      <c r="A40" s="185" t="s">
        <v>23</v>
      </c>
      <c r="B40" s="232" t="s">
        <v>300</v>
      </c>
      <c r="C40" s="233">
        <f t="shared" si="15"/>
        <v>38.680187000000004</v>
      </c>
      <c r="D40" s="234">
        <f t="shared" si="15"/>
        <v>29.720193000000002</v>
      </c>
      <c r="E40" s="235">
        <f t="shared" si="15"/>
        <v>30.713437000000003</v>
      </c>
      <c r="F40" s="236">
        <f t="shared" si="15"/>
        <v>36.241812000000003</v>
      </c>
      <c r="G40" s="237">
        <f t="shared" si="15"/>
        <v>42.463821999999993</v>
      </c>
      <c r="H40" s="238">
        <f t="shared" si="15"/>
        <v>41.927734999999998</v>
      </c>
      <c r="I40" s="239">
        <f t="shared" si="15"/>
        <v>42.45164622769137</v>
      </c>
      <c r="J40" s="235">
        <f t="shared" si="15"/>
        <v>43.835999999999999</v>
      </c>
      <c r="K40" s="235">
        <f t="shared" si="15"/>
        <v>45.027000000000001</v>
      </c>
      <c r="L40" s="235">
        <f t="shared" si="15"/>
        <v>46.28</v>
      </c>
      <c r="M40" s="235">
        <f t="shared" si="15"/>
        <v>47.142000000000003</v>
      </c>
      <c r="N40" s="235">
        <f t="shared" si="15"/>
        <v>48.027000000000001</v>
      </c>
      <c r="O40" s="235">
        <f t="shared" si="15"/>
        <v>48.935000000000002</v>
      </c>
      <c r="P40" s="235">
        <f t="shared" si="15"/>
        <v>49.866</v>
      </c>
      <c r="Q40" s="235">
        <f t="shared" si="15"/>
        <v>50.821000000000005</v>
      </c>
      <c r="R40" s="235">
        <f t="shared" si="15"/>
        <v>51.8</v>
      </c>
      <c r="S40" s="240">
        <f t="shared" si="13"/>
        <v>76.835701440636768</v>
      </c>
      <c r="T40" s="241">
        <f t="shared" si="13"/>
        <v>103.34198368092697</v>
      </c>
      <c r="U40" s="241">
        <f t="shared" si="10"/>
        <v>117.99985784723475</v>
      </c>
      <c r="V40" s="242">
        <f t="shared" si="10"/>
        <v>117.16804336383619</v>
      </c>
      <c r="W40" s="243">
        <f t="shared" si="10"/>
        <v>98.73754416171019</v>
      </c>
      <c r="X40" s="244">
        <f t="shared" si="10"/>
        <v>101.24955766795264</v>
      </c>
      <c r="Y40" s="245">
        <f t="shared" si="10"/>
        <v>103.26101316515168</v>
      </c>
      <c r="Z40" s="245">
        <f t="shared" si="10"/>
        <v>102.71694497673145</v>
      </c>
      <c r="AA40" s="245">
        <f t="shared" si="10"/>
        <v>102.7827747795767</v>
      </c>
      <c r="AB40" s="245">
        <f t="shared" si="10"/>
        <v>101.86257562662058</v>
      </c>
      <c r="AC40" s="245">
        <f t="shared" si="10"/>
        <v>101.87730686012473</v>
      </c>
      <c r="AD40" s="245">
        <f t="shared" si="11"/>
        <v>101.89060320236534</v>
      </c>
      <c r="AE40" s="245">
        <f t="shared" si="11"/>
        <v>101.90252375600286</v>
      </c>
      <c r="AF40" s="245">
        <f t="shared" si="11"/>
        <v>101.91513255524806</v>
      </c>
      <c r="AG40" s="246">
        <f t="shared" si="11"/>
        <v>101.92636902068043</v>
      </c>
      <c r="AI40" s="247">
        <f t="shared" si="4"/>
        <v>9.3361780000000039</v>
      </c>
      <c r="AJ40" s="248">
        <f t="shared" si="5"/>
        <v>121.98619332946528</v>
      </c>
      <c r="AK40" s="249">
        <f t="shared" si="6"/>
        <v>101.82312588091391</v>
      </c>
    </row>
    <row r="41" spans="1:37">
      <c r="A41" s="185" t="s">
        <v>23</v>
      </c>
      <c r="B41" s="232" t="s">
        <v>301</v>
      </c>
      <c r="C41" s="233">
        <f t="shared" si="15"/>
        <v>14.623443</v>
      </c>
      <c r="D41" s="234">
        <f t="shared" si="15"/>
        <v>14.701648999999998</v>
      </c>
      <c r="E41" s="235">
        <f t="shared" si="15"/>
        <v>24.621505000000003</v>
      </c>
      <c r="F41" s="236">
        <f t="shared" si="15"/>
        <v>23.433858000000001</v>
      </c>
      <c r="G41" s="237">
        <f t="shared" si="15"/>
        <v>17.663045</v>
      </c>
      <c r="H41" s="238">
        <f t="shared" si="15"/>
        <v>22.252057000000001</v>
      </c>
      <c r="I41" s="239">
        <f t="shared" si="15"/>
        <v>22.972799765636132</v>
      </c>
      <c r="J41" s="235">
        <f t="shared" si="15"/>
        <v>23.881999999999998</v>
      </c>
      <c r="K41" s="235">
        <f t="shared" si="15"/>
        <v>24.739000000000001</v>
      </c>
      <c r="L41" s="235">
        <f t="shared" si="15"/>
        <v>25.650000000000002</v>
      </c>
      <c r="M41" s="235">
        <f t="shared" si="15"/>
        <v>26.18099999999998</v>
      </c>
      <c r="N41" s="235">
        <f t="shared" si="15"/>
        <v>26.733999999999988</v>
      </c>
      <c r="O41" s="235">
        <f t="shared" si="15"/>
        <v>27.532999999999987</v>
      </c>
      <c r="P41" s="235">
        <f t="shared" si="15"/>
        <v>28.399999999999995</v>
      </c>
      <c r="Q41" s="235">
        <f t="shared" si="15"/>
        <v>29.343</v>
      </c>
      <c r="R41" s="235">
        <f t="shared" si="15"/>
        <v>30</v>
      </c>
      <c r="S41" s="240">
        <f t="shared" si="13"/>
        <v>100.53479881584657</v>
      </c>
      <c r="T41" s="241">
        <f t="shared" si="13"/>
        <v>167.47444453339898</v>
      </c>
      <c r="U41" s="241">
        <f t="shared" si="10"/>
        <v>95.176383409543803</v>
      </c>
      <c r="V41" s="242">
        <f t="shared" si="10"/>
        <v>75.374037855823829</v>
      </c>
      <c r="W41" s="243">
        <f t="shared" si="10"/>
        <v>125.98086570011003</v>
      </c>
      <c r="X41" s="244">
        <f t="shared" si="10"/>
        <v>103.23899388553666</v>
      </c>
      <c r="Y41" s="245">
        <f t="shared" si="10"/>
        <v>103.95772497753579</v>
      </c>
      <c r="Z41" s="245">
        <f t="shared" si="10"/>
        <v>103.58847667699524</v>
      </c>
      <c r="AA41" s="245">
        <f t="shared" si="10"/>
        <v>103.68244472290715</v>
      </c>
      <c r="AB41" s="245">
        <f t="shared" si="10"/>
        <v>102.07017543859639</v>
      </c>
      <c r="AC41" s="245">
        <f t="shared" si="10"/>
        <v>102.11221878461483</v>
      </c>
      <c r="AD41" s="245">
        <f t="shared" si="11"/>
        <v>102.98870352360289</v>
      </c>
      <c r="AE41" s="245">
        <f t="shared" si="11"/>
        <v>103.14894853448592</v>
      </c>
      <c r="AF41" s="245">
        <f t="shared" si="11"/>
        <v>103.32042253521128</v>
      </c>
      <c r="AG41" s="246">
        <f t="shared" si="11"/>
        <v>102.23903486351089</v>
      </c>
      <c r="AI41" s="247">
        <f t="shared" si="4"/>
        <v>12.336955</v>
      </c>
      <c r="AJ41" s="248">
        <f t="shared" si="5"/>
        <v>169.8461392132557</v>
      </c>
      <c r="AK41" s="249">
        <f t="shared" si="6"/>
        <v>104.93349852749161</v>
      </c>
    </row>
    <row r="42" spans="1:37">
      <c r="A42" s="185" t="s">
        <v>23</v>
      </c>
      <c r="B42" s="251" t="s">
        <v>302</v>
      </c>
      <c r="C42" s="252">
        <f t="shared" si="15"/>
        <v>44.724682999999999</v>
      </c>
      <c r="D42" s="253">
        <f t="shared" si="15"/>
        <v>41.536000000000001</v>
      </c>
      <c r="E42" s="254">
        <f t="shared" si="15"/>
        <v>44.384943000000007</v>
      </c>
      <c r="F42" s="255">
        <f t="shared" si="15"/>
        <v>44.341909000000001</v>
      </c>
      <c r="G42" s="256">
        <f t="shared" si="15"/>
        <v>45.242615999999998</v>
      </c>
      <c r="H42" s="257">
        <f t="shared" si="15"/>
        <v>43.780425000000001</v>
      </c>
      <c r="I42" s="258">
        <f t="shared" si="15"/>
        <v>45.196999999999996</v>
      </c>
      <c r="J42" s="254">
        <f t="shared" si="15"/>
        <v>50.414000000000001</v>
      </c>
      <c r="K42" s="254">
        <f t="shared" si="15"/>
        <v>54.509</v>
      </c>
      <c r="L42" s="254">
        <f t="shared" si="15"/>
        <v>60.320000000000029</v>
      </c>
      <c r="M42" s="254">
        <f t="shared" si="15"/>
        <v>66.320000000000007</v>
      </c>
      <c r="N42" s="254">
        <f t="shared" si="15"/>
        <v>67.349000000000004</v>
      </c>
      <c r="O42" s="254">
        <f t="shared" si="15"/>
        <v>68.91</v>
      </c>
      <c r="P42" s="254">
        <f t="shared" si="15"/>
        <v>70.573999999999998</v>
      </c>
      <c r="Q42" s="254">
        <f t="shared" si="15"/>
        <v>72.462999999999994</v>
      </c>
      <c r="R42" s="254">
        <f t="shared" si="15"/>
        <v>73.668999999999997</v>
      </c>
      <c r="S42" s="259">
        <f t="shared" si="13"/>
        <v>92.870417885354271</v>
      </c>
      <c r="T42" s="260">
        <f t="shared" si="13"/>
        <v>106.85897293913715</v>
      </c>
      <c r="U42" s="260">
        <f t="shared" si="10"/>
        <v>99.90304369659772</v>
      </c>
      <c r="V42" s="261">
        <f t="shared" si="10"/>
        <v>102.0312770025305</v>
      </c>
      <c r="W42" s="262">
        <f t="shared" si="10"/>
        <v>96.768111286933546</v>
      </c>
      <c r="X42" s="263">
        <f t="shared" si="10"/>
        <v>103.23563556086994</v>
      </c>
      <c r="Y42" s="264">
        <f t="shared" si="10"/>
        <v>111.54280151337478</v>
      </c>
      <c r="Z42" s="264">
        <f t="shared" si="10"/>
        <v>108.12274368231047</v>
      </c>
      <c r="AA42" s="264">
        <f t="shared" si="10"/>
        <v>110.6606248509421</v>
      </c>
      <c r="AB42" s="264">
        <f t="shared" si="10"/>
        <v>109.94694960212198</v>
      </c>
      <c r="AC42" s="264">
        <f t="shared" si="10"/>
        <v>101.5515681544029</v>
      </c>
      <c r="AD42" s="264">
        <f t="shared" si="11"/>
        <v>102.3177775468084</v>
      </c>
      <c r="AE42" s="264">
        <f t="shared" si="11"/>
        <v>102.4147438688144</v>
      </c>
      <c r="AF42" s="264">
        <f t="shared" si="11"/>
        <v>102.67662311899566</v>
      </c>
      <c r="AG42" s="265">
        <f t="shared" si="11"/>
        <v>101.664297641555</v>
      </c>
      <c r="AI42" s="266">
        <f t="shared" si="4"/>
        <v>28.426383999999999</v>
      </c>
      <c r="AJ42" s="267">
        <f t="shared" si="5"/>
        <v>162.83099102845867</v>
      </c>
      <c r="AK42" s="268">
        <f t="shared" si="6"/>
        <v>104.53189515486577</v>
      </c>
    </row>
    <row r="43" spans="1:37" ht="15" thickBot="1">
      <c r="A43" s="185" t="s">
        <v>23</v>
      </c>
      <c r="B43" s="269" t="s">
        <v>303</v>
      </c>
      <c r="C43" s="296">
        <f t="shared" si="15"/>
        <v>24.996309</v>
      </c>
      <c r="D43" s="297">
        <f t="shared" si="15"/>
        <v>24.212637000000001</v>
      </c>
      <c r="E43" s="298">
        <f t="shared" si="15"/>
        <v>27.377034000000002</v>
      </c>
      <c r="F43" s="299">
        <f t="shared" si="15"/>
        <v>27.813482</v>
      </c>
      <c r="G43" s="300">
        <f t="shared" si="15"/>
        <v>29.956690999999999</v>
      </c>
      <c r="H43" s="301">
        <f t="shared" si="15"/>
        <v>29.929069999999999</v>
      </c>
      <c r="I43" s="302">
        <f t="shared" si="15"/>
        <v>31.487000000000002</v>
      </c>
      <c r="J43" s="298">
        <f t="shared" si="15"/>
        <v>35.439</v>
      </c>
      <c r="K43" s="298">
        <f t="shared" si="15"/>
        <v>38.563999999999993</v>
      </c>
      <c r="L43" s="298">
        <f t="shared" si="15"/>
        <v>44.4</v>
      </c>
      <c r="M43" s="298">
        <f t="shared" si="15"/>
        <v>49.923999999999999</v>
      </c>
      <c r="N43" s="298">
        <f t="shared" si="15"/>
        <v>50.888000000000005</v>
      </c>
      <c r="O43" s="298">
        <f t="shared" si="15"/>
        <v>52.027000000000001</v>
      </c>
      <c r="P43" s="298">
        <f t="shared" si="15"/>
        <v>53.209000000000003</v>
      </c>
      <c r="Q43" s="298">
        <f t="shared" si="15"/>
        <v>54.438000000000002</v>
      </c>
      <c r="R43" s="298">
        <f t="shared" si="15"/>
        <v>55.58</v>
      </c>
      <c r="S43" s="277">
        <f>D43/C43*100</f>
        <v>96.864849126325012</v>
      </c>
      <c r="T43" s="278">
        <f>E43/D43*100</f>
        <v>113.06919605658814</v>
      </c>
      <c r="U43" s="278">
        <f t="shared" si="10"/>
        <v>101.59421214146134</v>
      </c>
      <c r="V43" s="279">
        <f t="shared" si="10"/>
        <v>107.70564793002184</v>
      </c>
      <c r="W43" s="280">
        <f t="shared" si="10"/>
        <v>99.907796892520608</v>
      </c>
      <c r="X43" s="281">
        <f t="shared" si="10"/>
        <v>105.20540731803563</v>
      </c>
      <c r="Y43" s="282">
        <f t="shared" si="10"/>
        <v>112.5512116111411</v>
      </c>
      <c r="Z43" s="282">
        <f t="shared" si="10"/>
        <v>108.81796890431443</v>
      </c>
      <c r="AA43" s="282">
        <f t="shared" si="10"/>
        <v>115.13328492894929</v>
      </c>
      <c r="AB43" s="282">
        <f t="shared" si="10"/>
        <v>112.44144144144144</v>
      </c>
      <c r="AC43" s="282">
        <f t="shared" si="10"/>
        <v>101.9309350212323</v>
      </c>
      <c r="AD43" s="282">
        <f t="shared" si="11"/>
        <v>102.2382487030341</v>
      </c>
      <c r="AE43" s="282">
        <f t="shared" si="11"/>
        <v>102.27189728410249</v>
      </c>
      <c r="AF43" s="282">
        <f t="shared" si="11"/>
        <v>102.30975962713073</v>
      </c>
      <c r="AG43" s="283">
        <f t="shared" si="11"/>
        <v>102.09779933134942</v>
      </c>
      <c r="AI43" s="284">
        <f t="shared" si="4"/>
        <v>25.623308999999999</v>
      </c>
      <c r="AJ43" s="285">
        <f t="shared" si="5"/>
        <v>185.53451047046551</v>
      </c>
      <c r="AK43" s="286">
        <f t="shared" si="6"/>
        <v>105.77967922629961</v>
      </c>
    </row>
    <row r="44" spans="1:37">
      <c r="A44" s="185" t="s">
        <v>305</v>
      </c>
      <c r="B44" s="303" t="s">
        <v>305</v>
      </c>
      <c r="C44" s="199">
        <f>SUM(C46:C55)</f>
        <v>205.78339100000002</v>
      </c>
      <c r="D44" s="200">
        <f>SUM(D46:D55)</f>
        <v>161.36569400000002</v>
      </c>
      <c r="E44" s="201">
        <f>SUM(E46:E55)</f>
        <v>152.55367899999999</v>
      </c>
      <c r="F44" s="202">
        <f t="shared" ref="F44:R44" si="16">SUM(F46:F55)</f>
        <v>146.83560300000002</v>
      </c>
      <c r="G44" s="203">
        <f t="shared" si="16"/>
        <v>135.58945999999997</v>
      </c>
      <c r="H44" s="204">
        <f t="shared" si="16"/>
        <v>124.90256999999998</v>
      </c>
      <c r="I44" s="205">
        <f t="shared" si="16"/>
        <v>125.91496776642131</v>
      </c>
      <c r="J44" s="201">
        <f t="shared" si="16"/>
        <v>128.89000000000001</v>
      </c>
      <c r="K44" s="201">
        <f t="shared" si="16"/>
        <v>136.47300000000001</v>
      </c>
      <c r="L44" s="201">
        <f t="shared" si="16"/>
        <v>143.79300000000001</v>
      </c>
      <c r="M44" s="201">
        <f t="shared" si="16"/>
        <v>129.387</v>
      </c>
      <c r="N44" s="201">
        <f t="shared" si="16"/>
        <v>131.45499999999998</v>
      </c>
      <c r="O44" s="201">
        <f t="shared" si="16"/>
        <v>128.60900000000001</v>
      </c>
      <c r="P44" s="201">
        <f t="shared" si="16"/>
        <v>125.851</v>
      </c>
      <c r="Q44" s="201">
        <f t="shared" si="16"/>
        <v>123.188</v>
      </c>
      <c r="R44" s="201">
        <f t="shared" si="16"/>
        <v>125.619</v>
      </c>
      <c r="S44" s="304">
        <f t="shared" ref="S44:AC67" si="17">D44/C44*100</f>
        <v>78.415314868632919</v>
      </c>
      <c r="T44" s="305">
        <f t="shared" si="17"/>
        <v>94.539102592648945</v>
      </c>
      <c r="U44" s="305">
        <f t="shared" si="17"/>
        <v>96.251761322648946</v>
      </c>
      <c r="V44" s="306">
        <f t="shared" si="17"/>
        <v>92.340997162656762</v>
      </c>
      <c r="W44" s="288">
        <f t="shared" si="17"/>
        <v>92.118200042982707</v>
      </c>
      <c r="X44" s="307">
        <f t="shared" si="17"/>
        <v>100.81054998821988</v>
      </c>
      <c r="Y44" s="308">
        <f t="shared" si="17"/>
        <v>102.36273120372594</v>
      </c>
      <c r="Z44" s="308">
        <f t="shared" si="17"/>
        <v>105.8833113507642</v>
      </c>
      <c r="AA44" s="308">
        <f t="shared" si="17"/>
        <v>105.3636983139522</v>
      </c>
      <c r="AB44" s="308">
        <f t="shared" si="17"/>
        <v>89.981431641317727</v>
      </c>
      <c r="AC44" s="308">
        <f t="shared" si="17"/>
        <v>101.59830585762093</v>
      </c>
      <c r="AD44" s="308">
        <f t="shared" si="11"/>
        <v>97.83500057053746</v>
      </c>
      <c r="AE44" s="308">
        <f t="shared" si="11"/>
        <v>97.855515554898957</v>
      </c>
      <c r="AF44" s="308">
        <f t="shared" si="11"/>
        <v>97.884005689267468</v>
      </c>
      <c r="AG44" s="309">
        <f t="shared" si="11"/>
        <v>101.97340650063317</v>
      </c>
      <c r="AI44" s="287">
        <f t="shared" si="4"/>
        <v>-9.9704599999999743</v>
      </c>
      <c r="AJ44" s="288">
        <f t="shared" si="5"/>
        <v>92.646581821330372</v>
      </c>
      <c r="AK44" s="215">
        <f t="shared" si="6"/>
        <v>99.308058403826166</v>
      </c>
    </row>
    <row r="45" spans="1:37">
      <c r="A45" s="185" t="s">
        <v>305</v>
      </c>
      <c r="B45" s="310" t="s">
        <v>292</v>
      </c>
      <c r="C45" s="289">
        <f>C44-C46</f>
        <v>135.15784200000002</v>
      </c>
      <c r="D45" s="290">
        <f>D44-D46</f>
        <v>103.61662000000001</v>
      </c>
      <c r="E45" s="291">
        <f>E44-E46</f>
        <v>96.118972999999983</v>
      </c>
      <c r="F45" s="292">
        <f t="shared" ref="F45:R45" si="18">F44-F46</f>
        <v>97.811600000000027</v>
      </c>
      <c r="G45" s="293">
        <f t="shared" si="18"/>
        <v>97.281641999999977</v>
      </c>
      <c r="H45" s="294">
        <f t="shared" si="18"/>
        <v>87.225268999999983</v>
      </c>
      <c r="I45" s="295">
        <f t="shared" si="18"/>
        <v>88.237666766421313</v>
      </c>
      <c r="J45" s="291">
        <f t="shared" si="18"/>
        <v>90.931000000000012</v>
      </c>
      <c r="K45" s="291">
        <f t="shared" si="18"/>
        <v>96.736000000000018</v>
      </c>
      <c r="L45" s="291">
        <f t="shared" si="18"/>
        <v>102</v>
      </c>
      <c r="M45" s="291">
        <f t="shared" si="18"/>
        <v>104.387</v>
      </c>
      <c r="N45" s="291">
        <f t="shared" si="18"/>
        <v>106.45499999999998</v>
      </c>
      <c r="O45" s="291">
        <f t="shared" si="18"/>
        <v>108.60900000000001</v>
      </c>
      <c r="P45" s="291">
        <f t="shared" si="18"/>
        <v>110.851</v>
      </c>
      <c r="Q45" s="291">
        <f t="shared" si="18"/>
        <v>113.188</v>
      </c>
      <c r="R45" s="291">
        <f t="shared" si="18"/>
        <v>115.619</v>
      </c>
      <c r="S45" s="311">
        <f t="shared" si="17"/>
        <v>76.663416984713322</v>
      </c>
      <c r="T45" s="312">
        <f t="shared" si="17"/>
        <v>92.764049821351023</v>
      </c>
      <c r="U45" s="312">
        <f t="shared" si="17"/>
        <v>101.76097075028055</v>
      </c>
      <c r="V45" s="313">
        <f t="shared" si="17"/>
        <v>99.458184918762143</v>
      </c>
      <c r="W45" s="214">
        <f t="shared" si="17"/>
        <v>89.662620003885223</v>
      </c>
      <c r="X45" s="314">
        <f t="shared" si="17"/>
        <v>101.16067027138813</v>
      </c>
      <c r="Y45" s="315">
        <f t="shared" si="17"/>
        <v>103.05236225330884</v>
      </c>
      <c r="Z45" s="315">
        <f t="shared" si="17"/>
        <v>106.38396146528689</v>
      </c>
      <c r="AA45" s="315">
        <f t="shared" si="17"/>
        <v>105.44161429043994</v>
      </c>
      <c r="AB45" s="315">
        <f t="shared" si="17"/>
        <v>102.34019607843136</v>
      </c>
      <c r="AC45" s="315">
        <f t="shared" si="17"/>
        <v>101.98108959927958</v>
      </c>
      <c r="AD45" s="315">
        <f t="shared" si="11"/>
        <v>102.02339016485841</v>
      </c>
      <c r="AE45" s="315">
        <f t="shared" si="11"/>
        <v>102.06428564851899</v>
      </c>
      <c r="AF45" s="315">
        <f t="shared" si="11"/>
        <v>102.10823537902229</v>
      </c>
      <c r="AG45" s="316">
        <f t="shared" si="11"/>
        <v>102.14775417888822</v>
      </c>
      <c r="AI45" s="213">
        <f t="shared" si="4"/>
        <v>18.337358000000023</v>
      </c>
      <c r="AJ45" s="214">
        <f t="shared" si="5"/>
        <v>118.84976201367985</v>
      </c>
      <c r="AK45" s="231">
        <f t="shared" si="6"/>
        <v>101.58229695451703</v>
      </c>
    </row>
    <row r="46" spans="1:37">
      <c r="A46" s="185" t="s">
        <v>305</v>
      </c>
      <c r="B46" s="317" t="s">
        <v>293</v>
      </c>
      <c r="C46" s="233">
        <v>70.625548999999992</v>
      </c>
      <c r="D46" s="234">
        <v>57.749074</v>
      </c>
      <c r="E46" s="235">
        <v>56.434705999999998</v>
      </c>
      <c r="F46" s="236">
        <v>49.024003</v>
      </c>
      <c r="G46" s="237">
        <v>38.307818000000005</v>
      </c>
      <c r="H46" s="238">
        <v>37.677301</v>
      </c>
      <c r="I46" s="239">
        <v>37.677301</v>
      </c>
      <c r="J46" s="235">
        <v>37.958999999999996</v>
      </c>
      <c r="K46" s="235">
        <v>39.737000000000002</v>
      </c>
      <c r="L46" s="235">
        <v>41.792999999999999</v>
      </c>
      <c r="M46" s="235">
        <v>25</v>
      </c>
      <c r="N46" s="235">
        <v>25</v>
      </c>
      <c r="O46" s="235">
        <v>20</v>
      </c>
      <c r="P46" s="235">
        <v>15</v>
      </c>
      <c r="Q46" s="235">
        <v>10</v>
      </c>
      <c r="R46" s="235">
        <v>10</v>
      </c>
      <c r="S46" s="318">
        <f t="shared" si="17"/>
        <v>81.767964734688306</v>
      </c>
      <c r="T46" s="319">
        <f t="shared" si="17"/>
        <v>97.724001600441241</v>
      </c>
      <c r="U46" s="319">
        <f t="shared" si="17"/>
        <v>86.868536180555282</v>
      </c>
      <c r="V46" s="320">
        <f t="shared" si="17"/>
        <v>78.140942509325498</v>
      </c>
      <c r="W46" s="248">
        <f t="shared" si="17"/>
        <v>98.354077488830072</v>
      </c>
      <c r="X46" s="321">
        <f t="shared" si="17"/>
        <v>100</v>
      </c>
      <c r="Y46" s="322">
        <f t="shared" si="17"/>
        <v>100.74766236573049</v>
      </c>
      <c r="Z46" s="322">
        <f t="shared" si="17"/>
        <v>104.6840011591454</v>
      </c>
      <c r="AA46" s="322">
        <f t="shared" si="17"/>
        <v>105.17401917608274</v>
      </c>
      <c r="AB46" s="322">
        <f t="shared" si="17"/>
        <v>59.818629914100455</v>
      </c>
      <c r="AC46" s="322">
        <f t="shared" si="17"/>
        <v>100</v>
      </c>
      <c r="AD46" s="322">
        <f t="shared" si="11"/>
        <v>80</v>
      </c>
      <c r="AE46" s="322">
        <f t="shared" si="11"/>
        <v>75</v>
      </c>
      <c r="AF46" s="322">
        <f t="shared" si="11"/>
        <v>66.666666666666657</v>
      </c>
      <c r="AG46" s="323">
        <f t="shared" si="11"/>
        <v>100</v>
      </c>
      <c r="AI46" s="247">
        <f t="shared" si="4"/>
        <v>-28.307818000000005</v>
      </c>
      <c r="AJ46" s="248">
        <f t="shared" si="5"/>
        <v>26.104332019119436</v>
      </c>
      <c r="AK46" s="249">
        <f t="shared" si="6"/>
        <v>88.506235978191413</v>
      </c>
    </row>
    <row r="47" spans="1:37">
      <c r="A47" s="185" t="s">
        <v>305</v>
      </c>
      <c r="B47" s="317" t="s">
        <v>294</v>
      </c>
      <c r="C47" s="233">
        <v>0.7589769999999999</v>
      </c>
      <c r="D47" s="234">
        <v>0.41687400000000002</v>
      </c>
      <c r="E47" s="235">
        <v>1.091164</v>
      </c>
      <c r="F47" s="236">
        <v>0.8951920000000001</v>
      </c>
      <c r="G47" s="237">
        <v>0.81157699999999999</v>
      </c>
      <c r="H47" s="238">
        <v>0.74871300000000018</v>
      </c>
      <c r="I47" s="239">
        <v>0.86799999999999999</v>
      </c>
      <c r="J47" s="235">
        <v>0.97199999999999998</v>
      </c>
      <c r="K47" s="235">
        <v>1.1020000000000001</v>
      </c>
      <c r="L47" s="235">
        <v>1.25</v>
      </c>
      <c r="M47" s="235">
        <v>1.25</v>
      </c>
      <c r="N47" s="235">
        <v>1.25</v>
      </c>
      <c r="O47" s="235">
        <v>1.25</v>
      </c>
      <c r="P47" s="235">
        <v>1.25</v>
      </c>
      <c r="Q47" s="235">
        <v>1.25</v>
      </c>
      <c r="R47" s="235">
        <v>1.25</v>
      </c>
      <c r="S47" s="318">
        <f t="shared" si="17"/>
        <v>54.925775089363718</v>
      </c>
      <c r="T47" s="319">
        <f t="shared" si="17"/>
        <v>261.74911364105225</v>
      </c>
      <c r="U47" s="319">
        <f t="shared" si="17"/>
        <v>82.040096630753951</v>
      </c>
      <c r="V47" s="320">
        <f t="shared" si="17"/>
        <v>90.659545661712784</v>
      </c>
      <c r="W47" s="248">
        <f t="shared" si="17"/>
        <v>92.254092957291817</v>
      </c>
      <c r="X47" s="321">
        <f t="shared" si="17"/>
        <v>115.93227311399691</v>
      </c>
      <c r="Y47" s="322">
        <f t="shared" si="17"/>
        <v>111.98156682027648</v>
      </c>
      <c r="Z47" s="322">
        <f t="shared" si="17"/>
        <v>113.37448559670784</v>
      </c>
      <c r="AA47" s="322">
        <f t="shared" si="17"/>
        <v>113.43012704174227</v>
      </c>
      <c r="AB47" s="322">
        <f t="shared" si="17"/>
        <v>100</v>
      </c>
      <c r="AC47" s="322">
        <f t="shared" si="17"/>
        <v>100</v>
      </c>
      <c r="AD47" s="322">
        <f t="shared" si="11"/>
        <v>100</v>
      </c>
      <c r="AE47" s="322">
        <f t="shared" si="11"/>
        <v>100</v>
      </c>
      <c r="AF47" s="322">
        <f t="shared" si="11"/>
        <v>100</v>
      </c>
      <c r="AG47" s="323">
        <f t="shared" si="11"/>
        <v>100</v>
      </c>
      <c r="AI47" s="247">
        <f t="shared" si="4"/>
        <v>0.43842300000000001</v>
      </c>
      <c r="AJ47" s="248">
        <f t="shared" si="5"/>
        <v>154.02112184056475</v>
      </c>
      <c r="AK47" s="249">
        <f t="shared" si="6"/>
        <v>104.00464906599296</v>
      </c>
    </row>
    <row r="48" spans="1:37">
      <c r="A48" s="185" t="s">
        <v>305</v>
      </c>
      <c r="B48" s="317" t="s">
        <v>295</v>
      </c>
      <c r="C48" s="233">
        <v>47.343487000000003</v>
      </c>
      <c r="D48" s="234">
        <v>45.682755999999998</v>
      </c>
      <c r="E48" s="235">
        <v>40.199104999999996</v>
      </c>
      <c r="F48" s="236">
        <v>38.030872000000002</v>
      </c>
      <c r="G48" s="237">
        <v>36.065201000000002</v>
      </c>
      <c r="H48" s="238">
        <v>31.369037999999996</v>
      </c>
      <c r="I48" s="239">
        <v>31.497945309801938</v>
      </c>
      <c r="J48" s="235">
        <v>31.861000000000001</v>
      </c>
      <c r="K48" s="235">
        <v>32.228000000000002</v>
      </c>
      <c r="L48" s="235">
        <v>32.6</v>
      </c>
      <c r="M48" s="235">
        <v>33</v>
      </c>
      <c r="N48" s="235">
        <v>33</v>
      </c>
      <c r="O48" s="235">
        <v>33</v>
      </c>
      <c r="P48" s="235">
        <v>33</v>
      </c>
      <c r="Q48" s="235">
        <v>33</v>
      </c>
      <c r="R48" s="235">
        <v>33</v>
      </c>
      <c r="S48" s="318">
        <f t="shared" si="17"/>
        <v>96.492165860110802</v>
      </c>
      <c r="T48" s="319">
        <f t="shared" si="17"/>
        <v>87.99623429024291</v>
      </c>
      <c r="U48" s="319">
        <f t="shared" si="17"/>
        <v>94.606265487751557</v>
      </c>
      <c r="V48" s="320">
        <f t="shared" si="17"/>
        <v>94.831380674100757</v>
      </c>
      <c r="W48" s="248">
        <f t="shared" si="17"/>
        <v>86.978686185611437</v>
      </c>
      <c r="X48" s="321">
        <f t="shared" si="17"/>
        <v>100.41093803961073</v>
      </c>
      <c r="Y48" s="322">
        <f t="shared" si="17"/>
        <v>101.15262975609105</v>
      </c>
      <c r="Z48" s="322">
        <f t="shared" si="17"/>
        <v>101.15187847211324</v>
      </c>
      <c r="AA48" s="322">
        <f t="shared" si="17"/>
        <v>101.15427578503164</v>
      </c>
      <c r="AB48" s="322">
        <f t="shared" si="17"/>
        <v>101.22699386503066</v>
      </c>
      <c r="AC48" s="322">
        <f t="shared" si="17"/>
        <v>100</v>
      </c>
      <c r="AD48" s="322">
        <f t="shared" si="11"/>
        <v>100</v>
      </c>
      <c r="AE48" s="322">
        <f t="shared" si="11"/>
        <v>100</v>
      </c>
      <c r="AF48" s="322">
        <f t="shared" si="11"/>
        <v>100</v>
      </c>
      <c r="AG48" s="323">
        <f t="shared" si="11"/>
        <v>100</v>
      </c>
      <c r="AI48" s="247">
        <f t="shared" si="4"/>
        <v>-3.0652010000000018</v>
      </c>
      <c r="AJ48" s="248">
        <f t="shared" si="5"/>
        <v>91.500945745456946</v>
      </c>
      <c r="AK48" s="249">
        <f t="shared" si="6"/>
        <v>99.195788697014763</v>
      </c>
    </row>
    <row r="49" spans="1:40">
      <c r="A49" s="185" t="s">
        <v>305</v>
      </c>
      <c r="B49" s="317" t="s">
        <v>296</v>
      </c>
      <c r="C49" s="233">
        <v>15.124018</v>
      </c>
      <c r="D49" s="234">
        <v>8.1322390000000002</v>
      </c>
      <c r="E49" s="235">
        <v>4.2546090000000003</v>
      </c>
      <c r="F49" s="236">
        <v>3.6654740000000006</v>
      </c>
      <c r="G49" s="237">
        <v>3.3868559999999999</v>
      </c>
      <c r="H49" s="238">
        <v>2.6270659999999997</v>
      </c>
      <c r="I49" s="239">
        <v>2.6390000000000002</v>
      </c>
      <c r="J49" s="235">
        <v>2.7989999999999999</v>
      </c>
      <c r="K49" s="235">
        <v>2.9689999999999999</v>
      </c>
      <c r="L49" s="235">
        <v>3.1500000000000004</v>
      </c>
      <c r="M49" s="235">
        <v>3.3180000000000001</v>
      </c>
      <c r="N49" s="235">
        <v>3.4950000000000001</v>
      </c>
      <c r="O49" s="235">
        <v>3.681</v>
      </c>
      <c r="P49" s="235">
        <v>3.8769999999999998</v>
      </c>
      <c r="Q49" s="235">
        <v>4.0830000000000002</v>
      </c>
      <c r="R49" s="235">
        <v>4.3</v>
      </c>
      <c r="S49" s="318">
        <f t="shared" si="17"/>
        <v>53.770360495471515</v>
      </c>
      <c r="T49" s="319">
        <f t="shared" si="17"/>
        <v>52.317805711317632</v>
      </c>
      <c r="U49" s="319">
        <f t="shared" si="17"/>
        <v>86.153016646183005</v>
      </c>
      <c r="V49" s="320">
        <f t="shared" si="17"/>
        <v>92.398854827506611</v>
      </c>
      <c r="W49" s="248">
        <f t="shared" si="17"/>
        <v>77.566510061248536</v>
      </c>
      <c r="X49" s="321">
        <f t="shared" si="17"/>
        <v>100.45427103848934</v>
      </c>
      <c r="Y49" s="322">
        <f t="shared" si="17"/>
        <v>106.06290261462674</v>
      </c>
      <c r="Z49" s="322">
        <f t="shared" si="17"/>
        <v>106.0735977134691</v>
      </c>
      <c r="AA49" s="322">
        <f t="shared" si="17"/>
        <v>106.09632873021222</v>
      </c>
      <c r="AB49" s="322">
        <f t="shared" si="17"/>
        <v>105.33333333333333</v>
      </c>
      <c r="AC49" s="322">
        <f t="shared" si="17"/>
        <v>105.33453887884268</v>
      </c>
      <c r="AD49" s="322">
        <f t="shared" si="11"/>
        <v>105.32188841201717</v>
      </c>
      <c r="AE49" s="322">
        <f t="shared" si="11"/>
        <v>105.32464004346645</v>
      </c>
      <c r="AF49" s="322">
        <f t="shared" si="11"/>
        <v>105.31338663915399</v>
      </c>
      <c r="AG49" s="323">
        <f t="shared" si="11"/>
        <v>105.3147195689444</v>
      </c>
      <c r="AI49" s="247">
        <f t="shared" si="4"/>
        <v>0.91314399999999996</v>
      </c>
      <c r="AJ49" s="248">
        <f t="shared" si="5"/>
        <v>126.9614060946199</v>
      </c>
      <c r="AK49" s="249">
        <f t="shared" si="6"/>
        <v>102.19383618493832</v>
      </c>
    </row>
    <row r="50" spans="1:40">
      <c r="A50" s="185" t="s">
        <v>305</v>
      </c>
      <c r="B50" s="317" t="s">
        <v>297</v>
      </c>
      <c r="C50" s="233">
        <v>8.1957630000000012</v>
      </c>
      <c r="D50" s="234">
        <v>5.4644529999999998</v>
      </c>
      <c r="E50" s="235">
        <v>4.8293759999999999</v>
      </c>
      <c r="F50" s="236">
        <v>4.2656690000000008</v>
      </c>
      <c r="G50" s="237">
        <v>4.6602869999999994</v>
      </c>
      <c r="H50" s="238">
        <v>3.3329110000000011</v>
      </c>
      <c r="I50" s="239">
        <v>3.3320752289279878</v>
      </c>
      <c r="J50" s="235">
        <v>3.6829999999999998</v>
      </c>
      <c r="K50" s="235">
        <v>4.0709999999999997</v>
      </c>
      <c r="L50" s="235">
        <v>4.5</v>
      </c>
      <c r="M50" s="235">
        <v>4.6529999999999996</v>
      </c>
      <c r="N50" s="235">
        <v>4.8109999999999999</v>
      </c>
      <c r="O50" s="235">
        <v>4.9749999999999996</v>
      </c>
      <c r="P50" s="235">
        <v>5.1440000000000001</v>
      </c>
      <c r="Q50" s="235">
        <v>5.319</v>
      </c>
      <c r="R50" s="235">
        <v>5.5</v>
      </c>
      <c r="S50" s="318">
        <f t="shared" si="17"/>
        <v>66.674121738268894</v>
      </c>
      <c r="T50" s="319">
        <f t="shared" si="17"/>
        <v>88.378031616339285</v>
      </c>
      <c r="U50" s="319">
        <f t="shared" si="17"/>
        <v>88.327539624166789</v>
      </c>
      <c r="V50" s="320">
        <f t="shared" si="17"/>
        <v>109.25102252425114</v>
      </c>
      <c r="W50" s="248">
        <f t="shared" si="17"/>
        <v>71.517290673299769</v>
      </c>
      <c r="X50" s="321">
        <f t="shared" si="17"/>
        <v>99.974923690671218</v>
      </c>
      <c r="Y50" s="322">
        <f t="shared" si="17"/>
        <v>110.53171813245386</v>
      </c>
      <c r="Z50" s="322">
        <f t="shared" si="17"/>
        <v>110.53489003529731</v>
      </c>
      <c r="AA50" s="322">
        <f t="shared" si="17"/>
        <v>110.5379513633014</v>
      </c>
      <c r="AB50" s="322">
        <f t="shared" si="17"/>
        <v>103.39999999999998</v>
      </c>
      <c r="AC50" s="322">
        <f t="shared" si="17"/>
        <v>103.39565871480767</v>
      </c>
      <c r="AD50" s="322">
        <f t="shared" si="11"/>
        <v>103.40885470796091</v>
      </c>
      <c r="AE50" s="322">
        <f t="shared" si="11"/>
        <v>103.39698492462313</v>
      </c>
      <c r="AF50" s="322">
        <f t="shared" si="11"/>
        <v>103.40202177293934</v>
      </c>
      <c r="AG50" s="323">
        <f t="shared" si="11"/>
        <v>103.40289528106787</v>
      </c>
      <c r="AI50" s="247">
        <f t="shared" si="4"/>
        <v>0.8397130000000006</v>
      </c>
      <c r="AJ50" s="248">
        <f t="shared" si="5"/>
        <v>118.01848255268401</v>
      </c>
      <c r="AK50" s="249">
        <f t="shared" si="6"/>
        <v>101.51749937553957</v>
      </c>
    </row>
    <row r="51" spans="1:40">
      <c r="A51" s="185" t="s">
        <v>305</v>
      </c>
      <c r="B51" s="317" t="s">
        <v>298</v>
      </c>
      <c r="C51" s="233">
        <v>5.5088449999999991</v>
      </c>
      <c r="D51" s="234">
        <v>1.1312579999999999</v>
      </c>
      <c r="E51" s="235">
        <v>0.23543300000000003</v>
      </c>
      <c r="F51" s="236">
        <v>0.23055599999999998</v>
      </c>
      <c r="G51" s="237">
        <v>0.14069300000000001</v>
      </c>
      <c r="H51" s="238">
        <v>0.18267699999999998</v>
      </c>
      <c r="I51" s="239">
        <v>0.23600000000000002</v>
      </c>
      <c r="J51" s="235">
        <v>0.30499999999999999</v>
      </c>
      <c r="K51" s="235">
        <v>0.34899999999999998</v>
      </c>
      <c r="L51" s="235">
        <v>0.4</v>
      </c>
      <c r="M51" s="235">
        <v>0.42799999999999999</v>
      </c>
      <c r="N51" s="235">
        <v>0.45800000000000002</v>
      </c>
      <c r="O51" s="235">
        <v>0.49</v>
      </c>
      <c r="P51" s="235">
        <v>0.52400000000000002</v>
      </c>
      <c r="Q51" s="235">
        <v>0.56100000000000005</v>
      </c>
      <c r="R51" s="235">
        <v>0.6</v>
      </c>
      <c r="S51" s="318">
        <f t="shared" si="17"/>
        <v>20.535302772178198</v>
      </c>
      <c r="T51" s="319">
        <f t="shared" si="17"/>
        <v>20.811609730052744</v>
      </c>
      <c r="U51" s="319">
        <f t="shared" si="17"/>
        <v>97.928497704230054</v>
      </c>
      <c r="V51" s="320">
        <f t="shared" si="17"/>
        <v>61.023352244140263</v>
      </c>
      <c r="W51" s="248">
        <f t="shared" si="17"/>
        <v>129.84085917565193</v>
      </c>
      <c r="X51" s="321">
        <f t="shared" si="17"/>
        <v>129.18977211143167</v>
      </c>
      <c r="Y51" s="322">
        <f t="shared" si="17"/>
        <v>129.23728813559322</v>
      </c>
      <c r="Z51" s="322">
        <f t="shared" si="17"/>
        <v>114.42622950819671</v>
      </c>
      <c r="AA51" s="322">
        <f t="shared" si="17"/>
        <v>114.61318051575932</v>
      </c>
      <c r="AB51" s="322">
        <f t="shared" si="17"/>
        <v>106.99999999999999</v>
      </c>
      <c r="AC51" s="322">
        <f t="shared" si="17"/>
        <v>107.00934579439254</v>
      </c>
      <c r="AD51" s="322">
        <f t="shared" si="11"/>
        <v>106.98689956331877</v>
      </c>
      <c r="AE51" s="322">
        <f t="shared" si="11"/>
        <v>106.9387755102041</v>
      </c>
      <c r="AF51" s="322">
        <f t="shared" si="11"/>
        <v>107.06106870229009</v>
      </c>
      <c r="AG51" s="323">
        <f t="shared" si="11"/>
        <v>106.951871657754</v>
      </c>
      <c r="AI51" s="247">
        <f t="shared" si="4"/>
        <v>0.45930699999999997</v>
      </c>
      <c r="AJ51" s="248">
        <f t="shared" si="5"/>
        <v>426.46044934716008</v>
      </c>
      <c r="AK51" s="249">
        <f t="shared" si="6"/>
        <v>114.09371081431338</v>
      </c>
    </row>
    <row r="52" spans="1:40">
      <c r="A52" s="185" t="s">
        <v>305</v>
      </c>
      <c r="B52" s="317" t="s">
        <v>299</v>
      </c>
      <c r="C52" s="233">
        <v>1.8271010000000001</v>
      </c>
      <c r="D52" s="234">
        <v>2.2546520000000001</v>
      </c>
      <c r="E52" s="235">
        <v>2.2899869999999996</v>
      </c>
      <c r="F52" s="236">
        <v>2.4209450000000001</v>
      </c>
      <c r="G52" s="237">
        <v>2.3397760000000001</v>
      </c>
      <c r="H52" s="238">
        <v>1.9099839999999999</v>
      </c>
      <c r="I52" s="239">
        <v>1.9220000000000002</v>
      </c>
      <c r="J52" s="235">
        <v>2.0979999999999999</v>
      </c>
      <c r="K52" s="235">
        <v>2.29</v>
      </c>
      <c r="L52" s="235">
        <v>2.5</v>
      </c>
      <c r="M52" s="235">
        <v>2.5</v>
      </c>
      <c r="N52" s="235">
        <v>2.5</v>
      </c>
      <c r="O52" s="235">
        <v>2.5</v>
      </c>
      <c r="P52" s="235">
        <v>2.5</v>
      </c>
      <c r="Q52" s="235">
        <v>2.5</v>
      </c>
      <c r="R52" s="235">
        <v>2.5</v>
      </c>
      <c r="S52" s="318">
        <f t="shared" si="17"/>
        <v>123.40051261533982</v>
      </c>
      <c r="T52" s="319">
        <f t="shared" si="17"/>
        <v>101.56720416277099</v>
      </c>
      <c r="U52" s="319">
        <f t="shared" si="17"/>
        <v>105.718722420695</v>
      </c>
      <c r="V52" s="320">
        <f t="shared" si="17"/>
        <v>96.647218338293513</v>
      </c>
      <c r="W52" s="248">
        <f t="shared" si="17"/>
        <v>81.63106211876692</v>
      </c>
      <c r="X52" s="321">
        <f t="shared" si="17"/>
        <v>100.62911521771912</v>
      </c>
      <c r="Y52" s="322">
        <f t="shared" si="17"/>
        <v>109.15712799167532</v>
      </c>
      <c r="Z52" s="322">
        <f t="shared" si="17"/>
        <v>109.15157292659676</v>
      </c>
      <c r="AA52" s="322">
        <f t="shared" si="17"/>
        <v>109.17030567685589</v>
      </c>
      <c r="AB52" s="322">
        <f t="shared" si="17"/>
        <v>100</v>
      </c>
      <c r="AC52" s="322">
        <f t="shared" si="17"/>
        <v>100</v>
      </c>
      <c r="AD52" s="322">
        <f t="shared" si="11"/>
        <v>100</v>
      </c>
      <c r="AE52" s="322">
        <f t="shared" si="11"/>
        <v>100</v>
      </c>
      <c r="AF52" s="322">
        <f t="shared" si="11"/>
        <v>100</v>
      </c>
      <c r="AG52" s="323">
        <f t="shared" si="11"/>
        <v>100</v>
      </c>
      <c r="AI52" s="247">
        <f t="shared" si="4"/>
        <v>0.16022399999999992</v>
      </c>
      <c r="AJ52" s="248">
        <f t="shared" si="5"/>
        <v>106.84783500642796</v>
      </c>
      <c r="AK52" s="249">
        <f t="shared" si="6"/>
        <v>100.60395772875891</v>
      </c>
    </row>
    <row r="53" spans="1:40">
      <c r="A53" s="185" t="s">
        <v>305</v>
      </c>
      <c r="B53" s="317" t="s">
        <v>300</v>
      </c>
      <c r="C53" s="233">
        <v>31.782959999999999</v>
      </c>
      <c r="D53" s="234">
        <v>23.323146000000001</v>
      </c>
      <c r="E53" s="235">
        <v>24.729252000000002</v>
      </c>
      <c r="F53" s="236">
        <v>29.946729999999999</v>
      </c>
      <c r="G53" s="237">
        <v>35.276640999999998</v>
      </c>
      <c r="H53" s="238">
        <v>34.480447999999996</v>
      </c>
      <c r="I53" s="239">
        <v>34.492646227691374</v>
      </c>
      <c r="J53" s="235">
        <v>35.149000000000001</v>
      </c>
      <c r="K53" s="235">
        <v>35.817999999999998</v>
      </c>
      <c r="L53" s="235">
        <v>36.5</v>
      </c>
      <c r="M53" s="235">
        <v>37.061</v>
      </c>
      <c r="N53" s="235">
        <v>37.631</v>
      </c>
      <c r="O53" s="235">
        <v>38.21</v>
      </c>
      <c r="P53" s="235">
        <v>38.798000000000002</v>
      </c>
      <c r="Q53" s="235">
        <v>39.395000000000003</v>
      </c>
      <c r="R53" s="235">
        <v>40</v>
      </c>
      <c r="S53" s="318">
        <f t="shared" si="17"/>
        <v>73.382548384417305</v>
      </c>
      <c r="T53" s="319">
        <f t="shared" si="17"/>
        <v>106.0288007458342</v>
      </c>
      <c r="U53" s="319">
        <f t="shared" si="17"/>
        <v>121.09840604964515</v>
      </c>
      <c r="V53" s="320">
        <f t="shared" si="17"/>
        <v>117.79797326786596</v>
      </c>
      <c r="W53" s="248">
        <f t="shared" si="17"/>
        <v>97.743002231986878</v>
      </c>
      <c r="X53" s="321">
        <f t="shared" si="17"/>
        <v>100.03537723086249</v>
      </c>
      <c r="Y53" s="322">
        <f t="shared" si="17"/>
        <v>101.90288030664836</v>
      </c>
      <c r="Z53" s="322">
        <f t="shared" si="17"/>
        <v>101.90332584141795</v>
      </c>
      <c r="AA53" s="322">
        <f t="shared" si="17"/>
        <v>101.90407057903847</v>
      </c>
      <c r="AB53" s="322">
        <f t="shared" si="17"/>
        <v>101.53698630136986</v>
      </c>
      <c r="AC53" s="322">
        <f t="shared" si="17"/>
        <v>101.53800491082269</v>
      </c>
      <c r="AD53" s="322">
        <f t="shared" si="11"/>
        <v>101.53862506975632</v>
      </c>
      <c r="AE53" s="322">
        <f t="shared" si="11"/>
        <v>101.5388641716828</v>
      </c>
      <c r="AF53" s="322">
        <f t="shared" si="11"/>
        <v>101.53873911026341</v>
      </c>
      <c r="AG53" s="323">
        <f t="shared" si="11"/>
        <v>101.53572788424927</v>
      </c>
      <c r="AI53" s="247">
        <f t="shared" si="4"/>
        <v>4.7233590000000021</v>
      </c>
      <c r="AJ53" s="248">
        <f t="shared" si="5"/>
        <v>113.38948059142027</v>
      </c>
      <c r="AK53" s="249">
        <f t="shared" si="6"/>
        <v>101.14889915721936</v>
      </c>
    </row>
    <row r="54" spans="1:40">
      <c r="A54" s="185" t="s">
        <v>305</v>
      </c>
      <c r="B54" s="317" t="s">
        <v>301</v>
      </c>
      <c r="C54" s="233">
        <v>2.5232360000000003</v>
      </c>
      <c r="D54" s="234">
        <v>2.3843049999999999</v>
      </c>
      <c r="E54" s="235">
        <v>4.3485100000000001</v>
      </c>
      <c r="F54" s="236">
        <v>4.16683</v>
      </c>
      <c r="G54" s="237">
        <v>3.283839</v>
      </c>
      <c r="H54" s="238">
        <v>2.7242789999999997</v>
      </c>
      <c r="I54" s="239">
        <v>3.2069999999999999</v>
      </c>
      <c r="J54" s="235">
        <v>3.5640000000000001</v>
      </c>
      <c r="K54" s="235">
        <v>3.96</v>
      </c>
      <c r="L54" s="235">
        <v>4.4000000000000004</v>
      </c>
      <c r="M54" s="235">
        <v>4.6959999999999997</v>
      </c>
      <c r="N54" s="235">
        <v>5.0119999999999996</v>
      </c>
      <c r="O54" s="235">
        <v>5.3490000000000002</v>
      </c>
      <c r="P54" s="235">
        <v>5.7080000000000002</v>
      </c>
      <c r="Q54" s="235">
        <v>6.0919999999999996</v>
      </c>
      <c r="R54" s="235">
        <v>6.5</v>
      </c>
      <c r="S54" s="318">
        <f t="shared" si="17"/>
        <v>94.49393556528203</v>
      </c>
      <c r="T54" s="319">
        <f t="shared" si="17"/>
        <v>182.38060986325158</v>
      </c>
      <c r="U54" s="319">
        <f t="shared" si="17"/>
        <v>95.822017196694958</v>
      </c>
      <c r="V54" s="320">
        <f t="shared" si="17"/>
        <v>78.809046685369935</v>
      </c>
      <c r="W54" s="248">
        <f t="shared" si="17"/>
        <v>82.960187755855259</v>
      </c>
      <c r="X54" s="321">
        <f t="shared" si="17"/>
        <v>117.71922038822015</v>
      </c>
      <c r="Y54" s="322">
        <f t="shared" si="17"/>
        <v>111.13189897100095</v>
      </c>
      <c r="Z54" s="322">
        <f t="shared" si="17"/>
        <v>111.11111111111111</v>
      </c>
      <c r="AA54" s="322">
        <f t="shared" si="17"/>
        <v>111.11111111111111</v>
      </c>
      <c r="AB54" s="322">
        <f t="shared" si="17"/>
        <v>106.72727272727272</v>
      </c>
      <c r="AC54" s="322">
        <f t="shared" si="17"/>
        <v>106.72913117546847</v>
      </c>
      <c r="AD54" s="322">
        <f t="shared" si="11"/>
        <v>106.72386272944934</v>
      </c>
      <c r="AE54" s="322">
        <f t="shared" si="11"/>
        <v>106.71153486633015</v>
      </c>
      <c r="AF54" s="322">
        <f t="shared" si="11"/>
        <v>106.72740014015416</v>
      </c>
      <c r="AG54" s="323">
        <f t="shared" si="11"/>
        <v>106.6973079448457</v>
      </c>
      <c r="AI54" s="247">
        <f t="shared" si="4"/>
        <v>3.216161</v>
      </c>
      <c r="AJ54" s="248">
        <f t="shared" si="5"/>
        <v>197.93905852266204</v>
      </c>
      <c r="AK54" s="249">
        <f t="shared" si="6"/>
        <v>106.40386637519545</v>
      </c>
    </row>
    <row r="55" spans="1:40">
      <c r="A55" s="185" t="s">
        <v>305</v>
      </c>
      <c r="B55" s="324" t="s">
        <v>302</v>
      </c>
      <c r="C55" s="252">
        <v>22.093454999999999</v>
      </c>
      <c r="D55" s="253">
        <v>14.826936999999999</v>
      </c>
      <c r="E55" s="254">
        <v>14.141537000000005</v>
      </c>
      <c r="F55" s="255">
        <v>14.189332</v>
      </c>
      <c r="G55" s="256">
        <v>11.316771999999998</v>
      </c>
      <c r="H55" s="257">
        <v>9.8501530000000006</v>
      </c>
      <c r="I55" s="258">
        <v>10.042999999999999</v>
      </c>
      <c r="J55" s="254">
        <v>10.5</v>
      </c>
      <c r="K55" s="254">
        <v>13.949</v>
      </c>
      <c r="L55" s="254">
        <v>16.7</v>
      </c>
      <c r="M55" s="254">
        <v>17.481000000000002</v>
      </c>
      <c r="N55" s="254">
        <v>18.297999999999998</v>
      </c>
      <c r="O55" s="254">
        <v>19.154</v>
      </c>
      <c r="P55" s="254">
        <v>20.05</v>
      </c>
      <c r="Q55" s="254">
        <v>20.988</v>
      </c>
      <c r="R55" s="254">
        <v>21.969000000000001</v>
      </c>
      <c r="S55" s="325">
        <f t="shared" si="17"/>
        <v>67.11008758023587</v>
      </c>
      <c r="T55" s="326">
        <f t="shared" si="17"/>
        <v>95.377332486136595</v>
      </c>
      <c r="U55" s="326">
        <f t="shared" si="17"/>
        <v>100.33797599228427</v>
      </c>
      <c r="V55" s="327">
        <f t="shared" si="17"/>
        <v>79.755495184692265</v>
      </c>
      <c r="W55" s="267">
        <f t="shared" si="17"/>
        <v>87.040306193320873</v>
      </c>
      <c r="X55" s="328">
        <f t="shared" si="17"/>
        <v>101.95780715284319</v>
      </c>
      <c r="Y55" s="329">
        <f t="shared" si="17"/>
        <v>104.55043313750872</v>
      </c>
      <c r="Z55" s="329">
        <f t="shared" si="17"/>
        <v>132.84761904761905</v>
      </c>
      <c r="AA55" s="329">
        <f t="shared" si="17"/>
        <v>119.72184385977489</v>
      </c>
      <c r="AB55" s="329">
        <f t="shared" si="17"/>
        <v>104.67664670658685</v>
      </c>
      <c r="AC55" s="329">
        <f t="shared" si="17"/>
        <v>104.67364567244435</v>
      </c>
      <c r="AD55" s="329">
        <f t="shared" si="11"/>
        <v>104.67810689692865</v>
      </c>
      <c r="AE55" s="329">
        <f t="shared" si="11"/>
        <v>104.67787407330063</v>
      </c>
      <c r="AF55" s="329">
        <f t="shared" si="11"/>
        <v>104.6783042394015</v>
      </c>
      <c r="AG55" s="330">
        <f t="shared" si="11"/>
        <v>104.67409948542026</v>
      </c>
      <c r="AI55" s="266">
        <f t="shared" si="4"/>
        <v>10.652228000000003</v>
      </c>
      <c r="AJ55" s="267">
        <f t="shared" si="5"/>
        <v>194.12779545262558</v>
      </c>
      <c r="AK55" s="268">
        <f t="shared" si="6"/>
        <v>106.21596349055018</v>
      </c>
    </row>
    <row r="56" spans="1:40" ht="15" thickBot="1">
      <c r="A56" s="185" t="s">
        <v>305</v>
      </c>
      <c r="B56" s="331" t="s">
        <v>303</v>
      </c>
      <c r="C56" s="270">
        <v>10.846075000000001</v>
      </c>
      <c r="D56" s="271">
        <v>5.5644729999999996</v>
      </c>
      <c r="E56" s="272">
        <v>6.7519080000000002</v>
      </c>
      <c r="F56" s="273">
        <v>7.2814229999999993</v>
      </c>
      <c r="G56" s="274">
        <v>5.9429129999999999</v>
      </c>
      <c r="H56" s="275">
        <v>5.8016160000000001</v>
      </c>
      <c r="I56" s="276">
        <v>6.2889999999999997</v>
      </c>
      <c r="J56" s="272">
        <v>6.6680000000000001</v>
      </c>
      <c r="K56" s="272">
        <v>9.33</v>
      </c>
      <c r="L56" s="272">
        <v>12.4</v>
      </c>
      <c r="M56" s="272">
        <v>13.015000000000001</v>
      </c>
      <c r="N56" s="272">
        <v>13.661</v>
      </c>
      <c r="O56" s="272">
        <v>14.339</v>
      </c>
      <c r="P56" s="272">
        <v>15.05</v>
      </c>
      <c r="Q56" s="272">
        <v>15.797000000000001</v>
      </c>
      <c r="R56" s="272">
        <v>16.579999999999998</v>
      </c>
      <c r="S56" s="332">
        <f>D56/C56*100</f>
        <v>51.304024727839327</v>
      </c>
      <c r="T56" s="333">
        <f>E56/D56*100</f>
        <v>121.33957699138807</v>
      </c>
      <c r="U56" s="333">
        <f t="shared" si="17"/>
        <v>107.84244986750411</v>
      </c>
      <c r="V56" s="334">
        <f t="shared" si="17"/>
        <v>81.617466805595569</v>
      </c>
      <c r="W56" s="285">
        <f t="shared" si="17"/>
        <v>97.622428596885072</v>
      </c>
      <c r="X56" s="335">
        <f t="shared" si="17"/>
        <v>108.40083176825215</v>
      </c>
      <c r="Y56" s="336">
        <f t="shared" si="17"/>
        <v>106.02639529336939</v>
      </c>
      <c r="Z56" s="336">
        <f t="shared" si="17"/>
        <v>139.92201559688061</v>
      </c>
      <c r="AA56" s="336">
        <f t="shared" si="17"/>
        <v>132.90460878885318</v>
      </c>
      <c r="AB56" s="336">
        <f t="shared" si="17"/>
        <v>104.95967741935483</v>
      </c>
      <c r="AC56" s="336">
        <f t="shared" si="17"/>
        <v>104.96350364963503</v>
      </c>
      <c r="AD56" s="336">
        <f t="shared" si="11"/>
        <v>104.9630334528951</v>
      </c>
      <c r="AE56" s="336">
        <f t="shared" si="11"/>
        <v>104.95850477718112</v>
      </c>
      <c r="AF56" s="336">
        <f t="shared" si="11"/>
        <v>104.96345514950166</v>
      </c>
      <c r="AG56" s="337">
        <f t="shared" si="11"/>
        <v>104.95663733620306</v>
      </c>
      <c r="AI56" s="284">
        <f t="shared" si="4"/>
        <v>10.637086999999998</v>
      </c>
      <c r="AJ56" s="285">
        <f t="shared" si="5"/>
        <v>278.9877623986755</v>
      </c>
      <c r="AK56" s="286">
        <f t="shared" si="6"/>
        <v>109.7760857544108</v>
      </c>
    </row>
    <row r="57" spans="1:40">
      <c r="A57" s="185" t="s">
        <v>306</v>
      </c>
      <c r="B57" s="303" t="s">
        <v>306</v>
      </c>
      <c r="C57" s="199">
        <f t="shared" ref="C57:E57" si="19">SUM(C59:C68)</f>
        <v>139.76361499999999</v>
      </c>
      <c r="D57" s="200">
        <f t="shared" si="19"/>
        <v>124.42579400000002</v>
      </c>
      <c r="E57" s="201">
        <f t="shared" si="19"/>
        <v>125.27876999999999</v>
      </c>
      <c r="F57" s="202">
        <f>SUM(F59:F68)</f>
        <v>113.78896499999999</v>
      </c>
      <c r="G57" s="203">
        <f t="shared" ref="G57:R57" si="20">SUM(G59:G68)</f>
        <v>112.77113900000001</v>
      </c>
      <c r="H57" s="204">
        <f t="shared" si="20"/>
        <v>127.013733</v>
      </c>
      <c r="I57" s="205">
        <f t="shared" si="20"/>
        <v>129.75291620053417</v>
      </c>
      <c r="J57" s="201">
        <f t="shared" si="20"/>
        <v>131.70599999999996</v>
      </c>
      <c r="K57" s="201">
        <f t="shared" si="20"/>
        <v>133.75399999999999</v>
      </c>
      <c r="L57" s="201">
        <f t="shared" si="20"/>
        <v>135.905</v>
      </c>
      <c r="M57" s="201">
        <f t="shared" si="20"/>
        <v>137.625</v>
      </c>
      <c r="N57" s="201">
        <f t="shared" si="20"/>
        <v>139.38200000000001</v>
      </c>
      <c r="O57" s="201">
        <f t="shared" si="20"/>
        <v>141.17599999999999</v>
      </c>
      <c r="P57" s="201">
        <f t="shared" si="20"/>
        <v>143.01</v>
      </c>
      <c r="Q57" s="201">
        <f t="shared" si="20"/>
        <v>144.88499999999999</v>
      </c>
      <c r="R57" s="201">
        <f t="shared" si="20"/>
        <v>146.79999999999998</v>
      </c>
      <c r="S57" s="304">
        <f t="shared" si="17"/>
        <v>89.025884168780294</v>
      </c>
      <c r="T57" s="305">
        <f t="shared" si="17"/>
        <v>100.68552988297586</v>
      </c>
      <c r="U57" s="305">
        <f t="shared" si="17"/>
        <v>90.82860966786312</v>
      </c>
      <c r="V57" s="306">
        <f t="shared" si="17"/>
        <v>99.10551431766693</v>
      </c>
      <c r="W57" s="288">
        <f t="shared" si="17"/>
        <v>112.6296445405238</v>
      </c>
      <c r="X57" s="307">
        <f t="shared" si="17"/>
        <v>102.15660396386757</v>
      </c>
      <c r="Y57" s="308">
        <f t="shared" si="17"/>
        <v>101.50523306655188</v>
      </c>
      <c r="Z57" s="308">
        <f t="shared" si="17"/>
        <v>101.55497851274811</v>
      </c>
      <c r="AA57" s="308">
        <f t="shared" si="17"/>
        <v>101.60817620407614</v>
      </c>
      <c r="AB57" s="308">
        <f t="shared" si="17"/>
        <v>101.26558993414518</v>
      </c>
      <c r="AC57" s="308">
        <f t="shared" si="17"/>
        <v>101.27665758401454</v>
      </c>
      <c r="AD57" s="308">
        <f t="shared" si="11"/>
        <v>101.28711024379042</v>
      </c>
      <c r="AE57" s="308">
        <f t="shared" si="11"/>
        <v>101.29908766362554</v>
      </c>
      <c r="AF57" s="308">
        <f t="shared" si="11"/>
        <v>101.31109712607508</v>
      </c>
      <c r="AG57" s="309">
        <f t="shared" si="11"/>
        <v>101.32173793008248</v>
      </c>
      <c r="AI57" s="287">
        <f t="shared" si="4"/>
        <v>34.028860999999978</v>
      </c>
      <c r="AJ57" s="288">
        <f t="shared" si="5"/>
        <v>130.17515057642538</v>
      </c>
      <c r="AK57" s="215">
        <f t="shared" si="6"/>
        <v>102.42633765958773</v>
      </c>
    </row>
    <row r="58" spans="1:40">
      <c r="A58" s="185" t="s">
        <v>306</v>
      </c>
      <c r="B58" s="310" t="s">
        <v>292</v>
      </c>
      <c r="C58" s="289">
        <f t="shared" ref="C58:R58" si="21">C57-C59</f>
        <v>95.840649999999982</v>
      </c>
      <c r="D58" s="290">
        <f t="shared" si="21"/>
        <v>86.126961000000023</v>
      </c>
      <c r="E58" s="291">
        <f t="shared" si="21"/>
        <v>93.699038000000002</v>
      </c>
      <c r="F58" s="292">
        <f t="shared" si="21"/>
        <v>96.710141999999991</v>
      </c>
      <c r="G58" s="293">
        <f t="shared" si="21"/>
        <v>92.247780000000006</v>
      </c>
      <c r="H58" s="294">
        <f t="shared" si="21"/>
        <v>99.839004000000003</v>
      </c>
      <c r="I58" s="295">
        <f t="shared" si="21"/>
        <v>102.44973447090557</v>
      </c>
      <c r="J58" s="291">
        <f t="shared" si="21"/>
        <v>104.17199999999997</v>
      </c>
      <c r="K58" s="291">
        <f t="shared" si="21"/>
        <v>105.988</v>
      </c>
      <c r="L58" s="291">
        <f t="shared" si="21"/>
        <v>107.905</v>
      </c>
      <c r="M58" s="291">
        <f t="shared" si="21"/>
        <v>109.301</v>
      </c>
      <c r="N58" s="291">
        <f t="shared" si="21"/>
        <v>110.73</v>
      </c>
      <c r="O58" s="291">
        <f t="shared" si="21"/>
        <v>112.19299999999998</v>
      </c>
      <c r="P58" s="291">
        <f t="shared" si="21"/>
        <v>113.69199999999999</v>
      </c>
      <c r="Q58" s="291">
        <f t="shared" si="21"/>
        <v>115.22799999999999</v>
      </c>
      <c r="R58" s="291">
        <f t="shared" si="21"/>
        <v>116.79999999999998</v>
      </c>
      <c r="S58" s="311">
        <f t="shared" si="17"/>
        <v>89.864750499918387</v>
      </c>
      <c r="T58" s="312">
        <f t="shared" si="17"/>
        <v>108.79176150195289</v>
      </c>
      <c r="U58" s="312">
        <f t="shared" si="17"/>
        <v>103.21359115768081</v>
      </c>
      <c r="V58" s="313">
        <f t="shared" si="17"/>
        <v>95.38583864347963</v>
      </c>
      <c r="W58" s="214">
        <f t="shared" si="17"/>
        <v>108.22916714093283</v>
      </c>
      <c r="X58" s="314">
        <f t="shared" si="17"/>
        <v>102.61494042038477</v>
      </c>
      <c r="Y58" s="315">
        <f t="shared" si="17"/>
        <v>101.68108344837488</v>
      </c>
      <c r="Z58" s="315">
        <f t="shared" si="17"/>
        <v>101.74327074453791</v>
      </c>
      <c r="AA58" s="315">
        <f t="shared" si="17"/>
        <v>101.80869532399895</v>
      </c>
      <c r="AB58" s="315">
        <f t="shared" si="17"/>
        <v>101.29373059635792</v>
      </c>
      <c r="AC58" s="315">
        <f t="shared" si="17"/>
        <v>101.3073988344114</v>
      </c>
      <c r="AD58" s="315">
        <f t="shared" si="11"/>
        <v>101.32123182516028</v>
      </c>
      <c r="AE58" s="315">
        <f t="shared" si="11"/>
        <v>101.33609048692878</v>
      </c>
      <c r="AF58" s="315">
        <f t="shared" si="11"/>
        <v>101.35101854132218</v>
      </c>
      <c r="AG58" s="316">
        <f t="shared" si="11"/>
        <v>101.36425174436768</v>
      </c>
      <c r="AI58" s="213">
        <f t="shared" si="4"/>
        <v>24.552219999999977</v>
      </c>
      <c r="AJ58" s="214">
        <f t="shared" si="5"/>
        <v>126.61551313213171</v>
      </c>
      <c r="AK58" s="231">
        <f t="shared" si="6"/>
        <v>102.16849421139487</v>
      </c>
    </row>
    <row r="59" spans="1:40">
      <c r="A59" s="185" t="s">
        <v>306</v>
      </c>
      <c r="B59" s="317" t="s">
        <v>293</v>
      </c>
      <c r="C59" s="233">
        <v>43.922965000000005</v>
      </c>
      <c r="D59" s="234">
        <v>38.298833000000002</v>
      </c>
      <c r="E59" s="235">
        <v>31.579732</v>
      </c>
      <c r="F59" s="236">
        <v>17.078823</v>
      </c>
      <c r="G59" s="237">
        <v>20.523358999999999</v>
      </c>
      <c r="H59" s="238">
        <v>27.174728999999999</v>
      </c>
      <c r="I59" s="239">
        <v>27.303181729628601</v>
      </c>
      <c r="J59" s="235">
        <v>27.533999999999999</v>
      </c>
      <c r="K59" s="235">
        <v>27.765999999999998</v>
      </c>
      <c r="L59" s="235">
        <v>28</v>
      </c>
      <c r="M59" s="235">
        <v>28.324000000000002</v>
      </c>
      <c r="N59" s="235">
        <v>28.652000000000001</v>
      </c>
      <c r="O59" s="235">
        <v>28.983000000000001</v>
      </c>
      <c r="P59" s="235">
        <v>29.318000000000001</v>
      </c>
      <c r="Q59" s="235">
        <v>29.657</v>
      </c>
      <c r="R59" s="235">
        <v>30</v>
      </c>
      <c r="S59" s="318">
        <f t="shared" si="17"/>
        <v>87.195463694220081</v>
      </c>
      <c r="T59" s="319">
        <f t="shared" si="17"/>
        <v>82.456120790938982</v>
      </c>
      <c r="U59" s="319">
        <f t="shared" si="17"/>
        <v>54.081595752617531</v>
      </c>
      <c r="V59" s="320">
        <f t="shared" si="17"/>
        <v>120.16846242858772</v>
      </c>
      <c r="W59" s="248">
        <f t="shared" si="17"/>
        <v>132.40877869943219</v>
      </c>
      <c r="X59" s="321">
        <f t="shared" si="17"/>
        <v>100.47269185142049</v>
      </c>
      <c r="Y59" s="322">
        <f t="shared" si="17"/>
        <v>100.84538964233944</v>
      </c>
      <c r="Z59" s="322">
        <f t="shared" si="17"/>
        <v>100.84259461029998</v>
      </c>
      <c r="AA59" s="322">
        <f t="shared" si="17"/>
        <v>100.84275732910754</v>
      </c>
      <c r="AB59" s="322">
        <f t="shared" si="17"/>
        <v>101.15714285714286</v>
      </c>
      <c r="AC59" s="322">
        <f t="shared" si="17"/>
        <v>101.15802852704421</v>
      </c>
      <c r="AD59" s="322">
        <f t="shared" si="11"/>
        <v>101.15524221694821</v>
      </c>
      <c r="AE59" s="322">
        <f t="shared" si="11"/>
        <v>101.15584998102337</v>
      </c>
      <c r="AF59" s="322">
        <f t="shared" si="11"/>
        <v>101.15628624053481</v>
      </c>
      <c r="AG59" s="323">
        <f t="shared" si="11"/>
        <v>101.15655663081229</v>
      </c>
      <c r="AI59" s="247">
        <f t="shared" si="4"/>
        <v>9.4766410000000008</v>
      </c>
      <c r="AJ59" s="248">
        <f t="shared" si="5"/>
        <v>146.17490246114198</v>
      </c>
      <c r="AK59" s="249">
        <f t="shared" si="6"/>
        <v>103.51146078403757</v>
      </c>
      <c r="AL59" s="338"/>
      <c r="AN59" s="338"/>
    </row>
    <row r="60" spans="1:40">
      <c r="A60" s="185" t="s">
        <v>306</v>
      </c>
      <c r="B60" s="317" t="s">
        <v>294</v>
      </c>
      <c r="C60" s="233">
        <v>3.3087080000000002</v>
      </c>
      <c r="D60" s="234">
        <v>2.167081</v>
      </c>
      <c r="E60" s="235">
        <v>1.4851669999999999</v>
      </c>
      <c r="F60" s="236">
        <v>1.7906689999999998</v>
      </c>
      <c r="G60" s="237">
        <v>1.159675</v>
      </c>
      <c r="H60" s="238">
        <v>0.85860099999999995</v>
      </c>
      <c r="I60" s="239">
        <v>0.91999999999999993</v>
      </c>
      <c r="J60" s="235">
        <v>0.96599999999999997</v>
      </c>
      <c r="K60" s="235">
        <v>1.014</v>
      </c>
      <c r="L60" s="235">
        <v>1.0649999999999999</v>
      </c>
      <c r="M60" s="235">
        <v>1.071</v>
      </c>
      <c r="N60" s="235">
        <v>1.077</v>
      </c>
      <c r="O60" s="235">
        <v>1.083</v>
      </c>
      <c r="P60" s="235">
        <v>1.089</v>
      </c>
      <c r="Q60" s="235">
        <v>1.095</v>
      </c>
      <c r="R60" s="235">
        <v>1.1000000000000001</v>
      </c>
      <c r="S60" s="318">
        <f t="shared" si="17"/>
        <v>65.496290394921516</v>
      </c>
      <c r="T60" s="319">
        <f t="shared" si="17"/>
        <v>68.533063600299187</v>
      </c>
      <c r="U60" s="319">
        <f t="shared" si="17"/>
        <v>120.57021196942834</v>
      </c>
      <c r="V60" s="320">
        <f t="shared" si="17"/>
        <v>64.762108463373195</v>
      </c>
      <c r="W60" s="248">
        <f t="shared" si="17"/>
        <v>74.03807101127471</v>
      </c>
      <c r="X60" s="321">
        <f t="shared" si="17"/>
        <v>107.15105153616173</v>
      </c>
      <c r="Y60" s="322">
        <f t="shared" si="17"/>
        <v>105</v>
      </c>
      <c r="Z60" s="322">
        <f t="shared" si="17"/>
        <v>104.96894409937889</v>
      </c>
      <c r="AA60" s="322">
        <f t="shared" si="17"/>
        <v>105.02958579881656</v>
      </c>
      <c r="AB60" s="322">
        <f t="shared" si="17"/>
        <v>100.56338028169014</v>
      </c>
      <c r="AC60" s="322">
        <f t="shared" si="17"/>
        <v>100.56022408963585</v>
      </c>
      <c r="AD60" s="322">
        <f t="shared" si="11"/>
        <v>100.55710306406684</v>
      </c>
      <c r="AE60" s="322">
        <f t="shared" si="11"/>
        <v>100.55401662049861</v>
      </c>
      <c r="AF60" s="322">
        <f t="shared" si="11"/>
        <v>100.55096418732784</v>
      </c>
      <c r="AG60" s="323">
        <f t="shared" si="11"/>
        <v>100.45662100456623</v>
      </c>
      <c r="AI60" s="247">
        <f t="shared" si="4"/>
        <v>-5.9674999999999923E-2</v>
      </c>
      <c r="AJ60" s="248">
        <f t="shared" si="5"/>
        <v>94.854161726345751</v>
      </c>
      <c r="AK60" s="249">
        <f t="shared" si="6"/>
        <v>99.52088223355544</v>
      </c>
      <c r="AN60" s="338"/>
    </row>
    <row r="61" spans="1:40">
      <c r="A61" s="185" t="s">
        <v>306</v>
      </c>
      <c r="B61" s="317" t="s">
        <v>295</v>
      </c>
      <c r="C61" s="233">
        <v>34.433591999999997</v>
      </c>
      <c r="D61" s="234">
        <v>32.308630999999998</v>
      </c>
      <c r="E61" s="235">
        <v>34.162089000000002</v>
      </c>
      <c r="F61" s="236">
        <v>34.318221999999992</v>
      </c>
      <c r="G61" s="237">
        <v>30.454018000000001</v>
      </c>
      <c r="H61" s="238">
        <v>33.013435999999999</v>
      </c>
      <c r="I61" s="239">
        <v>34.229217380873799</v>
      </c>
      <c r="J61" s="235">
        <v>34.292999999999999</v>
      </c>
      <c r="K61" s="235">
        <v>34.356999999999999</v>
      </c>
      <c r="L61" s="235">
        <v>34.419999999999995</v>
      </c>
      <c r="M61" s="235">
        <v>34.597999999999999</v>
      </c>
      <c r="N61" s="235">
        <v>34.777000000000001</v>
      </c>
      <c r="O61" s="235">
        <v>34.957000000000001</v>
      </c>
      <c r="P61" s="235">
        <v>35.137</v>
      </c>
      <c r="Q61" s="235">
        <v>35.317999999999998</v>
      </c>
      <c r="R61" s="235">
        <v>35.5</v>
      </c>
      <c r="S61" s="318">
        <f t="shared" si="17"/>
        <v>93.828814025559694</v>
      </c>
      <c r="T61" s="319">
        <f t="shared" si="17"/>
        <v>105.73672713028294</v>
      </c>
      <c r="U61" s="319">
        <f t="shared" si="17"/>
        <v>100.45703586803485</v>
      </c>
      <c r="V61" s="320">
        <f t="shared" si="17"/>
        <v>88.740080998368768</v>
      </c>
      <c r="W61" s="248">
        <f t="shared" si="17"/>
        <v>108.40420466028489</v>
      </c>
      <c r="X61" s="321">
        <f t="shared" si="17"/>
        <v>103.68268659122243</v>
      </c>
      <c r="Y61" s="322">
        <f t="shared" si="17"/>
        <v>100.18633969458455</v>
      </c>
      <c r="Z61" s="322">
        <f t="shared" si="17"/>
        <v>100.18662700842738</v>
      </c>
      <c r="AA61" s="322">
        <f t="shared" si="17"/>
        <v>100.18336874581597</v>
      </c>
      <c r="AB61" s="322">
        <f t="shared" si="17"/>
        <v>100.51714119697851</v>
      </c>
      <c r="AC61" s="322">
        <f t="shared" si="17"/>
        <v>100.51737094629749</v>
      </c>
      <c r="AD61" s="322">
        <f t="shared" si="11"/>
        <v>100.51758346033297</v>
      </c>
      <c r="AE61" s="322">
        <f t="shared" si="11"/>
        <v>100.51491832823183</v>
      </c>
      <c r="AF61" s="322">
        <f t="shared" si="11"/>
        <v>100.51512650482397</v>
      </c>
      <c r="AG61" s="323">
        <f t="shared" si="11"/>
        <v>100.51531796817488</v>
      </c>
      <c r="AI61" s="247">
        <f t="shared" si="4"/>
        <v>5.0459819999999986</v>
      </c>
      <c r="AJ61" s="248">
        <f t="shared" si="5"/>
        <v>116.56918308776201</v>
      </c>
      <c r="AK61" s="249">
        <f t="shared" si="6"/>
        <v>101.40352878277157</v>
      </c>
      <c r="AN61" s="338"/>
    </row>
    <row r="62" spans="1:40">
      <c r="A62" s="185" t="s">
        <v>306</v>
      </c>
      <c r="B62" s="317" t="s">
        <v>296</v>
      </c>
      <c r="C62" s="233">
        <v>7.1855989999999998</v>
      </c>
      <c r="D62" s="234">
        <v>4.506545</v>
      </c>
      <c r="E62" s="235">
        <v>3.0963640000000003</v>
      </c>
      <c r="F62" s="236">
        <v>3.9739560000000003</v>
      </c>
      <c r="G62" s="237">
        <v>6.7482440000000006</v>
      </c>
      <c r="H62" s="238">
        <v>9.1543840000000003</v>
      </c>
      <c r="I62" s="239">
        <v>9.2990000000000013</v>
      </c>
      <c r="J62" s="235">
        <v>9.3819999999999997</v>
      </c>
      <c r="K62" s="235">
        <v>9.4659999999999993</v>
      </c>
      <c r="L62" s="235">
        <v>9.5500000000000007</v>
      </c>
      <c r="M62" s="235">
        <v>9.6240000000000006</v>
      </c>
      <c r="N62" s="235">
        <v>9.6980000000000004</v>
      </c>
      <c r="O62" s="235">
        <v>9.7729999999999997</v>
      </c>
      <c r="P62" s="235">
        <v>9.8480000000000008</v>
      </c>
      <c r="Q62" s="235">
        <v>9.9239999999999995</v>
      </c>
      <c r="R62" s="235">
        <v>10</v>
      </c>
      <c r="S62" s="318">
        <f t="shared" si="17"/>
        <v>62.716344176734609</v>
      </c>
      <c r="T62" s="319">
        <f t="shared" si="17"/>
        <v>68.708156692100047</v>
      </c>
      <c r="U62" s="319">
        <f t="shared" si="17"/>
        <v>128.34266255517761</v>
      </c>
      <c r="V62" s="320">
        <f t="shared" si="17"/>
        <v>169.81174426692195</v>
      </c>
      <c r="W62" s="248">
        <f t="shared" si="17"/>
        <v>135.65579430737833</v>
      </c>
      <c r="X62" s="321">
        <f t="shared" si="17"/>
        <v>101.57974583543799</v>
      </c>
      <c r="Y62" s="322">
        <f t="shared" si="17"/>
        <v>100.8925690934509</v>
      </c>
      <c r="Z62" s="322">
        <f t="shared" si="17"/>
        <v>100.89533148582393</v>
      </c>
      <c r="AA62" s="322">
        <f t="shared" si="17"/>
        <v>100.88738643566451</v>
      </c>
      <c r="AB62" s="322">
        <f t="shared" si="17"/>
        <v>100.77486910994764</v>
      </c>
      <c r="AC62" s="322">
        <f t="shared" si="17"/>
        <v>100.7689110556941</v>
      </c>
      <c r="AD62" s="322">
        <f t="shared" si="11"/>
        <v>100.77335533099607</v>
      </c>
      <c r="AE62" s="322">
        <f t="shared" si="11"/>
        <v>100.76742044408064</v>
      </c>
      <c r="AF62" s="322">
        <f t="shared" si="11"/>
        <v>100.77173030056863</v>
      </c>
      <c r="AG62" s="323">
        <f t="shared" si="11"/>
        <v>100.76582023377671</v>
      </c>
      <c r="AI62" s="247">
        <f t="shared" si="4"/>
        <v>3.2517559999999994</v>
      </c>
      <c r="AJ62" s="248">
        <f t="shared" si="5"/>
        <v>148.1866986433804</v>
      </c>
      <c r="AK62" s="249">
        <f t="shared" si="6"/>
        <v>103.64016868213423</v>
      </c>
      <c r="AN62" s="338"/>
    </row>
    <row r="63" spans="1:40">
      <c r="A63" s="185" t="s">
        <v>306</v>
      </c>
      <c r="B63" s="317" t="s">
        <v>297</v>
      </c>
      <c r="C63" s="233">
        <v>15.974174999999999</v>
      </c>
      <c r="D63" s="234">
        <v>13.308997000000003</v>
      </c>
      <c r="E63" s="235">
        <v>14.579639999999998</v>
      </c>
      <c r="F63" s="236">
        <v>14.157852</v>
      </c>
      <c r="G63" s="237">
        <v>14.476590999999997</v>
      </c>
      <c r="H63" s="238">
        <v>14.553363000000001</v>
      </c>
      <c r="I63" s="239">
        <v>14.830717324395655</v>
      </c>
      <c r="J63" s="235">
        <v>15.002000000000001</v>
      </c>
      <c r="K63" s="235">
        <v>15.175000000000001</v>
      </c>
      <c r="L63" s="235">
        <v>15.35</v>
      </c>
      <c r="M63" s="235">
        <v>15.504</v>
      </c>
      <c r="N63" s="235">
        <v>15.66</v>
      </c>
      <c r="O63" s="235">
        <v>15.818</v>
      </c>
      <c r="P63" s="235">
        <v>15.977</v>
      </c>
      <c r="Q63" s="235">
        <v>16.138000000000002</v>
      </c>
      <c r="R63" s="235">
        <v>16.3</v>
      </c>
      <c r="S63" s="318">
        <f t="shared" si="17"/>
        <v>83.315708009959849</v>
      </c>
      <c r="T63" s="319">
        <f t="shared" si="17"/>
        <v>109.5472483764178</v>
      </c>
      <c r="U63" s="319">
        <f t="shared" si="17"/>
        <v>97.107006757368509</v>
      </c>
      <c r="V63" s="320">
        <f t="shared" si="17"/>
        <v>102.25132315269292</v>
      </c>
      <c r="W63" s="248">
        <f t="shared" si="17"/>
        <v>100.5303182220179</v>
      </c>
      <c r="X63" s="321">
        <f t="shared" si="17"/>
        <v>101.90577479855105</v>
      </c>
      <c r="Y63" s="322">
        <f t="shared" si="17"/>
        <v>101.15491834857235</v>
      </c>
      <c r="Z63" s="322">
        <f t="shared" si="17"/>
        <v>101.15317957605652</v>
      </c>
      <c r="AA63" s="322">
        <f t="shared" si="17"/>
        <v>101.15321252059309</v>
      </c>
      <c r="AB63" s="322">
        <f t="shared" si="17"/>
        <v>101.00325732899023</v>
      </c>
      <c r="AC63" s="322">
        <f t="shared" si="17"/>
        <v>101.00619195046441</v>
      </c>
      <c r="AD63" s="322">
        <f t="shared" si="11"/>
        <v>101.00893997445721</v>
      </c>
      <c r="AE63" s="322">
        <f t="shared" si="11"/>
        <v>101.00518396763181</v>
      </c>
      <c r="AF63" s="322">
        <f t="shared" si="11"/>
        <v>101.00769856668963</v>
      </c>
      <c r="AG63" s="323">
        <f t="shared" si="11"/>
        <v>101.00384186392365</v>
      </c>
      <c r="AI63" s="247">
        <f t="shared" si="4"/>
        <v>1.8234090000000034</v>
      </c>
      <c r="AJ63" s="248">
        <f t="shared" si="5"/>
        <v>112.5955689429922</v>
      </c>
      <c r="AK63" s="249">
        <f t="shared" si="6"/>
        <v>101.08431083137084</v>
      </c>
      <c r="AN63" s="338"/>
    </row>
    <row r="64" spans="1:40">
      <c r="A64" s="185" t="s">
        <v>306</v>
      </c>
      <c r="B64" s="317" t="s">
        <v>298</v>
      </c>
      <c r="C64" s="233">
        <v>4.9458669999999998</v>
      </c>
      <c r="D64" s="234">
        <v>4.1528590000000003</v>
      </c>
      <c r="E64" s="235">
        <v>3.9388029999999996</v>
      </c>
      <c r="F64" s="236">
        <v>3.8435909999999995</v>
      </c>
      <c r="G64" s="237">
        <v>3.6359250000000003</v>
      </c>
      <c r="H64" s="238">
        <v>2.7333590000000001</v>
      </c>
      <c r="I64" s="239">
        <v>2.8</v>
      </c>
      <c r="J64" s="235">
        <v>2.972</v>
      </c>
      <c r="K64" s="235">
        <v>3.1549999999999998</v>
      </c>
      <c r="L64" s="235">
        <v>3.35</v>
      </c>
      <c r="M64" s="235">
        <v>3.5190000000000001</v>
      </c>
      <c r="N64" s="235">
        <v>3.6960000000000002</v>
      </c>
      <c r="O64" s="235">
        <v>3.8820000000000001</v>
      </c>
      <c r="P64" s="235">
        <v>4.0780000000000003</v>
      </c>
      <c r="Q64" s="235">
        <v>4.2839999999999998</v>
      </c>
      <c r="R64" s="235">
        <v>4.5</v>
      </c>
      <c r="S64" s="318">
        <f t="shared" si="17"/>
        <v>83.966248991329536</v>
      </c>
      <c r="T64" s="319">
        <f t="shared" si="17"/>
        <v>94.84557506045833</v>
      </c>
      <c r="U64" s="319">
        <f t="shared" si="17"/>
        <v>97.582717389013879</v>
      </c>
      <c r="V64" s="320">
        <f t="shared" si="17"/>
        <v>94.597083820833191</v>
      </c>
      <c r="W64" s="248">
        <f t="shared" si="17"/>
        <v>75.176440658154391</v>
      </c>
      <c r="X64" s="321">
        <f t="shared" si="17"/>
        <v>102.43806247185239</v>
      </c>
      <c r="Y64" s="322">
        <f t="shared" si="17"/>
        <v>106.14285714285714</v>
      </c>
      <c r="Z64" s="322">
        <f t="shared" si="17"/>
        <v>106.15746971736203</v>
      </c>
      <c r="AA64" s="322">
        <f t="shared" si="17"/>
        <v>106.18066561014263</v>
      </c>
      <c r="AB64" s="322">
        <f t="shared" si="17"/>
        <v>105.044776119403</v>
      </c>
      <c r="AC64" s="322">
        <f t="shared" si="17"/>
        <v>105.02983802216539</v>
      </c>
      <c r="AD64" s="322">
        <f t="shared" si="11"/>
        <v>105.03246753246754</v>
      </c>
      <c r="AE64" s="322">
        <f t="shared" si="11"/>
        <v>105.0489438433797</v>
      </c>
      <c r="AF64" s="322">
        <f t="shared" si="11"/>
        <v>105.05149583128983</v>
      </c>
      <c r="AG64" s="323">
        <f t="shared" si="11"/>
        <v>105.0420168067227</v>
      </c>
      <c r="AI64" s="247">
        <f t="shared" si="4"/>
        <v>0.8640749999999997</v>
      </c>
      <c r="AJ64" s="248">
        <f t="shared" si="5"/>
        <v>123.76492914457806</v>
      </c>
      <c r="AK64" s="249">
        <f t="shared" si="6"/>
        <v>101.95721485250576</v>
      </c>
      <c r="AN64" s="338"/>
    </row>
    <row r="65" spans="1:40">
      <c r="A65" s="185" t="s">
        <v>306</v>
      </c>
      <c r="B65" s="317" t="s">
        <v>299</v>
      </c>
      <c r="C65" s="233">
        <v>2.8500209999999999</v>
      </c>
      <c r="D65" s="234">
        <v>1.9329169999999998</v>
      </c>
      <c r="E65" s="235">
        <v>1.5591520000000001</v>
      </c>
      <c r="F65" s="236">
        <v>1.5327379999999997</v>
      </c>
      <c r="G65" s="237">
        <v>1.452796</v>
      </c>
      <c r="H65" s="238">
        <v>1.2991820000000001</v>
      </c>
      <c r="I65" s="239">
        <v>1.345</v>
      </c>
      <c r="J65" s="235">
        <v>1.52</v>
      </c>
      <c r="K65" s="235">
        <v>1.7170000000000001</v>
      </c>
      <c r="L65" s="235">
        <v>1.94</v>
      </c>
      <c r="M65" s="235">
        <v>2.0099999999999998</v>
      </c>
      <c r="N65" s="235">
        <v>2.0830000000000002</v>
      </c>
      <c r="O65" s="235">
        <v>2.1579999999999999</v>
      </c>
      <c r="P65" s="235">
        <v>2.2360000000000002</v>
      </c>
      <c r="Q65" s="235">
        <v>2.3170000000000002</v>
      </c>
      <c r="R65" s="235">
        <v>2.4</v>
      </c>
      <c r="S65" s="318">
        <f t="shared" si="17"/>
        <v>67.82114938802205</v>
      </c>
      <c r="T65" s="319">
        <f t="shared" si="17"/>
        <v>80.663163498484423</v>
      </c>
      <c r="U65" s="319">
        <f t="shared" si="17"/>
        <v>98.305873962256385</v>
      </c>
      <c r="V65" s="320">
        <f t="shared" si="17"/>
        <v>94.784366277863555</v>
      </c>
      <c r="W65" s="248">
        <f t="shared" si="17"/>
        <v>89.426320006387684</v>
      </c>
      <c r="X65" s="321">
        <f t="shared" si="17"/>
        <v>103.52668063442995</v>
      </c>
      <c r="Y65" s="322">
        <f t="shared" si="17"/>
        <v>113.01115241635688</v>
      </c>
      <c r="Z65" s="322">
        <f t="shared" si="17"/>
        <v>112.96052631578948</v>
      </c>
      <c r="AA65" s="322">
        <f t="shared" si="17"/>
        <v>112.98776936517181</v>
      </c>
      <c r="AB65" s="322">
        <f t="shared" si="17"/>
        <v>103.60824742268039</v>
      </c>
      <c r="AC65" s="322">
        <f t="shared" si="17"/>
        <v>103.63184079601993</v>
      </c>
      <c r="AD65" s="322">
        <f t="shared" si="11"/>
        <v>103.60057609217475</v>
      </c>
      <c r="AE65" s="322">
        <f t="shared" si="11"/>
        <v>103.61445783132532</v>
      </c>
      <c r="AF65" s="322">
        <f t="shared" si="11"/>
        <v>103.62254025044722</v>
      </c>
      <c r="AG65" s="323">
        <f t="shared" si="11"/>
        <v>103.58221838584376</v>
      </c>
      <c r="AI65" s="247">
        <f t="shared" si="4"/>
        <v>0.94720399999999993</v>
      </c>
      <c r="AJ65" s="248">
        <f t="shared" si="5"/>
        <v>165.19869272767821</v>
      </c>
      <c r="AK65" s="249">
        <f t="shared" si="6"/>
        <v>104.66917049478393</v>
      </c>
      <c r="AN65" s="338"/>
    </row>
    <row r="66" spans="1:40">
      <c r="A66" s="185" t="s">
        <v>306</v>
      </c>
      <c r="B66" s="317" t="s">
        <v>300</v>
      </c>
      <c r="C66" s="233">
        <v>4.7669870000000003</v>
      </c>
      <c r="D66" s="234">
        <v>4.7583130000000011</v>
      </c>
      <c r="E66" s="235">
        <v>4.5493130000000006</v>
      </c>
      <c r="F66" s="236">
        <v>4.8640699999999999</v>
      </c>
      <c r="G66" s="237">
        <v>4.860487</v>
      </c>
      <c r="H66" s="238">
        <v>4.840865</v>
      </c>
      <c r="I66" s="239">
        <v>5.2089999999999996</v>
      </c>
      <c r="J66" s="235">
        <v>5.6870000000000003</v>
      </c>
      <c r="K66" s="235">
        <v>6.2089999999999996</v>
      </c>
      <c r="L66" s="235">
        <v>6.7799999999999994</v>
      </c>
      <c r="M66" s="235">
        <v>7.0810000000000004</v>
      </c>
      <c r="N66" s="235">
        <v>7.3959999999999999</v>
      </c>
      <c r="O66" s="235">
        <v>7.7249999999999996</v>
      </c>
      <c r="P66" s="235">
        <v>8.0679999999999996</v>
      </c>
      <c r="Q66" s="235">
        <v>8.4260000000000002</v>
      </c>
      <c r="R66" s="235">
        <v>8.8000000000000007</v>
      </c>
      <c r="S66" s="318">
        <f t="shared" si="17"/>
        <v>99.818040200235515</v>
      </c>
      <c r="T66" s="319">
        <f t="shared" si="17"/>
        <v>95.607687010081094</v>
      </c>
      <c r="U66" s="319">
        <f t="shared" si="17"/>
        <v>106.91878092362515</v>
      </c>
      <c r="V66" s="320">
        <f t="shared" si="17"/>
        <v>99.926337408795519</v>
      </c>
      <c r="W66" s="248">
        <f t="shared" si="17"/>
        <v>99.596295597539921</v>
      </c>
      <c r="X66" s="321">
        <f t="shared" si="17"/>
        <v>107.6047359304587</v>
      </c>
      <c r="Y66" s="322">
        <f t="shared" si="17"/>
        <v>109.17642541754657</v>
      </c>
      <c r="Z66" s="322">
        <f t="shared" si="17"/>
        <v>109.17882890803585</v>
      </c>
      <c r="AA66" s="322">
        <f t="shared" si="17"/>
        <v>109.19632791109679</v>
      </c>
      <c r="AB66" s="322">
        <f t="shared" si="17"/>
        <v>104.43952802359884</v>
      </c>
      <c r="AC66" s="322">
        <f t="shared" si="17"/>
        <v>104.44852421974298</v>
      </c>
      <c r="AD66" s="322">
        <f t="shared" si="11"/>
        <v>104.44835045970795</v>
      </c>
      <c r="AE66" s="322">
        <f t="shared" si="11"/>
        <v>104.44012944983818</v>
      </c>
      <c r="AF66" s="322">
        <f t="shared" si="11"/>
        <v>104.43728309370353</v>
      </c>
      <c r="AG66" s="323">
        <f t="shared" si="11"/>
        <v>104.43864229765015</v>
      </c>
      <c r="AI66" s="247">
        <f t="shared" si="4"/>
        <v>3.9395130000000007</v>
      </c>
      <c r="AJ66" s="248">
        <f t="shared" si="5"/>
        <v>181.05181641263522</v>
      </c>
      <c r="AK66" s="249">
        <f t="shared" si="6"/>
        <v>105.54474768885112</v>
      </c>
      <c r="AN66" s="338"/>
    </row>
    <row r="67" spans="1:40">
      <c r="A67" s="185" t="s">
        <v>306</v>
      </c>
      <c r="B67" s="317" t="s">
        <v>301</v>
      </c>
      <c r="C67" s="233">
        <v>11.225684999999999</v>
      </c>
      <c r="D67" s="234">
        <v>11.631913999999998</v>
      </c>
      <c r="E67" s="235">
        <v>18.729252000000002</v>
      </c>
      <c r="F67" s="236">
        <v>18.190902999999999</v>
      </c>
      <c r="G67" s="237">
        <v>13.692583000000001</v>
      </c>
      <c r="H67" s="238">
        <v>18.488778</v>
      </c>
      <c r="I67" s="239">
        <v>18.667799765636133</v>
      </c>
      <c r="J67" s="235">
        <v>19.117999999999999</v>
      </c>
      <c r="K67" s="235">
        <v>19.579000000000001</v>
      </c>
      <c r="L67" s="235">
        <v>20.050000000000004</v>
      </c>
      <c r="M67" s="235">
        <v>20.284999999999979</v>
      </c>
      <c r="N67" s="235">
        <v>20.521999999999988</v>
      </c>
      <c r="O67" s="235">
        <v>20.760999999999989</v>
      </c>
      <c r="P67" s="235">
        <v>21.004999999999995</v>
      </c>
      <c r="Q67" s="235">
        <v>21.251000000000001</v>
      </c>
      <c r="R67" s="235">
        <v>21.5</v>
      </c>
      <c r="S67" s="318">
        <f t="shared" si="17"/>
        <v>103.618745760281</v>
      </c>
      <c r="T67" s="319">
        <f t="shared" si="17"/>
        <v>161.01608041462484</v>
      </c>
      <c r="U67" s="319">
        <f t="shared" si="17"/>
        <v>97.125624664562125</v>
      </c>
      <c r="V67" s="320">
        <f t="shared" si="17"/>
        <v>75.271595918025625</v>
      </c>
      <c r="W67" s="248">
        <f t="shared" ref="W67:AC82" si="22">H67/G67*100</f>
        <v>135.02768615680475</v>
      </c>
      <c r="X67" s="321">
        <f t="shared" si="22"/>
        <v>100.96827256856096</v>
      </c>
      <c r="Y67" s="322">
        <f t="shared" si="22"/>
        <v>102.41164057904993</v>
      </c>
      <c r="Z67" s="322">
        <f t="shared" si="22"/>
        <v>102.41134009833665</v>
      </c>
      <c r="AA67" s="322">
        <f t="shared" si="22"/>
        <v>102.40563869451967</v>
      </c>
      <c r="AB67" s="322">
        <f t="shared" si="22"/>
        <v>101.17206982543627</v>
      </c>
      <c r="AC67" s="322">
        <f t="shared" si="22"/>
        <v>101.16835099827463</v>
      </c>
      <c r="AD67" s="322">
        <f t="shared" si="11"/>
        <v>101.16460383978169</v>
      </c>
      <c r="AE67" s="322">
        <f t="shared" si="11"/>
        <v>101.1752805741535</v>
      </c>
      <c r="AF67" s="322">
        <f t="shared" si="11"/>
        <v>101.17114972625568</v>
      </c>
      <c r="AG67" s="323">
        <f t="shared" si="11"/>
        <v>101.17170956660861</v>
      </c>
      <c r="AI67" s="247">
        <f t="shared" si="4"/>
        <v>7.8074169999999992</v>
      </c>
      <c r="AJ67" s="248">
        <f t="shared" si="5"/>
        <v>157.01931476332842</v>
      </c>
      <c r="AK67" s="249">
        <f t="shared" si="6"/>
        <v>104.18709192688533</v>
      </c>
      <c r="AN67" s="338"/>
    </row>
    <row r="68" spans="1:40">
      <c r="A68" s="185" t="s">
        <v>306</v>
      </c>
      <c r="B68" s="324" t="s">
        <v>302</v>
      </c>
      <c r="C68" s="252">
        <v>11.150015999999994</v>
      </c>
      <c r="D68" s="253">
        <v>11.359704000000001</v>
      </c>
      <c r="E68" s="254">
        <v>11.599258000000001</v>
      </c>
      <c r="F68" s="255">
        <v>14.038141</v>
      </c>
      <c r="G68" s="339">
        <v>15.767460999999999</v>
      </c>
      <c r="H68" s="340">
        <v>14.897036</v>
      </c>
      <c r="I68" s="341">
        <v>15.148999999999999</v>
      </c>
      <c r="J68" s="342">
        <v>15.231999999999999</v>
      </c>
      <c r="K68" s="342">
        <v>15.316000000000001</v>
      </c>
      <c r="L68" s="342">
        <v>15.4</v>
      </c>
      <c r="M68" s="342">
        <v>15.609</v>
      </c>
      <c r="N68" s="342">
        <v>15.821</v>
      </c>
      <c r="O68" s="342">
        <v>16.036000000000001</v>
      </c>
      <c r="P68" s="342">
        <v>16.254000000000001</v>
      </c>
      <c r="Q68" s="342">
        <v>16.475000000000001</v>
      </c>
      <c r="R68" s="342">
        <v>16.7</v>
      </c>
      <c r="S68" s="325">
        <f t="shared" ref="S68:AA82" si="23">D68/C68*100</f>
        <v>101.8806071668418</v>
      </c>
      <c r="T68" s="326">
        <f t="shared" si="23"/>
        <v>102.10880494773455</v>
      </c>
      <c r="U68" s="326">
        <f t="shared" si="23"/>
        <v>121.02619839993211</v>
      </c>
      <c r="V68" s="327">
        <f t="shared" si="23"/>
        <v>112.31872510754808</v>
      </c>
      <c r="W68" s="267">
        <f t="shared" si="22"/>
        <v>94.479612158228903</v>
      </c>
      <c r="X68" s="328">
        <f t="shared" si="22"/>
        <v>101.69137001481367</v>
      </c>
      <c r="Y68" s="329">
        <f t="shared" si="22"/>
        <v>100.54789094989769</v>
      </c>
      <c r="Z68" s="329">
        <f t="shared" si="22"/>
        <v>100.5514705882353</v>
      </c>
      <c r="AA68" s="329">
        <f t="shared" si="22"/>
        <v>100.54844606946985</v>
      </c>
      <c r="AB68" s="329">
        <f t="shared" si="22"/>
        <v>101.35714285714286</v>
      </c>
      <c r="AC68" s="329">
        <f t="shared" si="22"/>
        <v>101.35819078736625</v>
      </c>
      <c r="AD68" s="329">
        <f t="shared" si="11"/>
        <v>101.35895328993112</v>
      </c>
      <c r="AE68" s="329">
        <f t="shared" si="11"/>
        <v>101.35944125717135</v>
      </c>
      <c r="AF68" s="329">
        <f t="shared" si="11"/>
        <v>101.35966531315368</v>
      </c>
      <c r="AG68" s="330">
        <f t="shared" si="11"/>
        <v>101.3657056145675</v>
      </c>
      <c r="AI68" s="266">
        <f t="shared" si="4"/>
        <v>0.93253900000000023</v>
      </c>
      <c r="AJ68" s="267">
        <f t="shared" si="5"/>
        <v>105.91432571166656</v>
      </c>
      <c r="AK68" s="268">
        <f t="shared" si="6"/>
        <v>100.52373337986218</v>
      </c>
      <c r="AN68" s="338"/>
    </row>
    <row r="69" spans="1:40" ht="15" thickBot="1">
      <c r="A69" s="185" t="s">
        <v>306</v>
      </c>
      <c r="B69" s="331" t="s">
        <v>303</v>
      </c>
      <c r="C69" s="270">
        <v>4.2822149999999999</v>
      </c>
      <c r="D69" s="271">
        <v>5.4351950000000002</v>
      </c>
      <c r="E69" s="272">
        <v>5.3622300000000003</v>
      </c>
      <c r="F69" s="273">
        <v>7.3407400000000003</v>
      </c>
      <c r="G69" s="343">
        <v>9.105106000000001</v>
      </c>
      <c r="H69" s="344">
        <v>9.3080850000000002</v>
      </c>
      <c r="I69" s="345">
        <v>9.4020000000000028</v>
      </c>
      <c r="J69" s="346">
        <v>9.5969999999999995</v>
      </c>
      <c r="K69" s="346">
        <v>9.7959999999999994</v>
      </c>
      <c r="L69" s="346">
        <v>10</v>
      </c>
      <c r="M69" s="346">
        <v>10.308999999999999</v>
      </c>
      <c r="N69" s="346">
        <v>10.627000000000001</v>
      </c>
      <c r="O69" s="346">
        <v>10.955</v>
      </c>
      <c r="P69" s="346">
        <v>11.292999999999999</v>
      </c>
      <c r="Q69" s="346">
        <v>11.641</v>
      </c>
      <c r="R69" s="346">
        <v>12</v>
      </c>
      <c r="S69" s="332">
        <f>D69/C69*100</f>
        <v>126.92485080735088</v>
      </c>
      <c r="T69" s="333">
        <f>E69/D69*100</f>
        <v>98.657545865419735</v>
      </c>
      <c r="U69" s="333">
        <f t="shared" si="23"/>
        <v>136.89714913384915</v>
      </c>
      <c r="V69" s="334">
        <f t="shared" si="23"/>
        <v>124.0352607502786</v>
      </c>
      <c r="W69" s="285">
        <f t="shared" si="23"/>
        <v>102.22928761070985</v>
      </c>
      <c r="X69" s="335">
        <f t="shared" si="23"/>
        <v>101.00896156405965</v>
      </c>
      <c r="Y69" s="336">
        <f t="shared" si="23"/>
        <v>102.07402680280788</v>
      </c>
      <c r="Z69" s="336">
        <f t="shared" si="23"/>
        <v>102.07356465562154</v>
      </c>
      <c r="AA69" s="336">
        <f t="shared" si="23"/>
        <v>102.08248264597796</v>
      </c>
      <c r="AB69" s="336">
        <f t="shared" si="22"/>
        <v>103.08999999999999</v>
      </c>
      <c r="AC69" s="336">
        <f t="shared" si="22"/>
        <v>103.08468328644875</v>
      </c>
      <c r="AD69" s="336">
        <f t="shared" si="11"/>
        <v>103.0864778394655</v>
      </c>
      <c r="AE69" s="336">
        <f t="shared" si="11"/>
        <v>103.08534915563669</v>
      </c>
      <c r="AF69" s="336">
        <f t="shared" si="11"/>
        <v>103.0815549455415</v>
      </c>
      <c r="AG69" s="337">
        <f t="shared" si="11"/>
        <v>103.08392749763766</v>
      </c>
      <c r="AI69" s="284">
        <f t="shared" si="4"/>
        <v>2.894893999999999</v>
      </c>
      <c r="AJ69" s="285">
        <f t="shared" si="5"/>
        <v>131.79418229727361</v>
      </c>
      <c r="AK69" s="286">
        <f t="shared" si="6"/>
        <v>102.54149812667457</v>
      </c>
      <c r="AN69" s="338"/>
    </row>
    <row r="70" spans="1:40">
      <c r="A70" s="185" t="s">
        <v>307</v>
      </c>
      <c r="B70" s="303" t="s">
        <v>307</v>
      </c>
      <c r="C70" s="199">
        <f t="shared" ref="C70:E70" si="24">SUM(C72:C81)</f>
        <v>144.50848400000001</v>
      </c>
      <c r="D70" s="200">
        <f t="shared" si="24"/>
        <v>143.45509900000002</v>
      </c>
      <c r="E70" s="201">
        <f t="shared" si="24"/>
        <v>153.83402100000001</v>
      </c>
      <c r="F70" s="202">
        <f>SUM(F72:F81)</f>
        <v>153.55499700000001</v>
      </c>
      <c r="G70" s="203">
        <f t="shared" ref="G70:R70" si="25">SUM(G72:G81)</f>
        <v>163.48542599999996</v>
      </c>
      <c r="H70" s="204">
        <f t="shared" si="25"/>
        <v>168.41538100000002</v>
      </c>
      <c r="I70" s="205">
        <f t="shared" si="25"/>
        <v>168.475628</v>
      </c>
      <c r="J70" s="201">
        <f t="shared" si="25"/>
        <v>174.07699999999994</v>
      </c>
      <c r="K70" s="201">
        <f t="shared" si="25"/>
        <v>174.07699999999997</v>
      </c>
      <c r="L70" s="201">
        <f t="shared" si="25"/>
        <v>176.78700000000001</v>
      </c>
      <c r="M70" s="201">
        <f t="shared" si="25"/>
        <v>213.99677099999997</v>
      </c>
      <c r="N70" s="201">
        <f t="shared" si="25"/>
        <v>213.99677099999997</v>
      </c>
      <c r="O70" s="201">
        <f t="shared" si="25"/>
        <v>232.00099999999995</v>
      </c>
      <c r="P70" s="201">
        <f t="shared" si="25"/>
        <v>251.94099999999997</v>
      </c>
      <c r="Q70" s="201">
        <f t="shared" si="25"/>
        <v>274.045771</v>
      </c>
      <c r="R70" s="201">
        <f t="shared" si="25"/>
        <v>274.045771</v>
      </c>
      <c r="S70" s="304">
        <f t="shared" si="23"/>
        <v>99.271056639138237</v>
      </c>
      <c r="T70" s="305">
        <f t="shared" si="23"/>
        <v>107.2349620699087</v>
      </c>
      <c r="U70" s="305">
        <f t="shared" si="23"/>
        <v>99.818620095745928</v>
      </c>
      <c r="V70" s="306">
        <f t="shared" si="23"/>
        <v>106.46701780730714</v>
      </c>
      <c r="W70" s="288">
        <f t="shared" si="22"/>
        <v>103.01553179425306</v>
      </c>
      <c r="X70" s="307">
        <f t="shared" si="22"/>
        <v>100.03577286091226</v>
      </c>
      <c r="Y70" s="308">
        <f t="shared" si="22"/>
        <v>103.32473727297811</v>
      </c>
      <c r="Z70" s="308">
        <f t="shared" si="22"/>
        <v>100.00000000000003</v>
      </c>
      <c r="AA70" s="308">
        <f t="shared" si="22"/>
        <v>101.55678234344575</v>
      </c>
      <c r="AB70" s="308">
        <f t="shared" si="22"/>
        <v>121.04779819783127</v>
      </c>
      <c r="AC70" s="308">
        <f t="shared" si="22"/>
        <v>100</v>
      </c>
      <c r="AD70" s="308">
        <f t="shared" si="11"/>
        <v>108.41331806824319</v>
      </c>
      <c r="AE70" s="308">
        <f t="shared" si="11"/>
        <v>108.59479053969596</v>
      </c>
      <c r="AF70" s="308">
        <f t="shared" si="11"/>
        <v>108.7737887044983</v>
      </c>
      <c r="AG70" s="309">
        <f t="shared" si="11"/>
        <v>100</v>
      </c>
      <c r="AI70" s="287">
        <f t="shared" ref="AI70:AI82" si="26">R70-G70</f>
        <v>110.56034500000004</v>
      </c>
      <c r="AJ70" s="288">
        <f t="shared" ref="AJ70:AJ82" si="27">R70/G70*100</f>
        <v>167.62703422872696</v>
      </c>
      <c r="AK70" s="215">
        <f t="shared" ref="AK70:AK82" si="28">(R70/G70)^(1/11)*100</f>
        <v>104.80811608575533</v>
      </c>
    </row>
    <row r="71" spans="1:40">
      <c r="A71" s="185" t="s">
        <v>307</v>
      </c>
      <c r="B71" s="310" t="s">
        <v>292</v>
      </c>
      <c r="C71" s="289">
        <f t="shared" ref="C71:R71" si="29">C70-C72</f>
        <v>43.967114000000009</v>
      </c>
      <c r="D71" s="290">
        <f t="shared" si="29"/>
        <v>42.383442000000016</v>
      </c>
      <c r="E71" s="291">
        <f t="shared" si="29"/>
        <v>46.090644999999995</v>
      </c>
      <c r="F71" s="292">
        <f t="shared" si="29"/>
        <v>42.10490200000001</v>
      </c>
      <c r="G71" s="293">
        <f t="shared" si="29"/>
        <v>45.288654999999963</v>
      </c>
      <c r="H71" s="294">
        <f t="shared" si="29"/>
        <v>48.449592000000024</v>
      </c>
      <c r="I71" s="295">
        <f t="shared" si="29"/>
        <v>50.768628000000007</v>
      </c>
      <c r="J71" s="291">
        <f t="shared" si="29"/>
        <v>56.369999999999948</v>
      </c>
      <c r="K71" s="291">
        <f t="shared" si="29"/>
        <v>57.879999999999967</v>
      </c>
      <c r="L71" s="291">
        <f t="shared" si="29"/>
        <v>62.080000000000013</v>
      </c>
      <c r="M71" s="291">
        <f t="shared" si="29"/>
        <v>69.100000000000023</v>
      </c>
      <c r="N71" s="291">
        <f t="shared" si="29"/>
        <v>69.100000000000023</v>
      </c>
      <c r="O71" s="291">
        <f t="shared" si="29"/>
        <v>71.116999999999962</v>
      </c>
      <c r="P71" s="291">
        <f t="shared" si="29"/>
        <v>73.305999999999983</v>
      </c>
      <c r="Q71" s="291">
        <f t="shared" si="29"/>
        <v>75.799999999999983</v>
      </c>
      <c r="R71" s="291">
        <f t="shared" si="29"/>
        <v>75.799999999999983</v>
      </c>
      <c r="S71" s="311">
        <f t="shared" si="23"/>
        <v>96.398053326856996</v>
      </c>
      <c r="T71" s="312">
        <f t="shared" si="23"/>
        <v>108.74681909977953</v>
      </c>
      <c r="U71" s="312">
        <f t="shared" si="23"/>
        <v>91.352381811970773</v>
      </c>
      <c r="V71" s="313">
        <f t="shared" si="23"/>
        <v>107.56147823357945</v>
      </c>
      <c r="W71" s="214">
        <f t="shared" si="22"/>
        <v>106.97953383689594</v>
      </c>
      <c r="X71" s="314">
        <f t="shared" si="22"/>
        <v>104.78649231968762</v>
      </c>
      <c r="Y71" s="315">
        <f t="shared" si="22"/>
        <v>111.03313644796535</v>
      </c>
      <c r="Z71" s="315">
        <f t="shared" si="22"/>
        <v>102.6787298208267</v>
      </c>
      <c r="AA71" s="315">
        <f t="shared" si="22"/>
        <v>107.25639253628205</v>
      </c>
      <c r="AB71" s="315">
        <f t="shared" si="22"/>
        <v>111.30798969072167</v>
      </c>
      <c r="AC71" s="315">
        <f t="shared" si="22"/>
        <v>100</v>
      </c>
      <c r="AD71" s="315">
        <f t="shared" si="11"/>
        <v>102.91895803183783</v>
      </c>
      <c r="AE71" s="315">
        <f t="shared" si="11"/>
        <v>103.07802635094285</v>
      </c>
      <c r="AF71" s="315">
        <f t="shared" si="11"/>
        <v>103.40217717512891</v>
      </c>
      <c r="AG71" s="316">
        <f t="shared" si="11"/>
        <v>100</v>
      </c>
      <c r="AI71" s="213">
        <f t="shared" si="26"/>
        <v>30.51134500000002</v>
      </c>
      <c r="AJ71" s="214">
        <f t="shared" si="27"/>
        <v>167.37083492543562</v>
      </c>
      <c r="AK71" s="231">
        <f t="shared" si="28"/>
        <v>104.79354345316432</v>
      </c>
    </row>
    <row r="72" spans="1:40">
      <c r="A72" s="185" t="s">
        <v>307</v>
      </c>
      <c r="B72" s="317" t="s">
        <v>293</v>
      </c>
      <c r="C72" s="233">
        <v>100.54137</v>
      </c>
      <c r="D72" s="234">
        <v>101.071657</v>
      </c>
      <c r="E72" s="235">
        <v>107.74337600000001</v>
      </c>
      <c r="F72" s="236">
        <v>111.450095</v>
      </c>
      <c r="G72" s="237">
        <v>118.196771</v>
      </c>
      <c r="H72" s="238">
        <v>119.965789</v>
      </c>
      <c r="I72" s="239">
        <v>117.70699999999999</v>
      </c>
      <c r="J72" s="235">
        <v>117.70699999999999</v>
      </c>
      <c r="K72" s="235">
        <v>116.197</v>
      </c>
      <c r="L72" s="235">
        <v>114.70699999999999</v>
      </c>
      <c r="M72" s="235">
        <v>144.89677099999994</v>
      </c>
      <c r="N72" s="235">
        <v>144.89677099999994</v>
      </c>
      <c r="O72" s="235">
        <v>160.88399999999999</v>
      </c>
      <c r="P72" s="235">
        <v>178.63499999999999</v>
      </c>
      <c r="Q72" s="235">
        <v>198.24577100000002</v>
      </c>
      <c r="R72" s="235">
        <v>198.24577100000002</v>
      </c>
      <c r="S72" s="318">
        <f t="shared" si="23"/>
        <v>100.5274316433126</v>
      </c>
      <c r="T72" s="319">
        <f t="shared" si="23"/>
        <v>106.60097914492488</v>
      </c>
      <c r="U72" s="319">
        <f t="shared" si="23"/>
        <v>103.44032193682142</v>
      </c>
      <c r="V72" s="320">
        <f t="shared" si="23"/>
        <v>106.05353992744465</v>
      </c>
      <c r="W72" s="248">
        <f t="shared" si="22"/>
        <v>101.496672019915</v>
      </c>
      <c r="X72" s="321">
        <f t="shared" si="22"/>
        <v>98.117139045365661</v>
      </c>
      <c r="Y72" s="322">
        <f t="shared" si="22"/>
        <v>100</v>
      </c>
      <c r="Z72" s="322">
        <f t="shared" si="22"/>
        <v>98.717153610235599</v>
      </c>
      <c r="AA72" s="322">
        <f t="shared" si="22"/>
        <v>98.717694949095062</v>
      </c>
      <c r="AB72" s="322">
        <f t="shared" si="22"/>
        <v>126.31903109662004</v>
      </c>
      <c r="AC72" s="322">
        <f t="shared" si="22"/>
        <v>100</v>
      </c>
      <c r="AD72" s="322">
        <f t="shared" si="11"/>
        <v>111.03353020889612</v>
      </c>
      <c r="AE72" s="322">
        <f t="shared" si="11"/>
        <v>111.03341538002536</v>
      </c>
      <c r="AF72" s="322">
        <f t="shared" si="11"/>
        <v>110.97812354801692</v>
      </c>
      <c r="AG72" s="323">
        <f t="shared" si="11"/>
        <v>100</v>
      </c>
      <c r="AI72" s="247">
        <f t="shared" si="26"/>
        <v>80.049000000000021</v>
      </c>
      <c r="AJ72" s="248">
        <f t="shared" si="27"/>
        <v>167.72520037793589</v>
      </c>
      <c r="AK72" s="249">
        <f t="shared" si="28"/>
        <v>104.81369441759074</v>
      </c>
    </row>
    <row r="73" spans="1:40">
      <c r="A73" s="185" t="s">
        <v>307</v>
      </c>
      <c r="B73" s="317" t="s">
        <v>294</v>
      </c>
      <c r="C73" s="233">
        <v>5.3872999999999997E-2</v>
      </c>
      <c r="D73" s="234">
        <v>0.15340500000000001</v>
      </c>
      <c r="E73" s="235">
        <v>6.8252000000000007E-2</v>
      </c>
      <c r="F73" s="236">
        <v>6.8921999999999997E-2</v>
      </c>
      <c r="G73" s="237">
        <v>1.4931E-2</v>
      </c>
      <c r="H73" s="238">
        <v>7.6628000000000002E-2</v>
      </c>
      <c r="I73" s="239">
        <v>7.6628000000000002E-2</v>
      </c>
      <c r="J73" s="235">
        <v>0.1</v>
      </c>
      <c r="K73" s="235">
        <v>0.1</v>
      </c>
      <c r="L73" s="235">
        <v>0.1</v>
      </c>
      <c r="M73" s="235">
        <v>0.1</v>
      </c>
      <c r="N73" s="235">
        <v>0.1</v>
      </c>
      <c r="O73" s="235">
        <v>0.1</v>
      </c>
      <c r="P73" s="235">
        <v>0.1</v>
      </c>
      <c r="Q73" s="235">
        <v>0.1</v>
      </c>
      <c r="R73" s="235">
        <v>0.1</v>
      </c>
      <c r="S73" s="318">
        <f t="shared" si="23"/>
        <v>284.75303027490583</v>
      </c>
      <c r="T73" s="319">
        <f t="shared" si="23"/>
        <v>44.491379029366712</v>
      </c>
      <c r="U73" s="319">
        <f t="shared" si="23"/>
        <v>100.98165621520248</v>
      </c>
      <c r="V73" s="320">
        <f t="shared" si="23"/>
        <v>21.663619744058501</v>
      </c>
      <c r="W73" s="248">
        <f t="shared" si="22"/>
        <v>513.2141182774094</v>
      </c>
      <c r="X73" s="321"/>
      <c r="Y73" s="322"/>
      <c r="Z73" s="322"/>
      <c r="AA73" s="322"/>
      <c r="AB73" s="322"/>
      <c r="AC73" s="322"/>
      <c r="AD73" s="322"/>
      <c r="AE73" s="322"/>
      <c r="AF73" s="322"/>
      <c r="AG73" s="323"/>
      <c r="AI73" s="247">
        <f t="shared" si="26"/>
        <v>8.5069000000000006E-2</v>
      </c>
      <c r="AJ73" s="248">
        <f t="shared" si="27"/>
        <v>669.74750519054317</v>
      </c>
      <c r="AK73" s="249">
        <f t="shared" si="28"/>
        <v>118.87289175750966</v>
      </c>
    </row>
    <row r="74" spans="1:40">
      <c r="A74" s="185" t="s">
        <v>307</v>
      </c>
      <c r="B74" s="317" t="s">
        <v>295</v>
      </c>
      <c r="C74" s="233">
        <v>9.6549610000000001</v>
      </c>
      <c r="D74" s="234">
        <v>8.9554860000000005</v>
      </c>
      <c r="E74" s="235">
        <v>9.5067449999999987</v>
      </c>
      <c r="F74" s="236">
        <v>9.4738349999999993</v>
      </c>
      <c r="G74" s="237">
        <v>9.8774969999999982</v>
      </c>
      <c r="H74" s="238">
        <v>10.504074000000003</v>
      </c>
      <c r="I74" s="239">
        <v>10.500999999999999</v>
      </c>
      <c r="J74" s="235">
        <v>10.577</v>
      </c>
      <c r="K74" s="235">
        <v>11.019</v>
      </c>
      <c r="L74" s="235">
        <v>11.7</v>
      </c>
      <c r="M74" s="235">
        <v>12.65</v>
      </c>
      <c r="N74" s="235">
        <v>12.65</v>
      </c>
      <c r="O74" s="235">
        <v>13.147</v>
      </c>
      <c r="P74" s="235">
        <v>13.663</v>
      </c>
      <c r="Q74" s="235">
        <v>14.2</v>
      </c>
      <c r="R74" s="235">
        <v>14.2</v>
      </c>
      <c r="S74" s="318">
        <f t="shared" si="23"/>
        <v>92.755278866481177</v>
      </c>
      <c r="T74" s="319">
        <f t="shared" si="23"/>
        <v>106.15554532718825</v>
      </c>
      <c r="U74" s="319">
        <f t="shared" si="23"/>
        <v>99.653824731808854</v>
      </c>
      <c r="V74" s="320">
        <f t="shared" si="23"/>
        <v>104.26080884879248</v>
      </c>
      <c r="W74" s="248">
        <f t="shared" si="22"/>
        <v>106.34347952725275</v>
      </c>
      <c r="X74" s="321">
        <f t="shared" si="22"/>
        <v>99.970735164280029</v>
      </c>
      <c r="Y74" s="322">
        <f t="shared" si="22"/>
        <v>100.72374059613371</v>
      </c>
      <c r="Z74" s="322">
        <f t="shared" si="22"/>
        <v>104.17887869906401</v>
      </c>
      <c r="AA74" s="322">
        <f t="shared" si="22"/>
        <v>106.18023414102913</v>
      </c>
      <c r="AB74" s="322">
        <f t="shared" si="22"/>
        <v>108.11965811965814</v>
      </c>
      <c r="AC74" s="322">
        <f t="shared" si="22"/>
        <v>100</v>
      </c>
      <c r="AD74" s="322">
        <f t="shared" si="11"/>
        <v>103.92885375494072</v>
      </c>
      <c r="AE74" s="322">
        <f t="shared" si="11"/>
        <v>103.92484977561421</v>
      </c>
      <c r="AF74" s="322">
        <f t="shared" si="11"/>
        <v>103.93032276952351</v>
      </c>
      <c r="AG74" s="323">
        <f t="shared" si="11"/>
        <v>100</v>
      </c>
      <c r="AI74" s="247">
        <f t="shared" si="26"/>
        <v>4.3225030000000011</v>
      </c>
      <c r="AJ74" s="248">
        <f t="shared" si="27"/>
        <v>143.76111680924834</v>
      </c>
      <c r="AK74" s="249">
        <f t="shared" si="28"/>
        <v>103.35489254966323</v>
      </c>
    </row>
    <row r="75" spans="1:40">
      <c r="A75" s="185" t="s">
        <v>307</v>
      </c>
      <c r="B75" s="317" t="s">
        <v>296</v>
      </c>
      <c r="C75" s="233">
        <v>5.2227000000000006</v>
      </c>
      <c r="D75" s="234">
        <v>5.6850570000000005</v>
      </c>
      <c r="E75" s="235">
        <v>7.9066549999999998</v>
      </c>
      <c r="F75" s="236">
        <v>8.7907809999999991</v>
      </c>
      <c r="G75" s="237">
        <v>10.116291</v>
      </c>
      <c r="H75" s="238">
        <v>11.245598000000001</v>
      </c>
      <c r="I75" s="239">
        <v>11.37</v>
      </c>
      <c r="J75" s="235">
        <v>11.576000000000001</v>
      </c>
      <c r="K75" s="235">
        <v>11.786</v>
      </c>
      <c r="L75" s="235">
        <v>12</v>
      </c>
      <c r="M75" s="235">
        <v>12.36</v>
      </c>
      <c r="N75" s="235">
        <v>12.36</v>
      </c>
      <c r="O75" s="235">
        <v>12.728999999999999</v>
      </c>
      <c r="P75" s="235">
        <v>13.109</v>
      </c>
      <c r="Q75" s="235">
        <v>13.5</v>
      </c>
      <c r="R75" s="235">
        <v>13.5</v>
      </c>
      <c r="S75" s="318">
        <f t="shared" si="23"/>
        <v>108.85283474065139</v>
      </c>
      <c r="T75" s="319">
        <f t="shared" si="23"/>
        <v>139.07784917547878</v>
      </c>
      <c r="U75" s="319">
        <f t="shared" si="23"/>
        <v>111.18204854012221</v>
      </c>
      <c r="V75" s="320">
        <f t="shared" si="23"/>
        <v>115.07840998427787</v>
      </c>
      <c r="W75" s="248">
        <f t="shared" si="22"/>
        <v>111.16325143276326</v>
      </c>
      <c r="X75" s="321">
        <f t="shared" si="22"/>
        <v>101.10622841044112</v>
      </c>
      <c r="Y75" s="322">
        <f t="shared" si="22"/>
        <v>101.81178540017591</v>
      </c>
      <c r="Z75" s="322">
        <f t="shared" si="22"/>
        <v>101.81409813407048</v>
      </c>
      <c r="AA75" s="322">
        <f t="shared" si="22"/>
        <v>101.81571355845919</v>
      </c>
      <c r="AB75" s="322">
        <f t="shared" si="22"/>
        <v>103</v>
      </c>
      <c r="AC75" s="322">
        <f t="shared" si="22"/>
        <v>100</v>
      </c>
      <c r="AD75" s="322">
        <f t="shared" si="11"/>
        <v>102.98543689320387</v>
      </c>
      <c r="AE75" s="322">
        <f t="shared" si="11"/>
        <v>102.98530913661719</v>
      </c>
      <c r="AF75" s="322">
        <f t="shared" si="11"/>
        <v>102.98268365245251</v>
      </c>
      <c r="AG75" s="323">
        <f t="shared" si="11"/>
        <v>100</v>
      </c>
      <c r="AI75" s="247">
        <f t="shared" si="26"/>
        <v>3.3837089999999996</v>
      </c>
      <c r="AJ75" s="248">
        <f t="shared" si="27"/>
        <v>133.44811848532234</v>
      </c>
      <c r="AK75" s="249">
        <f t="shared" si="28"/>
        <v>102.65782090741655</v>
      </c>
    </row>
    <row r="76" spans="1:40">
      <c r="A76" s="185" t="s">
        <v>307</v>
      </c>
      <c r="B76" s="317" t="s">
        <v>297</v>
      </c>
      <c r="C76" s="233">
        <v>5.4766279999999998</v>
      </c>
      <c r="D76" s="234">
        <v>5.0983649999999994</v>
      </c>
      <c r="E76" s="235">
        <v>3.1500620000000001</v>
      </c>
      <c r="F76" s="236">
        <v>2.0315289999999999</v>
      </c>
      <c r="G76" s="237">
        <v>1.6820439999999999</v>
      </c>
      <c r="H76" s="238">
        <v>1.7706</v>
      </c>
      <c r="I76" s="239">
        <v>2.3010000000000002</v>
      </c>
      <c r="J76" s="235">
        <v>2.5579999999999998</v>
      </c>
      <c r="K76" s="235">
        <v>2.843</v>
      </c>
      <c r="L76" s="235">
        <v>3.16</v>
      </c>
      <c r="M76" s="235">
        <v>3.86</v>
      </c>
      <c r="N76" s="235">
        <v>3.86</v>
      </c>
      <c r="O76" s="235">
        <v>4.0010000000000003</v>
      </c>
      <c r="P76" s="235">
        <v>4.1479999999999997</v>
      </c>
      <c r="Q76" s="235">
        <v>4.3</v>
      </c>
      <c r="R76" s="235">
        <v>4.3</v>
      </c>
      <c r="S76" s="318">
        <f t="shared" si="23"/>
        <v>93.093140523694501</v>
      </c>
      <c r="T76" s="319">
        <f t="shared" si="23"/>
        <v>61.785729346565034</v>
      </c>
      <c r="U76" s="319">
        <f t="shared" si="23"/>
        <v>64.491714766249046</v>
      </c>
      <c r="V76" s="320">
        <f t="shared" si="23"/>
        <v>82.796947520808217</v>
      </c>
      <c r="W76" s="248">
        <f t="shared" si="22"/>
        <v>105.26478498778866</v>
      </c>
      <c r="X76" s="321">
        <f t="shared" si="22"/>
        <v>129.95594713656388</v>
      </c>
      <c r="Y76" s="322">
        <f t="shared" si="22"/>
        <v>111.16905693176878</v>
      </c>
      <c r="Z76" s="322">
        <f t="shared" si="22"/>
        <v>111.14151681000783</v>
      </c>
      <c r="AA76" s="322">
        <f t="shared" si="22"/>
        <v>111.15019345761522</v>
      </c>
      <c r="AB76" s="322">
        <f t="shared" si="22"/>
        <v>122.15189873417719</v>
      </c>
      <c r="AC76" s="322">
        <f t="shared" si="22"/>
        <v>100</v>
      </c>
      <c r="AD76" s="322">
        <f t="shared" si="11"/>
        <v>103.65284974093265</v>
      </c>
      <c r="AE76" s="322">
        <f t="shared" si="11"/>
        <v>103.67408147963009</v>
      </c>
      <c r="AF76" s="322">
        <f t="shared" si="11"/>
        <v>103.66441658630666</v>
      </c>
      <c r="AG76" s="323">
        <f t="shared" si="11"/>
        <v>100</v>
      </c>
      <c r="AI76" s="247">
        <f t="shared" si="26"/>
        <v>2.6179559999999999</v>
      </c>
      <c r="AJ76" s="248">
        <f t="shared" si="27"/>
        <v>255.64135064243266</v>
      </c>
      <c r="AK76" s="249">
        <f t="shared" si="28"/>
        <v>108.90739573622979</v>
      </c>
    </row>
    <row r="77" spans="1:40">
      <c r="A77" s="185" t="s">
        <v>307</v>
      </c>
      <c r="B77" s="317" t="s">
        <v>298</v>
      </c>
      <c r="C77" s="233">
        <v>8.886336</v>
      </c>
      <c r="D77" s="234">
        <v>4.6628720000000001</v>
      </c>
      <c r="E77" s="235">
        <v>3.6973849999999993</v>
      </c>
      <c r="F77" s="236">
        <v>2.9754070000000001</v>
      </c>
      <c r="G77" s="237">
        <v>2.3220480000000001</v>
      </c>
      <c r="H77" s="238">
        <v>2.0582339999999997</v>
      </c>
      <c r="I77" s="239">
        <v>2.5</v>
      </c>
      <c r="J77" s="235">
        <v>2.5</v>
      </c>
      <c r="K77" s="235">
        <v>2.5</v>
      </c>
      <c r="L77" s="235">
        <v>2.5</v>
      </c>
      <c r="M77" s="235">
        <v>2.5</v>
      </c>
      <c r="N77" s="235">
        <v>2.5</v>
      </c>
      <c r="O77" s="235">
        <v>2.7970000000000002</v>
      </c>
      <c r="P77" s="235">
        <v>3.129</v>
      </c>
      <c r="Q77" s="235">
        <v>3.5</v>
      </c>
      <c r="R77" s="235">
        <v>3.5</v>
      </c>
      <c r="S77" s="318">
        <f t="shared" si="23"/>
        <v>52.472380067555399</v>
      </c>
      <c r="T77" s="319">
        <f t="shared" si="23"/>
        <v>79.294156048032178</v>
      </c>
      <c r="U77" s="319">
        <f t="shared" si="23"/>
        <v>80.47328044009484</v>
      </c>
      <c r="V77" s="320">
        <f t="shared" si="23"/>
        <v>78.041357031155741</v>
      </c>
      <c r="W77" s="248">
        <f t="shared" si="22"/>
        <v>88.638736150157087</v>
      </c>
      <c r="X77" s="321">
        <f t="shared" si="22"/>
        <v>121.46335159170437</v>
      </c>
      <c r="Y77" s="322">
        <f t="shared" si="22"/>
        <v>100</v>
      </c>
      <c r="Z77" s="322">
        <f t="shared" si="22"/>
        <v>100</v>
      </c>
      <c r="AA77" s="322">
        <f t="shared" si="22"/>
        <v>100</v>
      </c>
      <c r="AB77" s="322">
        <f t="shared" si="22"/>
        <v>100</v>
      </c>
      <c r="AC77" s="322">
        <f t="shared" si="22"/>
        <v>100</v>
      </c>
      <c r="AD77" s="322">
        <f t="shared" si="11"/>
        <v>111.88</v>
      </c>
      <c r="AE77" s="322">
        <f t="shared" si="11"/>
        <v>111.86986056489094</v>
      </c>
      <c r="AF77" s="322">
        <f t="shared" si="11"/>
        <v>111.85682326621924</v>
      </c>
      <c r="AG77" s="323">
        <f t="shared" si="11"/>
        <v>100</v>
      </c>
      <c r="AI77" s="247">
        <f t="shared" si="26"/>
        <v>1.1779519999999999</v>
      </c>
      <c r="AJ77" s="248">
        <f t="shared" si="27"/>
        <v>150.72901163111183</v>
      </c>
      <c r="AK77" s="249">
        <f t="shared" si="28"/>
        <v>103.80056412073219</v>
      </c>
    </row>
    <row r="78" spans="1:40">
      <c r="A78" s="185" t="s">
        <v>307</v>
      </c>
      <c r="B78" s="317" t="s">
        <v>299</v>
      </c>
      <c r="C78" s="233">
        <v>0.186642</v>
      </c>
      <c r="D78" s="234">
        <v>0.15473400000000001</v>
      </c>
      <c r="E78" s="235">
        <v>0.13878300000000002</v>
      </c>
      <c r="F78" s="236">
        <v>0.14285500000000001</v>
      </c>
      <c r="G78" s="237">
        <v>0.10414400000000001</v>
      </c>
      <c r="H78" s="238">
        <v>0.11579999999999999</v>
      </c>
      <c r="I78" s="239">
        <v>0.16700000000000001</v>
      </c>
      <c r="J78" s="235">
        <v>0.17699999999999999</v>
      </c>
      <c r="K78" s="235">
        <v>0.188</v>
      </c>
      <c r="L78" s="235">
        <v>0.2</v>
      </c>
      <c r="M78" s="235">
        <v>0.2</v>
      </c>
      <c r="N78" s="235">
        <v>0.2</v>
      </c>
      <c r="O78" s="235">
        <v>0.2</v>
      </c>
      <c r="P78" s="235">
        <v>0.2</v>
      </c>
      <c r="Q78" s="235">
        <v>0.2</v>
      </c>
      <c r="R78" s="235">
        <v>0.2</v>
      </c>
      <c r="S78" s="318">
        <f t="shared" si="23"/>
        <v>82.904169479538368</v>
      </c>
      <c r="T78" s="319">
        <f t="shared" si="23"/>
        <v>89.691341269533524</v>
      </c>
      <c r="U78" s="319">
        <f t="shared" si="23"/>
        <v>102.93407694025925</v>
      </c>
      <c r="V78" s="320">
        <f t="shared" si="23"/>
        <v>72.901893528402923</v>
      </c>
      <c r="W78" s="248">
        <f t="shared" si="22"/>
        <v>111.19219542172374</v>
      </c>
      <c r="X78" s="321">
        <f t="shared" si="22"/>
        <v>144.21416234887741</v>
      </c>
      <c r="Y78" s="322">
        <f t="shared" si="22"/>
        <v>105.98802395209579</v>
      </c>
      <c r="Z78" s="322">
        <f t="shared" si="22"/>
        <v>106.21468926553672</v>
      </c>
      <c r="AA78" s="322">
        <f t="shared" si="22"/>
        <v>106.38297872340425</v>
      </c>
      <c r="AB78" s="322">
        <f t="shared" si="22"/>
        <v>100</v>
      </c>
      <c r="AC78" s="322">
        <f t="shared" si="22"/>
        <v>100</v>
      </c>
      <c r="AD78" s="322">
        <f t="shared" si="11"/>
        <v>100</v>
      </c>
      <c r="AE78" s="322">
        <f t="shared" si="11"/>
        <v>100</v>
      </c>
      <c r="AF78" s="322">
        <f t="shared" si="11"/>
        <v>100</v>
      </c>
      <c r="AG78" s="323">
        <f t="shared" si="11"/>
        <v>100</v>
      </c>
      <c r="AI78" s="247">
        <f t="shared" si="26"/>
        <v>9.5855999999999997E-2</v>
      </c>
      <c r="AJ78" s="248">
        <f t="shared" si="27"/>
        <v>192.04178829313256</v>
      </c>
      <c r="AK78" s="249">
        <f t="shared" si="28"/>
        <v>106.1116943475878</v>
      </c>
    </row>
    <row r="79" spans="1:40">
      <c r="A79" s="185" t="s">
        <v>307</v>
      </c>
      <c r="B79" s="317" t="s">
        <v>300</v>
      </c>
      <c r="C79" s="233">
        <v>2.1302400000000001</v>
      </c>
      <c r="D79" s="234">
        <v>1.6387340000000001</v>
      </c>
      <c r="E79" s="235">
        <v>1.4348719999999997</v>
      </c>
      <c r="F79" s="236">
        <v>1.4310120000000002</v>
      </c>
      <c r="G79" s="237">
        <v>2.3266939999999998</v>
      </c>
      <c r="H79" s="238">
        <v>2.6064219999999998</v>
      </c>
      <c r="I79" s="239">
        <v>2.75</v>
      </c>
      <c r="J79" s="235">
        <v>3</v>
      </c>
      <c r="K79" s="235">
        <v>3</v>
      </c>
      <c r="L79" s="235">
        <v>3</v>
      </c>
      <c r="M79" s="235">
        <v>3</v>
      </c>
      <c r="N79" s="235">
        <v>3</v>
      </c>
      <c r="O79" s="235">
        <v>3</v>
      </c>
      <c r="P79" s="235">
        <v>3</v>
      </c>
      <c r="Q79" s="235">
        <v>3</v>
      </c>
      <c r="R79" s="235">
        <v>3</v>
      </c>
      <c r="S79" s="318">
        <f t="shared" si="23"/>
        <v>76.927200691001957</v>
      </c>
      <c r="T79" s="319">
        <f t="shared" si="23"/>
        <v>87.559787006310941</v>
      </c>
      <c r="U79" s="319">
        <f t="shared" si="23"/>
        <v>99.730986457328626</v>
      </c>
      <c r="V79" s="320">
        <f t="shared" si="23"/>
        <v>162.5908098604344</v>
      </c>
      <c r="W79" s="248">
        <f t="shared" si="22"/>
        <v>112.02255217059054</v>
      </c>
      <c r="X79" s="321">
        <f t="shared" si="22"/>
        <v>105.50862446679778</v>
      </c>
      <c r="Y79" s="322">
        <f t="shared" si="22"/>
        <v>109.09090909090908</v>
      </c>
      <c r="Z79" s="322">
        <f t="shared" si="22"/>
        <v>100</v>
      </c>
      <c r="AA79" s="322">
        <f t="shared" si="22"/>
        <v>100</v>
      </c>
      <c r="AB79" s="322">
        <f t="shared" si="22"/>
        <v>100</v>
      </c>
      <c r="AC79" s="322">
        <f t="shared" si="22"/>
        <v>100</v>
      </c>
      <c r="AD79" s="322">
        <f t="shared" si="11"/>
        <v>100</v>
      </c>
      <c r="AE79" s="322">
        <f t="shared" si="11"/>
        <v>100</v>
      </c>
      <c r="AF79" s="322">
        <f t="shared" si="11"/>
        <v>100</v>
      </c>
      <c r="AG79" s="323">
        <f t="shared" si="11"/>
        <v>100</v>
      </c>
      <c r="AI79" s="247">
        <f t="shared" si="26"/>
        <v>0.67330600000000018</v>
      </c>
      <c r="AJ79" s="248">
        <f t="shared" si="27"/>
        <v>128.93831333213566</v>
      </c>
      <c r="AK79" s="249">
        <f t="shared" si="28"/>
        <v>102.33748173667196</v>
      </c>
    </row>
    <row r="80" spans="1:40">
      <c r="A80" s="185" t="s">
        <v>307</v>
      </c>
      <c r="B80" s="317" t="s">
        <v>301</v>
      </c>
      <c r="C80" s="233">
        <v>0.87452199999999991</v>
      </c>
      <c r="D80" s="234">
        <v>0.68542999999999998</v>
      </c>
      <c r="E80" s="235">
        <v>1.5437429999999996</v>
      </c>
      <c r="F80" s="236">
        <v>1.076125</v>
      </c>
      <c r="G80" s="237">
        <v>0.68662299999999998</v>
      </c>
      <c r="H80" s="238">
        <v>1.0390000000000001</v>
      </c>
      <c r="I80" s="239">
        <v>1.0980000000000001</v>
      </c>
      <c r="J80" s="235">
        <v>1.2</v>
      </c>
      <c r="K80" s="235">
        <v>1.2</v>
      </c>
      <c r="L80" s="235">
        <v>1.2</v>
      </c>
      <c r="M80" s="235">
        <v>1.2</v>
      </c>
      <c r="N80" s="235">
        <v>1.2</v>
      </c>
      <c r="O80" s="235">
        <v>1.423</v>
      </c>
      <c r="P80" s="235">
        <v>1.6870000000000001</v>
      </c>
      <c r="Q80" s="235">
        <v>2</v>
      </c>
      <c r="R80" s="235">
        <v>2</v>
      </c>
      <c r="S80" s="318">
        <f t="shared" si="23"/>
        <v>78.377673746343717</v>
      </c>
      <c r="T80" s="319">
        <f t="shared" si="23"/>
        <v>225.22256102008953</v>
      </c>
      <c r="U80" s="319">
        <f t="shared" si="23"/>
        <v>69.708818112859475</v>
      </c>
      <c r="V80" s="320">
        <f t="shared" si="23"/>
        <v>63.805134161923569</v>
      </c>
      <c r="W80" s="248">
        <f t="shared" si="22"/>
        <v>151.32030240758033</v>
      </c>
      <c r="X80" s="321">
        <f t="shared" si="22"/>
        <v>105.67853705486043</v>
      </c>
      <c r="Y80" s="322">
        <f t="shared" si="22"/>
        <v>109.28961748633878</v>
      </c>
      <c r="Z80" s="322">
        <f t="shared" si="22"/>
        <v>100</v>
      </c>
      <c r="AA80" s="322">
        <f t="shared" si="22"/>
        <v>100</v>
      </c>
      <c r="AB80" s="322">
        <f t="shared" si="22"/>
        <v>100</v>
      </c>
      <c r="AC80" s="322">
        <f t="shared" si="22"/>
        <v>100</v>
      </c>
      <c r="AD80" s="322">
        <f t="shared" si="11"/>
        <v>118.58333333333336</v>
      </c>
      <c r="AE80" s="322">
        <f t="shared" si="11"/>
        <v>118.55235418130709</v>
      </c>
      <c r="AF80" s="322">
        <f t="shared" si="11"/>
        <v>118.55364552459989</v>
      </c>
      <c r="AG80" s="323">
        <f t="shared" si="11"/>
        <v>100</v>
      </c>
      <c r="AI80" s="247">
        <f t="shared" si="26"/>
        <v>1.313377</v>
      </c>
      <c r="AJ80" s="248">
        <f t="shared" si="27"/>
        <v>291.28065910987544</v>
      </c>
      <c r="AK80" s="249">
        <f t="shared" si="28"/>
        <v>110.20724601488115</v>
      </c>
    </row>
    <row r="81" spans="1:37">
      <c r="A81" s="185" t="s">
        <v>307</v>
      </c>
      <c r="B81" s="324" t="s">
        <v>302</v>
      </c>
      <c r="C81" s="252">
        <v>11.481212000000003</v>
      </c>
      <c r="D81" s="253">
        <v>15.349359</v>
      </c>
      <c r="E81" s="254">
        <v>18.644147999999998</v>
      </c>
      <c r="F81" s="255">
        <v>16.114436000000005</v>
      </c>
      <c r="G81" s="256">
        <v>18.158383000000001</v>
      </c>
      <c r="H81" s="257">
        <v>19.033236000000002</v>
      </c>
      <c r="I81" s="258">
        <v>20.004999999999995</v>
      </c>
      <c r="J81" s="254">
        <v>24.681999999999999</v>
      </c>
      <c r="K81" s="254">
        <v>25.243999999999996</v>
      </c>
      <c r="L81" s="254">
        <v>28.220000000000027</v>
      </c>
      <c r="M81" s="254">
        <v>33.230000000000004</v>
      </c>
      <c r="N81" s="254">
        <v>33.230000000000004</v>
      </c>
      <c r="O81" s="254">
        <v>33.720000000000006</v>
      </c>
      <c r="P81" s="254">
        <v>34.269999999999996</v>
      </c>
      <c r="Q81" s="254">
        <v>35</v>
      </c>
      <c r="R81" s="254">
        <v>35</v>
      </c>
      <c r="S81" s="325">
        <f t="shared" si="23"/>
        <v>133.69110334344489</v>
      </c>
      <c r="T81" s="326">
        <f t="shared" si="23"/>
        <v>121.46531982215021</v>
      </c>
      <c r="U81" s="326">
        <f t="shared" si="23"/>
        <v>86.431603096049258</v>
      </c>
      <c r="V81" s="327">
        <f t="shared" si="23"/>
        <v>112.68394996883538</v>
      </c>
      <c r="W81" s="267">
        <f t="shared" si="22"/>
        <v>104.81790146182071</v>
      </c>
      <c r="X81" s="328">
        <f t="shared" si="22"/>
        <v>105.10561630192572</v>
      </c>
      <c r="Y81" s="329">
        <f t="shared" si="22"/>
        <v>123.37915521119723</v>
      </c>
      <c r="Z81" s="329">
        <f t="shared" si="22"/>
        <v>102.27696296896522</v>
      </c>
      <c r="AA81" s="329">
        <f t="shared" si="22"/>
        <v>111.78893994612594</v>
      </c>
      <c r="AB81" s="329">
        <f t="shared" si="22"/>
        <v>117.75336640680358</v>
      </c>
      <c r="AC81" s="329">
        <f t="shared" si="22"/>
        <v>100</v>
      </c>
      <c r="AD81" s="329">
        <f t="shared" si="11"/>
        <v>101.47457117062895</v>
      </c>
      <c r="AE81" s="329">
        <f t="shared" si="11"/>
        <v>101.63107947805455</v>
      </c>
      <c r="AF81" s="329">
        <f t="shared" si="11"/>
        <v>102.13014298220018</v>
      </c>
      <c r="AG81" s="330">
        <f t="shared" si="11"/>
        <v>100</v>
      </c>
      <c r="AI81" s="266">
        <f t="shared" si="26"/>
        <v>16.841616999999999</v>
      </c>
      <c r="AJ81" s="267">
        <f t="shared" si="27"/>
        <v>192.74844021078309</v>
      </c>
      <c r="AK81" s="268">
        <f t="shared" si="28"/>
        <v>106.14713119372188</v>
      </c>
    </row>
    <row r="82" spans="1:37" ht="15" thickBot="1">
      <c r="A82" s="185" t="s">
        <v>307</v>
      </c>
      <c r="B82" s="331" t="s">
        <v>303</v>
      </c>
      <c r="C82" s="270">
        <v>9.8680190000000003</v>
      </c>
      <c r="D82" s="271">
        <v>13.212969000000001</v>
      </c>
      <c r="E82" s="272">
        <v>15.262896</v>
      </c>
      <c r="F82" s="273">
        <v>13.191319</v>
      </c>
      <c r="G82" s="274">
        <v>14.908671999999999</v>
      </c>
      <c r="H82" s="275">
        <v>14.819368999999998</v>
      </c>
      <c r="I82" s="276">
        <v>15.795999999999999</v>
      </c>
      <c r="J82" s="272">
        <v>19.173999999999999</v>
      </c>
      <c r="K82" s="272">
        <v>19.437999999999999</v>
      </c>
      <c r="L82" s="272">
        <v>22</v>
      </c>
      <c r="M82" s="272">
        <v>26.6</v>
      </c>
      <c r="N82" s="272">
        <v>26.6</v>
      </c>
      <c r="O82" s="272">
        <v>26.733000000000001</v>
      </c>
      <c r="P82" s="272">
        <v>26.866</v>
      </c>
      <c r="Q82" s="272">
        <v>27</v>
      </c>
      <c r="R82" s="272">
        <v>27</v>
      </c>
      <c r="S82" s="332">
        <f>D82/C82*100</f>
        <v>133.89687433718967</v>
      </c>
      <c r="T82" s="333">
        <f>E82/D82*100</f>
        <v>115.51450699687555</v>
      </c>
      <c r="U82" s="333">
        <f t="shared" si="23"/>
        <v>86.42736607784002</v>
      </c>
      <c r="V82" s="334">
        <f t="shared" si="23"/>
        <v>113.01881184133291</v>
      </c>
      <c r="W82" s="285">
        <f t="shared" si="23"/>
        <v>99.400999632965295</v>
      </c>
      <c r="X82" s="335">
        <f t="shared" si="23"/>
        <v>106.59023336283752</v>
      </c>
      <c r="Y82" s="336">
        <f t="shared" si="23"/>
        <v>121.38516080020258</v>
      </c>
      <c r="Z82" s="336">
        <f t="shared" si="23"/>
        <v>101.37686450401586</v>
      </c>
      <c r="AA82" s="336">
        <f t="shared" si="23"/>
        <v>113.18036835065337</v>
      </c>
      <c r="AB82" s="336">
        <f t="shared" si="22"/>
        <v>120.90909090909092</v>
      </c>
      <c r="AC82" s="336">
        <f t="shared" si="22"/>
        <v>100</v>
      </c>
      <c r="AD82" s="336">
        <f t="shared" si="11"/>
        <v>100.49999999999999</v>
      </c>
      <c r="AE82" s="336">
        <f t="shared" si="11"/>
        <v>100.49751243781093</v>
      </c>
      <c r="AF82" s="336">
        <f t="shared" si="11"/>
        <v>100.49877168167944</v>
      </c>
      <c r="AG82" s="337">
        <f t="shared" si="11"/>
        <v>100</v>
      </c>
      <c r="AI82" s="284">
        <f t="shared" si="26"/>
        <v>12.091328000000001</v>
      </c>
      <c r="AJ82" s="285">
        <f t="shared" si="27"/>
        <v>181.10264951834745</v>
      </c>
      <c r="AK82" s="286">
        <f t="shared" si="28"/>
        <v>105.54744128374611</v>
      </c>
    </row>
    <row r="83" spans="1:37" ht="27.75" customHeight="1">
      <c r="C83" s="338"/>
      <c r="D83" s="338"/>
      <c r="E83" s="338"/>
      <c r="F83" s="338"/>
      <c r="G83" s="338"/>
      <c r="H83" s="338"/>
      <c r="I83" s="338"/>
      <c r="J83" s="338"/>
      <c r="K83" s="338"/>
      <c r="L83" s="347"/>
      <c r="M83" s="347"/>
      <c r="N83" s="347"/>
      <c r="O83" s="347"/>
      <c r="P83" s="347"/>
      <c r="Q83" s="347"/>
      <c r="R83" s="347"/>
    </row>
    <row r="84" spans="1:37"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38"/>
      <c r="N84" s="338"/>
      <c r="O84" s="338"/>
      <c r="P84" s="338"/>
      <c r="Q84" s="338"/>
      <c r="R84" s="338"/>
    </row>
  </sheetData>
  <autoFilter ref="A4:AN82" xr:uid="{00000000-0009-0000-0000-000002000000}"/>
  <mergeCells count="7">
    <mergeCell ref="AK3:AK4"/>
    <mergeCell ref="B3:B4"/>
    <mergeCell ref="C3:G3"/>
    <mergeCell ref="H3:R3"/>
    <mergeCell ref="S3:AG3"/>
    <mergeCell ref="AI3:AI4"/>
    <mergeCell ref="AJ3:AJ4"/>
  </mergeCells>
  <printOptions horizontalCentered="1"/>
  <pageMargins left="0" right="0" top="0.35433070866141736" bottom="0.15748031496062992" header="0.31496062992125984" footer="0.31496062992125984"/>
  <pageSetup paperSize="8" scale="44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1:GP34"/>
  <sheetViews>
    <sheetView zoomScale="55" zoomScaleNormal="55" workbookViewId="0">
      <pane xSplit="5" ySplit="3" topLeftCell="AK4" activePane="bottomRight" state="frozen"/>
      <selection pane="topRight" activeCell="E1" sqref="E1"/>
      <selection pane="bottomLeft" activeCell="A4" sqref="A4"/>
      <selection pane="bottomRight" activeCell="AS8" sqref="AS8"/>
    </sheetView>
  </sheetViews>
  <sheetFormatPr defaultRowHeight="14.6" outlineLevelCol="1"/>
  <cols>
    <col min="1" max="1" width="49.53515625" hidden="1" customWidth="1" outlineLevel="1"/>
    <col min="2" max="2" width="8.84375" customWidth="1" collapsed="1"/>
    <col min="3" max="3" width="20.69140625" customWidth="1"/>
    <col min="4" max="4" width="10.3828125" customWidth="1"/>
    <col min="5" max="5" width="19" customWidth="1"/>
    <col min="6" max="6" width="38.84375" customWidth="1"/>
    <col min="7" max="8" width="9.15234375" customWidth="1"/>
    <col min="9" max="10" width="24.3828125" customWidth="1"/>
    <col min="11" max="11" width="16.3046875" customWidth="1"/>
    <col min="12" max="12" width="11.3046875" customWidth="1"/>
    <col min="13" max="13" width="11.3828125" customWidth="1"/>
    <col min="14" max="14" width="18.53515625" customWidth="1"/>
    <col min="15" max="15" width="17.69140625" customWidth="1"/>
    <col min="16" max="16" width="15.3828125" style="6" customWidth="1"/>
    <col min="17" max="17" width="30.15234375" customWidth="1"/>
    <col min="18" max="23" width="27.3046875" customWidth="1"/>
    <col min="24" max="24" width="16.3828125" customWidth="1"/>
    <col min="25" max="28" width="20.53515625" customWidth="1"/>
    <col min="29" max="29" width="28.53515625" customWidth="1"/>
    <col min="30" max="30" width="16.15234375" customWidth="1"/>
    <col min="31" max="31" width="23.53515625" customWidth="1"/>
    <col min="32" max="32" width="16.3828125" customWidth="1"/>
    <col min="33" max="33" width="14.69140625" customWidth="1"/>
    <col min="34" max="34" width="12.84375" customWidth="1"/>
    <col min="35" max="35" width="19.15234375" customWidth="1"/>
    <col min="36" max="37" width="22" customWidth="1"/>
    <col min="38" max="38" width="25.84375" customWidth="1"/>
    <col min="39" max="39" width="18.84375" customWidth="1"/>
    <col min="40" max="40" width="22.3046875" customWidth="1"/>
    <col min="41" max="41" width="21.15234375" customWidth="1"/>
    <col min="42" max="42" width="19.3828125" customWidth="1"/>
    <col min="43" max="43" width="19.69140625" customWidth="1"/>
    <col min="44" max="44" width="21.69140625" customWidth="1"/>
    <col min="45" max="45" width="30.84375" style="33" customWidth="1"/>
    <col min="46" max="46" width="18.53515625" customWidth="1"/>
  </cols>
  <sheetData>
    <row r="1" spans="1:198">
      <c r="AO1" s="109">
        <v>0.36299999999999999</v>
      </c>
    </row>
    <row r="2" spans="1:198" ht="34" customHeight="1">
      <c r="B2" s="425" t="s">
        <v>159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7"/>
      <c r="X2" s="428" t="s">
        <v>205</v>
      </c>
      <c r="Y2" s="429"/>
      <c r="Z2" s="429"/>
      <c r="AA2" s="429"/>
      <c r="AB2" s="430"/>
      <c r="AC2" s="457" t="s">
        <v>207</v>
      </c>
      <c r="AD2" s="457"/>
      <c r="AE2" s="457"/>
      <c r="AF2" s="457"/>
      <c r="AG2" s="457"/>
      <c r="AH2" s="457"/>
      <c r="AI2" s="457"/>
      <c r="AJ2" s="457"/>
      <c r="AK2" s="457"/>
      <c r="AL2" s="457"/>
      <c r="AM2" s="457"/>
      <c r="AN2" s="457"/>
      <c r="AO2" s="457"/>
      <c r="AP2" s="457"/>
      <c r="AQ2" s="457"/>
      <c r="AR2" s="457"/>
      <c r="AS2" s="456" t="s">
        <v>204</v>
      </c>
      <c r="AT2" s="423" t="s">
        <v>201</v>
      </c>
      <c r="AU2" s="455" t="s">
        <v>186</v>
      </c>
      <c r="AV2" s="455"/>
      <c r="AW2" s="455"/>
      <c r="AX2" s="455"/>
      <c r="AY2" s="455"/>
      <c r="AZ2" s="455"/>
      <c r="BA2" s="455"/>
      <c r="BB2" s="455"/>
      <c r="BC2" s="455"/>
      <c r="BD2" s="455"/>
      <c r="BE2" s="455"/>
      <c r="BF2" s="455"/>
      <c r="BG2" s="455"/>
      <c r="BH2" s="455"/>
      <c r="BI2" s="455"/>
      <c r="BJ2" s="455"/>
      <c r="BK2" s="455"/>
      <c r="BL2" s="455"/>
      <c r="BM2" s="455"/>
      <c r="BN2" s="455"/>
      <c r="BO2" s="455"/>
      <c r="BP2" s="455"/>
      <c r="BQ2" s="455"/>
      <c r="BR2" s="455"/>
      <c r="BS2" s="455"/>
      <c r="BT2" s="455"/>
      <c r="BU2" s="455"/>
      <c r="BV2" s="455"/>
      <c r="BW2" s="455"/>
      <c r="BX2" s="455"/>
      <c r="BY2" s="455"/>
      <c r="BZ2" s="455"/>
      <c r="CA2" s="455"/>
      <c r="CB2" s="455"/>
      <c r="CC2" s="455"/>
      <c r="CD2" s="455"/>
      <c r="CE2" s="455"/>
      <c r="CF2" s="455"/>
      <c r="CG2" s="455"/>
      <c r="CH2" s="455"/>
      <c r="CI2" s="455"/>
      <c r="CJ2" s="455"/>
      <c r="CK2" s="455"/>
      <c r="CL2" s="455"/>
      <c r="CM2" s="455"/>
      <c r="CN2" s="455"/>
      <c r="CO2" s="455"/>
      <c r="CP2" s="455"/>
      <c r="CQ2" s="455"/>
      <c r="CR2" s="455"/>
      <c r="CS2" s="455"/>
      <c r="CT2" s="455"/>
      <c r="CU2" s="455"/>
      <c r="CV2" s="455"/>
      <c r="CW2" s="455"/>
      <c r="CX2" s="455"/>
      <c r="CY2" s="455"/>
      <c r="CZ2" s="455"/>
      <c r="DA2" s="455"/>
      <c r="DB2" s="455"/>
      <c r="DC2" s="455"/>
      <c r="DD2" s="455"/>
      <c r="DE2" s="455"/>
      <c r="DF2" s="455"/>
      <c r="DG2" s="455"/>
      <c r="DH2" s="455"/>
      <c r="DI2" s="455"/>
      <c r="DJ2" s="455"/>
      <c r="DK2" s="455"/>
      <c r="DL2" s="455"/>
      <c r="DM2" s="455"/>
      <c r="DN2" s="455"/>
      <c r="DO2" s="455"/>
      <c r="DP2" s="455"/>
      <c r="DQ2" s="455"/>
      <c r="DR2" s="455"/>
      <c r="DS2" s="455"/>
      <c r="DT2" s="455"/>
      <c r="DU2" s="455"/>
      <c r="DV2" s="455"/>
      <c r="DW2" s="455"/>
      <c r="DX2" s="455"/>
      <c r="DY2" s="455"/>
      <c r="DZ2" s="455"/>
      <c r="EA2" s="455"/>
      <c r="EB2" s="455"/>
      <c r="EC2" s="455"/>
      <c r="ED2" s="455"/>
      <c r="EE2" s="455"/>
      <c r="EF2" s="455"/>
      <c r="EG2" s="455"/>
      <c r="EH2" s="455"/>
      <c r="EI2" s="455"/>
      <c r="EJ2" s="455"/>
      <c r="EK2" s="455"/>
      <c r="EL2" s="455"/>
      <c r="EM2" s="455"/>
      <c r="EN2" s="455"/>
      <c r="EO2" s="455"/>
      <c r="EP2" s="455"/>
      <c r="EQ2" s="455"/>
      <c r="ER2" s="455"/>
      <c r="ES2" s="455"/>
      <c r="ET2" s="455"/>
      <c r="EU2" s="455"/>
      <c r="EV2" s="455"/>
      <c r="EW2" s="455"/>
      <c r="EX2" s="455"/>
      <c r="EY2" s="455"/>
      <c r="EZ2" s="455"/>
      <c r="FA2" s="455"/>
      <c r="FB2" s="455"/>
      <c r="FC2" s="455"/>
      <c r="FD2" s="455"/>
      <c r="FE2" s="455"/>
      <c r="FF2" s="455"/>
      <c r="FG2" s="455"/>
      <c r="FH2" s="455"/>
      <c r="FI2" s="455"/>
      <c r="FJ2" s="455"/>
      <c r="FK2" s="455"/>
      <c r="FL2" s="455"/>
      <c r="FM2" s="455"/>
      <c r="FN2" s="455"/>
      <c r="FO2" s="455"/>
      <c r="FP2" s="455"/>
      <c r="FQ2" s="455"/>
      <c r="FR2" s="455"/>
      <c r="FS2" s="455"/>
      <c r="FT2" s="455"/>
      <c r="FU2" s="455"/>
      <c r="FV2" s="455"/>
      <c r="FW2" s="455"/>
      <c r="FX2" s="455"/>
      <c r="FY2" s="455"/>
      <c r="FZ2" s="455"/>
      <c r="GA2" s="455"/>
      <c r="GB2" s="455"/>
      <c r="GC2" s="455"/>
      <c r="GD2" s="455"/>
      <c r="GE2" s="455"/>
      <c r="GF2" s="455"/>
      <c r="GG2" s="455"/>
      <c r="GH2" s="455"/>
      <c r="GI2" s="455"/>
      <c r="GJ2" s="455"/>
      <c r="GK2" s="455"/>
      <c r="GL2" s="455"/>
      <c r="GM2" s="455"/>
      <c r="GN2" s="455"/>
      <c r="GO2" s="455"/>
    </row>
    <row r="3" spans="1:198" ht="116.7" customHeight="1">
      <c r="A3" t="s">
        <v>236</v>
      </c>
      <c r="B3" s="30" t="s">
        <v>0</v>
      </c>
      <c r="C3" s="31" t="s">
        <v>1</v>
      </c>
      <c r="D3" s="31" t="s">
        <v>2</v>
      </c>
      <c r="E3" s="31" t="s">
        <v>3</v>
      </c>
      <c r="F3" s="31" t="s">
        <v>4</v>
      </c>
      <c r="G3" s="31" t="s">
        <v>5</v>
      </c>
      <c r="H3" s="31" t="s">
        <v>6</v>
      </c>
      <c r="I3" s="31" t="s">
        <v>7</v>
      </c>
      <c r="J3" s="31" t="s">
        <v>8</v>
      </c>
      <c r="K3" s="31" t="s">
        <v>142</v>
      </c>
      <c r="L3" s="31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48" t="s">
        <v>15</v>
      </c>
      <c r="S3" s="52" t="s">
        <v>209</v>
      </c>
      <c r="T3" s="53" t="s">
        <v>210</v>
      </c>
      <c r="U3" s="52" t="s">
        <v>211</v>
      </c>
      <c r="V3" s="54" t="s">
        <v>212</v>
      </c>
      <c r="W3" s="53" t="s">
        <v>213</v>
      </c>
      <c r="X3" s="37" t="s">
        <v>160</v>
      </c>
      <c r="Y3" s="37" t="s">
        <v>162</v>
      </c>
      <c r="Z3" s="38" t="s">
        <v>164</v>
      </c>
      <c r="AA3" s="38" t="s">
        <v>165</v>
      </c>
      <c r="AB3" s="38" t="s">
        <v>206</v>
      </c>
      <c r="AC3" s="39" t="s">
        <v>143</v>
      </c>
      <c r="AD3" s="39" t="s">
        <v>144</v>
      </c>
      <c r="AE3" s="39" t="s">
        <v>145</v>
      </c>
      <c r="AF3" s="40" t="s">
        <v>146</v>
      </c>
      <c r="AG3" s="41" t="s">
        <v>147</v>
      </c>
      <c r="AH3" s="32" t="s">
        <v>148</v>
      </c>
      <c r="AI3" s="43" t="s">
        <v>149</v>
      </c>
      <c r="AJ3" s="42" t="s">
        <v>150</v>
      </c>
      <c r="AK3" s="32" t="s">
        <v>151</v>
      </c>
      <c r="AL3" s="32" t="s">
        <v>152</v>
      </c>
      <c r="AM3" s="32" t="s">
        <v>153</v>
      </c>
      <c r="AN3" s="32" t="s">
        <v>154</v>
      </c>
      <c r="AO3" s="44" t="s">
        <v>155</v>
      </c>
      <c r="AP3" s="32" t="s">
        <v>156</v>
      </c>
      <c r="AQ3" s="32" t="s">
        <v>157</v>
      </c>
      <c r="AR3" s="32" t="s">
        <v>158</v>
      </c>
      <c r="AS3" s="456"/>
      <c r="AT3" s="423"/>
      <c r="AU3" s="17">
        <v>-0.25</v>
      </c>
      <c r="AV3" s="17">
        <v>-0.245</v>
      </c>
      <c r="AW3" s="17">
        <v>-0.24</v>
      </c>
      <c r="AX3" s="17">
        <v>-0.23499999999999999</v>
      </c>
      <c r="AY3" s="17">
        <v>-0.23</v>
      </c>
      <c r="AZ3" s="17">
        <v>-0.22500000000000001</v>
      </c>
      <c r="BA3" s="17">
        <v>-0.22</v>
      </c>
      <c r="BB3" s="17">
        <v>-0.215</v>
      </c>
      <c r="BC3" s="17">
        <v>-0.21</v>
      </c>
      <c r="BD3" s="17">
        <v>-0.20499999999999999</v>
      </c>
      <c r="BE3" s="17">
        <v>-0.2</v>
      </c>
      <c r="BF3" s="17">
        <v>-0.19500000000000001</v>
      </c>
      <c r="BG3" s="17">
        <v>-0.19</v>
      </c>
      <c r="BH3" s="17">
        <v>-0.185</v>
      </c>
      <c r="BI3" s="17">
        <v>-0.18</v>
      </c>
      <c r="BJ3" s="17">
        <v>-0.17499999999999999</v>
      </c>
      <c r="BK3" s="17">
        <v>-0.17</v>
      </c>
      <c r="BL3" s="17">
        <v>-0.16500000000000001</v>
      </c>
      <c r="BM3" s="17">
        <v>-0.16</v>
      </c>
      <c r="BN3" s="17">
        <v>-0.155</v>
      </c>
      <c r="BO3" s="17">
        <v>-0.15</v>
      </c>
      <c r="BP3" s="17">
        <v>-0.14499999999999999</v>
      </c>
      <c r="BQ3" s="17">
        <v>-0.14000000000000001</v>
      </c>
      <c r="BR3" s="17">
        <v>-0.13500000000000001</v>
      </c>
      <c r="BS3" s="17">
        <v>-0.13</v>
      </c>
      <c r="BT3" s="17">
        <v>-0.125</v>
      </c>
      <c r="BU3" s="17">
        <v>-0.12</v>
      </c>
      <c r="BV3" s="17">
        <v>-0.115</v>
      </c>
      <c r="BW3" s="17">
        <v>-0.11</v>
      </c>
      <c r="BX3" s="17">
        <v>-0.105</v>
      </c>
      <c r="BY3" s="17">
        <v>-0.1</v>
      </c>
      <c r="BZ3" s="17">
        <v>-9.5000000000000001E-2</v>
      </c>
      <c r="CA3" s="17">
        <v>-0.09</v>
      </c>
      <c r="CB3" s="17">
        <v>-8.5000000000000006E-2</v>
      </c>
      <c r="CC3" s="17">
        <v>-0.08</v>
      </c>
      <c r="CD3" s="17">
        <v>-7.4999999999999997E-2</v>
      </c>
      <c r="CE3" s="17">
        <v>-7.0000000000000007E-2</v>
      </c>
      <c r="CF3" s="17">
        <v>-6.5000000000000002E-2</v>
      </c>
      <c r="CG3" s="17">
        <v>-0.06</v>
      </c>
      <c r="CH3" s="17">
        <v>-5.5E-2</v>
      </c>
      <c r="CI3" s="17">
        <v>-0.05</v>
      </c>
      <c r="CJ3" s="17">
        <v>-4.4999999999999998E-2</v>
      </c>
      <c r="CK3" s="17">
        <v>-0.04</v>
      </c>
      <c r="CL3" s="17">
        <v>-3.5000000000000003E-2</v>
      </c>
      <c r="CM3" s="17">
        <v>-0.03</v>
      </c>
      <c r="CN3" s="17">
        <v>-2.5000000000000001E-2</v>
      </c>
      <c r="CO3" s="17">
        <v>-0.02</v>
      </c>
      <c r="CP3" s="17">
        <v>-1.4999999999999999E-2</v>
      </c>
      <c r="CQ3" s="17">
        <v>-0.01</v>
      </c>
      <c r="CR3" s="17">
        <v>-5.0000000000000001E-3</v>
      </c>
      <c r="CS3" s="21">
        <v>0</v>
      </c>
      <c r="CT3" s="17">
        <v>5.0000000000000001E-3</v>
      </c>
      <c r="CU3" s="17">
        <v>0.01</v>
      </c>
      <c r="CV3" s="17">
        <v>1.4999999999999999E-2</v>
      </c>
      <c r="CW3" s="17">
        <v>0.02</v>
      </c>
      <c r="CX3" s="17">
        <v>2.5000000000000001E-2</v>
      </c>
      <c r="CY3" s="17">
        <v>0.03</v>
      </c>
      <c r="CZ3" s="17">
        <v>3.5000000000000003E-2</v>
      </c>
      <c r="DA3" s="17">
        <v>0.04</v>
      </c>
      <c r="DB3" s="17">
        <v>4.4999999999999998E-2</v>
      </c>
      <c r="DC3" s="17">
        <v>0.05</v>
      </c>
      <c r="DD3" s="17">
        <v>5.5E-2</v>
      </c>
      <c r="DE3" s="17">
        <v>0.06</v>
      </c>
      <c r="DF3" s="17">
        <v>6.5000000000000002E-2</v>
      </c>
      <c r="DG3" s="17">
        <v>7.0000000000000007E-2</v>
      </c>
      <c r="DH3" s="17">
        <v>7.4999999999999997E-2</v>
      </c>
      <c r="DI3" s="17">
        <v>0.08</v>
      </c>
      <c r="DJ3" s="17">
        <v>8.5000000000000006E-2</v>
      </c>
      <c r="DK3" s="17">
        <v>0.09</v>
      </c>
      <c r="DL3" s="17">
        <v>9.5000000000000001E-2</v>
      </c>
      <c r="DM3" s="17">
        <v>0.1</v>
      </c>
      <c r="DN3" s="17">
        <v>0.105</v>
      </c>
      <c r="DO3" s="17">
        <v>0.11</v>
      </c>
      <c r="DP3" s="17">
        <v>0.115</v>
      </c>
      <c r="DQ3" s="17">
        <v>0.12</v>
      </c>
      <c r="DR3" s="17">
        <v>0.125</v>
      </c>
      <c r="DS3" s="17">
        <v>0.13</v>
      </c>
      <c r="DT3" s="17">
        <v>0.13500000000000001</v>
      </c>
      <c r="DU3" s="17">
        <v>0.14000000000000001</v>
      </c>
      <c r="DV3" s="17">
        <v>0.14499999999999999</v>
      </c>
      <c r="DW3" s="17">
        <v>0.15</v>
      </c>
      <c r="DX3" s="17">
        <v>0.155</v>
      </c>
      <c r="DY3" s="17">
        <v>0.16</v>
      </c>
      <c r="DZ3" s="17">
        <v>0.16500000000000001</v>
      </c>
      <c r="EA3" s="17">
        <v>0.17</v>
      </c>
      <c r="EB3" s="17">
        <v>0.17499999999999999</v>
      </c>
      <c r="EC3" s="17">
        <v>0.18</v>
      </c>
      <c r="ED3" s="17">
        <v>0.185</v>
      </c>
      <c r="EE3" s="17">
        <v>0.19</v>
      </c>
      <c r="EF3" s="17">
        <v>0.19500000000000001</v>
      </c>
      <c r="EG3" s="17">
        <v>0.2</v>
      </c>
      <c r="EH3" s="17">
        <v>0.20499999999999999</v>
      </c>
      <c r="EI3" s="17">
        <v>0.21</v>
      </c>
      <c r="EJ3" s="17">
        <v>0.215</v>
      </c>
      <c r="EK3" s="17">
        <v>0.22</v>
      </c>
      <c r="EL3" s="17">
        <v>0.22500000000000001</v>
      </c>
      <c r="EM3" s="17">
        <v>0.23</v>
      </c>
      <c r="EN3" s="17">
        <v>0.23499999999999999</v>
      </c>
      <c r="EO3" s="17">
        <v>0.24</v>
      </c>
      <c r="EP3" s="17">
        <v>0.245</v>
      </c>
      <c r="EQ3" s="17">
        <v>0.25</v>
      </c>
      <c r="ER3" s="17">
        <v>0.255</v>
      </c>
      <c r="ES3" s="17">
        <v>0.26</v>
      </c>
      <c r="ET3" s="17">
        <v>0.26500000000000001</v>
      </c>
      <c r="EU3" s="17">
        <v>0.27</v>
      </c>
      <c r="EV3" s="17">
        <v>0.27500000000000002</v>
      </c>
      <c r="EW3" s="17">
        <v>0.28000000000000003</v>
      </c>
      <c r="EX3" s="17">
        <v>0.28499999999999998</v>
      </c>
      <c r="EY3" s="17">
        <v>0.28999999999999998</v>
      </c>
      <c r="EZ3" s="17">
        <v>0.29499999999999998</v>
      </c>
      <c r="FA3" s="17">
        <v>0.3</v>
      </c>
      <c r="FB3" s="17">
        <v>0.30499999999999999</v>
      </c>
      <c r="FC3" s="17">
        <v>0.31</v>
      </c>
      <c r="FD3" s="17">
        <v>0.315</v>
      </c>
      <c r="FE3" s="17">
        <v>0.32</v>
      </c>
      <c r="FF3" s="17">
        <v>0.32500000000000001</v>
      </c>
      <c r="FG3" s="17">
        <v>0.33</v>
      </c>
      <c r="FH3" s="17">
        <v>0.33500000000000002</v>
      </c>
      <c r="FI3" s="17">
        <v>0.34</v>
      </c>
      <c r="FJ3" s="17">
        <v>0.34499999999999997</v>
      </c>
      <c r="FK3" s="17">
        <v>0.35</v>
      </c>
      <c r="FL3" s="17">
        <v>0.35499999999999998</v>
      </c>
      <c r="FM3" s="17">
        <v>0.36</v>
      </c>
      <c r="FN3" s="17">
        <v>0.36499999999999999</v>
      </c>
      <c r="FO3" s="17">
        <v>0.37</v>
      </c>
      <c r="FP3" s="17">
        <v>0.375</v>
      </c>
      <c r="FQ3" s="17">
        <v>0.38</v>
      </c>
      <c r="FR3" s="17">
        <v>0.38500000000000001</v>
      </c>
      <c r="FS3" s="17">
        <v>0.39</v>
      </c>
      <c r="FT3" s="17">
        <v>0.39500000000000002</v>
      </c>
      <c r="FU3" s="17">
        <v>0.4</v>
      </c>
      <c r="FV3" s="17">
        <v>0.40500000000000003</v>
      </c>
      <c r="FW3" s="17">
        <v>0.41</v>
      </c>
      <c r="FX3" s="17">
        <v>0.41499999999999998</v>
      </c>
      <c r="FY3" s="17">
        <v>0.42</v>
      </c>
      <c r="FZ3" s="17">
        <v>0.42499999999999999</v>
      </c>
      <c r="GA3" s="17">
        <v>0.43</v>
      </c>
      <c r="GB3" s="17">
        <v>0.435</v>
      </c>
      <c r="GC3" s="17">
        <v>0.44</v>
      </c>
      <c r="GD3" s="17">
        <v>0.44500000000000001</v>
      </c>
      <c r="GE3" s="17">
        <v>0.45</v>
      </c>
      <c r="GF3" s="17">
        <v>0.45500000000000002</v>
      </c>
      <c r="GG3" s="17">
        <v>0.46</v>
      </c>
      <c r="GH3" s="17">
        <v>0.46500000000000002</v>
      </c>
      <c r="GI3" s="17">
        <v>0.47</v>
      </c>
      <c r="GJ3" s="17">
        <v>0.47499999999999998</v>
      </c>
      <c r="GK3" s="17">
        <v>0.48</v>
      </c>
      <c r="GL3" s="17">
        <v>0.48499999999999999</v>
      </c>
      <c r="GM3" s="17">
        <v>0.49</v>
      </c>
      <c r="GN3" s="17">
        <v>0.495</v>
      </c>
      <c r="GO3" s="17">
        <v>0.5</v>
      </c>
      <c r="GP3" s="109">
        <v>0.49399999999999999</v>
      </c>
    </row>
    <row r="4" spans="1:198" ht="29.15" customHeight="1">
      <c r="B4" s="36">
        <v>1</v>
      </c>
      <c r="C4" s="34" t="s">
        <v>16</v>
      </c>
      <c r="D4" s="1">
        <v>16109</v>
      </c>
      <c r="E4" s="1" t="s">
        <v>37</v>
      </c>
      <c r="F4" s="34" t="s">
        <v>18</v>
      </c>
      <c r="G4" s="34" t="s">
        <v>29</v>
      </c>
      <c r="H4" s="1" t="s">
        <v>29</v>
      </c>
      <c r="I4" s="1" t="s">
        <v>38</v>
      </c>
      <c r="J4" s="1" t="s">
        <v>39</v>
      </c>
      <c r="K4" s="1">
        <v>146</v>
      </c>
      <c r="L4" s="1" t="s">
        <v>22</v>
      </c>
      <c r="M4" s="1" t="s">
        <v>40</v>
      </c>
      <c r="N4" s="1" t="s">
        <v>24</v>
      </c>
      <c r="O4" s="1" t="s">
        <v>25</v>
      </c>
      <c r="P4" s="4">
        <v>81213597</v>
      </c>
      <c r="Q4" s="4" t="s">
        <v>41</v>
      </c>
      <c r="R4" s="1" t="s">
        <v>27</v>
      </c>
      <c r="S4" s="49">
        <v>2221765</v>
      </c>
      <c r="T4" s="45">
        <v>324379201</v>
      </c>
      <c r="U4" s="45">
        <v>31173</v>
      </c>
      <c r="V4" s="45"/>
      <c r="W4" s="51">
        <v>451614471</v>
      </c>
      <c r="X4" s="104">
        <v>75</v>
      </c>
      <c r="Y4" s="104" t="s">
        <v>163</v>
      </c>
      <c r="Z4" s="107">
        <v>3</v>
      </c>
      <c r="AA4" s="107">
        <v>3</v>
      </c>
      <c r="AB4" s="107">
        <v>4</v>
      </c>
      <c r="AC4" s="88">
        <v>208.05</v>
      </c>
      <c r="AD4" s="88">
        <v>64.360000000000014</v>
      </c>
      <c r="AE4" s="88">
        <v>281.19</v>
      </c>
      <c r="AF4" s="89">
        <f>'Цены,перевалка,аренда'!$C$26*SUM(Уголь_эластика_внутр!Z4+Уголь_эластика_внутр!AA4+Уголь_эластика_внутр!AB4)/Уголь_эластика_внутр!X4</f>
        <v>133.33333333333334</v>
      </c>
      <c r="AG4" s="90"/>
      <c r="AH4" s="47"/>
      <c r="AI4" s="91">
        <v>445.5</v>
      </c>
      <c r="AJ4" s="92">
        <f>'Цены,перевалка,аренда'!$D$9</f>
        <v>1750</v>
      </c>
      <c r="AK4" s="47">
        <f>AJ4/'Цены,перевалка,аренда'!$C$1</f>
        <v>22.934126635694675</v>
      </c>
      <c r="AL4" s="47">
        <f t="shared" ref="AL4:AL27" si="0">AE4+AF4+AG4</f>
        <v>414.52333333333331</v>
      </c>
      <c r="AM4" s="47">
        <f t="shared" ref="AM4:AM27" si="1">AJ4-AL4</f>
        <v>1335.4766666666667</v>
      </c>
      <c r="AN4" s="47">
        <f t="shared" ref="AN4:AN18" si="2">AI4+AH4+AG4+AF4+AE4</f>
        <v>860.02333333333331</v>
      </c>
      <c r="AO4" s="93">
        <f t="shared" ref="AO4:AO27" si="3">(AJ4-AN4)/AJ4</f>
        <v>0.50855809523809525</v>
      </c>
      <c r="AP4" s="94">
        <f t="shared" ref="AP4:AP27" si="4">AL4/AJ4</f>
        <v>0.23687047619047619</v>
      </c>
      <c r="AQ4" s="94">
        <f t="shared" ref="AQ4:AQ27" si="5">AE4/AJ4</f>
        <v>0.16067999999999999</v>
      </c>
      <c r="AR4" s="94">
        <f t="shared" ref="AR4:AR27" si="6">AE4/AL4</f>
        <v>0.6783454087827786</v>
      </c>
      <c r="AS4" s="95" t="s">
        <v>190</v>
      </c>
      <c r="AT4" s="35"/>
      <c r="AU4" s="102">
        <v>1</v>
      </c>
      <c r="AV4" s="102">
        <v>1</v>
      </c>
      <c r="AW4" s="102">
        <v>1</v>
      </c>
      <c r="AX4" s="102">
        <v>1</v>
      </c>
      <c r="AY4" s="102">
        <v>1</v>
      </c>
      <c r="AZ4" s="102">
        <v>1</v>
      </c>
      <c r="BA4" s="102">
        <v>1</v>
      </c>
      <c r="BB4" s="102">
        <v>1</v>
      </c>
      <c r="BC4" s="102">
        <v>1</v>
      </c>
      <c r="BD4" s="102">
        <v>1</v>
      </c>
      <c r="BE4" s="102">
        <v>1</v>
      </c>
      <c r="BF4" s="102">
        <v>1</v>
      </c>
      <c r="BG4" s="102">
        <v>1</v>
      </c>
      <c r="BH4" s="102">
        <v>1</v>
      </c>
      <c r="BI4" s="102">
        <v>1</v>
      </c>
      <c r="BJ4" s="102">
        <v>1</v>
      </c>
      <c r="BK4" s="102">
        <v>1</v>
      </c>
      <c r="BL4" s="102">
        <v>1</v>
      </c>
      <c r="BM4" s="102">
        <v>1</v>
      </c>
      <c r="BN4" s="102">
        <v>1</v>
      </c>
      <c r="BO4" s="102">
        <v>1</v>
      </c>
      <c r="BP4" s="102">
        <v>1</v>
      </c>
      <c r="BQ4" s="102">
        <v>1</v>
      </c>
      <c r="BR4" s="102">
        <v>1</v>
      </c>
      <c r="BS4" s="102">
        <v>1</v>
      </c>
      <c r="BT4" s="102">
        <v>1</v>
      </c>
      <c r="BU4" s="102">
        <v>1</v>
      </c>
      <c r="BV4" s="102">
        <v>1</v>
      </c>
      <c r="BW4" s="102">
        <v>1</v>
      </c>
      <c r="BX4" s="102">
        <v>1</v>
      </c>
      <c r="BY4" s="102">
        <v>1</v>
      </c>
      <c r="BZ4" s="102">
        <v>1</v>
      </c>
      <c r="CA4" s="102">
        <v>1</v>
      </c>
      <c r="CB4" s="102">
        <v>1</v>
      </c>
      <c r="CC4" s="102">
        <v>1</v>
      </c>
      <c r="CD4" s="102">
        <v>1</v>
      </c>
      <c r="CE4" s="102">
        <v>1</v>
      </c>
      <c r="CF4" s="102">
        <v>1</v>
      </c>
      <c r="CG4" s="102">
        <v>1</v>
      </c>
      <c r="CH4" s="102">
        <v>1</v>
      </c>
      <c r="CI4" s="102">
        <v>1</v>
      </c>
      <c r="CJ4" s="102">
        <v>1</v>
      </c>
      <c r="CK4" s="102">
        <v>1</v>
      </c>
      <c r="CL4" s="102">
        <v>1</v>
      </c>
      <c r="CM4" s="102">
        <v>1</v>
      </c>
      <c r="CN4" s="102">
        <v>1</v>
      </c>
      <c r="CO4" s="102">
        <v>1</v>
      </c>
      <c r="CP4" s="102">
        <v>1</v>
      </c>
      <c r="CQ4" s="102">
        <v>1</v>
      </c>
      <c r="CR4" s="102">
        <v>1</v>
      </c>
      <c r="CS4" s="103">
        <v>1</v>
      </c>
      <c r="CT4" s="102">
        <v>1</v>
      </c>
      <c r="CU4" s="102">
        <v>1</v>
      </c>
      <c r="CV4" s="102">
        <v>1</v>
      </c>
      <c r="CW4" s="102">
        <v>1</v>
      </c>
      <c r="CX4" s="102">
        <v>1</v>
      </c>
      <c r="CY4" s="102">
        <v>1</v>
      </c>
      <c r="CZ4" s="102">
        <v>1</v>
      </c>
      <c r="DA4" s="102">
        <v>1</v>
      </c>
      <c r="DB4" s="102">
        <v>1</v>
      </c>
      <c r="DC4" s="102">
        <v>1</v>
      </c>
      <c r="DD4" s="102">
        <v>1</v>
      </c>
      <c r="DE4" s="102">
        <v>1</v>
      </c>
      <c r="DF4" s="102">
        <v>1</v>
      </c>
      <c r="DG4" s="102">
        <v>1</v>
      </c>
      <c r="DH4" s="102">
        <v>1</v>
      </c>
      <c r="DI4" s="102">
        <v>1</v>
      </c>
      <c r="DJ4" s="102">
        <v>1</v>
      </c>
      <c r="DK4" s="102">
        <v>1</v>
      </c>
      <c r="DL4" s="102">
        <v>1</v>
      </c>
      <c r="DM4" s="102">
        <v>1</v>
      </c>
      <c r="DN4" s="102">
        <v>1</v>
      </c>
      <c r="DO4" s="102">
        <v>1</v>
      </c>
      <c r="DP4" s="102">
        <v>1</v>
      </c>
      <c r="DQ4" s="102">
        <v>1</v>
      </c>
      <c r="DR4" s="102">
        <v>1</v>
      </c>
      <c r="DS4" s="102">
        <v>1</v>
      </c>
      <c r="DT4" s="102">
        <v>1</v>
      </c>
      <c r="DU4" s="102">
        <v>1</v>
      </c>
      <c r="DV4" s="102">
        <v>1</v>
      </c>
      <c r="DW4" s="102">
        <v>1</v>
      </c>
      <c r="DX4" s="102">
        <v>1</v>
      </c>
      <c r="DY4" s="102">
        <v>1</v>
      </c>
      <c r="DZ4" s="102">
        <v>1</v>
      </c>
      <c r="EA4" s="102">
        <v>1</v>
      </c>
      <c r="EB4" s="102">
        <v>1</v>
      </c>
      <c r="EC4" s="102">
        <v>1</v>
      </c>
      <c r="ED4" s="102">
        <v>1</v>
      </c>
      <c r="EE4" s="102">
        <v>1</v>
      </c>
      <c r="EF4" s="102">
        <v>1</v>
      </c>
      <c r="EG4" s="102">
        <v>1</v>
      </c>
      <c r="EH4" s="102">
        <v>1</v>
      </c>
      <c r="EI4" s="102">
        <v>1</v>
      </c>
      <c r="EJ4" s="102">
        <v>1</v>
      </c>
      <c r="EK4" s="102">
        <v>1</v>
      </c>
      <c r="EL4" s="102">
        <v>1</v>
      </c>
      <c r="EM4" s="102">
        <v>1</v>
      </c>
      <c r="EN4" s="102">
        <v>1</v>
      </c>
      <c r="EO4" s="102">
        <v>1</v>
      </c>
      <c r="EP4" s="102">
        <v>1</v>
      </c>
      <c r="EQ4" s="102">
        <v>1</v>
      </c>
      <c r="ER4" s="102">
        <v>1</v>
      </c>
      <c r="ES4" s="102">
        <v>1</v>
      </c>
      <c r="ET4" s="102">
        <v>1</v>
      </c>
      <c r="EU4" s="102">
        <v>1</v>
      </c>
      <c r="EV4" s="102">
        <v>1</v>
      </c>
      <c r="EW4" s="102">
        <v>1</v>
      </c>
      <c r="EX4" s="102">
        <v>1</v>
      </c>
      <c r="EY4" s="102">
        <v>1</v>
      </c>
      <c r="EZ4" s="102">
        <v>1</v>
      </c>
      <c r="FA4" s="102">
        <v>1</v>
      </c>
      <c r="FB4" s="102">
        <v>1</v>
      </c>
      <c r="FC4" s="102">
        <v>1</v>
      </c>
      <c r="FD4" s="102">
        <v>1</v>
      </c>
      <c r="FE4" s="102">
        <v>1</v>
      </c>
      <c r="FF4" s="102">
        <v>1</v>
      </c>
      <c r="FG4" s="102">
        <v>1</v>
      </c>
      <c r="FH4" s="102">
        <v>1</v>
      </c>
      <c r="FI4" s="102">
        <v>1</v>
      </c>
      <c r="FJ4" s="102">
        <v>1</v>
      </c>
      <c r="FK4" s="102">
        <v>1</v>
      </c>
      <c r="FL4" s="102">
        <v>1</v>
      </c>
      <c r="FM4" s="102">
        <v>1</v>
      </c>
      <c r="FN4" s="102">
        <v>1</v>
      </c>
      <c r="FO4" s="102">
        <v>1</v>
      </c>
      <c r="FP4" s="102">
        <v>1</v>
      </c>
      <c r="FQ4" s="102">
        <v>1</v>
      </c>
      <c r="FR4" s="102">
        <v>1</v>
      </c>
      <c r="FS4" s="102">
        <v>1</v>
      </c>
      <c r="FT4" s="102">
        <v>1</v>
      </c>
      <c r="FU4" s="102">
        <v>1</v>
      </c>
      <c r="FV4" s="102">
        <v>1</v>
      </c>
      <c r="FW4" s="102">
        <v>1</v>
      </c>
      <c r="FX4" s="102">
        <v>1</v>
      </c>
      <c r="FY4" s="102">
        <v>1</v>
      </c>
      <c r="FZ4" s="102">
        <v>1</v>
      </c>
      <c r="GA4" s="102">
        <v>1</v>
      </c>
      <c r="GB4" s="102">
        <v>1</v>
      </c>
      <c r="GC4" s="102">
        <v>1</v>
      </c>
      <c r="GD4" s="102">
        <v>1</v>
      </c>
      <c r="GE4" s="102">
        <v>1</v>
      </c>
      <c r="GF4" s="102">
        <v>1</v>
      </c>
      <c r="GG4" s="102">
        <v>1</v>
      </c>
      <c r="GH4" s="102">
        <v>1</v>
      </c>
      <c r="GI4" s="102">
        <v>1</v>
      </c>
      <c r="GJ4" s="102">
        <v>1</v>
      </c>
      <c r="GK4" s="102">
        <v>1</v>
      </c>
      <c r="GL4" s="102">
        <v>1</v>
      </c>
      <c r="GM4" s="102">
        <v>1</v>
      </c>
      <c r="GN4" s="102">
        <v>1</v>
      </c>
      <c r="GO4" s="102">
        <v>1</v>
      </c>
      <c r="GP4" s="24">
        <f t="shared" ref="GP4:GP27" si="7">HLOOKUP($GP$3,$AU$3:$GO$27,3,TRUE)</f>
        <v>1</v>
      </c>
    </row>
    <row r="5" spans="1:198" ht="29.15" customHeight="1">
      <c r="B5" s="36">
        <v>1</v>
      </c>
      <c r="C5" s="34" t="s">
        <v>16</v>
      </c>
      <c r="D5" s="1">
        <v>16112</v>
      </c>
      <c r="E5" s="1" t="s">
        <v>28</v>
      </c>
      <c r="F5" s="34" t="s">
        <v>18</v>
      </c>
      <c r="G5" s="34" t="s">
        <v>29</v>
      </c>
      <c r="H5" s="1" t="s">
        <v>42</v>
      </c>
      <c r="I5" s="1" t="s">
        <v>31</v>
      </c>
      <c r="J5" s="1" t="s">
        <v>43</v>
      </c>
      <c r="K5" s="1">
        <v>3616</v>
      </c>
      <c r="L5" s="1" t="s">
        <v>22</v>
      </c>
      <c r="M5" s="1" t="s">
        <v>40</v>
      </c>
      <c r="N5" s="1" t="s">
        <v>24</v>
      </c>
      <c r="O5" s="1" t="s">
        <v>33</v>
      </c>
      <c r="P5" s="4">
        <v>81195103</v>
      </c>
      <c r="Q5" s="4" t="s">
        <v>44</v>
      </c>
      <c r="R5" s="1" t="s">
        <v>27</v>
      </c>
      <c r="S5" s="49">
        <v>23435</v>
      </c>
      <c r="T5" s="45">
        <v>84729325</v>
      </c>
      <c r="U5" s="45">
        <v>338</v>
      </c>
      <c r="V5" s="45"/>
      <c r="W5" s="51">
        <v>33346998</v>
      </c>
      <c r="X5" s="104">
        <v>69</v>
      </c>
      <c r="Y5" s="104" t="s">
        <v>161</v>
      </c>
      <c r="Z5" s="107">
        <v>12</v>
      </c>
      <c r="AA5" s="107">
        <v>12</v>
      </c>
      <c r="AB5" s="107">
        <v>4</v>
      </c>
      <c r="AC5" s="88">
        <v>1566.84</v>
      </c>
      <c r="AD5" s="88">
        <v>899.00000000000023</v>
      </c>
      <c r="AE5" s="88">
        <v>2516.12</v>
      </c>
      <c r="AF5" s="89">
        <f>'Цены,перевалка,аренда'!$C$27*SUM(Уголь_эластика_внутр!Z5+Уголь_эластика_внутр!AA5+Уголь_эластика_внутр!AB5)/Уголь_эластика_внутр!X5</f>
        <v>284.05797101449275</v>
      </c>
      <c r="AG5" s="90"/>
      <c r="AH5" s="47"/>
      <c r="AI5" s="91">
        <v>2020</v>
      </c>
      <c r="AJ5" s="92">
        <f>'Цены,перевалка,аренда'!$D$8</f>
        <v>3300</v>
      </c>
      <c r="AK5" s="47">
        <f>AJ5/'Цены,перевалка,аренда'!$C$1</f>
        <v>43.247210227309964</v>
      </c>
      <c r="AL5" s="47">
        <f t="shared" si="0"/>
        <v>2800.1779710144929</v>
      </c>
      <c r="AM5" s="47">
        <f t="shared" si="1"/>
        <v>499.82202898550713</v>
      </c>
      <c r="AN5" s="47">
        <f t="shared" si="2"/>
        <v>4820.1779710144929</v>
      </c>
      <c r="AO5" s="93">
        <f t="shared" si="3"/>
        <v>-0.46065999121651297</v>
      </c>
      <c r="AP5" s="94">
        <f t="shared" si="4"/>
        <v>0.84853877909530084</v>
      </c>
      <c r="AQ5" s="94">
        <f t="shared" si="5"/>
        <v>0.76246060606060606</v>
      </c>
      <c r="AR5" s="94">
        <f t="shared" si="6"/>
        <v>0.89855717245301381</v>
      </c>
      <c r="AS5" s="95" t="s">
        <v>175</v>
      </c>
      <c r="AT5" s="35"/>
      <c r="AU5" s="102">
        <v>1</v>
      </c>
      <c r="AV5" s="102">
        <v>1</v>
      </c>
      <c r="AW5" s="102">
        <v>1</v>
      </c>
      <c r="AX5" s="102">
        <v>1</v>
      </c>
      <c r="AY5" s="102">
        <v>1</v>
      </c>
      <c r="AZ5" s="102">
        <v>1</v>
      </c>
      <c r="BA5" s="102">
        <v>1</v>
      </c>
      <c r="BB5" s="102">
        <v>1</v>
      </c>
      <c r="BC5" s="102">
        <v>1</v>
      </c>
      <c r="BD5" s="102">
        <v>1</v>
      </c>
      <c r="BE5" s="102">
        <v>1</v>
      </c>
      <c r="BF5" s="102">
        <v>1</v>
      </c>
      <c r="BG5" s="102">
        <v>1</v>
      </c>
      <c r="BH5" s="102">
        <v>1</v>
      </c>
      <c r="BI5" s="102">
        <v>1</v>
      </c>
      <c r="BJ5" s="102">
        <v>1</v>
      </c>
      <c r="BK5" s="102">
        <v>1</v>
      </c>
      <c r="BL5" s="102">
        <v>1</v>
      </c>
      <c r="BM5" s="102">
        <v>1</v>
      </c>
      <c r="BN5" s="102">
        <v>1</v>
      </c>
      <c r="BO5" s="102">
        <v>1</v>
      </c>
      <c r="BP5" s="102">
        <v>1</v>
      </c>
      <c r="BQ5" s="102">
        <v>1</v>
      </c>
      <c r="BR5" s="102">
        <v>1</v>
      </c>
      <c r="BS5" s="102">
        <v>1</v>
      </c>
      <c r="BT5" s="102">
        <v>1</v>
      </c>
      <c r="BU5" s="102">
        <v>1</v>
      </c>
      <c r="BV5" s="102">
        <v>1</v>
      </c>
      <c r="BW5" s="102">
        <v>1</v>
      </c>
      <c r="BX5" s="102">
        <v>1</v>
      </c>
      <c r="BY5" s="102">
        <v>1</v>
      </c>
      <c r="BZ5" s="102">
        <v>1</v>
      </c>
      <c r="CA5" s="102">
        <v>1</v>
      </c>
      <c r="CB5" s="102">
        <v>1</v>
      </c>
      <c r="CC5" s="102">
        <v>1</v>
      </c>
      <c r="CD5" s="102">
        <v>1</v>
      </c>
      <c r="CE5" s="102">
        <v>1</v>
      </c>
      <c r="CF5" s="102">
        <v>1</v>
      </c>
      <c r="CG5" s="102">
        <v>1</v>
      </c>
      <c r="CH5" s="102">
        <v>1</v>
      </c>
      <c r="CI5" s="102">
        <v>1</v>
      </c>
      <c r="CJ5" s="102">
        <v>1</v>
      </c>
      <c r="CK5" s="102">
        <v>1</v>
      </c>
      <c r="CL5" s="102">
        <v>1</v>
      </c>
      <c r="CM5" s="102">
        <v>1</v>
      </c>
      <c r="CN5" s="102">
        <v>1</v>
      </c>
      <c r="CO5" s="102">
        <v>1</v>
      </c>
      <c r="CP5" s="102">
        <v>1</v>
      </c>
      <c r="CQ5" s="102">
        <v>1</v>
      </c>
      <c r="CR5" s="102">
        <v>1</v>
      </c>
      <c r="CS5" s="103">
        <v>1</v>
      </c>
      <c r="CT5" s="102">
        <v>1</v>
      </c>
      <c r="CU5" s="102">
        <v>1</v>
      </c>
      <c r="CV5" s="102">
        <v>1</v>
      </c>
      <c r="CW5" s="102">
        <v>1</v>
      </c>
      <c r="CX5" s="102">
        <v>1</v>
      </c>
      <c r="CY5" s="102">
        <v>1</v>
      </c>
      <c r="CZ5" s="102">
        <v>1</v>
      </c>
      <c r="DA5" s="102">
        <v>1</v>
      </c>
      <c r="DB5" s="102">
        <v>1</v>
      </c>
      <c r="DC5" s="102">
        <v>1</v>
      </c>
      <c r="DD5" s="102">
        <v>1</v>
      </c>
      <c r="DE5" s="102">
        <v>1</v>
      </c>
      <c r="DF5" s="102">
        <v>1</v>
      </c>
      <c r="DG5" s="102">
        <v>1</v>
      </c>
      <c r="DH5" s="102">
        <v>1</v>
      </c>
      <c r="DI5" s="102">
        <v>1</v>
      </c>
      <c r="DJ5" s="102">
        <v>1</v>
      </c>
      <c r="DK5" s="102">
        <v>1</v>
      </c>
      <c r="DL5" s="102">
        <v>1</v>
      </c>
      <c r="DM5" s="102">
        <v>1</v>
      </c>
      <c r="DN5" s="102">
        <v>1</v>
      </c>
      <c r="DO5" s="102">
        <v>1</v>
      </c>
      <c r="DP5" s="102">
        <v>1</v>
      </c>
      <c r="DQ5" s="102">
        <v>1</v>
      </c>
      <c r="DR5" s="102">
        <v>1</v>
      </c>
      <c r="DS5" s="102">
        <v>1</v>
      </c>
      <c r="DT5" s="102">
        <v>1</v>
      </c>
      <c r="DU5" s="102">
        <v>1</v>
      </c>
      <c r="DV5" s="102">
        <v>1</v>
      </c>
      <c r="DW5" s="102">
        <v>1</v>
      </c>
      <c r="DX5" s="102">
        <v>1</v>
      </c>
      <c r="DY5" s="102">
        <v>1</v>
      </c>
      <c r="DZ5" s="102">
        <v>1</v>
      </c>
      <c r="EA5" s="102">
        <v>1</v>
      </c>
      <c r="EB5" s="102">
        <v>1</v>
      </c>
      <c r="EC5" s="102">
        <v>1</v>
      </c>
      <c r="ED5" s="102">
        <v>1</v>
      </c>
      <c r="EE5" s="102">
        <v>1</v>
      </c>
      <c r="EF5" s="102">
        <v>1</v>
      </c>
      <c r="EG5" s="102">
        <v>1</v>
      </c>
      <c r="EH5" s="102">
        <v>1</v>
      </c>
      <c r="EI5" s="102">
        <v>1</v>
      </c>
      <c r="EJ5" s="102">
        <v>1</v>
      </c>
      <c r="EK5" s="102">
        <v>1</v>
      </c>
      <c r="EL5" s="102">
        <v>1</v>
      </c>
      <c r="EM5" s="102">
        <v>1</v>
      </c>
      <c r="EN5" s="102">
        <v>1</v>
      </c>
      <c r="EO5" s="102">
        <v>1</v>
      </c>
      <c r="EP5" s="102">
        <v>1</v>
      </c>
      <c r="EQ5" s="102">
        <v>1</v>
      </c>
      <c r="ER5" s="102">
        <v>1</v>
      </c>
      <c r="ES5" s="102">
        <v>1</v>
      </c>
      <c r="ET5" s="102">
        <v>1</v>
      </c>
      <c r="EU5" s="102">
        <v>1</v>
      </c>
      <c r="EV5" s="102">
        <v>1</v>
      </c>
      <c r="EW5" s="102">
        <v>1</v>
      </c>
      <c r="EX5" s="102">
        <v>1</v>
      </c>
      <c r="EY5" s="102">
        <v>1</v>
      </c>
      <c r="EZ5" s="102">
        <v>1</v>
      </c>
      <c r="FA5" s="102">
        <v>1</v>
      </c>
      <c r="FB5" s="102">
        <v>1</v>
      </c>
      <c r="FC5" s="102">
        <v>1</v>
      </c>
      <c r="FD5" s="102">
        <v>1</v>
      </c>
      <c r="FE5" s="102">
        <v>1</v>
      </c>
      <c r="FF5" s="102">
        <v>1</v>
      </c>
      <c r="FG5" s="102">
        <v>1</v>
      </c>
      <c r="FH5" s="102">
        <v>1</v>
      </c>
      <c r="FI5" s="102">
        <v>1</v>
      </c>
      <c r="FJ5" s="102">
        <v>1</v>
      </c>
      <c r="FK5" s="102">
        <v>1</v>
      </c>
      <c r="FL5" s="102">
        <v>1</v>
      </c>
      <c r="FM5" s="102">
        <v>1</v>
      </c>
      <c r="FN5" s="102">
        <v>1</v>
      </c>
      <c r="FO5" s="102">
        <v>1</v>
      </c>
      <c r="FP5" s="102">
        <v>1</v>
      </c>
      <c r="FQ5" s="102">
        <v>1</v>
      </c>
      <c r="FR5" s="102">
        <v>1</v>
      </c>
      <c r="FS5" s="102">
        <v>1</v>
      </c>
      <c r="FT5" s="102">
        <v>1</v>
      </c>
      <c r="FU5" s="102">
        <v>1</v>
      </c>
      <c r="FV5" s="102">
        <v>1</v>
      </c>
      <c r="FW5" s="102">
        <v>1</v>
      </c>
      <c r="FX5" s="102">
        <v>1</v>
      </c>
      <c r="FY5" s="102">
        <v>1</v>
      </c>
      <c r="FZ5" s="102">
        <v>1</v>
      </c>
      <c r="GA5" s="102">
        <v>1</v>
      </c>
      <c r="GB5" s="102">
        <v>1</v>
      </c>
      <c r="GC5" s="102">
        <v>1</v>
      </c>
      <c r="GD5" s="102">
        <v>1</v>
      </c>
      <c r="GE5" s="102">
        <v>1</v>
      </c>
      <c r="GF5" s="102">
        <v>1</v>
      </c>
      <c r="GG5" s="102">
        <v>1</v>
      </c>
      <c r="GH5" s="102">
        <v>1</v>
      </c>
      <c r="GI5" s="102">
        <v>1</v>
      </c>
      <c r="GJ5" s="102">
        <v>1</v>
      </c>
      <c r="GK5" s="102">
        <v>1</v>
      </c>
      <c r="GL5" s="102">
        <v>1</v>
      </c>
      <c r="GM5" s="102">
        <v>1</v>
      </c>
      <c r="GN5" s="102">
        <v>1</v>
      </c>
      <c r="GO5" s="102">
        <v>1</v>
      </c>
      <c r="GP5" s="24">
        <f t="shared" si="7"/>
        <v>1</v>
      </c>
    </row>
    <row r="6" spans="1:198" ht="29.15" customHeight="1">
      <c r="B6" s="36">
        <v>1</v>
      </c>
      <c r="C6" s="34" t="s">
        <v>16</v>
      </c>
      <c r="D6" s="1">
        <v>16109</v>
      </c>
      <c r="E6" s="1" t="s">
        <v>37</v>
      </c>
      <c r="F6" s="34" t="s">
        <v>18</v>
      </c>
      <c r="G6" s="34" t="s">
        <v>29</v>
      </c>
      <c r="H6" s="1" t="s">
        <v>45</v>
      </c>
      <c r="I6" s="1" t="s">
        <v>38</v>
      </c>
      <c r="J6" s="1" t="s">
        <v>46</v>
      </c>
      <c r="K6" s="1">
        <v>910</v>
      </c>
      <c r="L6" s="1" t="s">
        <v>22</v>
      </c>
      <c r="M6" s="1" t="s">
        <v>40</v>
      </c>
      <c r="N6" s="1" t="s">
        <v>24</v>
      </c>
      <c r="O6" s="1" t="s">
        <v>36</v>
      </c>
      <c r="P6" s="4">
        <v>81213597</v>
      </c>
      <c r="Q6" s="4" t="s">
        <v>41</v>
      </c>
      <c r="R6" s="1" t="s">
        <v>27</v>
      </c>
      <c r="S6" s="49">
        <v>4334533</v>
      </c>
      <c r="T6" s="45">
        <v>3943795638</v>
      </c>
      <c r="U6" s="45">
        <v>59894</v>
      </c>
      <c r="V6" s="45"/>
      <c r="W6" s="51">
        <v>2288495144</v>
      </c>
      <c r="X6" s="104">
        <v>75</v>
      </c>
      <c r="Y6" s="104" t="s">
        <v>163</v>
      </c>
      <c r="Z6" s="107">
        <v>4</v>
      </c>
      <c r="AA6" s="107">
        <v>4</v>
      </c>
      <c r="AB6" s="107">
        <v>4</v>
      </c>
      <c r="AC6" s="88">
        <v>562.77</v>
      </c>
      <c r="AD6" s="88">
        <v>335.35</v>
      </c>
      <c r="AE6" s="88">
        <v>921.88</v>
      </c>
      <c r="AF6" s="89">
        <f>'Цены,перевалка,аренда'!$C$26*SUM(Уголь_эластика_внутр!Z6+Уголь_эластика_внутр!AA6+Уголь_эластика_внутр!AB6)/Уголь_эластика_внутр!X6</f>
        <v>160</v>
      </c>
      <c r="AG6" s="90"/>
      <c r="AH6" s="47"/>
      <c r="AI6" s="91">
        <v>445.5</v>
      </c>
      <c r="AJ6" s="92">
        <f>'Цены,перевалка,аренда'!$D$9</f>
        <v>1750</v>
      </c>
      <c r="AK6" s="47">
        <f>AJ6/'Цены,перевалка,аренда'!$C$1</f>
        <v>22.934126635694675</v>
      </c>
      <c r="AL6" s="47">
        <f t="shared" si="0"/>
        <v>1081.8800000000001</v>
      </c>
      <c r="AM6" s="47">
        <f t="shared" si="1"/>
        <v>668.11999999999989</v>
      </c>
      <c r="AN6" s="47">
        <f t="shared" si="2"/>
        <v>1527.38</v>
      </c>
      <c r="AO6" s="93">
        <f t="shared" si="3"/>
        <v>0.1272114285714285</v>
      </c>
      <c r="AP6" s="94">
        <f t="shared" si="4"/>
        <v>0.61821714285714291</v>
      </c>
      <c r="AQ6" s="94">
        <f t="shared" si="5"/>
        <v>0.52678857142857138</v>
      </c>
      <c r="AR6" s="94">
        <f t="shared" si="6"/>
        <v>0.8521092912337781</v>
      </c>
      <c r="AS6" s="95" t="s">
        <v>191</v>
      </c>
      <c r="AT6" s="35"/>
      <c r="AU6" s="102">
        <v>1</v>
      </c>
      <c r="AV6" s="102">
        <v>1</v>
      </c>
      <c r="AW6" s="102">
        <v>1</v>
      </c>
      <c r="AX6" s="102">
        <v>1</v>
      </c>
      <c r="AY6" s="102">
        <v>1</v>
      </c>
      <c r="AZ6" s="102">
        <v>1</v>
      </c>
      <c r="BA6" s="102">
        <v>1</v>
      </c>
      <c r="BB6" s="102">
        <v>1</v>
      </c>
      <c r="BC6" s="102">
        <v>1</v>
      </c>
      <c r="BD6" s="102">
        <v>1</v>
      </c>
      <c r="BE6" s="102">
        <v>1</v>
      </c>
      <c r="BF6" s="102">
        <v>1</v>
      </c>
      <c r="BG6" s="102">
        <v>1</v>
      </c>
      <c r="BH6" s="102">
        <v>1</v>
      </c>
      <c r="BI6" s="102">
        <v>1</v>
      </c>
      <c r="BJ6" s="102">
        <v>1</v>
      </c>
      <c r="BK6" s="102">
        <v>1</v>
      </c>
      <c r="BL6" s="102">
        <v>1</v>
      </c>
      <c r="BM6" s="102">
        <v>1</v>
      </c>
      <c r="BN6" s="102">
        <v>1</v>
      </c>
      <c r="BO6" s="102">
        <v>1</v>
      </c>
      <c r="BP6" s="102">
        <v>1</v>
      </c>
      <c r="BQ6" s="102">
        <v>1</v>
      </c>
      <c r="BR6" s="102">
        <v>1</v>
      </c>
      <c r="BS6" s="102">
        <v>1</v>
      </c>
      <c r="BT6" s="102">
        <v>1</v>
      </c>
      <c r="BU6" s="102">
        <v>1</v>
      </c>
      <c r="BV6" s="102">
        <v>1</v>
      </c>
      <c r="BW6" s="102">
        <v>1</v>
      </c>
      <c r="BX6" s="102">
        <v>1</v>
      </c>
      <c r="BY6" s="102">
        <v>1</v>
      </c>
      <c r="BZ6" s="102">
        <v>1</v>
      </c>
      <c r="CA6" s="102">
        <v>1</v>
      </c>
      <c r="CB6" s="102">
        <v>1</v>
      </c>
      <c r="CC6" s="102">
        <v>1</v>
      </c>
      <c r="CD6" s="102">
        <v>1</v>
      </c>
      <c r="CE6" s="102">
        <v>1</v>
      </c>
      <c r="CF6" s="102">
        <v>1</v>
      </c>
      <c r="CG6" s="102">
        <v>1</v>
      </c>
      <c r="CH6" s="102">
        <v>1</v>
      </c>
      <c r="CI6" s="102">
        <v>1</v>
      </c>
      <c r="CJ6" s="102">
        <v>1</v>
      </c>
      <c r="CK6" s="102">
        <v>1</v>
      </c>
      <c r="CL6" s="102">
        <v>1</v>
      </c>
      <c r="CM6" s="102">
        <v>1</v>
      </c>
      <c r="CN6" s="102">
        <v>1</v>
      </c>
      <c r="CO6" s="102">
        <v>1</v>
      </c>
      <c r="CP6" s="102">
        <v>1</v>
      </c>
      <c r="CQ6" s="102">
        <v>1</v>
      </c>
      <c r="CR6" s="102">
        <v>1</v>
      </c>
      <c r="CS6" s="103">
        <v>1</v>
      </c>
      <c r="CT6" s="102">
        <v>1</v>
      </c>
      <c r="CU6" s="102">
        <v>1</v>
      </c>
      <c r="CV6" s="102">
        <v>1</v>
      </c>
      <c r="CW6" s="102">
        <v>1</v>
      </c>
      <c r="CX6" s="102">
        <v>1</v>
      </c>
      <c r="CY6" s="102">
        <v>1</v>
      </c>
      <c r="CZ6" s="102">
        <v>1</v>
      </c>
      <c r="DA6" s="102">
        <v>1</v>
      </c>
      <c r="DB6" s="102">
        <v>1</v>
      </c>
      <c r="DC6" s="102">
        <v>1</v>
      </c>
      <c r="DD6" s="102">
        <v>1</v>
      </c>
      <c r="DE6" s="102">
        <v>1</v>
      </c>
      <c r="DF6" s="102">
        <v>1</v>
      </c>
      <c r="DG6" s="102">
        <v>1</v>
      </c>
      <c r="DH6" s="102">
        <v>1</v>
      </c>
      <c r="DI6" s="102">
        <v>1</v>
      </c>
      <c r="DJ6" s="102">
        <v>1</v>
      </c>
      <c r="DK6" s="102">
        <v>1</v>
      </c>
      <c r="DL6" s="102">
        <v>1</v>
      </c>
      <c r="DM6" s="102">
        <v>1</v>
      </c>
      <c r="DN6" s="102">
        <v>1</v>
      </c>
      <c r="DO6" s="102">
        <v>1</v>
      </c>
      <c r="DP6" s="102">
        <v>1</v>
      </c>
      <c r="DQ6" s="102">
        <v>1</v>
      </c>
      <c r="DR6" s="102">
        <v>1</v>
      </c>
      <c r="DS6" s="102">
        <v>1</v>
      </c>
      <c r="DT6" s="102">
        <v>1</v>
      </c>
      <c r="DU6" s="102">
        <v>1</v>
      </c>
      <c r="DV6" s="102">
        <v>1</v>
      </c>
      <c r="DW6" s="102">
        <v>1</v>
      </c>
      <c r="DX6" s="102">
        <v>1</v>
      </c>
      <c r="DY6" s="102">
        <v>1</v>
      </c>
      <c r="DZ6" s="102">
        <v>1</v>
      </c>
      <c r="EA6" s="102">
        <v>1</v>
      </c>
      <c r="EB6" s="102">
        <v>1</v>
      </c>
      <c r="EC6" s="102">
        <v>1</v>
      </c>
      <c r="ED6" s="102">
        <v>1</v>
      </c>
      <c r="EE6" s="102">
        <v>1</v>
      </c>
      <c r="EF6" s="102">
        <v>1</v>
      </c>
      <c r="EG6" s="102">
        <v>1</v>
      </c>
      <c r="EH6" s="102">
        <v>1</v>
      </c>
      <c r="EI6" s="102">
        <v>1</v>
      </c>
      <c r="EJ6" s="102">
        <v>1</v>
      </c>
      <c r="EK6" s="102">
        <v>1</v>
      </c>
      <c r="EL6" s="102">
        <v>1</v>
      </c>
      <c r="EM6" s="102">
        <v>1</v>
      </c>
      <c r="EN6" s="102">
        <v>1</v>
      </c>
      <c r="EO6" s="102">
        <v>1</v>
      </c>
      <c r="EP6" s="102">
        <v>1</v>
      </c>
      <c r="EQ6" s="102">
        <v>1</v>
      </c>
      <c r="ER6" s="102">
        <v>1</v>
      </c>
      <c r="ES6" s="102">
        <v>1</v>
      </c>
      <c r="ET6" s="102">
        <v>1</v>
      </c>
      <c r="EU6" s="102">
        <v>1</v>
      </c>
      <c r="EV6" s="102">
        <v>1</v>
      </c>
      <c r="EW6" s="102">
        <v>1</v>
      </c>
      <c r="EX6" s="102">
        <v>1</v>
      </c>
      <c r="EY6" s="102">
        <v>1</v>
      </c>
      <c r="EZ6" s="102">
        <v>1</v>
      </c>
      <c r="FA6" s="102">
        <v>1</v>
      </c>
      <c r="FB6" s="102">
        <v>1</v>
      </c>
      <c r="FC6" s="102">
        <v>1</v>
      </c>
      <c r="FD6" s="102">
        <v>1</v>
      </c>
      <c r="FE6" s="102">
        <v>1</v>
      </c>
      <c r="FF6" s="102">
        <v>1</v>
      </c>
      <c r="FG6" s="102">
        <v>1</v>
      </c>
      <c r="FH6" s="102">
        <v>1</v>
      </c>
      <c r="FI6" s="102">
        <v>1</v>
      </c>
      <c r="FJ6" s="102">
        <v>1</v>
      </c>
      <c r="FK6" s="102">
        <v>1</v>
      </c>
      <c r="FL6" s="102">
        <v>1</v>
      </c>
      <c r="FM6" s="102">
        <v>1</v>
      </c>
      <c r="FN6" s="102">
        <v>1</v>
      </c>
      <c r="FO6" s="102">
        <v>1</v>
      </c>
      <c r="FP6" s="102">
        <v>1</v>
      </c>
      <c r="FQ6" s="102">
        <v>1</v>
      </c>
      <c r="FR6" s="102">
        <v>1</v>
      </c>
      <c r="FS6" s="102">
        <v>1</v>
      </c>
      <c r="FT6" s="102">
        <v>1</v>
      </c>
      <c r="FU6" s="102">
        <v>1</v>
      </c>
      <c r="FV6" s="102">
        <v>1</v>
      </c>
      <c r="FW6" s="102">
        <v>1</v>
      </c>
      <c r="FX6" s="102">
        <v>1</v>
      </c>
      <c r="FY6" s="102">
        <v>1</v>
      </c>
      <c r="FZ6" s="102">
        <v>1</v>
      </c>
      <c r="GA6" s="102">
        <v>1</v>
      </c>
      <c r="GB6" s="102">
        <v>1</v>
      </c>
      <c r="GC6" s="102">
        <v>1</v>
      </c>
      <c r="GD6" s="102">
        <v>1</v>
      </c>
      <c r="GE6" s="102">
        <v>1</v>
      </c>
      <c r="GF6" s="102">
        <v>1</v>
      </c>
      <c r="GG6" s="102">
        <v>1</v>
      </c>
      <c r="GH6" s="102">
        <v>1</v>
      </c>
      <c r="GI6" s="102">
        <v>1</v>
      </c>
      <c r="GJ6" s="102">
        <v>1</v>
      </c>
      <c r="GK6" s="102">
        <v>1</v>
      </c>
      <c r="GL6" s="102">
        <v>1</v>
      </c>
      <c r="GM6" s="102">
        <v>1</v>
      </c>
      <c r="GN6" s="102">
        <v>1</v>
      </c>
      <c r="GO6" s="102">
        <v>1</v>
      </c>
      <c r="GP6" s="24">
        <f t="shared" si="7"/>
        <v>1</v>
      </c>
    </row>
    <row r="7" spans="1:198" ht="29.15" customHeight="1">
      <c r="B7" s="36">
        <v>1</v>
      </c>
      <c r="C7" s="34" t="s">
        <v>16</v>
      </c>
      <c r="D7" s="1">
        <v>16109</v>
      </c>
      <c r="E7" s="1" t="s">
        <v>37</v>
      </c>
      <c r="F7" s="34" t="s">
        <v>18</v>
      </c>
      <c r="G7" s="1" t="s">
        <v>56</v>
      </c>
      <c r="H7" s="1" t="s">
        <v>56</v>
      </c>
      <c r="I7" s="1" t="s">
        <v>57</v>
      </c>
      <c r="J7" s="1" t="s">
        <v>58</v>
      </c>
      <c r="K7" s="1">
        <v>188</v>
      </c>
      <c r="L7" s="1" t="s">
        <v>22</v>
      </c>
      <c r="M7" s="1" t="s">
        <v>40</v>
      </c>
      <c r="N7" s="1" t="s">
        <v>24</v>
      </c>
      <c r="O7" s="1" t="s">
        <v>25</v>
      </c>
      <c r="P7" s="4">
        <v>57615980</v>
      </c>
      <c r="Q7" s="4" t="s">
        <v>59</v>
      </c>
      <c r="R7" s="1" t="s">
        <v>51</v>
      </c>
      <c r="S7" s="49">
        <v>1452479</v>
      </c>
      <c r="T7" s="45">
        <v>273065911</v>
      </c>
      <c r="U7" s="45">
        <v>20905</v>
      </c>
      <c r="V7" s="45"/>
      <c r="W7" s="51">
        <v>340188751</v>
      </c>
      <c r="X7" s="104">
        <v>69</v>
      </c>
      <c r="Y7" s="104" t="s">
        <v>163</v>
      </c>
      <c r="Z7" s="107">
        <v>3</v>
      </c>
      <c r="AA7" s="107">
        <v>3</v>
      </c>
      <c r="AB7" s="107">
        <v>4</v>
      </c>
      <c r="AC7" s="88">
        <v>253.8</v>
      </c>
      <c r="AD7" s="88">
        <v>85.71999999999997</v>
      </c>
      <c r="AE7" s="88">
        <v>339.52</v>
      </c>
      <c r="AF7" s="89">
        <f>'Цены,перевалка,аренда'!$C$27*SUM(Уголь_эластика_внутр!Z7+Уголь_эластика_внутр!AA7+Уголь_эластика_внутр!AB7)/Уголь_эластика_внутр!X7</f>
        <v>101.44927536231884</v>
      </c>
      <c r="AG7" s="90"/>
      <c r="AH7" s="47"/>
      <c r="AI7" s="91">
        <v>1857</v>
      </c>
      <c r="AJ7" s="92">
        <f>'Цены,перевалка,аренда'!$D$9</f>
        <v>1750</v>
      </c>
      <c r="AK7" s="47">
        <f>AJ7/'Цены,перевалка,аренда'!$C$1</f>
        <v>22.934126635694675</v>
      </c>
      <c r="AL7" s="47">
        <f t="shared" si="0"/>
        <v>440.96927536231885</v>
      </c>
      <c r="AM7" s="47">
        <f t="shared" si="1"/>
        <v>1309.030724637681</v>
      </c>
      <c r="AN7" s="47">
        <f t="shared" si="2"/>
        <v>2297.9692753623185</v>
      </c>
      <c r="AO7" s="93">
        <f t="shared" si="3"/>
        <v>-0.31312530020703916</v>
      </c>
      <c r="AP7" s="94">
        <f t="shared" si="4"/>
        <v>0.25198244306418222</v>
      </c>
      <c r="AQ7" s="94">
        <f t="shared" si="5"/>
        <v>0.19401142857142856</v>
      </c>
      <c r="AR7" s="94">
        <f t="shared" si="6"/>
        <v>0.76994026334609389</v>
      </c>
      <c r="AS7" s="95" t="s">
        <v>178</v>
      </c>
      <c r="AT7" s="35"/>
      <c r="AU7" s="102">
        <v>1</v>
      </c>
      <c r="AV7" s="102">
        <v>1</v>
      </c>
      <c r="AW7" s="102">
        <v>1</v>
      </c>
      <c r="AX7" s="102">
        <v>1</v>
      </c>
      <c r="AY7" s="102">
        <v>1</v>
      </c>
      <c r="AZ7" s="102">
        <v>1</v>
      </c>
      <c r="BA7" s="102">
        <v>1</v>
      </c>
      <c r="BB7" s="102">
        <v>1</v>
      </c>
      <c r="BC7" s="102">
        <v>1</v>
      </c>
      <c r="BD7" s="102">
        <v>1</v>
      </c>
      <c r="BE7" s="102">
        <v>1</v>
      </c>
      <c r="BF7" s="102">
        <v>1</v>
      </c>
      <c r="BG7" s="102">
        <v>1</v>
      </c>
      <c r="BH7" s="102">
        <v>1</v>
      </c>
      <c r="BI7" s="102">
        <v>1</v>
      </c>
      <c r="BJ7" s="102">
        <v>1</v>
      </c>
      <c r="BK7" s="102">
        <v>1</v>
      </c>
      <c r="BL7" s="102">
        <v>1</v>
      </c>
      <c r="BM7" s="102">
        <v>1</v>
      </c>
      <c r="BN7" s="102">
        <v>1</v>
      </c>
      <c r="BO7" s="102">
        <v>1</v>
      </c>
      <c r="BP7" s="102">
        <v>1</v>
      </c>
      <c r="BQ7" s="102">
        <v>1</v>
      </c>
      <c r="BR7" s="102">
        <v>1</v>
      </c>
      <c r="BS7" s="102">
        <v>1</v>
      </c>
      <c r="BT7" s="102">
        <v>1</v>
      </c>
      <c r="BU7" s="102">
        <v>1</v>
      </c>
      <c r="BV7" s="102">
        <v>1</v>
      </c>
      <c r="BW7" s="102">
        <v>1</v>
      </c>
      <c r="BX7" s="102">
        <v>1</v>
      </c>
      <c r="BY7" s="102">
        <v>1</v>
      </c>
      <c r="BZ7" s="102">
        <v>1</v>
      </c>
      <c r="CA7" s="102">
        <v>1</v>
      </c>
      <c r="CB7" s="102">
        <v>1</v>
      </c>
      <c r="CC7" s="102">
        <v>1</v>
      </c>
      <c r="CD7" s="102">
        <v>1</v>
      </c>
      <c r="CE7" s="102">
        <v>1</v>
      </c>
      <c r="CF7" s="102">
        <v>1</v>
      </c>
      <c r="CG7" s="102">
        <v>1</v>
      </c>
      <c r="CH7" s="102">
        <v>1</v>
      </c>
      <c r="CI7" s="102">
        <v>1</v>
      </c>
      <c r="CJ7" s="102">
        <v>1</v>
      </c>
      <c r="CK7" s="102">
        <v>1</v>
      </c>
      <c r="CL7" s="102">
        <v>1</v>
      </c>
      <c r="CM7" s="102">
        <v>1</v>
      </c>
      <c r="CN7" s="102">
        <v>1</v>
      </c>
      <c r="CO7" s="102">
        <v>1</v>
      </c>
      <c r="CP7" s="102">
        <v>1</v>
      </c>
      <c r="CQ7" s="102">
        <v>1</v>
      </c>
      <c r="CR7" s="102">
        <v>1</v>
      </c>
      <c r="CS7" s="103">
        <v>1</v>
      </c>
      <c r="CT7" s="102">
        <v>1</v>
      </c>
      <c r="CU7" s="102">
        <v>1</v>
      </c>
      <c r="CV7" s="102">
        <v>1</v>
      </c>
      <c r="CW7" s="102">
        <v>1</v>
      </c>
      <c r="CX7" s="102">
        <v>1</v>
      </c>
      <c r="CY7" s="102">
        <v>1</v>
      </c>
      <c r="CZ7" s="102">
        <v>1</v>
      </c>
      <c r="DA7" s="102">
        <v>1</v>
      </c>
      <c r="DB7" s="102">
        <v>1</v>
      </c>
      <c r="DC7" s="102">
        <v>1</v>
      </c>
      <c r="DD7" s="102">
        <v>1</v>
      </c>
      <c r="DE7" s="102">
        <v>1</v>
      </c>
      <c r="DF7" s="102">
        <v>1</v>
      </c>
      <c r="DG7" s="102">
        <v>1</v>
      </c>
      <c r="DH7" s="102">
        <v>1</v>
      </c>
      <c r="DI7" s="102">
        <v>1</v>
      </c>
      <c r="DJ7" s="102">
        <v>1</v>
      </c>
      <c r="DK7" s="102">
        <v>1</v>
      </c>
      <c r="DL7" s="102">
        <v>1</v>
      </c>
      <c r="DM7" s="102">
        <v>1</v>
      </c>
      <c r="DN7" s="102">
        <v>1</v>
      </c>
      <c r="DO7" s="102">
        <v>1</v>
      </c>
      <c r="DP7" s="102">
        <v>1</v>
      </c>
      <c r="DQ7" s="102">
        <v>1</v>
      </c>
      <c r="DR7" s="102">
        <v>1</v>
      </c>
      <c r="DS7" s="102">
        <v>1</v>
      </c>
      <c r="DT7" s="102">
        <v>1</v>
      </c>
      <c r="DU7" s="102">
        <v>1</v>
      </c>
      <c r="DV7" s="102">
        <v>1</v>
      </c>
      <c r="DW7" s="102">
        <v>1</v>
      </c>
      <c r="DX7" s="102">
        <v>1</v>
      </c>
      <c r="DY7" s="102">
        <v>1</v>
      </c>
      <c r="DZ7" s="102">
        <v>1</v>
      </c>
      <c r="EA7" s="102">
        <v>1</v>
      </c>
      <c r="EB7" s="102">
        <v>1</v>
      </c>
      <c r="EC7" s="102">
        <v>1</v>
      </c>
      <c r="ED7" s="102">
        <v>1</v>
      </c>
      <c r="EE7" s="102">
        <v>1</v>
      </c>
      <c r="EF7" s="102">
        <v>1</v>
      </c>
      <c r="EG7" s="102">
        <v>1</v>
      </c>
      <c r="EH7" s="102">
        <v>1</v>
      </c>
      <c r="EI7" s="102">
        <v>1</v>
      </c>
      <c r="EJ7" s="102">
        <v>1</v>
      </c>
      <c r="EK7" s="102">
        <v>1</v>
      </c>
      <c r="EL7" s="102">
        <v>1</v>
      </c>
      <c r="EM7" s="102">
        <v>1</v>
      </c>
      <c r="EN7" s="102">
        <v>1</v>
      </c>
      <c r="EO7" s="102">
        <v>1</v>
      </c>
      <c r="EP7" s="102">
        <v>1</v>
      </c>
      <c r="EQ7" s="102">
        <v>1</v>
      </c>
      <c r="ER7" s="102">
        <v>1</v>
      </c>
      <c r="ES7" s="102">
        <v>1</v>
      </c>
      <c r="ET7" s="102">
        <v>1</v>
      </c>
      <c r="EU7" s="102">
        <v>1</v>
      </c>
      <c r="EV7" s="102">
        <v>1</v>
      </c>
      <c r="EW7" s="102">
        <v>1</v>
      </c>
      <c r="EX7" s="102">
        <v>1</v>
      </c>
      <c r="EY7" s="102">
        <v>1</v>
      </c>
      <c r="EZ7" s="102">
        <v>1</v>
      </c>
      <c r="FA7" s="102">
        <v>1</v>
      </c>
      <c r="FB7" s="102">
        <v>1</v>
      </c>
      <c r="FC7" s="102">
        <v>1</v>
      </c>
      <c r="FD7" s="102">
        <v>1</v>
      </c>
      <c r="FE7" s="102">
        <v>1</v>
      </c>
      <c r="FF7" s="102">
        <v>1</v>
      </c>
      <c r="FG7" s="102">
        <v>1</v>
      </c>
      <c r="FH7" s="102">
        <v>1</v>
      </c>
      <c r="FI7" s="102">
        <v>1</v>
      </c>
      <c r="FJ7" s="102">
        <v>1</v>
      </c>
      <c r="FK7" s="102">
        <v>1</v>
      </c>
      <c r="FL7" s="102">
        <v>1</v>
      </c>
      <c r="FM7" s="102">
        <v>1</v>
      </c>
      <c r="FN7" s="102">
        <v>1</v>
      </c>
      <c r="FO7" s="102">
        <v>1</v>
      </c>
      <c r="FP7" s="102">
        <v>1</v>
      </c>
      <c r="FQ7" s="102">
        <v>1</v>
      </c>
      <c r="FR7" s="102">
        <v>1</v>
      </c>
      <c r="FS7" s="102">
        <v>1</v>
      </c>
      <c r="FT7" s="102">
        <v>1</v>
      </c>
      <c r="FU7" s="102">
        <v>1</v>
      </c>
      <c r="FV7" s="102">
        <v>1</v>
      </c>
      <c r="FW7" s="102">
        <v>1</v>
      </c>
      <c r="FX7" s="102">
        <v>1</v>
      </c>
      <c r="FY7" s="102">
        <v>1</v>
      </c>
      <c r="FZ7" s="102">
        <v>1</v>
      </c>
      <c r="GA7" s="102">
        <v>1</v>
      </c>
      <c r="GB7" s="102">
        <v>1</v>
      </c>
      <c r="GC7" s="102">
        <v>1</v>
      </c>
      <c r="GD7" s="102">
        <v>1</v>
      </c>
      <c r="GE7" s="102">
        <v>1</v>
      </c>
      <c r="GF7" s="102">
        <v>1</v>
      </c>
      <c r="GG7" s="102">
        <v>1</v>
      </c>
      <c r="GH7" s="102">
        <v>1</v>
      </c>
      <c r="GI7" s="102">
        <v>1</v>
      </c>
      <c r="GJ7" s="102">
        <v>1</v>
      </c>
      <c r="GK7" s="102">
        <v>1</v>
      </c>
      <c r="GL7" s="102">
        <v>1</v>
      </c>
      <c r="GM7" s="102">
        <v>1</v>
      </c>
      <c r="GN7" s="102">
        <v>1</v>
      </c>
      <c r="GO7" s="102">
        <v>1</v>
      </c>
      <c r="GP7" s="24">
        <f t="shared" si="7"/>
        <v>1</v>
      </c>
    </row>
    <row r="8" spans="1:198" ht="29.15" customHeight="1">
      <c r="B8" s="36">
        <v>1</v>
      </c>
      <c r="C8" s="34" t="s">
        <v>16</v>
      </c>
      <c r="D8" s="1">
        <v>16109</v>
      </c>
      <c r="E8" s="1" t="s">
        <v>37</v>
      </c>
      <c r="F8" s="34" t="s">
        <v>18</v>
      </c>
      <c r="G8" s="1" t="s">
        <v>29</v>
      </c>
      <c r="H8" s="1" t="s">
        <v>60</v>
      </c>
      <c r="I8" s="1" t="s">
        <v>61</v>
      </c>
      <c r="J8" s="1" t="s">
        <v>62</v>
      </c>
      <c r="K8" s="1">
        <v>4326</v>
      </c>
      <c r="L8" s="1" t="s">
        <v>22</v>
      </c>
      <c r="M8" s="1" t="s">
        <v>40</v>
      </c>
      <c r="N8" s="1" t="s">
        <v>24</v>
      </c>
      <c r="O8" s="1" t="s">
        <v>33</v>
      </c>
      <c r="P8" s="4">
        <v>78465421</v>
      </c>
      <c r="Q8" s="4" t="s">
        <v>54</v>
      </c>
      <c r="R8" s="1" t="s">
        <v>51</v>
      </c>
      <c r="S8" s="49">
        <v>1635392</v>
      </c>
      <c r="T8" s="45">
        <v>7074978411</v>
      </c>
      <c r="U8" s="45">
        <v>23520</v>
      </c>
      <c r="V8" s="45"/>
      <c r="W8" s="51">
        <v>2299056352</v>
      </c>
      <c r="X8" s="104">
        <v>69</v>
      </c>
      <c r="Y8" s="104" t="s">
        <v>163</v>
      </c>
      <c r="Z8" s="107">
        <v>10</v>
      </c>
      <c r="AA8" s="107">
        <v>10</v>
      </c>
      <c r="AB8" s="107">
        <v>4</v>
      </c>
      <c r="AC8" s="88">
        <v>1568</v>
      </c>
      <c r="AD8" s="88">
        <v>961.32999999999993</v>
      </c>
      <c r="AE8" s="88">
        <v>2529.33</v>
      </c>
      <c r="AF8" s="89">
        <f>'Цены,перевалка,аренда'!$C$27*SUM(Уголь_эластика_внутр!Z8+Уголь_эластика_внутр!AA8+Уголь_эластика_внутр!AB8)/Уголь_эластика_внутр!X8</f>
        <v>243.47826086956522</v>
      </c>
      <c r="AG8" s="90"/>
      <c r="AH8" s="47"/>
      <c r="AI8" s="91">
        <v>586</v>
      </c>
      <c r="AJ8" s="92">
        <f>'Цены,перевалка,аренда'!$D$9</f>
        <v>1750</v>
      </c>
      <c r="AK8" s="47">
        <f>AJ8/'Цены,перевалка,аренда'!$C$1</f>
        <v>22.934126635694675</v>
      </c>
      <c r="AL8" s="47">
        <f t="shared" si="0"/>
        <v>2772.8082608695649</v>
      </c>
      <c r="AM8" s="47">
        <f t="shared" si="1"/>
        <v>-1022.8082608695649</v>
      </c>
      <c r="AN8" s="47">
        <f t="shared" si="2"/>
        <v>3358.8082608695649</v>
      </c>
      <c r="AO8" s="93">
        <f t="shared" si="3"/>
        <v>-0.91931900621118001</v>
      </c>
      <c r="AP8" s="94">
        <f t="shared" si="4"/>
        <v>1.584461863354037</v>
      </c>
      <c r="AQ8" s="94">
        <f t="shared" si="5"/>
        <v>1.4453314285714285</v>
      </c>
      <c r="AR8" s="94">
        <f t="shared" si="6"/>
        <v>0.91219073301764864</v>
      </c>
      <c r="AS8" s="95" t="s">
        <v>189</v>
      </c>
      <c r="AT8" s="35"/>
      <c r="AU8" s="102">
        <v>1</v>
      </c>
      <c r="AV8" s="102">
        <v>1</v>
      </c>
      <c r="AW8" s="102">
        <v>1</v>
      </c>
      <c r="AX8" s="102">
        <v>1</v>
      </c>
      <c r="AY8" s="102">
        <v>1</v>
      </c>
      <c r="AZ8" s="102">
        <v>1</v>
      </c>
      <c r="BA8" s="102">
        <v>1</v>
      </c>
      <c r="BB8" s="102">
        <v>1</v>
      </c>
      <c r="BC8" s="102">
        <v>1</v>
      </c>
      <c r="BD8" s="102">
        <v>1</v>
      </c>
      <c r="BE8" s="102">
        <v>1</v>
      </c>
      <c r="BF8" s="102">
        <v>1</v>
      </c>
      <c r="BG8" s="102">
        <v>1</v>
      </c>
      <c r="BH8" s="102">
        <v>1</v>
      </c>
      <c r="BI8" s="102">
        <v>1</v>
      </c>
      <c r="BJ8" s="102">
        <v>1</v>
      </c>
      <c r="BK8" s="102">
        <v>1</v>
      </c>
      <c r="BL8" s="102">
        <v>1</v>
      </c>
      <c r="BM8" s="102">
        <v>1</v>
      </c>
      <c r="BN8" s="102">
        <v>1</v>
      </c>
      <c r="BO8" s="102">
        <v>1</v>
      </c>
      <c r="BP8" s="102">
        <v>1</v>
      </c>
      <c r="BQ8" s="102">
        <v>1</v>
      </c>
      <c r="BR8" s="102">
        <v>1</v>
      </c>
      <c r="BS8" s="102">
        <v>1</v>
      </c>
      <c r="BT8" s="102">
        <v>1</v>
      </c>
      <c r="BU8" s="102">
        <v>1</v>
      </c>
      <c r="BV8" s="102">
        <v>1</v>
      </c>
      <c r="BW8" s="102">
        <v>1</v>
      </c>
      <c r="BX8" s="102">
        <v>1</v>
      </c>
      <c r="BY8" s="102">
        <v>1</v>
      </c>
      <c r="BZ8" s="102">
        <v>1</v>
      </c>
      <c r="CA8" s="102">
        <v>1</v>
      </c>
      <c r="CB8" s="102">
        <v>1</v>
      </c>
      <c r="CC8" s="102">
        <v>1</v>
      </c>
      <c r="CD8" s="102">
        <v>1</v>
      </c>
      <c r="CE8" s="102">
        <v>1</v>
      </c>
      <c r="CF8" s="102">
        <v>1</v>
      </c>
      <c r="CG8" s="102">
        <v>1</v>
      </c>
      <c r="CH8" s="102">
        <v>1</v>
      </c>
      <c r="CI8" s="102">
        <v>1</v>
      </c>
      <c r="CJ8" s="102">
        <v>1</v>
      </c>
      <c r="CK8" s="102">
        <v>1</v>
      </c>
      <c r="CL8" s="102">
        <v>1</v>
      </c>
      <c r="CM8" s="102">
        <v>1</v>
      </c>
      <c r="CN8" s="102">
        <v>1</v>
      </c>
      <c r="CO8" s="102">
        <v>1</v>
      </c>
      <c r="CP8" s="102">
        <v>1</v>
      </c>
      <c r="CQ8" s="102">
        <v>1</v>
      </c>
      <c r="CR8" s="102">
        <v>1</v>
      </c>
      <c r="CS8" s="103">
        <v>1</v>
      </c>
      <c r="CT8" s="102">
        <v>1</v>
      </c>
      <c r="CU8" s="102">
        <v>1</v>
      </c>
      <c r="CV8" s="102">
        <v>1</v>
      </c>
      <c r="CW8" s="102">
        <v>1</v>
      </c>
      <c r="CX8" s="102">
        <v>1</v>
      </c>
      <c r="CY8" s="102">
        <v>1</v>
      </c>
      <c r="CZ8" s="102">
        <v>1</v>
      </c>
      <c r="DA8" s="102">
        <v>1</v>
      </c>
      <c r="DB8" s="102">
        <v>1</v>
      </c>
      <c r="DC8" s="102">
        <v>1</v>
      </c>
      <c r="DD8" s="102">
        <v>1</v>
      </c>
      <c r="DE8" s="102">
        <v>1</v>
      </c>
      <c r="DF8" s="102">
        <v>1</v>
      </c>
      <c r="DG8" s="102">
        <v>1</v>
      </c>
      <c r="DH8" s="102">
        <v>1</v>
      </c>
      <c r="DI8" s="102">
        <v>1</v>
      </c>
      <c r="DJ8" s="102">
        <v>1</v>
      </c>
      <c r="DK8" s="102">
        <v>1</v>
      </c>
      <c r="DL8" s="102">
        <v>1</v>
      </c>
      <c r="DM8" s="102">
        <v>1</v>
      </c>
      <c r="DN8" s="102">
        <v>1</v>
      </c>
      <c r="DO8" s="102">
        <v>1</v>
      </c>
      <c r="DP8" s="102">
        <v>1</v>
      </c>
      <c r="DQ8" s="102">
        <v>1</v>
      </c>
      <c r="DR8" s="102">
        <v>1</v>
      </c>
      <c r="DS8" s="102">
        <v>1</v>
      </c>
      <c r="DT8" s="102">
        <v>1</v>
      </c>
      <c r="DU8" s="102">
        <v>1</v>
      </c>
      <c r="DV8" s="102">
        <v>1</v>
      </c>
      <c r="DW8" s="102">
        <v>1</v>
      </c>
      <c r="DX8" s="102">
        <v>1</v>
      </c>
      <c r="DY8" s="102">
        <v>1</v>
      </c>
      <c r="DZ8" s="102">
        <v>1</v>
      </c>
      <c r="EA8" s="102">
        <v>1</v>
      </c>
      <c r="EB8" s="102">
        <v>1</v>
      </c>
      <c r="EC8" s="102">
        <v>1</v>
      </c>
      <c r="ED8" s="102">
        <v>1</v>
      </c>
      <c r="EE8" s="102">
        <v>1</v>
      </c>
      <c r="EF8" s="102">
        <v>1</v>
      </c>
      <c r="EG8" s="102">
        <v>1</v>
      </c>
      <c r="EH8" s="102">
        <v>1</v>
      </c>
      <c r="EI8" s="102">
        <v>1</v>
      </c>
      <c r="EJ8" s="102">
        <v>1</v>
      </c>
      <c r="EK8" s="102">
        <v>1</v>
      </c>
      <c r="EL8" s="102">
        <v>1</v>
      </c>
      <c r="EM8" s="102">
        <v>1</v>
      </c>
      <c r="EN8" s="102">
        <v>1</v>
      </c>
      <c r="EO8" s="102">
        <v>1</v>
      </c>
      <c r="EP8" s="102">
        <v>1</v>
      </c>
      <c r="EQ8" s="102">
        <v>1</v>
      </c>
      <c r="ER8" s="102">
        <v>1</v>
      </c>
      <c r="ES8" s="102">
        <v>1</v>
      </c>
      <c r="ET8" s="102">
        <v>1</v>
      </c>
      <c r="EU8" s="102">
        <v>1</v>
      </c>
      <c r="EV8" s="102">
        <v>1</v>
      </c>
      <c r="EW8" s="102">
        <v>1</v>
      </c>
      <c r="EX8" s="102">
        <v>1</v>
      </c>
      <c r="EY8" s="102">
        <v>1</v>
      </c>
      <c r="EZ8" s="102">
        <v>1</v>
      </c>
      <c r="FA8" s="102">
        <v>1</v>
      </c>
      <c r="FB8" s="102">
        <v>1</v>
      </c>
      <c r="FC8" s="102">
        <v>1</v>
      </c>
      <c r="FD8" s="102">
        <v>1</v>
      </c>
      <c r="FE8" s="102">
        <v>1</v>
      </c>
      <c r="FF8" s="102">
        <v>1</v>
      </c>
      <c r="FG8" s="102">
        <v>1</v>
      </c>
      <c r="FH8" s="102">
        <v>1</v>
      </c>
      <c r="FI8" s="102">
        <v>1</v>
      </c>
      <c r="FJ8" s="102">
        <v>1</v>
      </c>
      <c r="FK8" s="102">
        <v>1</v>
      </c>
      <c r="FL8" s="102">
        <v>1</v>
      </c>
      <c r="FM8" s="102">
        <v>1</v>
      </c>
      <c r="FN8" s="102">
        <v>1</v>
      </c>
      <c r="FO8" s="102">
        <v>1</v>
      </c>
      <c r="FP8" s="102">
        <v>1</v>
      </c>
      <c r="FQ8" s="102">
        <v>1</v>
      </c>
      <c r="FR8" s="102">
        <v>1</v>
      </c>
      <c r="FS8" s="102">
        <v>1</v>
      </c>
      <c r="FT8" s="102">
        <v>1</v>
      </c>
      <c r="FU8" s="102">
        <v>1</v>
      </c>
      <c r="FV8" s="102">
        <v>1</v>
      </c>
      <c r="FW8" s="102">
        <v>1</v>
      </c>
      <c r="FX8" s="102">
        <v>1</v>
      </c>
      <c r="FY8" s="102">
        <v>1</v>
      </c>
      <c r="FZ8" s="102">
        <v>1</v>
      </c>
      <c r="GA8" s="102">
        <v>1</v>
      </c>
      <c r="GB8" s="102">
        <v>1</v>
      </c>
      <c r="GC8" s="102">
        <v>1</v>
      </c>
      <c r="GD8" s="102">
        <v>1</v>
      </c>
      <c r="GE8" s="102">
        <v>1</v>
      </c>
      <c r="GF8" s="102">
        <v>1</v>
      </c>
      <c r="GG8" s="102">
        <v>1</v>
      </c>
      <c r="GH8" s="102">
        <v>1</v>
      </c>
      <c r="GI8" s="102">
        <v>1</v>
      </c>
      <c r="GJ8" s="102">
        <v>1</v>
      </c>
      <c r="GK8" s="102">
        <v>1</v>
      </c>
      <c r="GL8" s="102">
        <v>1</v>
      </c>
      <c r="GM8" s="102">
        <v>1</v>
      </c>
      <c r="GN8" s="102">
        <v>1</v>
      </c>
      <c r="GO8" s="102">
        <v>1</v>
      </c>
      <c r="GP8" s="24">
        <f t="shared" si="7"/>
        <v>1</v>
      </c>
    </row>
    <row r="9" spans="1:198" ht="29.15" customHeight="1">
      <c r="B9" s="36">
        <v>1</v>
      </c>
      <c r="C9" s="34" t="s">
        <v>16</v>
      </c>
      <c r="D9" s="1">
        <v>16112</v>
      </c>
      <c r="E9" s="1" t="s">
        <v>28</v>
      </c>
      <c r="F9" s="34" t="s">
        <v>18</v>
      </c>
      <c r="G9" s="34" t="s">
        <v>29</v>
      </c>
      <c r="H9" s="1" t="s">
        <v>45</v>
      </c>
      <c r="I9" s="1" t="s">
        <v>48</v>
      </c>
      <c r="J9" s="1" t="s">
        <v>63</v>
      </c>
      <c r="K9" s="1">
        <v>319</v>
      </c>
      <c r="L9" s="1" t="s">
        <v>22</v>
      </c>
      <c r="M9" s="1" t="s">
        <v>40</v>
      </c>
      <c r="N9" s="1" t="s">
        <v>24</v>
      </c>
      <c r="O9" s="1" t="s">
        <v>36</v>
      </c>
      <c r="P9" s="4">
        <v>26649063</v>
      </c>
      <c r="Q9" s="4" t="s">
        <v>64</v>
      </c>
      <c r="R9" s="1" t="s">
        <v>51</v>
      </c>
      <c r="S9" s="49">
        <v>53637</v>
      </c>
      <c r="T9" s="45">
        <v>17110140</v>
      </c>
      <c r="U9" s="45">
        <v>764</v>
      </c>
      <c r="V9" s="45"/>
      <c r="W9" s="51">
        <v>17354701</v>
      </c>
      <c r="X9" s="104">
        <v>69</v>
      </c>
      <c r="Y9" s="104" t="s">
        <v>161</v>
      </c>
      <c r="Z9" s="107">
        <v>4</v>
      </c>
      <c r="AA9" s="107">
        <v>4</v>
      </c>
      <c r="AB9" s="107">
        <v>4</v>
      </c>
      <c r="AC9" s="88">
        <v>372.39</v>
      </c>
      <c r="AD9" s="88">
        <v>157.38999999999999</v>
      </c>
      <c r="AE9" s="88">
        <v>513.88</v>
      </c>
      <c r="AF9" s="89">
        <f>'Цены,перевалка,аренда'!$C$27*SUM(Уголь_эластика_внутр!Z9+Уголь_эластика_внутр!AA9+Уголь_эластика_внутр!AB9)/Уголь_эластика_внутр!X9</f>
        <v>121.73913043478261</v>
      </c>
      <c r="AG9" s="90"/>
      <c r="AH9" s="47"/>
      <c r="AI9" s="91">
        <v>586</v>
      </c>
      <c r="AJ9" s="92">
        <f>'Цены,перевалка,аренда'!$D$8</f>
        <v>3300</v>
      </c>
      <c r="AK9" s="47">
        <f>AJ9/'Цены,перевалка,аренда'!$C$1</f>
        <v>43.247210227309964</v>
      </c>
      <c r="AL9" s="47">
        <f t="shared" si="0"/>
        <v>635.61913043478262</v>
      </c>
      <c r="AM9" s="47">
        <f t="shared" si="1"/>
        <v>2664.3808695652174</v>
      </c>
      <c r="AN9" s="47">
        <f t="shared" si="2"/>
        <v>1221.6191304347826</v>
      </c>
      <c r="AO9" s="93">
        <f t="shared" si="3"/>
        <v>0.62981238471673251</v>
      </c>
      <c r="AP9" s="94">
        <f t="shared" si="4"/>
        <v>0.19261185770750988</v>
      </c>
      <c r="AQ9" s="94">
        <f t="shared" si="5"/>
        <v>0.15572121212121212</v>
      </c>
      <c r="AR9" s="94">
        <f t="shared" si="6"/>
        <v>0.80847157581379059</v>
      </c>
      <c r="AS9" s="95" t="s">
        <v>192</v>
      </c>
      <c r="AT9" s="35"/>
      <c r="AU9" s="102">
        <v>1</v>
      </c>
      <c r="AV9" s="102">
        <v>1</v>
      </c>
      <c r="AW9" s="102">
        <v>1</v>
      </c>
      <c r="AX9" s="102">
        <v>1</v>
      </c>
      <c r="AY9" s="102">
        <v>1</v>
      </c>
      <c r="AZ9" s="102">
        <v>1</v>
      </c>
      <c r="BA9" s="102">
        <v>1</v>
      </c>
      <c r="BB9" s="102">
        <v>1</v>
      </c>
      <c r="BC9" s="102">
        <v>1</v>
      </c>
      <c r="BD9" s="102">
        <v>1</v>
      </c>
      <c r="BE9" s="102">
        <v>1</v>
      </c>
      <c r="BF9" s="102">
        <v>1</v>
      </c>
      <c r="BG9" s="102">
        <v>1</v>
      </c>
      <c r="BH9" s="102">
        <v>1</v>
      </c>
      <c r="BI9" s="102">
        <v>1</v>
      </c>
      <c r="BJ9" s="102">
        <v>1</v>
      </c>
      <c r="BK9" s="102">
        <v>1</v>
      </c>
      <c r="BL9" s="102">
        <v>1</v>
      </c>
      <c r="BM9" s="102">
        <v>1</v>
      </c>
      <c r="BN9" s="102">
        <v>1</v>
      </c>
      <c r="BO9" s="102">
        <v>1</v>
      </c>
      <c r="BP9" s="102">
        <v>1</v>
      </c>
      <c r="BQ9" s="102">
        <v>1</v>
      </c>
      <c r="BR9" s="102">
        <v>1</v>
      </c>
      <c r="BS9" s="102">
        <v>1</v>
      </c>
      <c r="BT9" s="102">
        <v>1</v>
      </c>
      <c r="BU9" s="102">
        <v>1</v>
      </c>
      <c r="BV9" s="102">
        <v>1</v>
      </c>
      <c r="BW9" s="102">
        <v>1</v>
      </c>
      <c r="BX9" s="102">
        <v>1</v>
      </c>
      <c r="BY9" s="102">
        <v>1</v>
      </c>
      <c r="BZ9" s="102">
        <v>1</v>
      </c>
      <c r="CA9" s="102">
        <v>1</v>
      </c>
      <c r="CB9" s="102">
        <v>1</v>
      </c>
      <c r="CC9" s="102">
        <v>1</v>
      </c>
      <c r="CD9" s="102">
        <v>1</v>
      </c>
      <c r="CE9" s="102">
        <v>1</v>
      </c>
      <c r="CF9" s="102">
        <v>1</v>
      </c>
      <c r="CG9" s="102">
        <v>1</v>
      </c>
      <c r="CH9" s="102">
        <v>1</v>
      </c>
      <c r="CI9" s="102">
        <v>1</v>
      </c>
      <c r="CJ9" s="102">
        <v>1</v>
      </c>
      <c r="CK9" s="102">
        <v>1</v>
      </c>
      <c r="CL9" s="102">
        <v>1</v>
      </c>
      <c r="CM9" s="102">
        <v>1</v>
      </c>
      <c r="CN9" s="102">
        <v>1</v>
      </c>
      <c r="CO9" s="102">
        <v>1</v>
      </c>
      <c r="CP9" s="102">
        <v>1</v>
      </c>
      <c r="CQ9" s="102">
        <v>1</v>
      </c>
      <c r="CR9" s="102">
        <v>1</v>
      </c>
      <c r="CS9" s="103">
        <v>1</v>
      </c>
      <c r="CT9" s="102">
        <v>1</v>
      </c>
      <c r="CU9" s="102">
        <v>1</v>
      </c>
      <c r="CV9" s="102">
        <v>1</v>
      </c>
      <c r="CW9" s="102">
        <v>1</v>
      </c>
      <c r="CX9" s="102">
        <v>1</v>
      </c>
      <c r="CY9" s="102">
        <v>1</v>
      </c>
      <c r="CZ9" s="102">
        <v>1</v>
      </c>
      <c r="DA9" s="102">
        <v>1</v>
      </c>
      <c r="DB9" s="102">
        <v>1</v>
      </c>
      <c r="DC9" s="102">
        <v>1</v>
      </c>
      <c r="DD9" s="102">
        <v>1</v>
      </c>
      <c r="DE9" s="102">
        <v>1</v>
      </c>
      <c r="DF9" s="102">
        <v>1</v>
      </c>
      <c r="DG9" s="102">
        <v>1</v>
      </c>
      <c r="DH9" s="102">
        <v>1</v>
      </c>
      <c r="DI9" s="102">
        <v>1</v>
      </c>
      <c r="DJ9" s="102">
        <v>1</v>
      </c>
      <c r="DK9" s="102">
        <v>1</v>
      </c>
      <c r="DL9" s="102">
        <v>1</v>
      </c>
      <c r="DM9" s="102">
        <v>1</v>
      </c>
      <c r="DN9" s="102">
        <v>1</v>
      </c>
      <c r="DO9" s="102">
        <v>1</v>
      </c>
      <c r="DP9" s="102">
        <v>1</v>
      </c>
      <c r="DQ9" s="102">
        <v>1</v>
      </c>
      <c r="DR9" s="102">
        <v>1</v>
      </c>
      <c r="DS9" s="102">
        <v>1</v>
      </c>
      <c r="DT9" s="102">
        <v>1</v>
      </c>
      <c r="DU9" s="102">
        <v>1</v>
      </c>
      <c r="DV9" s="102">
        <v>1</v>
      </c>
      <c r="DW9" s="102">
        <v>1</v>
      </c>
      <c r="DX9" s="102">
        <v>1</v>
      </c>
      <c r="DY9" s="102">
        <v>1</v>
      </c>
      <c r="DZ9" s="102">
        <v>1</v>
      </c>
      <c r="EA9" s="102">
        <v>1</v>
      </c>
      <c r="EB9" s="102">
        <v>1</v>
      </c>
      <c r="EC9" s="102">
        <v>1</v>
      </c>
      <c r="ED9" s="102">
        <v>1</v>
      </c>
      <c r="EE9" s="102">
        <v>1</v>
      </c>
      <c r="EF9" s="102">
        <v>1</v>
      </c>
      <c r="EG9" s="102">
        <v>1</v>
      </c>
      <c r="EH9" s="102">
        <v>1</v>
      </c>
      <c r="EI9" s="102">
        <v>1</v>
      </c>
      <c r="EJ9" s="102">
        <v>1</v>
      </c>
      <c r="EK9" s="102">
        <v>1</v>
      </c>
      <c r="EL9" s="102">
        <v>1</v>
      </c>
      <c r="EM9" s="102">
        <v>1</v>
      </c>
      <c r="EN9" s="102">
        <v>1</v>
      </c>
      <c r="EO9" s="102">
        <v>1</v>
      </c>
      <c r="EP9" s="102">
        <v>1</v>
      </c>
      <c r="EQ9" s="102">
        <v>1</v>
      </c>
      <c r="ER9" s="102">
        <v>1</v>
      </c>
      <c r="ES9" s="102">
        <v>1</v>
      </c>
      <c r="ET9" s="102">
        <v>1</v>
      </c>
      <c r="EU9" s="102">
        <v>1</v>
      </c>
      <c r="EV9" s="102">
        <v>1</v>
      </c>
      <c r="EW9" s="102">
        <v>1</v>
      </c>
      <c r="EX9" s="102">
        <v>1</v>
      </c>
      <c r="EY9" s="102">
        <v>1</v>
      </c>
      <c r="EZ9" s="102">
        <v>1</v>
      </c>
      <c r="FA9" s="102">
        <v>1</v>
      </c>
      <c r="FB9" s="102">
        <v>1</v>
      </c>
      <c r="FC9" s="102">
        <v>1</v>
      </c>
      <c r="FD9" s="102">
        <v>1</v>
      </c>
      <c r="FE9" s="102">
        <v>1</v>
      </c>
      <c r="FF9" s="102">
        <v>1</v>
      </c>
      <c r="FG9" s="102">
        <v>1</v>
      </c>
      <c r="FH9" s="102">
        <v>1</v>
      </c>
      <c r="FI9" s="102">
        <v>1</v>
      </c>
      <c r="FJ9" s="102">
        <v>1</v>
      </c>
      <c r="FK9" s="102">
        <v>1</v>
      </c>
      <c r="FL9" s="102">
        <v>1</v>
      </c>
      <c r="FM9" s="102">
        <v>1</v>
      </c>
      <c r="FN9" s="102">
        <v>1</v>
      </c>
      <c r="FO9" s="102">
        <v>1</v>
      </c>
      <c r="FP9" s="102">
        <v>1</v>
      </c>
      <c r="FQ9" s="102">
        <v>1</v>
      </c>
      <c r="FR9" s="102">
        <v>1</v>
      </c>
      <c r="FS9" s="102">
        <v>1</v>
      </c>
      <c r="FT9" s="102">
        <v>1</v>
      </c>
      <c r="FU9" s="102">
        <v>1</v>
      </c>
      <c r="FV9" s="102">
        <v>1</v>
      </c>
      <c r="FW9" s="102">
        <v>1</v>
      </c>
      <c r="FX9" s="102">
        <v>1</v>
      </c>
      <c r="FY9" s="102">
        <v>1</v>
      </c>
      <c r="FZ9" s="102">
        <v>1</v>
      </c>
      <c r="GA9" s="102">
        <v>1</v>
      </c>
      <c r="GB9" s="102">
        <v>1</v>
      </c>
      <c r="GC9" s="102">
        <v>1</v>
      </c>
      <c r="GD9" s="102">
        <v>1</v>
      </c>
      <c r="GE9" s="102">
        <v>1</v>
      </c>
      <c r="GF9" s="102">
        <v>1</v>
      </c>
      <c r="GG9" s="102">
        <v>1</v>
      </c>
      <c r="GH9" s="102">
        <v>1</v>
      </c>
      <c r="GI9" s="102">
        <v>1</v>
      </c>
      <c r="GJ9" s="102">
        <v>1</v>
      </c>
      <c r="GK9" s="102">
        <v>1</v>
      </c>
      <c r="GL9" s="102">
        <v>1</v>
      </c>
      <c r="GM9" s="102">
        <v>1</v>
      </c>
      <c r="GN9" s="102">
        <v>1</v>
      </c>
      <c r="GO9" s="102">
        <v>1</v>
      </c>
      <c r="GP9" s="24">
        <f t="shared" si="7"/>
        <v>1</v>
      </c>
    </row>
    <row r="10" spans="1:198" ht="29.15" customHeight="1">
      <c r="B10" s="36">
        <v>1</v>
      </c>
      <c r="C10" s="34" t="s">
        <v>16</v>
      </c>
      <c r="D10" s="1">
        <v>16112</v>
      </c>
      <c r="E10" s="1" t="s">
        <v>28</v>
      </c>
      <c r="F10" s="34" t="s">
        <v>18</v>
      </c>
      <c r="G10" s="34" t="s">
        <v>45</v>
      </c>
      <c r="H10" s="1" t="s">
        <v>19</v>
      </c>
      <c r="I10" s="34" t="s">
        <v>72</v>
      </c>
      <c r="J10" s="1" t="s">
        <v>74</v>
      </c>
      <c r="K10" s="1">
        <v>5953</v>
      </c>
      <c r="L10" s="1" t="s">
        <v>22</v>
      </c>
      <c r="M10" s="1" t="s">
        <v>40</v>
      </c>
      <c r="N10" s="1" t="s">
        <v>24</v>
      </c>
      <c r="O10" s="1" t="s">
        <v>25</v>
      </c>
      <c r="P10" s="4">
        <v>14788090</v>
      </c>
      <c r="Q10" s="4" t="s">
        <v>75</v>
      </c>
      <c r="R10" s="1" t="s">
        <v>69</v>
      </c>
      <c r="S10" s="49">
        <v>269869</v>
      </c>
      <c r="T10" s="45">
        <v>1606451445</v>
      </c>
      <c r="U10" s="45">
        <v>3763</v>
      </c>
      <c r="V10" s="45"/>
      <c r="W10" s="51">
        <v>362989677</v>
      </c>
      <c r="X10" s="104">
        <v>69</v>
      </c>
      <c r="Y10" s="104" t="s">
        <v>163</v>
      </c>
      <c r="Z10" s="107">
        <v>13</v>
      </c>
      <c r="AA10" s="107">
        <v>13</v>
      </c>
      <c r="AB10" s="107">
        <v>4</v>
      </c>
      <c r="AC10" s="88">
        <v>1560.58</v>
      </c>
      <c r="AD10" s="88">
        <v>1117.3600000000001</v>
      </c>
      <c r="AE10" s="88">
        <v>2720.3</v>
      </c>
      <c r="AF10" s="89">
        <f>'Цены,перевалка,аренда'!$C$27*SUM(Уголь_эластика_внутр!Z10+Уголь_эластика_внутр!AA10+Уголь_эластика_внутр!AB10)/Уголь_эластика_внутр!X10</f>
        <v>304.3478260869565</v>
      </c>
      <c r="AG10" s="90"/>
      <c r="AH10" s="47"/>
      <c r="AI10" s="91">
        <v>2736</v>
      </c>
      <c r="AJ10" s="92">
        <f>'Цены,перевалка,аренда'!$D$8</f>
        <v>3300</v>
      </c>
      <c r="AK10" s="47">
        <f>AJ10/'Цены,перевалка,аренда'!$C$1</f>
        <v>43.247210227309964</v>
      </c>
      <c r="AL10" s="47">
        <f t="shared" si="0"/>
        <v>3024.6478260869567</v>
      </c>
      <c r="AM10" s="47">
        <f t="shared" si="1"/>
        <v>275.35217391304332</v>
      </c>
      <c r="AN10" s="47">
        <f t="shared" si="2"/>
        <v>5760.6478260869571</v>
      </c>
      <c r="AO10" s="93">
        <f t="shared" si="3"/>
        <v>-0.74565085638998696</v>
      </c>
      <c r="AP10" s="94">
        <f t="shared" si="4"/>
        <v>0.91655994729907775</v>
      </c>
      <c r="AQ10" s="94">
        <f t="shared" si="5"/>
        <v>0.82433333333333336</v>
      </c>
      <c r="AR10" s="94">
        <f t="shared" si="6"/>
        <v>0.8993774338083198</v>
      </c>
      <c r="AS10" s="95" t="s">
        <v>176</v>
      </c>
      <c r="AT10" s="35"/>
      <c r="AU10" s="102">
        <v>1</v>
      </c>
      <c r="AV10" s="102">
        <v>1</v>
      </c>
      <c r="AW10" s="102">
        <v>1</v>
      </c>
      <c r="AX10" s="102">
        <v>1</v>
      </c>
      <c r="AY10" s="102">
        <v>1</v>
      </c>
      <c r="AZ10" s="102">
        <v>1</v>
      </c>
      <c r="BA10" s="102">
        <v>1</v>
      </c>
      <c r="BB10" s="102">
        <v>1</v>
      </c>
      <c r="BC10" s="102">
        <v>1</v>
      </c>
      <c r="BD10" s="102">
        <v>1</v>
      </c>
      <c r="BE10" s="102">
        <v>1</v>
      </c>
      <c r="BF10" s="102">
        <v>1</v>
      </c>
      <c r="BG10" s="102">
        <v>1</v>
      </c>
      <c r="BH10" s="102">
        <v>1</v>
      </c>
      <c r="BI10" s="102">
        <v>1</v>
      </c>
      <c r="BJ10" s="102">
        <v>1</v>
      </c>
      <c r="BK10" s="102">
        <v>1</v>
      </c>
      <c r="BL10" s="102">
        <v>1</v>
      </c>
      <c r="BM10" s="102">
        <v>1</v>
      </c>
      <c r="BN10" s="102">
        <v>1</v>
      </c>
      <c r="BO10" s="102">
        <v>1</v>
      </c>
      <c r="BP10" s="102">
        <v>1</v>
      </c>
      <c r="BQ10" s="102">
        <v>1</v>
      </c>
      <c r="BR10" s="102">
        <v>1</v>
      </c>
      <c r="BS10" s="102">
        <v>1</v>
      </c>
      <c r="BT10" s="102">
        <v>1</v>
      </c>
      <c r="BU10" s="102">
        <v>1</v>
      </c>
      <c r="BV10" s="102">
        <v>1</v>
      </c>
      <c r="BW10" s="102">
        <v>1</v>
      </c>
      <c r="BX10" s="102">
        <v>1</v>
      </c>
      <c r="BY10" s="102">
        <v>1</v>
      </c>
      <c r="BZ10" s="102">
        <v>1</v>
      </c>
      <c r="CA10" s="102">
        <v>1</v>
      </c>
      <c r="CB10" s="102">
        <v>1</v>
      </c>
      <c r="CC10" s="102">
        <v>1</v>
      </c>
      <c r="CD10" s="102">
        <v>1</v>
      </c>
      <c r="CE10" s="102">
        <v>1</v>
      </c>
      <c r="CF10" s="102">
        <v>1</v>
      </c>
      <c r="CG10" s="102">
        <v>1</v>
      </c>
      <c r="CH10" s="102">
        <v>1</v>
      </c>
      <c r="CI10" s="102">
        <v>1</v>
      </c>
      <c r="CJ10" s="102">
        <v>1</v>
      </c>
      <c r="CK10" s="102">
        <v>1</v>
      </c>
      <c r="CL10" s="102">
        <v>1</v>
      </c>
      <c r="CM10" s="102">
        <v>1</v>
      </c>
      <c r="CN10" s="102">
        <v>1</v>
      </c>
      <c r="CO10" s="102">
        <v>1</v>
      </c>
      <c r="CP10" s="102">
        <v>1</v>
      </c>
      <c r="CQ10" s="102">
        <v>1</v>
      </c>
      <c r="CR10" s="102">
        <v>1</v>
      </c>
      <c r="CS10" s="103">
        <v>1</v>
      </c>
      <c r="CT10" s="102">
        <v>1</v>
      </c>
      <c r="CU10" s="102">
        <v>1</v>
      </c>
      <c r="CV10" s="102">
        <v>1</v>
      </c>
      <c r="CW10" s="102">
        <v>1</v>
      </c>
      <c r="CX10" s="102">
        <v>1</v>
      </c>
      <c r="CY10" s="102">
        <v>1</v>
      </c>
      <c r="CZ10" s="102">
        <v>1</v>
      </c>
      <c r="DA10" s="102">
        <v>1</v>
      </c>
      <c r="DB10" s="102">
        <v>1</v>
      </c>
      <c r="DC10" s="102">
        <v>1</v>
      </c>
      <c r="DD10" s="102">
        <v>1</v>
      </c>
      <c r="DE10" s="102">
        <v>1</v>
      </c>
      <c r="DF10" s="102">
        <v>1</v>
      </c>
      <c r="DG10" s="102">
        <v>1</v>
      </c>
      <c r="DH10" s="102">
        <v>1</v>
      </c>
      <c r="DI10" s="102">
        <v>1</v>
      </c>
      <c r="DJ10" s="102">
        <v>1</v>
      </c>
      <c r="DK10" s="102">
        <v>1</v>
      </c>
      <c r="DL10" s="102">
        <v>1</v>
      </c>
      <c r="DM10" s="102">
        <v>1</v>
      </c>
      <c r="DN10" s="102">
        <v>1</v>
      </c>
      <c r="DO10" s="102">
        <v>1</v>
      </c>
      <c r="DP10" s="102">
        <v>1</v>
      </c>
      <c r="DQ10" s="102">
        <v>1</v>
      </c>
      <c r="DR10" s="102">
        <v>1</v>
      </c>
      <c r="DS10" s="102">
        <v>1</v>
      </c>
      <c r="DT10" s="102">
        <v>1</v>
      </c>
      <c r="DU10" s="102">
        <v>1</v>
      </c>
      <c r="DV10" s="102">
        <v>1</v>
      </c>
      <c r="DW10" s="102">
        <v>1</v>
      </c>
      <c r="DX10" s="102">
        <v>1</v>
      </c>
      <c r="DY10" s="102">
        <v>1</v>
      </c>
      <c r="DZ10" s="102">
        <v>1</v>
      </c>
      <c r="EA10" s="102">
        <v>1</v>
      </c>
      <c r="EB10" s="102">
        <v>1</v>
      </c>
      <c r="EC10" s="102">
        <v>1</v>
      </c>
      <c r="ED10" s="102">
        <v>1</v>
      </c>
      <c r="EE10" s="102">
        <v>1</v>
      </c>
      <c r="EF10" s="102">
        <v>1</v>
      </c>
      <c r="EG10" s="102">
        <v>1</v>
      </c>
      <c r="EH10" s="102">
        <v>1</v>
      </c>
      <c r="EI10" s="102">
        <v>1</v>
      </c>
      <c r="EJ10" s="102">
        <v>1</v>
      </c>
      <c r="EK10" s="102">
        <v>1</v>
      </c>
      <c r="EL10" s="102">
        <v>1</v>
      </c>
      <c r="EM10" s="102">
        <v>1</v>
      </c>
      <c r="EN10" s="102">
        <v>1</v>
      </c>
      <c r="EO10" s="102">
        <v>1</v>
      </c>
      <c r="EP10" s="102">
        <v>1</v>
      </c>
      <c r="EQ10" s="102">
        <v>1</v>
      </c>
      <c r="ER10" s="102">
        <v>1</v>
      </c>
      <c r="ES10" s="102">
        <v>1</v>
      </c>
      <c r="ET10" s="102">
        <v>1</v>
      </c>
      <c r="EU10" s="102">
        <v>1</v>
      </c>
      <c r="EV10" s="102">
        <v>1</v>
      </c>
      <c r="EW10" s="102">
        <v>1</v>
      </c>
      <c r="EX10" s="102">
        <v>1</v>
      </c>
      <c r="EY10" s="102">
        <v>1</v>
      </c>
      <c r="EZ10" s="102">
        <v>1</v>
      </c>
      <c r="FA10" s="102">
        <v>1</v>
      </c>
      <c r="FB10" s="102">
        <v>1</v>
      </c>
      <c r="FC10" s="102">
        <v>1</v>
      </c>
      <c r="FD10" s="102">
        <v>1</v>
      </c>
      <c r="FE10" s="102">
        <v>1</v>
      </c>
      <c r="FF10" s="102">
        <v>1</v>
      </c>
      <c r="FG10" s="102">
        <v>1</v>
      </c>
      <c r="FH10" s="102">
        <v>1</v>
      </c>
      <c r="FI10" s="102">
        <v>1</v>
      </c>
      <c r="FJ10" s="102">
        <v>1</v>
      </c>
      <c r="FK10" s="102">
        <v>1</v>
      </c>
      <c r="FL10" s="102">
        <v>1</v>
      </c>
      <c r="FM10" s="102">
        <v>1</v>
      </c>
      <c r="FN10" s="102">
        <v>1</v>
      </c>
      <c r="FO10" s="102">
        <v>1</v>
      </c>
      <c r="FP10" s="102">
        <v>1</v>
      </c>
      <c r="FQ10" s="102">
        <v>1</v>
      </c>
      <c r="FR10" s="102">
        <v>1</v>
      </c>
      <c r="FS10" s="102">
        <v>1</v>
      </c>
      <c r="FT10" s="102">
        <v>1</v>
      </c>
      <c r="FU10" s="102">
        <v>1</v>
      </c>
      <c r="FV10" s="102">
        <v>1</v>
      </c>
      <c r="FW10" s="102">
        <v>1</v>
      </c>
      <c r="FX10" s="102">
        <v>1</v>
      </c>
      <c r="FY10" s="102">
        <v>1</v>
      </c>
      <c r="FZ10" s="102">
        <v>1</v>
      </c>
      <c r="GA10" s="102">
        <v>1</v>
      </c>
      <c r="GB10" s="102">
        <v>1</v>
      </c>
      <c r="GC10" s="102">
        <v>1</v>
      </c>
      <c r="GD10" s="102">
        <v>1</v>
      </c>
      <c r="GE10" s="102">
        <v>1</v>
      </c>
      <c r="GF10" s="102">
        <v>1</v>
      </c>
      <c r="GG10" s="102">
        <v>1</v>
      </c>
      <c r="GH10" s="102">
        <v>1</v>
      </c>
      <c r="GI10" s="102">
        <v>1</v>
      </c>
      <c r="GJ10" s="102">
        <v>1</v>
      </c>
      <c r="GK10" s="102">
        <v>1</v>
      </c>
      <c r="GL10" s="102">
        <v>1</v>
      </c>
      <c r="GM10" s="102">
        <v>1</v>
      </c>
      <c r="GN10" s="102">
        <v>1</v>
      </c>
      <c r="GO10" s="102">
        <v>1</v>
      </c>
      <c r="GP10" s="24">
        <f t="shared" si="7"/>
        <v>1</v>
      </c>
    </row>
    <row r="11" spans="1:198" ht="29.15" customHeight="1">
      <c r="B11" s="36">
        <v>1</v>
      </c>
      <c r="C11" s="34" t="s">
        <v>16</v>
      </c>
      <c r="D11" s="1">
        <v>16112</v>
      </c>
      <c r="E11" s="1" t="s">
        <v>28</v>
      </c>
      <c r="F11" s="34" t="s">
        <v>18</v>
      </c>
      <c r="G11" s="34" t="s">
        <v>45</v>
      </c>
      <c r="H11" s="1" t="s">
        <v>60</v>
      </c>
      <c r="I11" s="34" t="s">
        <v>72</v>
      </c>
      <c r="J11" s="1" t="s">
        <v>76</v>
      </c>
      <c r="K11" s="1">
        <v>3879</v>
      </c>
      <c r="L11" s="1" t="s">
        <v>22</v>
      </c>
      <c r="M11" s="1" t="s">
        <v>40</v>
      </c>
      <c r="N11" s="1" t="s">
        <v>24</v>
      </c>
      <c r="O11" s="1" t="s">
        <v>33</v>
      </c>
      <c r="P11" s="35">
        <v>14788090</v>
      </c>
      <c r="Q11" s="4" t="s">
        <v>75</v>
      </c>
      <c r="R11" s="1" t="s">
        <v>69</v>
      </c>
      <c r="S11" s="49">
        <v>542589</v>
      </c>
      <c r="T11" s="45">
        <v>2104831504</v>
      </c>
      <c r="U11" s="45">
        <v>7796</v>
      </c>
      <c r="V11" s="45"/>
      <c r="W11" s="51">
        <v>767647504</v>
      </c>
      <c r="X11" s="104">
        <v>69</v>
      </c>
      <c r="Y11" s="104" t="s">
        <v>161</v>
      </c>
      <c r="Z11" s="107">
        <v>13</v>
      </c>
      <c r="AA11" s="107">
        <v>14</v>
      </c>
      <c r="AB11" s="107">
        <v>4</v>
      </c>
      <c r="AC11" s="88">
        <v>1574.55</v>
      </c>
      <c r="AD11" s="88">
        <v>931.6400000000001</v>
      </c>
      <c r="AE11" s="88">
        <v>2555.65</v>
      </c>
      <c r="AF11" s="89">
        <f>'Цены,перевалка,аренда'!$C$27*SUM(Уголь_эластика_внутр!Z11+Уголь_эластика_внутр!AA11+Уголь_эластика_внутр!AB11)/Уголь_эластика_внутр!X11</f>
        <v>314.49275362318838</v>
      </c>
      <c r="AG11" s="90"/>
      <c r="AH11" s="47"/>
      <c r="AI11" s="91">
        <v>2736</v>
      </c>
      <c r="AJ11" s="92">
        <f>'Цены,перевалка,аренда'!$D$8</f>
        <v>3300</v>
      </c>
      <c r="AK11" s="47">
        <f>AJ11/'Цены,перевалка,аренда'!$C$1</f>
        <v>43.247210227309964</v>
      </c>
      <c r="AL11" s="47">
        <f t="shared" si="0"/>
        <v>2870.1427536231886</v>
      </c>
      <c r="AM11" s="47">
        <f t="shared" si="1"/>
        <v>429.85724637681142</v>
      </c>
      <c r="AN11" s="47">
        <f t="shared" si="2"/>
        <v>5606.1427536231886</v>
      </c>
      <c r="AO11" s="93">
        <f t="shared" si="3"/>
        <v>-0.69883113746157233</v>
      </c>
      <c r="AP11" s="94">
        <f t="shared" si="4"/>
        <v>0.86974022837066323</v>
      </c>
      <c r="AQ11" s="94">
        <f t="shared" si="5"/>
        <v>0.77443939393939398</v>
      </c>
      <c r="AR11" s="94">
        <f t="shared" si="6"/>
        <v>0.89042609353622515</v>
      </c>
      <c r="AS11" s="95" t="s">
        <v>177</v>
      </c>
      <c r="AT11" s="35"/>
      <c r="AU11" s="102">
        <v>1</v>
      </c>
      <c r="AV11" s="102">
        <v>1</v>
      </c>
      <c r="AW11" s="102">
        <v>1</v>
      </c>
      <c r="AX11" s="102">
        <v>1</v>
      </c>
      <c r="AY11" s="102">
        <v>1</v>
      </c>
      <c r="AZ11" s="102">
        <v>1</v>
      </c>
      <c r="BA11" s="102">
        <v>1</v>
      </c>
      <c r="BB11" s="102">
        <v>1</v>
      </c>
      <c r="BC11" s="102">
        <v>1</v>
      </c>
      <c r="BD11" s="102">
        <v>1</v>
      </c>
      <c r="BE11" s="102">
        <v>1</v>
      </c>
      <c r="BF11" s="102">
        <v>1</v>
      </c>
      <c r="BG11" s="102">
        <v>1</v>
      </c>
      <c r="BH11" s="102">
        <v>1</v>
      </c>
      <c r="BI11" s="102">
        <v>1</v>
      </c>
      <c r="BJ11" s="102">
        <v>1</v>
      </c>
      <c r="BK11" s="102">
        <v>1</v>
      </c>
      <c r="BL11" s="102">
        <v>1</v>
      </c>
      <c r="BM11" s="102">
        <v>1</v>
      </c>
      <c r="BN11" s="102">
        <v>1</v>
      </c>
      <c r="BO11" s="102">
        <v>1</v>
      </c>
      <c r="BP11" s="102">
        <v>1</v>
      </c>
      <c r="BQ11" s="102">
        <v>1</v>
      </c>
      <c r="BR11" s="102">
        <v>1</v>
      </c>
      <c r="BS11" s="102">
        <v>1</v>
      </c>
      <c r="BT11" s="102">
        <v>1</v>
      </c>
      <c r="BU11" s="102">
        <v>1</v>
      </c>
      <c r="BV11" s="102">
        <v>1</v>
      </c>
      <c r="BW11" s="102">
        <v>1</v>
      </c>
      <c r="BX11" s="102">
        <v>1</v>
      </c>
      <c r="BY11" s="102">
        <v>1</v>
      </c>
      <c r="BZ11" s="102">
        <v>1</v>
      </c>
      <c r="CA11" s="102">
        <v>1</v>
      </c>
      <c r="CB11" s="102">
        <v>1</v>
      </c>
      <c r="CC11" s="102">
        <v>1</v>
      </c>
      <c r="CD11" s="102">
        <v>1</v>
      </c>
      <c r="CE11" s="102">
        <v>1</v>
      </c>
      <c r="CF11" s="102">
        <v>1</v>
      </c>
      <c r="CG11" s="102">
        <v>1</v>
      </c>
      <c r="CH11" s="102">
        <v>1</v>
      </c>
      <c r="CI11" s="102">
        <v>1</v>
      </c>
      <c r="CJ11" s="102">
        <v>1</v>
      </c>
      <c r="CK11" s="102">
        <v>1</v>
      </c>
      <c r="CL11" s="102">
        <v>1</v>
      </c>
      <c r="CM11" s="102">
        <v>1</v>
      </c>
      <c r="CN11" s="102">
        <v>1</v>
      </c>
      <c r="CO11" s="102">
        <v>1</v>
      </c>
      <c r="CP11" s="102">
        <v>1</v>
      </c>
      <c r="CQ11" s="102">
        <v>1</v>
      </c>
      <c r="CR11" s="102">
        <v>1</v>
      </c>
      <c r="CS11" s="103">
        <v>1</v>
      </c>
      <c r="CT11" s="102">
        <v>1</v>
      </c>
      <c r="CU11" s="102">
        <v>1</v>
      </c>
      <c r="CV11" s="102">
        <v>1</v>
      </c>
      <c r="CW11" s="102">
        <v>1</v>
      </c>
      <c r="CX11" s="102">
        <v>1</v>
      </c>
      <c r="CY11" s="102">
        <v>1</v>
      </c>
      <c r="CZ11" s="102">
        <v>1</v>
      </c>
      <c r="DA11" s="102">
        <v>1</v>
      </c>
      <c r="DB11" s="102">
        <v>1</v>
      </c>
      <c r="DC11" s="102">
        <v>1</v>
      </c>
      <c r="DD11" s="102">
        <v>1</v>
      </c>
      <c r="DE11" s="102">
        <v>1</v>
      </c>
      <c r="DF11" s="102">
        <v>1</v>
      </c>
      <c r="DG11" s="102">
        <v>1</v>
      </c>
      <c r="DH11" s="102">
        <v>1</v>
      </c>
      <c r="DI11" s="102">
        <v>1</v>
      </c>
      <c r="DJ11" s="102">
        <v>1</v>
      </c>
      <c r="DK11" s="102">
        <v>1</v>
      </c>
      <c r="DL11" s="102">
        <v>1</v>
      </c>
      <c r="DM11" s="102">
        <v>1</v>
      </c>
      <c r="DN11" s="102">
        <v>1</v>
      </c>
      <c r="DO11" s="102">
        <v>1</v>
      </c>
      <c r="DP11" s="102">
        <v>1</v>
      </c>
      <c r="DQ11" s="102">
        <v>1</v>
      </c>
      <c r="DR11" s="102">
        <v>1</v>
      </c>
      <c r="DS11" s="102">
        <v>1</v>
      </c>
      <c r="DT11" s="102">
        <v>1</v>
      </c>
      <c r="DU11" s="102">
        <v>1</v>
      </c>
      <c r="DV11" s="102">
        <v>1</v>
      </c>
      <c r="DW11" s="102">
        <v>1</v>
      </c>
      <c r="DX11" s="102">
        <v>1</v>
      </c>
      <c r="DY11" s="102">
        <v>1</v>
      </c>
      <c r="DZ11" s="102">
        <v>1</v>
      </c>
      <c r="EA11" s="102">
        <v>1</v>
      </c>
      <c r="EB11" s="102">
        <v>1</v>
      </c>
      <c r="EC11" s="102">
        <v>1</v>
      </c>
      <c r="ED11" s="102">
        <v>1</v>
      </c>
      <c r="EE11" s="102">
        <v>1</v>
      </c>
      <c r="EF11" s="102">
        <v>1</v>
      </c>
      <c r="EG11" s="102">
        <v>1</v>
      </c>
      <c r="EH11" s="102">
        <v>1</v>
      </c>
      <c r="EI11" s="102">
        <v>1</v>
      </c>
      <c r="EJ11" s="102">
        <v>1</v>
      </c>
      <c r="EK11" s="102">
        <v>1</v>
      </c>
      <c r="EL11" s="102">
        <v>1</v>
      </c>
      <c r="EM11" s="102">
        <v>1</v>
      </c>
      <c r="EN11" s="102">
        <v>1</v>
      </c>
      <c r="EO11" s="102">
        <v>1</v>
      </c>
      <c r="EP11" s="102">
        <v>1</v>
      </c>
      <c r="EQ11" s="102">
        <v>1</v>
      </c>
      <c r="ER11" s="102">
        <v>1</v>
      </c>
      <c r="ES11" s="102">
        <v>1</v>
      </c>
      <c r="ET11" s="102">
        <v>1</v>
      </c>
      <c r="EU11" s="102">
        <v>1</v>
      </c>
      <c r="EV11" s="102">
        <v>1</v>
      </c>
      <c r="EW11" s="102">
        <v>1</v>
      </c>
      <c r="EX11" s="102">
        <v>1</v>
      </c>
      <c r="EY11" s="102">
        <v>1</v>
      </c>
      <c r="EZ11" s="102">
        <v>1</v>
      </c>
      <c r="FA11" s="102">
        <v>1</v>
      </c>
      <c r="FB11" s="102">
        <v>1</v>
      </c>
      <c r="FC11" s="102">
        <v>1</v>
      </c>
      <c r="FD11" s="102">
        <v>1</v>
      </c>
      <c r="FE11" s="102">
        <v>1</v>
      </c>
      <c r="FF11" s="102">
        <v>1</v>
      </c>
      <c r="FG11" s="102">
        <v>1</v>
      </c>
      <c r="FH11" s="102">
        <v>1</v>
      </c>
      <c r="FI11" s="102">
        <v>1</v>
      </c>
      <c r="FJ11" s="102">
        <v>1</v>
      </c>
      <c r="FK11" s="102">
        <v>1</v>
      </c>
      <c r="FL11" s="102">
        <v>1</v>
      </c>
      <c r="FM11" s="102">
        <v>1</v>
      </c>
      <c r="FN11" s="102">
        <v>1</v>
      </c>
      <c r="FO11" s="102">
        <v>1</v>
      </c>
      <c r="FP11" s="102">
        <v>1</v>
      </c>
      <c r="FQ11" s="102">
        <v>1</v>
      </c>
      <c r="FR11" s="102">
        <v>1</v>
      </c>
      <c r="FS11" s="102">
        <v>1</v>
      </c>
      <c r="FT11" s="102">
        <v>1</v>
      </c>
      <c r="FU11" s="102">
        <v>1</v>
      </c>
      <c r="FV11" s="102">
        <v>1</v>
      </c>
      <c r="FW11" s="102">
        <v>1</v>
      </c>
      <c r="FX11" s="102">
        <v>1</v>
      </c>
      <c r="FY11" s="102">
        <v>1</v>
      </c>
      <c r="FZ11" s="102">
        <v>1</v>
      </c>
      <c r="GA11" s="102">
        <v>1</v>
      </c>
      <c r="GB11" s="102">
        <v>1</v>
      </c>
      <c r="GC11" s="102">
        <v>1</v>
      </c>
      <c r="GD11" s="102">
        <v>1</v>
      </c>
      <c r="GE11" s="102">
        <v>1</v>
      </c>
      <c r="GF11" s="102">
        <v>1</v>
      </c>
      <c r="GG11" s="102">
        <v>1</v>
      </c>
      <c r="GH11" s="102">
        <v>1</v>
      </c>
      <c r="GI11" s="102">
        <v>1</v>
      </c>
      <c r="GJ11" s="102">
        <v>1</v>
      </c>
      <c r="GK11" s="102">
        <v>1</v>
      </c>
      <c r="GL11" s="102">
        <v>1</v>
      </c>
      <c r="GM11" s="102">
        <v>1</v>
      </c>
      <c r="GN11" s="102">
        <v>1</v>
      </c>
      <c r="GO11" s="102">
        <v>1</v>
      </c>
      <c r="GP11" s="24">
        <f t="shared" si="7"/>
        <v>1</v>
      </c>
    </row>
    <row r="12" spans="1:198" ht="14.7" customHeight="1">
      <c r="B12" s="36">
        <v>1</v>
      </c>
      <c r="C12" s="34" t="s">
        <v>16</v>
      </c>
      <c r="D12" s="1">
        <v>16114</v>
      </c>
      <c r="E12" s="1" t="s">
        <v>77</v>
      </c>
      <c r="F12" s="34" t="s">
        <v>78</v>
      </c>
      <c r="G12" s="34" t="s">
        <v>45</v>
      </c>
      <c r="H12" s="1" t="s">
        <v>79</v>
      </c>
      <c r="I12" s="1" t="s">
        <v>71</v>
      </c>
      <c r="J12" s="1" t="s">
        <v>80</v>
      </c>
      <c r="K12" s="1">
        <v>3651</v>
      </c>
      <c r="L12" s="1" t="s">
        <v>22</v>
      </c>
      <c r="M12" s="1" t="s">
        <v>40</v>
      </c>
      <c r="N12" s="1" t="s">
        <v>24</v>
      </c>
      <c r="O12" s="1" t="s">
        <v>36</v>
      </c>
      <c r="P12" s="4">
        <v>82365518</v>
      </c>
      <c r="Q12" s="4" t="s">
        <v>68</v>
      </c>
      <c r="R12" s="1" t="s">
        <v>69</v>
      </c>
      <c r="S12" s="49">
        <v>867482</v>
      </c>
      <c r="T12" s="45">
        <v>3166978540</v>
      </c>
      <c r="U12" s="45">
        <v>12178</v>
      </c>
      <c r="V12" s="45"/>
      <c r="W12" s="51">
        <v>1370389106</v>
      </c>
      <c r="X12" s="104">
        <v>69</v>
      </c>
      <c r="Y12" s="104" t="s">
        <v>163</v>
      </c>
      <c r="Z12" s="107">
        <v>9</v>
      </c>
      <c r="AA12" s="107">
        <v>10</v>
      </c>
      <c r="AB12" s="107">
        <v>4</v>
      </c>
      <c r="AC12" s="88">
        <v>1801.38</v>
      </c>
      <c r="AD12" s="88">
        <v>847.19999999999982</v>
      </c>
      <c r="AE12" s="88">
        <v>2382.65</v>
      </c>
      <c r="AF12" s="89">
        <f>'Цены,перевалка,аренда'!$C$27*SUM(Уголь_эластика_внутр!Z12+Уголь_эластика_внутр!AA12+Уголь_эластика_внутр!AB12)/Уголь_эластика_внутр!X12</f>
        <v>233.33333333333334</v>
      </c>
      <c r="AG12" s="90"/>
      <c r="AH12" s="47"/>
      <c r="AI12" s="91">
        <v>2736</v>
      </c>
      <c r="AJ12" s="92">
        <f>'Цены,перевалка,аренда'!$D$14</f>
        <v>10200</v>
      </c>
      <c r="AK12" s="47">
        <f>AJ12/'Цены,перевалка,аренда'!$C$1</f>
        <v>133.67319524804898</v>
      </c>
      <c r="AL12" s="47">
        <f t="shared" si="0"/>
        <v>2615.9833333333336</v>
      </c>
      <c r="AM12" s="47">
        <f t="shared" si="1"/>
        <v>7584.0166666666664</v>
      </c>
      <c r="AN12" s="47">
        <f t="shared" si="2"/>
        <v>5351.9833333333336</v>
      </c>
      <c r="AO12" s="93">
        <f t="shared" si="3"/>
        <v>0.47529575163398691</v>
      </c>
      <c r="AP12" s="94">
        <f t="shared" si="4"/>
        <v>0.25646895424836602</v>
      </c>
      <c r="AQ12" s="94">
        <f t="shared" si="5"/>
        <v>0.23359313725490197</v>
      </c>
      <c r="AR12" s="94">
        <f t="shared" si="6"/>
        <v>0.91080473244605276</v>
      </c>
      <c r="AS12" s="95" t="s">
        <v>193</v>
      </c>
      <c r="AT12" s="35"/>
      <c r="AU12" s="102">
        <v>1</v>
      </c>
      <c r="AV12" s="102">
        <v>1</v>
      </c>
      <c r="AW12" s="102">
        <v>1</v>
      </c>
      <c r="AX12" s="102">
        <v>1</v>
      </c>
      <c r="AY12" s="102">
        <v>1</v>
      </c>
      <c r="AZ12" s="102">
        <v>1</v>
      </c>
      <c r="BA12" s="102">
        <v>1</v>
      </c>
      <c r="BB12" s="102">
        <v>1</v>
      </c>
      <c r="BC12" s="102">
        <v>1</v>
      </c>
      <c r="BD12" s="102">
        <v>1</v>
      </c>
      <c r="BE12" s="102">
        <v>1</v>
      </c>
      <c r="BF12" s="102">
        <v>1</v>
      </c>
      <c r="BG12" s="102">
        <v>1</v>
      </c>
      <c r="BH12" s="102">
        <v>1</v>
      </c>
      <c r="BI12" s="102">
        <v>1</v>
      </c>
      <c r="BJ12" s="102">
        <v>1</v>
      </c>
      <c r="BK12" s="102">
        <v>1</v>
      </c>
      <c r="BL12" s="102">
        <v>1</v>
      </c>
      <c r="BM12" s="102">
        <v>1</v>
      </c>
      <c r="BN12" s="102">
        <v>1</v>
      </c>
      <c r="BO12" s="102">
        <v>1</v>
      </c>
      <c r="BP12" s="102">
        <v>1</v>
      </c>
      <c r="BQ12" s="102">
        <v>1</v>
      </c>
      <c r="BR12" s="102">
        <v>1</v>
      </c>
      <c r="BS12" s="102">
        <v>1</v>
      </c>
      <c r="BT12" s="102">
        <v>1</v>
      </c>
      <c r="BU12" s="102">
        <v>1</v>
      </c>
      <c r="BV12" s="102">
        <v>1</v>
      </c>
      <c r="BW12" s="102">
        <v>1</v>
      </c>
      <c r="BX12" s="102">
        <v>1</v>
      </c>
      <c r="BY12" s="102">
        <v>1</v>
      </c>
      <c r="BZ12" s="102">
        <v>1</v>
      </c>
      <c r="CA12" s="102">
        <v>1</v>
      </c>
      <c r="CB12" s="102">
        <v>1</v>
      </c>
      <c r="CC12" s="102">
        <v>1</v>
      </c>
      <c r="CD12" s="102">
        <v>1</v>
      </c>
      <c r="CE12" s="102">
        <v>1</v>
      </c>
      <c r="CF12" s="102">
        <v>1</v>
      </c>
      <c r="CG12" s="102">
        <v>1</v>
      </c>
      <c r="CH12" s="102">
        <v>1</v>
      </c>
      <c r="CI12" s="102">
        <v>1</v>
      </c>
      <c r="CJ12" s="102">
        <v>1</v>
      </c>
      <c r="CK12" s="102">
        <v>1</v>
      </c>
      <c r="CL12" s="102">
        <v>1</v>
      </c>
      <c r="CM12" s="102">
        <v>1</v>
      </c>
      <c r="CN12" s="102">
        <v>1</v>
      </c>
      <c r="CO12" s="102">
        <v>1</v>
      </c>
      <c r="CP12" s="102">
        <v>1</v>
      </c>
      <c r="CQ12" s="102">
        <v>1</v>
      </c>
      <c r="CR12" s="102">
        <v>1</v>
      </c>
      <c r="CS12" s="103">
        <v>1</v>
      </c>
      <c r="CT12" s="102">
        <v>1</v>
      </c>
      <c r="CU12" s="102">
        <v>1</v>
      </c>
      <c r="CV12" s="102">
        <v>1</v>
      </c>
      <c r="CW12" s="102">
        <v>1</v>
      </c>
      <c r="CX12" s="102">
        <v>1</v>
      </c>
      <c r="CY12" s="102">
        <v>1</v>
      </c>
      <c r="CZ12" s="102">
        <v>1</v>
      </c>
      <c r="DA12" s="102">
        <v>1</v>
      </c>
      <c r="DB12" s="102">
        <v>1</v>
      </c>
      <c r="DC12" s="102">
        <v>1</v>
      </c>
      <c r="DD12" s="102">
        <v>1</v>
      </c>
      <c r="DE12" s="102">
        <v>1</v>
      </c>
      <c r="DF12" s="102">
        <v>1</v>
      </c>
      <c r="DG12" s="102">
        <v>1</v>
      </c>
      <c r="DH12" s="102">
        <v>1</v>
      </c>
      <c r="DI12" s="102">
        <v>1</v>
      </c>
      <c r="DJ12" s="102">
        <v>1</v>
      </c>
      <c r="DK12" s="102">
        <v>1</v>
      </c>
      <c r="DL12" s="102">
        <v>1</v>
      </c>
      <c r="DM12" s="102">
        <v>1</v>
      </c>
      <c r="DN12" s="102">
        <v>1</v>
      </c>
      <c r="DO12" s="102">
        <v>1</v>
      </c>
      <c r="DP12" s="102">
        <v>1</v>
      </c>
      <c r="DQ12" s="102">
        <v>1</v>
      </c>
      <c r="DR12" s="102">
        <v>1</v>
      </c>
      <c r="DS12" s="102">
        <v>1</v>
      </c>
      <c r="DT12" s="102">
        <v>1</v>
      </c>
      <c r="DU12" s="102">
        <v>1</v>
      </c>
      <c r="DV12" s="102">
        <v>1</v>
      </c>
      <c r="DW12" s="102">
        <v>1</v>
      </c>
      <c r="DX12" s="102">
        <v>1</v>
      </c>
      <c r="DY12" s="102">
        <v>1</v>
      </c>
      <c r="DZ12" s="102">
        <v>1</v>
      </c>
      <c r="EA12" s="102">
        <v>1</v>
      </c>
      <c r="EB12" s="102">
        <v>1</v>
      </c>
      <c r="EC12" s="102">
        <v>1</v>
      </c>
      <c r="ED12" s="102">
        <v>1</v>
      </c>
      <c r="EE12" s="102">
        <v>1</v>
      </c>
      <c r="EF12" s="102">
        <v>1</v>
      </c>
      <c r="EG12" s="102">
        <v>1</v>
      </c>
      <c r="EH12" s="102">
        <v>1</v>
      </c>
      <c r="EI12" s="102">
        <v>1</v>
      </c>
      <c r="EJ12" s="102">
        <v>1</v>
      </c>
      <c r="EK12" s="102">
        <v>1</v>
      </c>
      <c r="EL12" s="102">
        <v>1</v>
      </c>
      <c r="EM12" s="102">
        <v>1</v>
      </c>
      <c r="EN12" s="102">
        <v>1</v>
      </c>
      <c r="EO12" s="102">
        <v>1</v>
      </c>
      <c r="EP12" s="102">
        <v>1</v>
      </c>
      <c r="EQ12" s="102">
        <v>1</v>
      </c>
      <c r="ER12" s="102">
        <v>1</v>
      </c>
      <c r="ES12" s="102">
        <v>1</v>
      </c>
      <c r="ET12" s="102">
        <v>1</v>
      </c>
      <c r="EU12" s="102">
        <v>1</v>
      </c>
      <c r="EV12" s="102">
        <v>1</v>
      </c>
      <c r="EW12" s="102">
        <v>1</v>
      </c>
      <c r="EX12" s="102">
        <v>1</v>
      </c>
      <c r="EY12" s="102">
        <v>1</v>
      </c>
      <c r="EZ12" s="102">
        <v>1</v>
      </c>
      <c r="FA12" s="102">
        <v>1</v>
      </c>
      <c r="FB12" s="102">
        <v>1</v>
      </c>
      <c r="FC12" s="102">
        <v>1</v>
      </c>
      <c r="FD12" s="102">
        <v>1</v>
      </c>
      <c r="FE12" s="102">
        <v>1</v>
      </c>
      <c r="FF12" s="102">
        <v>1</v>
      </c>
      <c r="FG12" s="102">
        <v>1</v>
      </c>
      <c r="FH12" s="102">
        <v>1</v>
      </c>
      <c r="FI12" s="102">
        <v>1</v>
      </c>
      <c r="FJ12" s="102">
        <v>1</v>
      </c>
      <c r="FK12" s="102">
        <v>1</v>
      </c>
      <c r="FL12" s="102">
        <v>1</v>
      </c>
      <c r="FM12" s="102">
        <v>1</v>
      </c>
      <c r="FN12" s="102">
        <v>1</v>
      </c>
      <c r="FO12" s="102">
        <v>1</v>
      </c>
      <c r="FP12" s="102">
        <v>1</v>
      </c>
      <c r="FQ12" s="102">
        <v>1</v>
      </c>
      <c r="FR12" s="102">
        <v>1</v>
      </c>
      <c r="FS12" s="102">
        <v>1</v>
      </c>
      <c r="FT12" s="102">
        <v>1</v>
      </c>
      <c r="FU12" s="102">
        <v>1</v>
      </c>
      <c r="FV12" s="102">
        <v>1</v>
      </c>
      <c r="FW12" s="102">
        <v>1</v>
      </c>
      <c r="FX12" s="102">
        <v>1</v>
      </c>
      <c r="FY12" s="102">
        <v>1</v>
      </c>
      <c r="FZ12" s="102">
        <v>1</v>
      </c>
      <c r="GA12" s="102">
        <v>1</v>
      </c>
      <c r="GB12" s="102">
        <v>1</v>
      </c>
      <c r="GC12" s="102">
        <v>1</v>
      </c>
      <c r="GD12" s="102">
        <v>1</v>
      </c>
      <c r="GE12" s="102">
        <v>1</v>
      </c>
      <c r="GF12" s="102">
        <v>1</v>
      </c>
      <c r="GG12" s="102">
        <v>1</v>
      </c>
      <c r="GH12" s="102">
        <v>1</v>
      </c>
      <c r="GI12" s="102">
        <v>1</v>
      </c>
      <c r="GJ12" s="102">
        <v>1</v>
      </c>
      <c r="GK12" s="102">
        <v>1</v>
      </c>
      <c r="GL12" s="102">
        <v>1</v>
      </c>
      <c r="GM12" s="102">
        <v>1</v>
      </c>
      <c r="GN12" s="102">
        <v>1</v>
      </c>
      <c r="GO12" s="102">
        <v>1</v>
      </c>
      <c r="GP12" s="24">
        <f t="shared" si="7"/>
        <v>1</v>
      </c>
    </row>
    <row r="13" spans="1:198" ht="29.15" customHeight="1">
      <c r="B13" s="36">
        <v>1</v>
      </c>
      <c r="C13" s="34" t="s">
        <v>16</v>
      </c>
      <c r="D13" s="1">
        <v>16112</v>
      </c>
      <c r="E13" s="1" t="s">
        <v>28</v>
      </c>
      <c r="F13" s="34" t="s">
        <v>18</v>
      </c>
      <c r="G13" s="34" t="s">
        <v>19</v>
      </c>
      <c r="H13" s="34" t="s">
        <v>19</v>
      </c>
      <c r="I13" s="1" t="s">
        <v>85</v>
      </c>
      <c r="J13" s="1" t="s">
        <v>86</v>
      </c>
      <c r="K13" s="1">
        <v>1278</v>
      </c>
      <c r="L13" s="1" t="s">
        <v>22</v>
      </c>
      <c r="M13" s="1" t="s">
        <v>40</v>
      </c>
      <c r="N13" s="1" t="s">
        <v>24</v>
      </c>
      <c r="O13" s="34" t="s">
        <v>25</v>
      </c>
      <c r="P13" s="4">
        <v>22170352</v>
      </c>
      <c r="Q13" s="4" t="s">
        <v>87</v>
      </c>
      <c r="R13" s="1" t="s">
        <v>84</v>
      </c>
      <c r="S13" s="49">
        <v>342100</v>
      </c>
      <c r="T13" s="45">
        <v>437202631</v>
      </c>
      <c r="U13" s="45">
        <v>4592</v>
      </c>
      <c r="V13" s="45"/>
      <c r="W13" s="51">
        <v>229100472</v>
      </c>
      <c r="X13" s="104">
        <v>75</v>
      </c>
      <c r="Y13" s="104" t="s">
        <v>163</v>
      </c>
      <c r="Z13" s="107">
        <v>5</v>
      </c>
      <c r="AA13" s="107">
        <v>5</v>
      </c>
      <c r="AB13" s="107">
        <v>4</v>
      </c>
      <c r="AC13" s="88">
        <v>730.61</v>
      </c>
      <c r="AD13" s="88">
        <v>452.59000000000003</v>
      </c>
      <c r="AE13" s="88">
        <v>1214.04</v>
      </c>
      <c r="AF13" s="89">
        <f>'Цены,перевалка,аренда'!$C$26*SUM(Уголь_эластика_внутр!Z13+Уголь_эластика_внутр!AA13+Уголь_эластика_внутр!AB13)/Уголь_эластика_внутр!X13</f>
        <v>186.66666666666666</v>
      </c>
      <c r="AG13" s="90"/>
      <c r="AH13" s="47"/>
      <c r="AI13" s="91">
        <v>3240</v>
      </c>
      <c r="AJ13" s="92">
        <f>'Цены,перевалка,аренда'!$D$8</f>
        <v>3300</v>
      </c>
      <c r="AK13" s="47">
        <f>AJ13/'Цены,перевалка,аренда'!$C$1</f>
        <v>43.247210227309964</v>
      </c>
      <c r="AL13" s="47">
        <f t="shared" si="0"/>
        <v>1400.7066666666667</v>
      </c>
      <c r="AM13" s="47">
        <f t="shared" si="1"/>
        <v>1899.2933333333333</v>
      </c>
      <c r="AN13" s="47">
        <f t="shared" si="2"/>
        <v>4640.7066666666669</v>
      </c>
      <c r="AO13" s="93">
        <f t="shared" si="3"/>
        <v>-0.40627474747474757</v>
      </c>
      <c r="AP13" s="94">
        <f t="shared" si="4"/>
        <v>0.42445656565656564</v>
      </c>
      <c r="AQ13" s="94">
        <f t="shared" si="5"/>
        <v>0.3678909090909091</v>
      </c>
      <c r="AR13" s="94">
        <f t="shared" si="6"/>
        <v>0.86673393429982959</v>
      </c>
      <c r="AS13" s="95" t="s">
        <v>178</v>
      </c>
      <c r="AT13" s="35"/>
      <c r="AU13" s="102">
        <v>1</v>
      </c>
      <c r="AV13" s="102">
        <v>1</v>
      </c>
      <c r="AW13" s="102">
        <v>1</v>
      </c>
      <c r="AX13" s="102">
        <v>1</v>
      </c>
      <c r="AY13" s="102">
        <v>1</v>
      </c>
      <c r="AZ13" s="102">
        <v>1</v>
      </c>
      <c r="BA13" s="102">
        <v>1</v>
      </c>
      <c r="BB13" s="102">
        <v>1</v>
      </c>
      <c r="BC13" s="102">
        <v>1</v>
      </c>
      <c r="BD13" s="102">
        <v>1</v>
      </c>
      <c r="BE13" s="102">
        <v>1</v>
      </c>
      <c r="BF13" s="102">
        <v>1</v>
      </c>
      <c r="BG13" s="102">
        <v>1</v>
      </c>
      <c r="BH13" s="102">
        <v>1</v>
      </c>
      <c r="BI13" s="102">
        <v>1</v>
      </c>
      <c r="BJ13" s="102">
        <v>1</v>
      </c>
      <c r="BK13" s="102">
        <v>1</v>
      </c>
      <c r="BL13" s="102">
        <v>1</v>
      </c>
      <c r="BM13" s="102">
        <v>1</v>
      </c>
      <c r="BN13" s="102">
        <v>1</v>
      </c>
      <c r="BO13" s="102">
        <v>1</v>
      </c>
      <c r="BP13" s="102">
        <v>1</v>
      </c>
      <c r="BQ13" s="102">
        <v>1</v>
      </c>
      <c r="BR13" s="102">
        <v>1</v>
      </c>
      <c r="BS13" s="102">
        <v>1</v>
      </c>
      <c r="BT13" s="102">
        <v>1</v>
      </c>
      <c r="BU13" s="102">
        <v>1</v>
      </c>
      <c r="BV13" s="102">
        <v>1</v>
      </c>
      <c r="BW13" s="102">
        <v>1</v>
      </c>
      <c r="BX13" s="102">
        <v>1</v>
      </c>
      <c r="BY13" s="102">
        <v>1</v>
      </c>
      <c r="BZ13" s="102">
        <v>1</v>
      </c>
      <c r="CA13" s="102">
        <v>1</v>
      </c>
      <c r="CB13" s="102">
        <v>1</v>
      </c>
      <c r="CC13" s="102">
        <v>1</v>
      </c>
      <c r="CD13" s="102">
        <v>1</v>
      </c>
      <c r="CE13" s="102">
        <v>1</v>
      </c>
      <c r="CF13" s="102">
        <v>1</v>
      </c>
      <c r="CG13" s="102">
        <v>1</v>
      </c>
      <c r="CH13" s="102">
        <v>1</v>
      </c>
      <c r="CI13" s="102">
        <v>1</v>
      </c>
      <c r="CJ13" s="102">
        <v>1</v>
      </c>
      <c r="CK13" s="102">
        <v>1</v>
      </c>
      <c r="CL13" s="102">
        <v>1</v>
      </c>
      <c r="CM13" s="102">
        <v>1</v>
      </c>
      <c r="CN13" s="102">
        <v>1</v>
      </c>
      <c r="CO13" s="102">
        <v>1</v>
      </c>
      <c r="CP13" s="102">
        <v>1</v>
      </c>
      <c r="CQ13" s="102">
        <v>1</v>
      </c>
      <c r="CR13" s="102">
        <v>1</v>
      </c>
      <c r="CS13" s="103">
        <v>1</v>
      </c>
      <c r="CT13" s="102">
        <v>1</v>
      </c>
      <c r="CU13" s="102">
        <v>1</v>
      </c>
      <c r="CV13" s="102">
        <v>1</v>
      </c>
      <c r="CW13" s="102">
        <v>1</v>
      </c>
      <c r="CX13" s="102">
        <v>1</v>
      </c>
      <c r="CY13" s="102">
        <v>1</v>
      </c>
      <c r="CZ13" s="102">
        <v>1</v>
      </c>
      <c r="DA13" s="102">
        <v>1</v>
      </c>
      <c r="DB13" s="102">
        <v>1</v>
      </c>
      <c r="DC13" s="102">
        <v>1</v>
      </c>
      <c r="DD13" s="102">
        <v>1</v>
      </c>
      <c r="DE13" s="102">
        <v>1</v>
      </c>
      <c r="DF13" s="102">
        <v>1</v>
      </c>
      <c r="DG13" s="102">
        <v>1</v>
      </c>
      <c r="DH13" s="102">
        <v>1</v>
      </c>
      <c r="DI13" s="102">
        <v>1</v>
      </c>
      <c r="DJ13" s="102">
        <v>1</v>
      </c>
      <c r="DK13" s="102">
        <v>1</v>
      </c>
      <c r="DL13" s="102">
        <v>1</v>
      </c>
      <c r="DM13" s="102">
        <v>1</v>
      </c>
      <c r="DN13" s="102">
        <v>1</v>
      </c>
      <c r="DO13" s="102">
        <v>1</v>
      </c>
      <c r="DP13" s="102">
        <v>1</v>
      </c>
      <c r="DQ13" s="102">
        <v>1</v>
      </c>
      <c r="DR13" s="102">
        <v>1</v>
      </c>
      <c r="DS13" s="102">
        <v>1</v>
      </c>
      <c r="DT13" s="102">
        <v>1</v>
      </c>
      <c r="DU13" s="102">
        <v>1</v>
      </c>
      <c r="DV13" s="102">
        <v>1</v>
      </c>
      <c r="DW13" s="102">
        <v>1</v>
      </c>
      <c r="DX13" s="102">
        <v>1</v>
      </c>
      <c r="DY13" s="102">
        <v>1</v>
      </c>
      <c r="DZ13" s="102">
        <v>1</v>
      </c>
      <c r="EA13" s="102">
        <v>1</v>
      </c>
      <c r="EB13" s="102">
        <v>1</v>
      </c>
      <c r="EC13" s="102">
        <v>1</v>
      </c>
      <c r="ED13" s="102">
        <v>1</v>
      </c>
      <c r="EE13" s="102">
        <v>1</v>
      </c>
      <c r="EF13" s="102">
        <v>1</v>
      </c>
      <c r="EG13" s="102">
        <v>1</v>
      </c>
      <c r="EH13" s="102">
        <v>1</v>
      </c>
      <c r="EI13" s="102">
        <v>1</v>
      </c>
      <c r="EJ13" s="102">
        <v>1</v>
      </c>
      <c r="EK13" s="102">
        <v>1</v>
      </c>
      <c r="EL13" s="102">
        <v>1</v>
      </c>
      <c r="EM13" s="102">
        <v>1</v>
      </c>
      <c r="EN13" s="102">
        <v>1</v>
      </c>
      <c r="EO13" s="102">
        <v>1</v>
      </c>
      <c r="EP13" s="102">
        <v>1</v>
      </c>
      <c r="EQ13" s="102">
        <v>1</v>
      </c>
      <c r="ER13" s="102">
        <v>1</v>
      </c>
      <c r="ES13" s="102">
        <v>1</v>
      </c>
      <c r="ET13" s="102">
        <v>1</v>
      </c>
      <c r="EU13" s="102">
        <v>1</v>
      </c>
      <c r="EV13" s="102">
        <v>1</v>
      </c>
      <c r="EW13" s="102">
        <v>1</v>
      </c>
      <c r="EX13" s="102">
        <v>1</v>
      </c>
      <c r="EY13" s="102">
        <v>1</v>
      </c>
      <c r="EZ13" s="102">
        <v>1</v>
      </c>
      <c r="FA13" s="102">
        <v>1</v>
      </c>
      <c r="FB13" s="102">
        <v>1</v>
      </c>
      <c r="FC13" s="102">
        <v>1</v>
      </c>
      <c r="FD13" s="102">
        <v>1</v>
      </c>
      <c r="FE13" s="102">
        <v>1</v>
      </c>
      <c r="FF13" s="102">
        <v>1</v>
      </c>
      <c r="FG13" s="102">
        <v>1</v>
      </c>
      <c r="FH13" s="102">
        <v>1</v>
      </c>
      <c r="FI13" s="102">
        <v>1</v>
      </c>
      <c r="FJ13" s="102">
        <v>1</v>
      </c>
      <c r="FK13" s="102">
        <v>1</v>
      </c>
      <c r="FL13" s="102">
        <v>1</v>
      </c>
      <c r="FM13" s="102">
        <v>1</v>
      </c>
      <c r="FN13" s="102">
        <v>1</v>
      </c>
      <c r="FO13" s="102">
        <v>1</v>
      </c>
      <c r="FP13" s="102">
        <v>1</v>
      </c>
      <c r="FQ13" s="102">
        <v>1</v>
      </c>
      <c r="FR13" s="102">
        <v>1</v>
      </c>
      <c r="FS13" s="102">
        <v>1</v>
      </c>
      <c r="FT13" s="102">
        <v>1</v>
      </c>
      <c r="FU13" s="102">
        <v>1</v>
      </c>
      <c r="FV13" s="102">
        <v>1</v>
      </c>
      <c r="FW13" s="102">
        <v>1</v>
      </c>
      <c r="FX13" s="102">
        <v>1</v>
      </c>
      <c r="FY13" s="102">
        <v>1</v>
      </c>
      <c r="FZ13" s="102">
        <v>1</v>
      </c>
      <c r="GA13" s="102">
        <v>1</v>
      </c>
      <c r="GB13" s="102">
        <v>1</v>
      </c>
      <c r="GC13" s="102">
        <v>1</v>
      </c>
      <c r="GD13" s="102">
        <v>1</v>
      </c>
      <c r="GE13" s="102">
        <v>1</v>
      </c>
      <c r="GF13" s="102">
        <v>1</v>
      </c>
      <c r="GG13" s="102">
        <v>1</v>
      </c>
      <c r="GH13" s="102">
        <v>1</v>
      </c>
      <c r="GI13" s="102">
        <v>1</v>
      </c>
      <c r="GJ13" s="102">
        <v>1</v>
      </c>
      <c r="GK13" s="102">
        <v>1</v>
      </c>
      <c r="GL13" s="102">
        <v>1</v>
      </c>
      <c r="GM13" s="102">
        <v>1</v>
      </c>
      <c r="GN13" s="102">
        <v>1</v>
      </c>
      <c r="GO13" s="102">
        <v>1</v>
      </c>
      <c r="GP13" s="24">
        <f t="shared" si="7"/>
        <v>1</v>
      </c>
    </row>
    <row r="14" spans="1:198" ht="29.15" customHeight="1">
      <c r="B14" s="36">
        <v>1</v>
      </c>
      <c r="C14" s="34" t="s">
        <v>16</v>
      </c>
      <c r="D14" s="1">
        <v>16106</v>
      </c>
      <c r="E14" s="1" t="s">
        <v>94</v>
      </c>
      <c r="F14" s="34" t="s">
        <v>18</v>
      </c>
      <c r="G14" s="34" t="s">
        <v>45</v>
      </c>
      <c r="H14" s="1" t="s">
        <v>19</v>
      </c>
      <c r="I14" s="34" t="s">
        <v>89</v>
      </c>
      <c r="J14" s="1" t="s">
        <v>95</v>
      </c>
      <c r="K14" s="1">
        <v>4923</v>
      </c>
      <c r="L14" s="1" t="s">
        <v>22</v>
      </c>
      <c r="M14" s="1" t="s">
        <v>40</v>
      </c>
      <c r="N14" s="1" t="s">
        <v>24</v>
      </c>
      <c r="O14" s="1" t="s">
        <v>25</v>
      </c>
      <c r="P14" s="35">
        <v>57775656</v>
      </c>
      <c r="Q14" s="4" t="s">
        <v>91</v>
      </c>
      <c r="R14" s="1" t="s">
        <v>92</v>
      </c>
      <c r="S14" s="49">
        <v>69610</v>
      </c>
      <c r="T14" s="45">
        <v>342718061</v>
      </c>
      <c r="U14" s="45">
        <v>952</v>
      </c>
      <c r="V14" s="45"/>
      <c r="W14" s="51">
        <v>92878530</v>
      </c>
      <c r="X14" s="104">
        <v>75</v>
      </c>
      <c r="Y14" s="104" t="s">
        <v>163</v>
      </c>
      <c r="Z14" s="107">
        <v>12</v>
      </c>
      <c r="AA14" s="107">
        <v>13</v>
      </c>
      <c r="AB14" s="107">
        <v>4</v>
      </c>
      <c r="AC14" s="88">
        <v>1425.05</v>
      </c>
      <c r="AD14" s="88">
        <v>970.96000000000026</v>
      </c>
      <c r="AE14" s="88">
        <v>2456.16</v>
      </c>
      <c r="AF14" s="89">
        <f>'Цены,перевалка,аренда'!$C$26*SUM(Уголь_эластика_внутр!Z14+Уголь_эластика_внутр!AA14+Уголь_эластика_внутр!AB14)/Уголь_эластика_внутр!X14</f>
        <v>386.66666666666669</v>
      </c>
      <c r="AG14" s="90"/>
      <c r="AH14" s="47"/>
      <c r="AI14" s="91">
        <v>3876</v>
      </c>
      <c r="AJ14" s="92">
        <f>'Цены,перевалка,аренда'!$D$8</f>
        <v>3300</v>
      </c>
      <c r="AK14" s="47">
        <f>AJ14/'Цены,перевалка,аренда'!$C$1</f>
        <v>43.247210227309964</v>
      </c>
      <c r="AL14" s="47">
        <f t="shared" si="0"/>
        <v>2842.8266666666664</v>
      </c>
      <c r="AM14" s="47">
        <f t="shared" si="1"/>
        <v>457.17333333333363</v>
      </c>
      <c r="AN14" s="47">
        <f t="shared" si="2"/>
        <v>6718.8266666666668</v>
      </c>
      <c r="AO14" s="93">
        <f t="shared" si="3"/>
        <v>-1.0360080808080809</v>
      </c>
      <c r="AP14" s="94">
        <f t="shared" si="4"/>
        <v>0.86146262626262615</v>
      </c>
      <c r="AQ14" s="94">
        <f t="shared" si="5"/>
        <v>0.744290909090909</v>
      </c>
      <c r="AR14" s="94">
        <f t="shared" si="6"/>
        <v>0.86398514154925621</v>
      </c>
      <c r="AS14" s="95" t="s">
        <v>178</v>
      </c>
      <c r="AT14" s="35"/>
      <c r="AU14" s="102">
        <v>1</v>
      </c>
      <c r="AV14" s="102">
        <v>1</v>
      </c>
      <c r="AW14" s="102">
        <v>1</v>
      </c>
      <c r="AX14" s="102">
        <v>1</v>
      </c>
      <c r="AY14" s="102">
        <v>1</v>
      </c>
      <c r="AZ14" s="102">
        <v>1</v>
      </c>
      <c r="BA14" s="102">
        <v>1</v>
      </c>
      <c r="BB14" s="102">
        <v>1</v>
      </c>
      <c r="BC14" s="102">
        <v>1</v>
      </c>
      <c r="BD14" s="102">
        <v>1</v>
      </c>
      <c r="BE14" s="102">
        <v>1</v>
      </c>
      <c r="BF14" s="102">
        <v>1</v>
      </c>
      <c r="BG14" s="102">
        <v>1</v>
      </c>
      <c r="BH14" s="102">
        <v>1</v>
      </c>
      <c r="BI14" s="102">
        <v>1</v>
      </c>
      <c r="BJ14" s="102">
        <v>1</v>
      </c>
      <c r="BK14" s="102">
        <v>1</v>
      </c>
      <c r="BL14" s="102">
        <v>1</v>
      </c>
      <c r="BM14" s="102">
        <v>1</v>
      </c>
      <c r="BN14" s="102">
        <v>1</v>
      </c>
      <c r="BO14" s="102">
        <v>1</v>
      </c>
      <c r="BP14" s="102">
        <v>1</v>
      </c>
      <c r="BQ14" s="102">
        <v>1</v>
      </c>
      <c r="BR14" s="102">
        <v>1</v>
      </c>
      <c r="BS14" s="102">
        <v>1</v>
      </c>
      <c r="BT14" s="102">
        <v>1</v>
      </c>
      <c r="BU14" s="102">
        <v>1</v>
      </c>
      <c r="BV14" s="102">
        <v>1</v>
      </c>
      <c r="BW14" s="102">
        <v>1</v>
      </c>
      <c r="BX14" s="102">
        <v>1</v>
      </c>
      <c r="BY14" s="102">
        <v>1</v>
      </c>
      <c r="BZ14" s="102">
        <v>1</v>
      </c>
      <c r="CA14" s="102">
        <v>1</v>
      </c>
      <c r="CB14" s="102">
        <v>1</v>
      </c>
      <c r="CC14" s="102">
        <v>1</v>
      </c>
      <c r="CD14" s="102">
        <v>1</v>
      </c>
      <c r="CE14" s="102">
        <v>1</v>
      </c>
      <c r="CF14" s="102">
        <v>1</v>
      </c>
      <c r="CG14" s="102">
        <v>1</v>
      </c>
      <c r="CH14" s="102">
        <v>1</v>
      </c>
      <c r="CI14" s="102">
        <v>1</v>
      </c>
      <c r="CJ14" s="102">
        <v>1</v>
      </c>
      <c r="CK14" s="102">
        <v>1</v>
      </c>
      <c r="CL14" s="102">
        <v>1</v>
      </c>
      <c r="CM14" s="102">
        <v>1</v>
      </c>
      <c r="CN14" s="102">
        <v>1</v>
      </c>
      <c r="CO14" s="102">
        <v>1</v>
      </c>
      <c r="CP14" s="102">
        <v>1</v>
      </c>
      <c r="CQ14" s="102">
        <v>1</v>
      </c>
      <c r="CR14" s="102">
        <v>1</v>
      </c>
      <c r="CS14" s="103">
        <v>1</v>
      </c>
      <c r="CT14" s="102">
        <v>1</v>
      </c>
      <c r="CU14" s="102">
        <v>1</v>
      </c>
      <c r="CV14" s="102">
        <v>1</v>
      </c>
      <c r="CW14" s="102">
        <v>1</v>
      </c>
      <c r="CX14" s="102">
        <v>1</v>
      </c>
      <c r="CY14" s="102">
        <v>1</v>
      </c>
      <c r="CZ14" s="102">
        <v>1</v>
      </c>
      <c r="DA14" s="102">
        <v>1</v>
      </c>
      <c r="DB14" s="102">
        <v>1</v>
      </c>
      <c r="DC14" s="102">
        <v>1</v>
      </c>
      <c r="DD14" s="102">
        <v>1</v>
      </c>
      <c r="DE14" s="102">
        <v>1</v>
      </c>
      <c r="DF14" s="102">
        <v>1</v>
      </c>
      <c r="DG14" s="102">
        <v>1</v>
      </c>
      <c r="DH14" s="102">
        <v>1</v>
      </c>
      <c r="DI14" s="102">
        <v>1</v>
      </c>
      <c r="DJ14" s="102">
        <v>1</v>
      </c>
      <c r="DK14" s="102">
        <v>1</v>
      </c>
      <c r="DL14" s="102">
        <v>1</v>
      </c>
      <c r="DM14" s="102">
        <v>1</v>
      </c>
      <c r="DN14" s="102">
        <v>1</v>
      </c>
      <c r="DO14" s="102">
        <v>1</v>
      </c>
      <c r="DP14" s="102">
        <v>1</v>
      </c>
      <c r="DQ14" s="102">
        <v>1</v>
      </c>
      <c r="DR14" s="102">
        <v>1</v>
      </c>
      <c r="DS14" s="102">
        <v>1</v>
      </c>
      <c r="DT14" s="102">
        <v>1</v>
      </c>
      <c r="DU14" s="102">
        <v>1</v>
      </c>
      <c r="DV14" s="102">
        <v>1</v>
      </c>
      <c r="DW14" s="102">
        <v>1</v>
      </c>
      <c r="DX14" s="102">
        <v>1</v>
      </c>
      <c r="DY14" s="102">
        <v>1</v>
      </c>
      <c r="DZ14" s="102">
        <v>1</v>
      </c>
      <c r="EA14" s="102">
        <v>1</v>
      </c>
      <c r="EB14" s="102">
        <v>1</v>
      </c>
      <c r="EC14" s="102">
        <v>1</v>
      </c>
      <c r="ED14" s="102">
        <v>1</v>
      </c>
      <c r="EE14" s="102">
        <v>1</v>
      </c>
      <c r="EF14" s="102">
        <v>1</v>
      </c>
      <c r="EG14" s="102">
        <v>1</v>
      </c>
      <c r="EH14" s="102">
        <v>1</v>
      </c>
      <c r="EI14" s="102">
        <v>1</v>
      </c>
      <c r="EJ14" s="102">
        <v>1</v>
      </c>
      <c r="EK14" s="102">
        <v>1</v>
      </c>
      <c r="EL14" s="102">
        <v>1</v>
      </c>
      <c r="EM14" s="102">
        <v>1</v>
      </c>
      <c r="EN14" s="102">
        <v>1</v>
      </c>
      <c r="EO14" s="102">
        <v>1</v>
      </c>
      <c r="EP14" s="102">
        <v>1</v>
      </c>
      <c r="EQ14" s="102">
        <v>1</v>
      </c>
      <c r="ER14" s="102">
        <v>1</v>
      </c>
      <c r="ES14" s="102">
        <v>1</v>
      </c>
      <c r="ET14" s="102">
        <v>1</v>
      </c>
      <c r="EU14" s="102">
        <v>1</v>
      </c>
      <c r="EV14" s="102">
        <v>1</v>
      </c>
      <c r="EW14" s="102">
        <v>1</v>
      </c>
      <c r="EX14" s="102">
        <v>1</v>
      </c>
      <c r="EY14" s="102">
        <v>1</v>
      </c>
      <c r="EZ14" s="102">
        <v>1</v>
      </c>
      <c r="FA14" s="102">
        <v>1</v>
      </c>
      <c r="FB14" s="102">
        <v>1</v>
      </c>
      <c r="FC14" s="102">
        <v>1</v>
      </c>
      <c r="FD14" s="102">
        <v>1</v>
      </c>
      <c r="FE14" s="102">
        <v>1</v>
      </c>
      <c r="FF14" s="102">
        <v>1</v>
      </c>
      <c r="FG14" s="102">
        <v>1</v>
      </c>
      <c r="FH14" s="102">
        <v>1</v>
      </c>
      <c r="FI14" s="102">
        <v>1</v>
      </c>
      <c r="FJ14" s="102">
        <v>1</v>
      </c>
      <c r="FK14" s="102">
        <v>1</v>
      </c>
      <c r="FL14" s="102">
        <v>1</v>
      </c>
      <c r="FM14" s="102">
        <v>1</v>
      </c>
      <c r="FN14" s="102">
        <v>1</v>
      </c>
      <c r="FO14" s="102">
        <v>1</v>
      </c>
      <c r="FP14" s="102">
        <v>1</v>
      </c>
      <c r="FQ14" s="102">
        <v>1</v>
      </c>
      <c r="FR14" s="102">
        <v>1</v>
      </c>
      <c r="FS14" s="102">
        <v>1</v>
      </c>
      <c r="FT14" s="102">
        <v>1</v>
      </c>
      <c r="FU14" s="102">
        <v>1</v>
      </c>
      <c r="FV14" s="102">
        <v>1</v>
      </c>
      <c r="FW14" s="102">
        <v>1</v>
      </c>
      <c r="FX14" s="102">
        <v>1</v>
      </c>
      <c r="FY14" s="102">
        <v>1</v>
      </c>
      <c r="FZ14" s="102">
        <v>1</v>
      </c>
      <c r="GA14" s="102">
        <v>1</v>
      </c>
      <c r="GB14" s="102">
        <v>1</v>
      </c>
      <c r="GC14" s="102">
        <v>1</v>
      </c>
      <c r="GD14" s="102">
        <v>1</v>
      </c>
      <c r="GE14" s="102">
        <v>1</v>
      </c>
      <c r="GF14" s="102">
        <v>1</v>
      </c>
      <c r="GG14" s="102">
        <v>1</v>
      </c>
      <c r="GH14" s="102">
        <v>1</v>
      </c>
      <c r="GI14" s="102">
        <v>1</v>
      </c>
      <c r="GJ14" s="102">
        <v>1</v>
      </c>
      <c r="GK14" s="102">
        <v>1</v>
      </c>
      <c r="GL14" s="102">
        <v>1</v>
      </c>
      <c r="GM14" s="102">
        <v>1</v>
      </c>
      <c r="GN14" s="102">
        <v>1</v>
      </c>
      <c r="GO14" s="102">
        <v>1</v>
      </c>
      <c r="GP14" s="24">
        <f t="shared" si="7"/>
        <v>1</v>
      </c>
    </row>
    <row r="15" spans="1:198" ht="29.15">
      <c r="B15" s="36">
        <v>1</v>
      </c>
      <c r="C15" s="34" t="s">
        <v>16</v>
      </c>
      <c r="D15" s="1">
        <v>16104</v>
      </c>
      <c r="E15" s="1" t="s">
        <v>88</v>
      </c>
      <c r="F15" s="34" t="s">
        <v>78</v>
      </c>
      <c r="G15" s="34" t="s">
        <v>45</v>
      </c>
      <c r="H15" s="1" t="s">
        <v>42</v>
      </c>
      <c r="I15" s="34" t="s">
        <v>89</v>
      </c>
      <c r="J15" s="1" t="s">
        <v>96</v>
      </c>
      <c r="K15" s="1">
        <v>3840</v>
      </c>
      <c r="L15" s="1" t="s">
        <v>22</v>
      </c>
      <c r="M15" s="1" t="s">
        <v>40</v>
      </c>
      <c r="N15" s="1" t="s">
        <v>24</v>
      </c>
      <c r="O15" s="1" t="s">
        <v>33</v>
      </c>
      <c r="P15" s="35">
        <v>57775656</v>
      </c>
      <c r="Q15" s="4" t="s">
        <v>91</v>
      </c>
      <c r="R15" s="1" t="s">
        <v>92</v>
      </c>
      <c r="S15" s="49">
        <v>343593</v>
      </c>
      <c r="T15" s="45">
        <v>1319353032</v>
      </c>
      <c r="U15" s="45">
        <v>4760</v>
      </c>
      <c r="V15" s="45"/>
      <c r="W15" s="51">
        <v>528975066</v>
      </c>
      <c r="X15" s="104">
        <v>75</v>
      </c>
      <c r="Y15" s="104" t="s">
        <v>163</v>
      </c>
      <c r="Z15" s="107">
        <v>9</v>
      </c>
      <c r="AA15" s="107">
        <v>10</v>
      </c>
      <c r="AB15" s="107">
        <v>4</v>
      </c>
      <c r="AC15" s="88">
        <v>1630</v>
      </c>
      <c r="AD15" s="88">
        <v>779.42999999999984</v>
      </c>
      <c r="AE15" s="88">
        <v>2227.4499999999998</v>
      </c>
      <c r="AF15" s="89">
        <f>'Цены,перевалка,аренда'!$C$26*SUM(Уголь_эластика_внутр!Z15+Уголь_эластика_внутр!AA15+Уголь_эластика_внутр!AB15)/Уголь_эластика_внутр!X15</f>
        <v>306.66666666666669</v>
      </c>
      <c r="AG15" s="90"/>
      <c r="AH15" s="47"/>
      <c r="AI15" s="91">
        <v>3876</v>
      </c>
      <c r="AJ15" s="92">
        <f>'Цены,перевалка,аренда'!$D$14</f>
        <v>10200</v>
      </c>
      <c r="AK15" s="47">
        <f>AJ15/'Цены,перевалка,аренда'!$C$1</f>
        <v>133.67319524804898</v>
      </c>
      <c r="AL15" s="47">
        <f t="shared" si="0"/>
        <v>2534.1166666666663</v>
      </c>
      <c r="AM15" s="47">
        <f t="shared" si="1"/>
        <v>7665.8833333333332</v>
      </c>
      <c r="AN15" s="47">
        <f t="shared" si="2"/>
        <v>6410.1166666666668</v>
      </c>
      <c r="AO15" s="93">
        <f t="shared" si="3"/>
        <v>0.37155718954248362</v>
      </c>
      <c r="AP15" s="94">
        <f t="shared" si="4"/>
        <v>0.24844281045751632</v>
      </c>
      <c r="AQ15" s="94">
        <f t="shared" si="5"/>
        <v>0.21837745098039213</v>
      </c>
      <c r="AR15" s="94">
        <f t="shared" si="6"/>
        <v>0.87898478759857157</v>
      </c>
      <c r="AS15" s="95" t="s">
        <v>179</v>
      </c>
      <c r="AT15" s="35"/>
      <c r="AU15" s="102">
        <v>1</v>
      </c>
      <c r="AV15" s="102">
        <v>1</v>
      </c>
      <c r="AW15" s="102">
        <v>1</v>
      </c>
      <c r="AX15" s="102">
        <v>1</v>
      </c>
      <c r="AY15" s="102">
        <v>1</v>
      </c>
      <c r="AZ15" s="102">
        <v>1</v>
      </c>
      <c r="BA15" s="102">
        <v>1</v>
      </c>
      <c r="BB15" s="102">
        <v>1</v>
      </c>
      <c r="BC15" s="102">
        <v>1</v>
      </c>
      <c r="BD15" s="102">
        <v>1</v>
      </c>
      <c r="BE15" s="102">
        <v>1</v>
      </c>
      <c r="BF15" s="102">
        <v>1</v>
      </c>
      <c r="BG15" s="102">
        <v>1</v>
      </c>
      <c r="BH15" s="102">
        <v>1</v>
      </c>
      <c r="BI15" s="102">
        <v>1</v>
      </c>
      <c r="BJ15" s="102">
        <v>1</v>
      </c>
      <c r="BK15" s="102">
        <v>1</v>
      </c>
      <c r="BL15" s="102">
        <v>1</v>
      </c>
      <c r="BM15" s="102">
        <v>1</v>
      </c>
      <c r="BN15" s="102">
        <v>1</v>
      </c>
      <c r="BO15" s="102">
        <v>1</v>
      </c>
      <c r="BP15" s="102">
        <v>1</v>
      </c>
      <c r="BQ15" s="102">
        <v>1</v>
      </c>
      <c r="BR15" s="102">
        <v>1</v>
      </c>
      <c r="BS15" s="102">
        <v>1</v>
      </c>
      <c r="BT15" s="102">
        <v>1</v>
      </c>
      <c r="BU15" s="102">
        <v>1</v>
      </c>
      <c r="BV15" s="102">
        <v>1</v>
      </c>
      <c r="BW15" s="102">
        <v>1</v>
      </c>
      <c r="BX15" s="102">
        <v>1</v>
      </c>
      <c r="BY15" s="102">
        <v>1</v>
      </c>
      <c r="BZ15" s="102">
        <v>1</v>
      </c>
      <c r="CA15" s="102">
        <v>1</v>
      </c>
      <c r="CB15" s="102">
        <v>1</v>
      </c>
      <c r="CC15" s="102">
        <v>1</v>
      </c>
      <c r="CD15" s="102">
        <v>1</v>
      </c>
      <c r="CE15" s="102">
        <v>1</v>
      </c>
      <c r="CF15" s="102">
        <v>1</v>
      </c>
      <c r="CG15" s="102">
        <v>1</v>
      </c>
      <c r="CH15" s="102">
        <v>1</v>
      </c>
      <c r="CI15" s="102">
        <v>1</v>
      </c>
      <c r="CJ15" s="102">
        <v>1</v>
      </c>
      <c r="CK15" s="102">
        <v>1</v>
      </c>
      <c r="CL15" s="102">
        <v>1</v>
      </c>
      <c r="CM15" s="102">
        <v>1</v>
      </c>
      <c r="CN15" s="102">
        <v>1</v>
      </c>
      <c r="CO15" s="102">
        <v>1</v>
      </c>
      <c r="CP15" s="102">
        <v>1</v>
      </c>
      <c r="CQ15" s="102">
        <v>1</v>
      </c>
      <c r="CR15" s="102">
        <v>1</v>
      </c>
      <c r="CS15" s="103">
        <v>1</v>
      </c>
      <c r="CT15" s="102">
        <v>1</v>
      </c>
      <c r="CU15" s="102">
        <v>1</v>
      </c>
      <c r="CV15" s="102">
        <v>1</v>
      </c>
      <c r="CW15" s="102">
        <v>1</v>
      </c>
      <c r="CX15" s="102">
        <v>1</v>
      </c>
      <c r="CY15" s="102">
        <v>1</v>
      </c>
      <c r="CZ15" s="102">
        <v>1</v>
      </c>
      <c r="DA15" s="102">
        <v>1</v>
      </c>
      <c r="DB15" s="102">
        <v>1</v>
      </c>
      <c r="DC15" s="102">
        <v>1</v>
      </c>
      <c r="DD15" s="102">
        <v>1</v>
      </c>
      <c r="DE15" s="102">
        <v>1</v>
      </c>
      <c r="DF15" s="102">
        <v>1</v>
      </c>
      <c r="DG15" s="102">
        <v>1</v>
      </c>
      <c r="DH15" s="102">
        <v>1</v>
      </c>
      <c r="DI15" s="102">
        <v>1</v>
      </c>
      <c r="DJ15" s="102">
        <v>1</v>
      </c>
      <c r="DK15" s="102">
        <v>1</v>
      </c>
      <c r="DL15" s="102">
        <v>1</v>
      </c>
      <c r="DM15" s="102">
        <v>1</v>
      </c>
      <c r="DN15" s="102">
        <v>1</v>
      </c>
      <c r="DO15" s="102">
        <v>1</v>
      </c>
      <c r="DP15" s="102">
        <v>1</v>
      </c>
      <c r="DQ15" s="102">
        <v>1</v>
      </c>
      <c r="DR15" s="102">
        <v>1</v>
      </c>
      <c r="DS15" s="102">
        <v>1</v>
      </c>
      <c r="DT15" s="102">
        <v>1</v>
      </c>
      <c r="DU15" s="102">
        <v>1</v>
      </c>
      <c r="DV15" s="102">
        <v>1</v>
      </c>
      <c r="DW15" s="102">
        <v>1</v>
      </c>
      <c r="DX15" s="102">
        <v>1</v>
      </c>
      <c r="DY15" s="102">
        <v>1</v>
      </c>
      <c r="DZ15" s="102">
        <v>1</v>
      </c>
      <c r="EA15" s="102">
        <v>1</v>
      </c>
      <c r="EB15" s="102">
        <v>1</v>
      </c>
      <c r="EC15" s="102">
        <v>1</v>
      </c>
      <c r="ED15" s="102">
        <v>1</v>
      </c>
      <c r="EE15" s="102">
        <v>1</v>
      </c>
      <c r="EF15" s="102">
        <v>1</v>
      </c>
      <c r="EG15" s="102">
        <v>1</v>
      </c>
      <c r="EH15" s="102">
        <v>1</v>
      </c>
      <c r="EI15" s="102">
        <v>1</v>
      </c>
      <c r="EJ15" s="102">
        <v>1</v>
      </c>
      <c r="EK15" s="102">
        <v>1</v>
      </c>
      <c r="EL15" s="102">
        <v>1</v>
      </c>
      <c r="EM15" s="102">
        <v>1</v>
      </c>
      <c r="EN15" s="102">
        <v>1</v>
      </c>
      <c r="EO15" s="102">
        <v>1</v>
      </c>
      <c r="EP15" s="102">
        <v>1</v>
      </c>
      <c r="EQ15" s="102">
        <v>1</v>
      </c>
      <c r="ER15" s="102">
        <v>1</v>
      </c>
      <c r="ES15" s="102">
        <v>1</v>
      </c>
      <c r="ET15" s="102">
        <v>1</v>
      </c>
      <c r="EU15" s="102">
        <v>1</v>
      </c>
      <c r="EV15" s="102">
        <v>1</v>
      </c>
      <c r="EW15" s="102">
        <v>1</v>
      </c>
      <c r="EX15" s="102">
        <v>1</v>
      </c>
      <c r="EY15" s="102">
        <v>1</v>
      </c>
      <c r="EZ15" s="102">
        <v>1</v>
      </c>
      <c r="FA15" s="102">
        <v>1</v>
      </c>
      <c r="FB15" s="102">
        <v>1</v>
      </c>
      <c r="FC15" s="102">
        <v>1</v>
      </c>
      <c r="FD15" s="102">
        <v>1</v>
      </c>
      <c r="FE15" s="102">
        <v>1</v>
      </c>
      <c r="FF15" s="102">
        <v>1</v>
      </c>
      <c r="FG15" s="102">
        <v>1</v>
      </c>
      <c r="FH15" s="102">
        <v>1</v>
      </c>
      <c r="FI15" s="102">
        <v>1</v>
      </c>
      <c r="FJ15" s="102">
        <v>1</v>
      </c>
      <c r="FK15" s="102">
        <v>1</v>
      </c>
      <c r="FL15" s="102">
        <v>1</v>
      </c>
      <c r="FM15" s="102">
        <v>1</v>
      </c>
      <c r="FN15" s="102">
        <v>1</v>
      </c>
      <c r="FO15" s="102">
        <v>1</v>
      </c>
      <c r="FP15" s="102">
        <v>1</v>
      </c>
      <c r="FQ15" s="102">
        <v>1</v>
      </c>
      <c r="FR15" s="102">
        <v>1</v>
      </c>
      <c r="FS15" s="102">
        <v>1</v>
      </c>
      <c r="FT15" s="102">
        <v>1</v>
      </c>
      <c r="FU15" s="102">
        <v>1</v>
      </c>
      <c r="FV15" s="102">
        <v>1</v>
      </c>
      <c r="FW15" s="102">
        <v>1</v>
      </c>
      <c r="FX15" s="102">
        <v>1</v>
      </c>
      <c r="FY15" s="102">
        <v>1</v>
      </c>
      <c r="FZ15" s="102">
        <v>1</v>
      </c>
      <c r="GA15" s="102">
        <v>1</v>
      </c>
      <c r="GB15" s="102">
        <v>1</v>
      </c>
      <c r="GC15" s="102">
        <v>1</v>
      </c>
      <c r="GD15" s="102">
        <v>1</v>
      </c>
      <c r="GE15" s="102">
        <v>1</v>
      </c>
      <c r="GF15" s="102">
        <v>1</v>
      </c>
      <c r="GG15" s="102">
        <v>1</v>
      </c>
      <c r="GH15" s="102">
        <v>1</v>
      </c>
      <c r="GI15" s="102">
        <v>1</v>
      </c>
      <c r="GJ15" s="102">
        <v>1</v>
      </c>
      <c r="GK15" s="102">
        <v>1</v>
      </c>
      <c r="GL15" s="102">
        <v>1</v>
      </c>
      <c r="GM15" s="102">
        <v>1</v>
      </c>
      <c r="GN15" s="102">
        <v>1</v>
      </c>
      <c r="GO15" s="102">
        <v>1</v>
      </c>
      <c r="GP15" s="24">
        <f t="shared" si="7"/>
        <v>1</v>
      </c>
    </row>
    <row r="16" spans="1:198" ht="29.15" customHeight="1">
      <c r="B16" s="36">
        <v>1</v>
      </c>
      <c r="C16" s="34" t="s">
        <v>16</v>
      </c>
      <c r="D16" s="1">
        <v>16111</v>
      </c>
      <c r="E16" s="1" t="s">
        <v>17</v>
      </c>
      <c r="F16" s="34" t="s">
        <v>18</v>
      </c>
      <c r="G16" s="34" t="s">
        <v>45</v>
      </c>
      <c r="H16" s="1" t="s">
        <v>45</v>
      </c>
      <c r="I16" s="1" t="s">
        <v>72</v>
      </c>
      <c r="J16" s="1" t="s">
        <v>93</v>
      </c>
      <c r="K16" s="1">
        <v>51</v>
      </c>
      <c r="L16" s="1" t="s">
        <v>22</v>
      </c>
      <c r="M16" s="1" t="s">
        <v>40</v>
      </c>
      <c r="N16" s="1" t="s">
        <v>24</v>
      </c>
      <c r="O16" s="1" t="s">
        <v>36</v>
      </c>
      <c r="P16" s="4">
        <v>26635687</v>
      </c>
      <c r="Q16" s="4" t="s">
        <v>97</v>
      </c>
      <c r="R16" s="1" t="s">
        <v>92</v>
      </c>
      <c r="S16" s="49">
        <v>1213340</v>
      </c>
      <c r="T16" s="45">
        <v>61880791</v>
      </c>
      <c r="U16" s="45">
        <v>16744</v>
      </c>
      <c r="V16" s="45"/>
      <c r="W16" s="51">
        <v>179351928</v>
      </c>
      <c r="X16" s="104">
        <v>75</v>
      </c>
      <c r="Y16" s="104" t="s">
        <v>163</v>
      </c>
      <c r="Z16" s="107">
        <v>3</v>
      </c>
      <c r="AA16" s="107">
        <v>4</v>
      </c>
      <c r="AB16" s="107">
        <v>4</v>
      </c>
      <c r="AC16" s="88">
        <v>155.57</v>
      </c>
      <c r="AD16" s="88">
        <v>23.590000000000003</v>
      </c>
      <c r="AE16" s="88">
        <v>185.73</v>
      </c>
      <c r="AF16" s="89">
        <f>'Цены,перевалка,аренда'!$C$26*SUM(Уголь_эластика_внутр!Z16+Уголь_эластика_внутр!AA16+Уголь_эластика_внутр!AB16)/Уголь_эластика_внутр!X16</f>
        <v>146.66666666666666</v>
      </c>
      <c r="AG16" s="90"/>
      <c r="AH16" s="47"/>
      <c r="AI16" s="91">
        <v>3876</v>
      </c>
      <c r="AJ16" s="92">
        <f>'Цены,перевалка,аренда'!$D$8</f>
        <v>3300</v>
      </c>
      <c r="AK16" s="47">
        <f>AJ16/'Цены,перевалка,аренда'!$C$1</f>
        <v>43.247210227309964</v>
      </c>
      <c r="AL16" s="47">
        <f t="shared" si="0"/>
        <v>332.39666666666665</v>
      </c>
      <c r="AM16" s="47">
        <f t="shared" si="1"/>
        <v>2967.6033333333335</v>
      </c>
      <c r="AN16" s="47">
        <f t="shared" si="2"/>
        <v>4208.3966666666665</v>
      </c>
      <c r="AO16" s="93">
        <f t="shared" si="3"/>
        <v>-0.27527171717171711</v>
      </c>
      <c r="AP16" s="94">
        <f t="shared" si="4"/>
        <v>0.10072626262626262</v>
      </c>
      <c r="AQ16" s="94">
        <f t="shared" si="5"/>
        <v>5.6281818181818176E-2</v>
      </c>
      <c r="AR16" s="94">
        <f t="shared" si="6"/>
        <v>0.55876011592575137</v>
      </c>
      <c r="AS16" s="95" t="s">
        <v>200</v>
      </c>
      <c r="AT16" s="35"/>
      <c r="AU16" s="102">
        <v>1</v>
      </c>
      <c r="AV16" s="102">
        <v>1</v>
      </c>
      <c r="AW16" s="102">
        <v>1</v>
      </c>
      <c r="AX16" s="102">
        <v>1</v>
      </c>
      <c r="AY16" s="102">
        <v>1</v>
      </c>
      <c r="AZ16" s="102">
        <v>1</v>
      </c>
      <c r="BA16" s="102">
        <v>1</v>
      </c>
      <c r="BB16" s="102">
        <v>1</v>
      </c>
      <c r="BC16" s="102">
        <v>1</v>
      </c>
      <c r="BD16" s="102">
        <v>1</v>
      </c>
      <c r="BE16" s="102">
        <v>1</v>
      </c>
      <c r="BF16" s="102">
        <v>1</v>
      </c>
      <c r="BG16" s="102">
        <v>1</v>
      </c>
      <c r="BH16" s="102">
        <v>1</v>
      </c>
      <c r="BI16" s="102">
        <v>1</v>
      </c>
      <c r="BJ16" s="102">
        <v>1</v>
      </c>
      <c r="BK16" s="102">
        <v>1</v>
      </c>
      <c r="BL16" s="102">
        <v>1</v>
      </c>
      <c r="BM16" s="102">
        <v>1</v>
      </c>
      <c r="BN16" s="102">
        <v>1</v>
      </c>
      <c r="BO16" s="102">
        <v>1</v>
      </c>
      <c r="BP16" s="102">
        <v>1</v>
      </c>
      <c r="BQ16" s="102">
        <v>1</v>
      </c>
      <c r="BR16" s="102">
        <v>1</v>
      </c>
      <c r="BS16" s="102">
        <v>1</v>
      </c>
      <c r="BT16" s="102">
        <v>1</v>
      </c>
      <c r="BU16" s="102">
        <v>1</v>
      </c>
      <c r="BV16" s="102">
        <v>1</v>
      </c>
      <c r="BW16" s="102">
        <v>1</v>
      </c>
      <c r="BX16" s="102">
        <v>1</v>
      </c>
      <c r="BY16" s="102">
        <v>1</v>
      </c>
      <c r="BZ16" s="102">
        <v>1</v>
      </c>
      <c r="CA16" s="102">
        <v>1</v>
      </c>
      <c r="CB16" s="102">
        <v>1</v>
      </c>
      <c r="CC16" s="102">
        <v>1</v>
      </c>
      <c r="CD16" s="102">
        <v>1</v>
      </c>
      <c r="CE16" s="102">
        <v>1</v>
      </c>
      <c r="CF16" s="102">
        <v>1</v>
      </c>
      <c r="CG16" s="102">
        <v>1</v>
      </c>
      <c r="CH16" s="102">
        <v>1</v>
      </c>
      <c r="CI16" s="102">
        <v>1</v>
      </c>
      <c r="CJ16" s="102">
        <v>1</v>
      </c>
      <c r="CK16" s="102">
        <v>1</v>
      </c>
      <c r="CL16" s="102">
        <v>1</v>
      </c>
      <c r="CM16" s="102">
        <v>1</v>
      </c>
      <c r="CN16" s="102">
        <v>1</v>
      </c>
      <c r="CO16" s="102">
        <v>1</v>
      </c>
      <c r="CP16" s="102">
        <v>1</v>
      </c>
      <c r="CQ16" s="102">
        <v>1</v>
      </c>
      <c r="CR16" s="102">
        <v>1</v>
      </c>
      <c r="CS16" s="103">
        <v>1</v>
      </c>
      <c r="CT16" s="102">
        <v>1</v>
      </c>
      <c r="CU16" s="102">
        <v>1</v>
      </c>
      <c r="CV16" s="102">
        <v>1</v>
      </c>
      <c r="CW16" s="102">
        <v>1</v>
      </c>
      <c r="CX16" s="102">
        <v>1</v>
      </c>
      <c r="CY16" s="102">
        <v>1</v>
      </c>
      <c r="CZ16" s="102">
        <v>1</v>
      </c>
      <c r="DA16" s="102">
        <v>1</v>
      </c>
      <c r="DB16" s="102">
        <v>1</v>
      </c>
      <c r="DC16" s="102">
        <v>1</v>
      </c>
      <c r="DD16" s="102">
        <v>1</v>
      </c>
      <c r="DE16" s="102">
        <v>1</v>
      </c>
      <c r="DF16" s="102">
        <v>1</v>
      </c>
      <c r="DG16" s="102">
        <v>1</v>
      </c>
      <c r="DH16" s="102">
        <v>1</v>
      </c>
      <c r="DI16" s="102">
        <v>1</v>
      </c>
      <c r="DJ16" s="102">
        <v>1</v>
      </c>
      <c r="DK16" s="102">
        <v>1</v>
      </c>
      <c r="DL16" s="102">
        <v>1</v>
      </c>
      <c r="DM16" s="102">
        <v>1</v>
      </c>
      <c r="DN16" s="102">
        <v>1</v>
      </c>
      <c r="DO16" s="102">
        <v>1</v>
      </c>
      <c r="DP16" s="102">
        <v>1</v>
      </c>
      <c r="DQ16" s="102">
        <v>1</v>
      </c>
      <c r="DR16" s="102">
        <v>1</v>
      </c>
      <c r="DS16" s="102">
        <v>1</v>
      </c>
      <c r="DT16" s="102">
        <v>1</v>
      </c>
      <c r="DU16" s="102">
        <v>1</v>
      </c>
      <c r="DV16" s="102">
        <v>1</v>
      </c>
      <c r="DW16" s="102">
        <v>1</v>
      </c>
      <c r="DX16" s="102">
        <v>1</v>
      </c>
      <c r="DY16" s="102">
        <v>1</v>
      </c>
      <c r="DZ16" s="102">
        <v>1</v>
      </c>
      <c r="EA16" s="102">
        <v>1</v>
      </c>
      <c r="EB16" s="102">
        <v>1</v>
      </c>
      <c r="EC16" s="102">
        <v>1</v>
      </c>
      <c r="ED16" s="102">
        <v>1</v>
      </c>
      <c r="EE16" s="102">
        <v>1</v>
      </c>
      <c r="EF16" s="102">
        <v>1</v>
      </c>
      <c r="EG16" s="102">
        <v>1</v>
      </c>
      <c r="EH16" s="102">
        <v>1</v>
      </c>
      <c r="EI16" s="102">
        <v>1</v>
      </c>
      <c r="EJ16" s="102">
        <v>1</v>
      </c>
      <c r="EK16" s="102">
        <v>1</v>
      </c>
      <c r="EL16" s="102">
        <v>1</v>
      </c>
      <c r="EM16" s="102">
        <v>1</v>
      </c>
      <c r="EN16" s="102">
        <v>1</v>
      </c>
      <c r="EO16" s="102">
        <v>1</v>
      </c>
      <c r="EP16" s="102">
        <v>1</v>
      </c>
      <c r="EQ16" s="102">
        <v>1</v>
      </c>
      <c r="ER16" s="102">
        <v>1</v>
      </c>
      <c r="ES16" s="102">
        <v>1</v>
      </c>
      <c r="ET16" s="102">
        <v>1</v>
      </c>
      <c r="EU16" s="102">
        <v>1</v>
      </c>
      <c r="EV16" s="102">
        <v>1</v>
      </c>
      <c r="EW16" s="102">
        <v>1</v>
      </c>
      <c r="EX16" s="102">
        <v>1</v>
      </c>
      <c r="EY16" s="102">
        <v>1</v>
      </c>
      <c r="EZ16" s="102">
        <v>1</v>
      </c>
      <c r="FA16" s="102">
        <v>1</v>
      </c>
      <c r="FB16" s="102">
        <v>1</v>
      </c>
      <c r="FC16" s="102">
        <v>1</v>
      </c>
      <c r="FD16" s="102">
        <v>1</v>
      </c>
      <c r="FE16" s="102">
        <v>1</v>
      </c>
      <c r="FF16" s="102">
        <v>1</v>
      </c>
      <c r="FG16" s="102">
        <v>1</v>
      </c>
      <c r="FH16" s="102">
        <v>1</v>
      </c>
      <c r="FI16" s="102">
        <v>1</v>
      </c>
      <c r="FJ16" s="102">
        <v>1</v>
      </c>
      <c r="FK16" s="102">
        <v>1</v>
      </c>
      <c r="FL16" s="102">
        <v>1</v>
      </c>
      <c r="FM16" s="102">
        <v>1</v>
      </c>
      <c r="FN16" s="102">
        <v>1</v>
      </c>
      <c r="FO16" s="102">
        <v>1</v>
      </c>
      <c r="FP16" s="102">
        <v>1</v>
      </c>
      <c r="FQ16" s="102">
        <v>1</v>
      </c>
      <c r="FR16" s="102">
        <v>1</v>
      </c>
      <c r="FS16" s="102">
        <v>1</v>
      </c>
      <c r="FT16" s="102">
        <v>1</v>
      </c>
      <c r="FU16" s="102">
        <v>1</v>
      </c>
      <c r="FV16" s="102">
        <v>1</v>
      </c>
      <c r="FW16" s="102">
        <v>1</v>
      </c>
      <c r="FX16" s="102">
        <v>1</v>
      </c>
      <c r="FY16" s="102">
        <v>1</v>
      </c>
      <c r="FZ16" s="102">
        <v>1</v>
      </c>
      <c r="GA16" s="102">
        <v>1</v>
      </c>
      <c r="GB16" s="102">
        <v>1</v>
      </c>
      <c r="GC16" s="102">
        <v>1</v>
      </c>
      <c r="GD16" s="102">
        <v>1</v>
      </c>
      <c r="GE16" s="102">
        <v>1</v>
      </c>
      <c r="GF16" s="102">
        <v>1</v>
      </c>
      <c r="GG16" s="102">
        <v>1</v>
      </c>
      <c r="GH16" s="102">
        <v>1</v>
      </c>
      <c r="GI16" s="102">
        <v>1</v>
      </c>
      <c r="GJ16" s="102">
        <v>1</v>
      </c>
      <c r="GK16" s="102">
        <v>1</v>
      </c>
      <c r="GL16" s="102">
        <v>1</v>
      </c>
      <c r="GM16" s="102">
        <v>1</v>
      </c>
      <c r="GN16" s="102">
        <v>1</v>
      </c>
      <c r="GO16" s="102">
        <v>1</v>
      </c>
      <c r="GP16" s="24">
        <f t="shared" si="7"/>
        <v>1</v>
      </c>
    </row>
    <row r="17" spans="1:198" ht="29.15" customHeight="1">
      <c r="B17" s="36">
        <v>1</v>
      </c>
      <c r="C17" s="34" t="s">
        <v>16</v>
      </c>
      <c r="D17" s="1">
        <v>16118</v>
      </c>
      <c r="E17" s="1" t="s">
        <v>65</v>
      </c>
      <c r="F17" s="34" t="s">
        <v>18</v>
      </c>
      <c r="G17" s="34" t="s">
        <v>45</v>
      </c>
      <c r="H17" s="1" t="s">
        <v>19</v>
      </c>
      <c r="I17" s="34" t="s">
        <v>104</v>
      </c>
      <c r="J17" s="1" t="s">
        <v>95</v>
      </c>
      <c r="K17" s="1">
        <v>4937</v>
      </c>
      <c r="L17" s="1" t="s">
        <v>22</v>
      </c>
      <c r="M17" s="1" t="s">
        <v>40</v>
      </c>
      <c r="N17" s="1" t="s">
        <v>24</v>
      </c>
      <c r="O17" s="1" t="s">
        <v>25</v>
      </c>
      <c r="P17" s="35">
        <v>53037061</v>
      </c>
      <c r="Q17" s="4" t="s">
        <v>102</v>
      </c>
      <c r="R17" s="1" t="s">
        <v>103</v>
      </c>
      <c r="S17" s="49">
        <v>544270</v>
      </c>
      <c r="T17" s="45">
        <v>2687057959</v>
      </c>
      <c r="U17" s="45">
        <v>7611</v>
      </c>
      <c r="V17" s="45"/>
      <c r="W17" s="51">
        <v>723163929</v>
      </c>
      <c r="X17" s="104">
        <v>69</v>
      </c>
      <c r="Y17" s="104" t="s">
        <v>163</v>
      </c>
      <c r="Z17" s="107">
        <v>12</v>
      </c>
      <c r="AA17" s="107">
        <v>13</v>
      </c>
      <c r="AB17" s="107">
        <v>4</v>
      </c>
      <c r="AC17" s="88">
        <v>1531.42</v>
      </c>
      <c r="AD17" s="88">
        <v>1055.3899999999999</v>
      </c>
      <c r="AE17" s="88">
        <v>2629.96</v>
      </c>
      <c r="AF17" s="89">
        <f>'Цены,перевалка,аренда'!$C$27*SUM(Уголь_эластика_внутр!Z17+Уголь_эластика_внутр!AA17+Уголь_эластика_внутр!AB17)/Уголь_эластика_внутр!X17</f>
        <v>294.20289855072463</v>
      </c>
      <c r="AG17" s="90"/>
      <c r="AH17" s="47"/>
      <c r="AI17" s="91">
        <v>2800</v>
      </c>
      <c r="AJ17" s="92">
        <f>'Цены,перевалка,аренда'!$D$8</f>
        <v>3300</v>
      </c>
      <c r="AK17" s="47">
        <f>AJ17/'Цены,перевалка,аренда'!$C$1</f>
        <v>43.247210227309964</v>
      </c>
      <c r="AL17" s="47">
        <f t="shared" si="0"/>
        <v>2924.1628985507245</v>
      </c>
      <c r="AM17" s="47">
        <f t="shared" si="1"/>
        <v>375.83710144927545</v>
      </c>
      <c r="AN17" s="47">
        <f t="shared" si="2"/>
        <v>5724.162898550725</v>
      </c>
      <c r="AO17" s="93">
        <f t="shared" si="3"/>
        <v>-0.7345948177426439</v>
      </c>
      <c r="AP17" s="94">
        <f t="shared" si="4"/>
        <v>0.88610996925779528</v>
      </c>
      <c r="AQ17" s="94">
        <f t="shared" si="5"/>
        <v>0.79695757575757575</v>
      </c>
      <c r="AR17" s="94">
        <f t="shared" si="6"/>
        <v>0.89938901875249921</v>
      </c>
      <c r="AS17" s="95" t="s">
        <v>178</v>
      </c>
      <c r="AT17" s="35"/>
      <c r="AU17" s="102">
        <v>1</v>
      </c>
      <c r="AV17" s="102">
        <v>1</v>
      </c>
      <c r="AW17" s="102">
        <v>1</v>
      </c>
      <c r="AX17" s="102">
        <v>1</v>
      </c>
      <c r="AY17" s="102">
        <v>1</v>
      </c>
      <c r="AZ17" s="102">
        <v>1</v>
      </c>
      <c r="BA17" s="102">
        <v>1</v>
      </c>
      <c r="BB17" s="102">
        <v>1</v>
      </c>
      <c r="BC17" s="102">
        <v>1</v>
      </c>
      <c r="BD17" s="102">
        <v>1</v>
      </c>
      <c r="BE17" s="102">
        <v>1</v>
      </c>
      <c r="BF17" s="102">
        <v>1</v>
      </c>
      <c r="BG17" s="102">
        <v>1</v>
      </c>
      <c r="BH17" s="102">
        <v>1</v>
      </c>
      <c r="BI17" s="102">
        <v>1</v>
      </c>
      <c r="BJ17" s="102">
        <v>1</v>
      </c>
      <c r="BK17" s="102">
        <v>1</v>
      </c>
      <c r="BL17" s="102">
        <v>1</v>
      </c>
      <c r="BM17" s="102">
        <v>1</v>
      </c>
      <c r="BN17" s="102">
        <v>1</v>
      </c>
      <c r="BO17" s="102">
        <v>1</v>
      </c>
      <c r="BP17" s="102">
        <v>1</v>
      </c>
      <c r="BQ17" s="102">
        <v>1</v>
      </c>
      <c r="BR17" s="102">
        <v>1</v>
      </c>
      <c r="BS17" s="102">
        <v>1</v>
      </c>
      <c r="BT17" s="102">
        <v>1</v>
      </c>
      <c r="BU17" s="102">
        <v>1</v>
      </c>
      <c r="BV17" s="102">
        <v>1</v>
      </c>
      <c r="BW17" s="102">
        <v>1</v>
      </c>
      <c r="BX17" s="102">
        <v>1</v>
      </c>
      <c r="BY17" s="102">
        <v>1</v>
      </c>
      <c r="BZ17" s="102">
        <v>1</v>
      </c>
      <c r="CA17" s="102">
        <v>1</v>
      </c>
      <c r="CB17" s="102">
        <v>1</v>
      </c>
      <c r="CC17" s="102">
        <v>1</v>
      </c>
      <c r="CD17" s="102">
        <v>1</v>
      </c>
      <c r="CE17" s="102">
        <v>1</v>
      </c>
      <c r="CF17" s="102">
        <v>1</v>
      </c>
      <c r="CG17" s="102">
        <v>1</v>
      </c>
      <c r="CH17" s="102">
        <v>1</v>
      </c>
      <c r="CI17" s="102">
        <v>1</v>
      </c>
      <c r="CJ17" s="102">
        <v>1</v>
      </c>
      <c r="CK17" s="102">
        <v>1</v>
      </c>
      <c r="CL17" s="102">
        <v>1</v>
      </c>
      <c r="CM17" s="102">
        <v>1</v>
      </c>
      <c r="CN17" s="102">
        <v>1</v>
      </c>
      <c r="CO17" s="102">
        <v>1</v>
      </c>
      <c r="CP17" s="102">
        <v>1</v>
      </c>
      <c r="CQ17" s="102">
        <v>1</v>
      </c>
      <c r="CR17" s="102">
        <v>1</v>
      </c>
      <c r="CS17" s="103">
        <v>1</v>
      </c>
      <c r="CT17" s="102">
        <v>1</v>
      </c>
      <c r="CU17" s="102">
        <v>1</v>
      </c>
      <c r="CV17" s="102">
        <v>1</v>
      </c>
      <c r="CW17" s="102">
        <v>1</v>
      </c>
      <c r="CX17" s="102">
        <v>1</v>
      </c>
      <c r="CY17" s="102">
        <v>1</v>
      </c>
      <c r="CZ17" s="102">
        <v>1</v>
      </c>
      <c r="DA17" s="102">
        <v>1</v>
      </c>
      <c r="DB17" s="102">
        <v>1</v>
      </c>
      <c r="DC17" s="102">
        <v>1</v>
      </c>
      <c r="DD17" s="102">
        <v>1</v>
      </c>
      <c r="DE17" s="102">
        <v>1</v>
      </c>
      <c r="DF17" s="102">
        <v>1</v>
      </c>
      <c r="DG17" s="102">
        <v>1</v>
      </c>
      <c r="DH17" s="102">
        <v>1</v>
      </c>
      <c r="DI17" s="102">
        <v>1</v>
      </c>
      <c r="DJ17" s="102">
        <v>1</v>
      </c>
      <c r="DK17" s="102">
        <v>1</v>
      </c>
      <c r="DL17" s="102">
        <v>1</v>
      </c>
      <c r="DM17" s="102">
        <v>1</v>
      </c>
      <c r="DN17" s="102">
        <v>1</v>
      </c>
      <c r="DO17" s="102">
        <v>1</v>
      </c>
      <c r="DP17" s="102">
        <v>1</v>
      </c>
      <c r="DQ17" s="102">
        <v>1</v>
      </c>
      <c r="DR17" s="102">
        <v>1</v>
      </c>
      <c r="DS17" s="102">
        <v>1</v>
      </c>
      <c r="DT17" s="102">
        <v>1</v>
      </c>
      <c r="DU17" s="102">
        <v>1</v>
      </c>
      <c r="DV17" s="102">
        <v>1</v>
      </c>
      <c r="DW17" s="102">
        <v>1</v>
      </c>
      <c r="DX17" s="102">
        <v>1</v>
      </c>
      <c r="DY17" s="102">
        <v>1</v>
      </c>
      <c r="DZ17" s="102">
        <v>1</v>
      </c>
      <c r="EA17" s="102">
        <v>1</v>
      </c>
      <c r="EB17" s="102">
        <v>1</v>
      </c>
      <c r="EC17" s="102">
        <v>1</v>
      </c>
      <c r="ED17" s="102">
        <v>1</v>
      </c>
      <c r="EE17" s="102">
        <v>1</v>
      </c>
      <c r="EF17" s="102">
        <v>1</v>
      </c>
      <c r="EG17" s="102">
        <v>1</v>
      </c>
      <c r="EH17" s="102">
        <v>1</v>
      </c>
      <c r="EI17" s="102">
        <v>1</v>
      </c>
      <c r="EJ17" s="102">
        <v>1</v>
      </c>
      <c r="EK17" s="102">
        <v>1</v>
      </c>
      <c r="EL17" s="102">
        <v>1</v>
      </c>
      <c r="EM17" s="102">
        <v>1</v>
      </c>
      <c r="EN17" s="102">
        <v>1</v>
      </c>
      <c r="EO17" s="102">
        <v>1</v>
      </c>
      <c r="EP17" s="102">
        <v>1</v>
      </c>
      <c r="EQ17" s="102">
        <v>1</v>
      </c>
      <c r="ER17" s="102">
        <v>1</v>
      </c>
      <c r="ES17" s="102">
        <v>1</v>
      </c>
      <c r="ET17" s="102">
        <v>1</v>
      </c>
      <c r="EU17" s="102">
        <v>1</v>
      </c>
      <c r="EV17" s="102">
        <v>1</v>
      </c>
      <c r="EW17" s="102">
        <v>1</v>
      </c>
      <c r="EX17" s="102">
        <v>1</v>
      </c>
      <c r="EY17" s="102">
        <v>1</v>
      </c>
      <c r="EZ17" s="102">
        <v>1</v>
      </c>
      <c r="FA17" s="102">
        <v>1</v>
      </c>
      <c r="FB17" s="102">
        <v>1</v>
      </c>
      <c r="FC17" s="102">
        <v>1</v>
      </c>
      <c r="FD17" s="102">
        <v>1</v>
      </c>
      <c r="FE17" s="102">
        <v>1</v>
      </c>
      <c r="FF17" s="102">
        <v>1</v>
      </c>
      <c r="FG17" s="102">
        <v>1</v>
      </c>
      <c r="FH17" s="102">
        <v>1</v>
      </c>
      <c r="FI17" s="102">
        <v>1</v>
      </c>
      <c r="FJ17" s="102">
        <v>1</v>
      </c>
      <c r="FK17" s="102">
        <v>1</v>
      </c>
      <c r="FL17" s="102">
        <v>1</v>
      </c>
      <c r="FM17" s="102">
        <v>1</v>
      </c>
      <c r="FN17" s="102">
        <v>1</v>
      </c>
      <c r="FO17" s="102">
        <v>1</v>
      </c>
      <c r="FP17" s="102">
        <v>1</v>
      </c>
      <c r="FQ17" s="102">
        <v>1</v>
      </c>
      <c r="FR17" s="102">
        <v>1</v>
      </c>
      <c r="FS17" s="102">
        <v>1</v>
      </c>
      <c r="FT17" s="102">
        <v>1</v>
      </c>
      <c r="FU17" s="102">
        <v>1</v>
      </c>
      <c r="FV17" s="102">
        <v>1</v>
      </c>
      <c r="FW17" s="102">
        <v>1</v>
      </c>
      <c r="FX17" s="102">
        <v>1</v>
      </c>
      <c r="FY17" s="102">
        <v>1</v>
      </c>
      <c r="FZ17" s="102">
        <v>1</v>
      </c>
      <c r="GA17" s="102">
        <v>1</v>
      </c>
      <c r="GB17" s="102">
        <v>1</v>
      </c>
      <c r="GC17" s="102">
        <v>1</v>
      </c>
      <c r="GD17" s="102">
        <v>1</v>
      </c>
      <c r="GE17" s="102">
        <v>1</v>
      </c>
      <c r="GF17" s="102">
        <v>1</v>
      </c>
      <c r="GG17" s="102">
        <v>1</v>
      </c>
      <c r="GH17" s="102">
        <v>1</v>
      </c>
      <c r="GI17" s="102">
        <v>1</v>
      </c>
      <c r="GJ17" s="102">
        <v>1</v>
      </c>
      <c r="GK17" s="102">
        <v>1</v>
      </c>
      <c r="GL17" s="102">
        <v>1</v>
      </c>
      <c r="GM17" s="102">
        <v>1</v>
      </c>
      <c r="GN17" s="102">
        <v>1</v>
      </c>
      <c r="GO17" s="102">
        <v>1</v>
      </c>
      <c r="GP17" s="24">
        <f t="shared" si="7"/>
        <v>1</v>
      </c>
    </row>
    <row r="18" spans="1:198" ht="29.15" customHeight="1">
      <c r="B18" s="36">
        <v>1</v>
      </c>
      <c r="C18" s="34" t="s">
        <v>16</v>
      </c>
      <c r="D18" s="1">
        <v>16101</v>
      </c>
      <c r="E18" s="1" t="s">
        <v>98</v>
      </c>
      <c r="F18" s="34" t="s">
        <v>99</v>
      </c>
      <c r="G18" s="34" t="s">
        <v>45</v>
      </c>
      <c r="H18" s="1" t="s">
        <v>45</v>
      </c>
      <c r="I18" s="1" t="s">
        <v>100</v>
      </c>
      <c r="J18" s="1" t="s">
        <v>106</v>
      </c>
      <c r="K18" s="1">
        <v>393</v>
      </c>
      <c r="L18" s="1" t="s">
        <v>22</v>
      </c>
      <c r="M18" s="1" t="s">
        <v>40</v>
      </c>
      <c r="N18" s="1" t="s">
        <v>24</v>
      </c>
      <c r="O18" s="1" t="s">
        <v>36</v>
      </c>
      <c r="P18" s="35">
        <v>53037061</v>
      </c>
      <c r="Q18" s="4" t="s">
        <v>102</v>
      </c>
      <c r="R18" s="1" t="s">
        <v>103</v>
      </c>
      <c r="S18" s="49">
        <v>383157</v>
      </c>
      <c r="T18" s="45">
        <v>150580806</v>
      </c>
      <c r="U18" s="45">
        <v>5460</v>
      </c>
      <c r="V18" s="45"/>
      <c r="W18" s="51">
        <v>146362098</v>
      </c>
      <c r="X18" s="104">
        <v>75</v>
      </c>
      <c r="Y18" s="104" t="s">
        <v>163</v>
      </c>
      <c r="Z18" s="107">
        <v>3</v>
      </c>
      <c r="AA18" s="107">
        <v>3</v>
      </c>
      <c r="AB18" s="107">
        <v>4</v>
      </c>
      <c r="AC18" s="88">
        <v>379.47</v>
      </c>
      <c r="AD18" s="88">
        <v>154</v>
      </c>
      <c r="AE18" s="88">
        <v>491.11</v>
      </c>
      <c r="AF18" s="89">
        <f>'Цены,перевалка,аренда'!$C$26*SUM(Уголь_эластика_внутр!Z18+Уголь_эластика_внутр!AA18+Уголь_эластика_внутр!AB18)/Уголь_эластика_внутр!X18</f>
        <v>133.33333333333334</v>
      </c>
      <c r="AG18" s="90"/>
      <c r="AH18" s="47"/>
      <c r="AI18" s="91">
        <v>2771</v>
      </c>
      <c r="AJ18" s="92">
        <f>'Цены,перевалка,аренда'!$D$18</f>
        <v>6000</v>
      </c>
      <c r="AK18" s="47">
        <f>AJ18/'Цены,перевалка,аренда'!$C$1</f>
        <v>78.631291322381742</v>
      </c>
      <c r="AL18" s="47">
        <f t="shared" si="0"/>
        <v>624.44333333333338</v>
      </c>
      <c r="AM18" s="47">
        <f t="shared" si="1"/>
        <v>5375.5566666666664</v>
      </c>
      <c r="AN18" s="47">
        <f t="shared" si="2"/>
        <v>3395.4433333333336</v>
      </c>
      <c r="AO18" s="93">
        <f t="shared" si="3"/>
        <v>0.43409277777777772</v>
      </c>
      <c r="AP18" s="94">
        <f t="shared" si="4"/>
        <v>0.1040738888888889</v>
      </c>
      <c r="AQ18" s="94">
        <f t="shared" si="5"/>
        <v>8.185166666666667E-2</v>
      </c>
      <c r="AR18" s="94">
        <f t="shared" si="6"/>
        <v>0.78647648839232809</v>
      </c>
      <c r="AS18" s="95" t="s">
        <v>194</v>
      </c>
      <c r="AT18" s="35"/>
      <c r="AU18" s="102">
        <v>1</v>
      </c>
      <c r="AV18" s="102">
        <v>1</v>
      </c>
      <c r="AW18" s="102">
        <v>1</v>
      </c>
      <c r="AX18" s="102">
        <v>1</v>
      </c>
      <c r="AY18" s="102">
        <v>1</v>
      </c>
      <c r="AZ18" s="102">
        <v>1</v>
      </c>
      <c r="BA18" s="102">
        <v>1</v>
      </c>
      <c r="BB18" s="102">
        <v>1</v>
      </c>
      <c r="BC18" s="102">
        <v>1</v>
      </c>
      <c r="BD18" s="102">
        <v>1</v>
      </c>
      <c r="BE18" s="102">
        <v>1</v>
      </c>
      <c r="BF18" s="102">
        <v>1</v>
      </c>
      <c r="BG18" s="102">
        <v>1</v>
      </c>
      <c r="BH18" s="102">
        <v>1</v>
      </c>
      <c r="BI18" s="102">
        <v>1</v>
      </c>
      <c r="BJ18" s="102">
        <v>1</v>
      </c>
      <c r="BK18" s="102">
        <v>1</v>
      </c>
      <c r="BL18" s="102">
        <v>1</v>
      </c>
      <c r="BM18" s="102">
        <v>1</v>
      </c>
      <c r="BN18" s="102">
        <v>1</v>
      </c>
      <c r="BO18" s="102">
        <v>1</v>
      </c>
      <c r="BP18" s="102">
        <v>1</v>
      </c>
      <c r="BQ18" s="102">
        <v>1</v>
      </c>
      <c r="BR18" s="102">
        <v>1</v>
      </c>
      <c r="BS18" s="102">
        <v>1</v>
      </c>
      <c r="BT18" s="102">
        <v>1</v>
      </c>
      <c r="BU18" s="102">
        <v>1</v>
      </c>
      <c r="BV18" s="102">
        <v>1</v>
      </c>
      <c r="BW18" s="102">
        <v>1</v>
      </c>
      <c r="BX18" s="102">
        <v>1</v>
      </c>
      <c r="BY18" s="102">
        <v>1</v>
      </c>
      <c r="BZ18" s="102">
        <v>1</v>
      </c>
      <c r="CA18" s="102">
        <v>1</v>
      </c>
      <c r="CB18" s="102">
        <v>1</v>
      </c>
      <c r="CC18" s="102">
        <v>1</v>
      </c>
      <c r="CD18" s="102">
        <v>1</v>
      </c>
      <c r="CE18" s="102">
        <v>1</v>
      </c>
      <c r="CF18" s="102">
        <v>1</v>
      </c>
      <c r="CG18" s="102">
        <v>1</v>
      </c>
      <c r="CH18" s="102">
        <v>1</v>
      </c>
      <c r="CI18" s="102">
        <v>1</v>
      </c>
      <c r="CJ18" s="102">
        <v>1</v>
      </c>
      <c r="CK18" s="102">
        <v>1</v>
      </c>
      <c r="CL18" s="102">
        <v>1</v>
      </c>
      <c r="CM18" s="102">
        <v>1</v>
      </c>
      <c r="CN18" s="102">
        <v>1</v>
      </c>
      <c r="CO18" s="102">
        <v>1</v>
      </c>
      <c r="CP18" s="102">
        <v>1</v>
      </c>
      <c r="CQ18" s="102">
        <v>1</v>
      </c>
      <c r="CR18" s="102">
        <v>1</v>
      </c>
      <c r="CS18" s="103">
        <v>1</v>
      </c>
      <c r="CT18" s="102">
        <v>1</v>
      </c>
      <c r="CU18" s="102">
        <v>1</v>
      </c>
      <c r="CV18" s="102">
        <v>1</v>
      </c>
      <c r="CW18" s="102">
        <v>1</v>
      </c>
      <c r="CX18" s="102">
        <v>1</v>
      </c>
      <c r="CY18" s="102">
        <v>1</v>
      </c>
      <c r="CZ18" s="102">
        <v>1</v>
      </c>
      <c r="DA18" s="102">
        <v>1</v>
      </c>
      <c r="DB18" s="102">
        <v>1</v>
      </c>
      <c r="DC18" s="102">
        <v>1</v>
      </c>
      <c r="DD18" s="102">
        <v>1</v>
      </c>
      <c r="DE18" s="102">
        <v>1</v>
      </c>
      <c r="DF18" s="102">
        <v>1</v>
      </c>
      <c r="DG18" s="102">
        <v>1</v>
      </c>
      <c r="DH18" s="102">
        <v>1</v>
      </c>
      <c r="DI18" s="102">
        <v>1</v>
      </c>
      <c r="DJ18" s="102">
        <v>1</v>
      </c>
      <c r="DK18" s="102">
        <v>1</v>
      </c>
      <c r="DL18" s="102">
        <v>1</v>
      </c>
      <c r="DM18" s="102">
        <v>1</v>
      </c>
      <c r="DN18" s="102">
        <v>1</v>
      </c>
      <c r="DO18" s="102">
        <v>1</v>
      </c>
      <c r="DP18" s="102">
        <v>1</v>
      </c>
      <c r="DQ18" s="102">
        <v>1</v>
      </c>
      <c r="DR18" s="102">
        <v>1</v>
      </c>
      <c r="DS18" s="102">
        <v>1</v>
      </c>
      <c r="DT18" s="102">
        <v>1</v>
      </c>
      <c r="DU18" s="102">
        <v>1</v>
      </c>
      <c r="DV18" s="102">
        <v>1</v>
      </c>
      <c r="DW18" s="102">
        <v>1</v>
      </c>
      <c r="DX18" s="102">
        <v>1</v>
      </c>
      <c r="DY18" s="102">
        <v>1</v>
      </c>
      <c r="DZ18" s="102">
        <v>1</v>
      </c>
      <c r="EA18" s="102">
        <v>1</v>
      </c>
      <c r="EB18" s="102">
        <v>1</v>
      </c>
      <c r="EC18" s="102">
        <v>1</v>
      </c>
      <c r="ED18" s="102">
        <v>1</v>
      </c>
      <c r="EE18" s="102">
        <v>1</v>
      </c>
      <c r="EF18" s="102">
        <v>1</v>
      </c>
      <c r="EG18" s="102">
        <v>1</v>
      </c>
      <c r="EH18" s="102">
        <v>1</v>
      </c>
      <c r="EI18" s="102">
        <v>1</v>
      </c>
      <c r="EJ18" s="102">
        <v>1</v>
      </c>
      <c r="EK18" s="102">
        <v>1</v>
      </c>
      <c r="EL18" s="102">
        <v>1</v>
      </c>
      <c r="EM18" s="102">
        <v>1</v>
      </c>
      <c r="EN18" s="102">
        <v>1</v>
      </c>
      <c r="EO18" s="102">
        <v>1</v>
      </c>
      <c r="EP18" s="102">
        <v>1</v>
      </c>
      <c r="EQ18" s="102">
        <v>1</v>
      </c>
      <c r="ER18" s="102">
        <v>1</v>
      </c>
      <c r="ES18" s="102">
        <v>1</v>
      </c>
      <c r="ET18" s="102">
        <v>1</v>
      </c>
      <c r="EU18" s="102">
        <v>1</v>
      </c>
      <c r="EV18" s="102">
        <v>1</v>
      </c>
      <c r="EW18" s="102">
        <v>1</v>
      </c>
      <c r="EX18" s="102">
        <v>1</v>
      </c>
      <c r="EY18" s="102">
        <v>1</v>
      </c>
      <c r="EZ18" s="102">
        <v>1</v>
      </c>
      <c r="FA18" s="102">
        <v>1</v>
      </c>
      <c r="FB18" s="102">
        <v>1</v>
      </c>
      <c r="FC18" s="102">
        <v>1</v>
      </c>
      <c r="FD18" s="102">
        <v>1</v>
      </c>
      <c r="FE18" s="102">
        <v>1</v>
      </c>
      <c r="FF18" s="102">
        <v>1</v>
      </c>
      <c r="FG18" s="102">
        <v>1</v>
      </c>
      <c r="FH18" s="102">
        <v>1</v>
      </c>
      <c r="FI18" s="102">
        <v>1</v>
      </c>
      <c r="FJ18" s="102">
        <v>1</v>
      </c>
      <c r="FK18" s="102">
        <v>1</v>
      </c>
      <c r="FL18" s="102">
        <v>1</v>
      </c>
      <c r="FM18" s="102">
        <v>1</v>
      </c>
      <c r="FN18" s="102">
        <v>1</v>
      </c>
      <c r="FO18" s="102">
        <v>1</v>
      </c>
      <c r="FP18" s="102">
        <v>1</v>
      </c>
      <c r="FQ18" s="102">
        <v>1</v>
      </c>
      <c r="FR18" s="102">
        <v>1</v>
      </c>
      <c r="FS18" s="102">
        <v>1</v>
      </c>
      <c r="FT18" s="102">
        <v>1</v>
      </c>
      <c r="FU18" s="102">
        <v>1</v>
      </c>
      <c r="FV18" s="102">
        <v>1</v>
      </c>
      <c r="FW18" s="102">
        <v>1</v>
      </c>
      <c r="FX18" s="102">
        <v>1</v>
      </c>
      <c r="FY18" s="102">
        <v>1</v>
      </c>
      <c r="FZ18" s="102">
        <v>1</v>
      </c>
      <c r="GA18" s="102">
        <v>1</v>
      </c>
      <c r="GB18" s="102">
        <v>1</v>
      </c>
      <c r="GC18" s="102">
        <v>1</v>
      </c>
      <c r="GD18" s="102">
        <v>1</v>
      </c>
      <c r="GE18" s="102">
        <v>1</v>
      </c>
      <c r="GF18" s="102">
        <v>1</v>
      </c>
      <c r="GG18" s="102">
        <v>1</v>
      </c>
      <c r="GH18" s="102">
        <v>1</v>
      </c>
      <c r="GI18" s="102">
        <v>1</v>
      </c>
      <c r="GJ18" s="102">
        <v>1</v>
      </c>
      <c r="GK18" s="102">
        <v>1</v>
      </c>
      <c r="GL18" s="102">
        <v>1</v>
      </c>
      <c r="GM18" s="102">
        <v>1</v>
      </c>
      <c r="GN18" s="102">
        <v>1</v>
      </c>
      <c r="GO18" s="102">
        <v>1</v>
      </c>
      <c r="GP18" s="24">
        <f t="shared" si="7"/>
        <v>1</v>
      </c>
    </row>
    <row r="19" spans="1:198" ht="29.15" customHeight="1">
      <c r="B19" s="36">
        <v>1</v>
      </c>
      <c r="C19" s="34" t="s">
        <v>16</v>
      </c>
      <c r="D19" s="1">
        <v>16112</v>
      </c>
      <c r="E19" s="1" t="s">
        <v>28</v>
      </c>
      <c r="F19" s="34" t="s">
        <v>18</v>
      </c>
      <c r="G19" s="34" t="s">
        <v>107</v>
      </c>
      <c r="H19" s="1" t="s">
        <v>107</v>
      </c>
      <c r="I19" s="1" t="s">
        <v>111</v>
      </c>
      <c r="J19" s="1" t="s">
        <v>108</v>
      </c>
      <c r="K19" s="1">
        <v>12</v>
      </c>
      <c r="L19" s="1" t="s">
        <v>22</v>
      </c>
      <c r="M19" s="1" t="s">
        <v>40</v>
      </c>
      <c r="N19" s="1" t="s">
        <v>24</v>
      </c>
      <c r="O19" s="34" t="s">
        <v>25</v>
      </c>
      <c r="P19" s="4">
        <v>67680731</v>
      </c>
      <c r="Q19" s="4" t="s">
        <v>112</v>
      </c>
      <c r="R19" s="1" t="s">
        <v>110</v>
      </c>
      <c r="S19" s="49">
        <v>1886760</v>
      </c>
      <c r="T19" s="45">
        <v>22641290</v>
      </c>
      <c r="U19" s="45">
        <v>27043</v>
      </c>
      <c r="V19" s="45"/>
      <c r="W19" s="51">
        <v>43313654</v>
      </c>
      <c r="X19" s="104">
        <v>69</v>
      </c>
      <c r="Y19" s="104" t="s">
        <v>161</v>
      </c>
      <c r="Z19" s="107">
        <v>12</v>
      </c>
      <c r="AA19" s="107">
        <v>12</v>
      </c>
      <c r="AB19" s="107">
        <v>4</v>
      </c>
      <c r="AC19" s="88">
        <v>176.16</v>
      </c>
      <c r="AD19" s="88">
        <v>7.1299999999999955</v>
      </c>
      <c r="AE19" s="88">
        <v>177.81</v>
      </c>
      <c r="AF19" s="89">
        <f>'Цены,перевалка,аренда'!$C$27*SUM(Уголь_эластика_внутр!Z19+Уголь_эластика_внутр!AA19+Уголь_эластика_внутр!AB19)/Уголь_эластика_внутр!X19</f>
        <v>284.05797101449275</v>
      </c>
      <c r="AG19" s="90"/>
      <c r="AH19" s="47"/>
      <c r="AI19" s="91">
        <v>1637</v>
      </c>
      <c r="AJ19" s="92">
        <f>'Цены,перевалка,аренда'!$D$8</f>
        <v>3300</v>
      </c>
      <c r="AK19" s="47">
        <f>AJ19/'Цены,перевалка,аренда'!$C$1</f>
        <v>43.247210227309964</v>
      </c>
      <c r="AL19" s="47">
        <f t="shared" si="0"/>
        <v>461.86797101449275</v>
      </c>
      <c r="AM19" s="47">
        <f t="shared" si="1"/>
        <v>2838.1320289855071</v>
      </c>
      <c r="AN19" s="47">
        <f t="shared" ref="AN19:AN27" si="8">AI19+AH19+AG19+AF19+AE19</f>
        <v>2098.8679710144929</v>
      </c>
      <c r="AO19" s="93">
        <f t="shared" si="3"/>
        <v>0.36397940272288093</v>
      </c>
      <c r="AP19" s="94">
        <f t="shared" si="4"/>
        <v>0.13995999121651295</v>
      </c>
      <c r="AQ19" s="94">
        <f t="shared" si="5"/>
        <v>5.3881818181818183E-2</v>
      </c>
      <c r="AR19" s="94">
        <f t="shared" si="6"/>
        <v>0.38498014835157424</v>
      </c>
      <c r="AS19" s="95" t="s">
        <v>195</v>
      </c>
      <c r="AT19" s="35"/>
      <c r="AU19" s="102">
        <v>1</v>
      </c>
      <c r="AV19" s="102">
        <v>1</v>
      </c>
      <c r="AW19" s="102">
        <v>1</v>
      </c>
      <c r="AX19" s="102">
        <v>1</v>
      </c>
      <c r="AY19" s="102">
        <v>1</v>
      </c>
      <c r="AZ19" s="102">
        <v>1</v>
      </c>
      <c r="BA19" s="102">
        <v>1</v>
      </c>
      <c r="BB19" s="102">
        <v>1</v>
      </c>
      <c r="BC19" s="102">
        <v>1</v>
      </c>
      <c r="BD19" s="102">
        <v>1</v>
      </c>
      <c r="BE19" s="102">
        <v>1</v>
      </c>
      <c r="BF19" s="102">
        <v>1</v>
      </c>
      <c r="BG19" s="102">
        <v>1</v>
      </c>
      <c r="BH19" s="102">
        <v>1</v>
      </c>
      <c r="BI19" s="102">
        <v>1</v>
      </c>
      <c r="BJ19" s="102">
        <v>1</v>
      </c>
      <c r="BK19" s="102">
        <v>1</v>
      </c>
      <c r="BL19" s="102">
        <v>1</v>
      </c>
      <c r="BM19" s="102">
        <v>1</v>
      </c>
      <c r="BN19" s="102">
        <v>1</v>
      </c>
      <c r="BO19" s="102">
        <v>1</v>
      </c>
      <c r="BP19" s="102">
        <v>1</v>
      </c>
      <c r="BQ19" s="102">
        <v>1</v>
      </c>
      <c r="BR19" s="102">
        <v>1</v>
      </c>
      <c r="BS19" s="102">
        <v>1</v>
      </c>
      <c r="BT19" s="102">
        <v>1</v>
      </c>
      <c r="BU19" s="102">
        <v>1</v>
      </c>
      <c r="BV19" s="102">
        <v>1</v>
      </c>
      <c r="BW19" s="102">
        <v>1</v>
      </c>
      <c r="BX19" s="102">
        <v>1</v>
      </c>
      <c r="BY19" s="102">
        <v>1</v>
      </c>
      <c r="BZ19" s="102">
        <v>1</v>
      </c>
      <c r="CA19" s="102">
        <v>1</v>
      </c>
      <c r="CB19" s="102">
        <v>1</v>
      </c>
      <c r="CC19" s="102">
        <v>1</v>
      </c>
      <c r="CD19" s="102">
        <v>1</v>
      </c>
      <c r="CE19" s="102">
        <v>1</v>
      </c>
      <c r="CF19" s="102">
        <v>1</v>
      </c>
      <c r="CG19" s="102">
        <v>1</v>
      </c>
      <c r="CH19" s="102">
        <v>1</v>
      </c>
      <c r="CI19" s="102">
        <v>1</v>
      </c>
      <c r="CJ19" s="102">
        <v>1</v>
      </c>
      <c r="CK19" s="102">
        <v>1</v>
      </c>
      <c r="CL19" s="102">
        <v>1</v>
      </c>
      <c r="CM19" s="102">
        <v>1</v>
      </c>
      <c r="CN19" s="102">
        <v>1</v>
      </c>
      <c r="CO19" s="102">
        <v>1</v>
      </c>
      <c r="CP19" s="102">
        <v>1</v>
      </c>
      <c r="CQ19" s="102">
        <v>1</v>
      </c>
      <c r="CR19" s="102">
        <v>1</v>
      </c>
      <c r="CS19" s="103">
        <v>1</v>
      </c>
      <c r="CT19" s="102">
        <v>1</v>
      </c>
      <c r="CU19" s="102">
        <v>1</v>
      </c>
      <c r="CV19" s="102">
        <v>1</v>
      </c>
      <c r="CW19" s="102">
        <v>1</v>
      </c>
      <c r="CX19" s="102">
        <v>1</v>
      </c>
      <c r="CY19" s="102">
        <v>1</v>
      </c>
      <c r="CZ19" s="102">
        <v>1</v>
      </c>
      <c r="DA19" s="102">
        <v>1</v>
      </c>
      <c r="DB19" s="102">
        <v>1</v>
      </c>
      <c r="DC19" s="102">
        <v>1</v>
      </c>
      <c r="DD19" s="102">
        <v>1</v>
      </c>
      <c r="DE19" s="102">
        <v>1</v>
      </c>
      <c r="DF19" s="102">
        <v>1</v>
      </c>
      <c r="DG19" s="102">
        <v>1</v>
      </c>
      <c r="DH19" s="102">
        <v>1</v>
      </c>
      <c r="DI19" s="102">
        <v>1</v>
      </c>
      <c r="DJ19" s="102">
        <v>1</v>
      </c>
      <c r="DK19" s="102">
        <v>1</v>
      </c>
      <c r="DL19" s="102">
        <v>1</v>
      </c>
      <c r="DM19" s="102">
        <v>1</v>
      </c>
      <c r="DN19" s="102">
        <v>1</v>
      </c>
      <c r="DO19" s="102">
        <v>1</v>
      </c>
      <c r="DP19" s="102">
        <v>1</v>
      </c>
      <c r="DQ19" s="102">
        <v>1</v>
      </c>
      <c r="DR19" s="102">
        <v>1</v>
      </c>
      <c r="DS19" s="102">
        <v>1</v>
      </c>
      <c r="DT19" s="102">
        <v>1</v>
      </c>
      <c r="DU19" s="102">
        <v>1</v>
      </c>
      <c r="DV19" s="102">
        <v>1</v>
      </c>
      <c r="DW19" s="102">
        <v>1</v>
      </c>
      <c r="DX19" s="102">
        <v>1</v>
      </c>
      <c r="DY19" s="102">
        <v>1</v>
      </c>
      <c r="DZ19" s="102">
        <v>1</v>
      </c>
      <c r="EA19" s="102">
        <v>1</v>
      </c>
      <c r="EB19" s="102">
        <v>1</v>
      </c>
      <c r="EC19" s="102">
        <v>1</v>
      </c>
      <c r="ED19" s="102">
        <v>1</v>
      </c>
      <c r="EE19" s="102">
        <v>1</v>
      </c>
      <c r="EF19" s="102">
        <v>1</v>
      </c>
      <c r="EG19" s="102">
        <v>1</v>
      </c>
      <c r="EH19" s="102">
        <v>1</v>
      </c>
      <c r="EI19" s="102">
        <v>1</v>
      </c>
      <c r="EJ19" s="102">
        <v>1</v>
      </c>
      <c r="EK19" s="102">
        <v>1</v>
      </c>
      <c r="EL19" s="102">
        <v>1</v>
      </c>
      <c r="EM19" s="102">
        <v>1</v>
      </c>
      <c r="EN19" s="102">
        <v>1</v>
      </c>
      <c r="EO19" s="102">
        <v>1</v>
      </c>
      <c r="EP19" s="102">
        <v>1</v>
      </c>
      <c r="EQ19" s="102">
        <v>1</v>
      </c>
      <c r="ER19" s="102">
        <v>1</v>
      </c>
      <c r="ES19" s="102">
        <v>1</v>
      </c>
      <c r="ET19" s="102">
        <v>1</v>
      </c>
      <c r="EU19" s="102">
        <v>1</v>
      </c>
      <c r="EV19" s="102">
        <v>1</v>
      </c>
      <c r="EW19" s="102">
        <v>1</v>
      </c>
      <c r="EX19" s="102">
        <v>1</v>
      </c>
      <c r="EY19" s="102">
        <v>1</v>
      </c>
      <c r="EZ19" s="102">
        <v>1</v>
      </c>
      <c r="FA19" s="102">
        <v>1</v>
      </c>
      <c r="FB19" s="102">
        <v>1</v>
      </c>
      <c r="FC19" s="102">
        <v>1</v>
      </c>
      <c r="FD19" s="102">
        <v>1</v>
      </c>
      <c r="FE19" s="102">
        <v>1</v>
      </c>
      <c r="FF19" s="102">
        <v>1</v>
      </c>
      <c r="FG19" s="102">
        <v>1</v>
      </c>
      <c r="FH19" s="102">
        <v>1</v>
      </c>
      <c r="FI19" s="102">
        <v>1</v>
      </c>
      <c r="FJ19" s="102">
        <v>1</v>
      </c>
      <c r="FK19" s="102">
        <v>1</v>
      </c>
      <c r="FL19" s="102">
        <v>1</v>
      </c>
      <c r="FM19" s="102">
        <v>1</v>
      </c>
      <c r="FN19" s="102">
        <v>1</v>
      </c>
      <c r="FO19" s="102">
        <v>1</v>
      </c>
      <c r="FP19" s="102">
        <v>1</v>
      </c>
      <c r="FQ19" s="102">
        <v>1</v>
      </c>
      <c r="FR19" s="102">
        <v>1</v>
      </c>
      <c r="FS19" s="102">
        <v>1</v>
      </c>
      <c r="FT19" s="102">
        <v>1</v>
      </c>
      <c r="FU19" s="102">
        <v>1</v>
      </c>
      <c r="FV19" s="102">
        <v>1</v>
      </c>
      <c r="FW19" s="102">
        <v>1</v>
      </c>
      <c r="FX19" s="102">
        <v>1</v>
      </c>
      <c r="FY19" s="102">
        <v>1</v>
      </c>
      <c r="FZ19" s="102">
        <v>1</v>
      </c>
      <c r="GA19" s="102">
        <v>1</v>
      </c>
      <c r="GB19" s="102">
        <v>1</v>
      </c>
      <c r="GC19" s="102">
        <v>1</v>
      </c>
      <c r="GD19" s="102">
        <v>1</v>
      </c>
      <c r="GE19" s="102">
        <v>1</v>
      </c>
      <c r="GF19" s="102">
        <v>1</v>
      </c>
      <c r="GG19" s="102">
        <v>1</v>
      </c>
      <c r="GH19" s="102">
        <v>1</v>
      </c>
      <c r="GI19" s="102">
        <v>1</v>
      </c>
      <c r="GJ19" s="102">
        <v>1</v>
      </c>
      <c r="GK19" s="102">
        <v>1</v>
      </c>
      <c r="GL19" s="102">
        <v>1</v>
      </c>
      <c r="GM19" s="102">
        <v>1</v>
      </c>
      <c r="GN19" s="102">
        <v>1</v>
      </c>
      <c r="GO19" s="102">
        <v>1</v>
      </c>
      <c r="GP19" s="24">
        <f t="shared" si="7"/>
        <v>1</v>
      </c>
    </row>
    <row r="20" spans="1:198" ht="29.15" customHeight="1">
      <c r="B20" s="36">
        <v>1</v>
      </c>
      <c r="C20" s="34" t="s">
        <v>16</v>
      </c>
      <c r="D20" s="1">
        <v>16112</v>
      </c>
      <c r="E20" s="1" t="s">
        <v>28</v>
      </c>
      <c r="F20" s="34" t="s">
        <v>18</v>
      </c>
      <c r="G20" s="34" t="s">
        <v>45</v>
      </c>
      <c r="H20" s="1" t="s">
        <v>107</v>
      </c>
      <c r="I20" s="1" t="s">
        <v>118</v>
      </c>
      <c r="J20" s="1" t="s">
        <v>119</v>
      </c>
      <c r="K20" s="1">
        <v>1491</v>
      </c>
      <c r="L20" s="1" t="s">
        <v>22</v>
      </c>
      <c r="M20" s="1" t="s">
        <v>40</v>
      </c>
      <c r="N20" s="1" t="s">
        <v>24</v>
      </c>
      <c r="O20" s="1" t="s">
        <v>25</v>
      </c>
      <c r="P20" s="4">
        <v>32214406</v>
      </c>
      <c r="Q20" s="4" t="s">
        <v>120</v>
      </c>
      <c r="R20" s="1" t="s">
        <v>116</v>
      </c>
      <c r="S20" s="49">
        <v>24205</v>
      </c>
      <c r="T20" s="45">
        <v>36089536</v>
      </c>
      <c r="U20" s="45">
        <v>350</v>
      </c>
      <c r="V20" s="45"/>
      <c r="W20" s="51">
        <v>21334601</v>
      </c>
      <c r="X20" s="104">
        <v>69</v>
      </c>
      <c r="Y20" s="104" t="s">
        <v>161</v>
      </c>
      <c r="Z20" s="107">
        <v>7</v>
      </c>
      <c r="AA20" s="107">
        <v>8</v>
      </c>
      <c r="AB20" s="107">
        <v>4</v>
      </c>
      <c r="AC20" s="88">
        <v>973.78</v>
      </c>
      <c r="AD20" s="88">
        <v>572.10000000000014</v>
      </c>
      <c r="AE20" s="88">
        <v>1522.58</v>
      </c>
      <c r="AF20" s="89">
        <f>'Цены,перевалка,аренда'!$C$27*SUM(Уголь_эластика_внутр!Z20+Уголь_эластика_внутр!AA20+Уголь_эластика_внутр!AB20)/Уголь_эластика_внутр!X20</f>
        <v>192.75362318840581</v>
      </c>
      <c r="AG20" s="90"/>
      <c r="AH20" s="47"/>
      <c r="AI20" s="91">
        <v>2600</v>
      </c>
      <c r="AJ20" s="92">
        <f>'Цены,перевалка,аренда'!$D$8</f>
        <v>3300</v>
      </c>
      <c r="AK20" s="47">
        <f>AJ20/'Цены,перевалка,аренда'!$C$1</f>
        <v>43.247210227309964</v>
      </c>
      <c r="AL20" s="47">
        <f t="shared" si="0"/>
        <v>1715.3336231884057</v>
      </c>
      <c r="AM20" s="47">
        <f t="shared" si="1"/>
        <v>1584.6663768115943</v>
      </c>
      <c r="AN20" s="47">
        <f t="shared" si="8"/>
        <v>4315.3336231884059</v>
      </c>
      <c r="AO20" s="93">
        <f t="shared" si="3"/>
        <v>-0.30767685551163815</v>
      </c>
      <c r="AP20" s="94">
        <f t="shared" si="4"/>
        <v>0.51979806763285019</v>
      </c>
      <c r="AQ20" s="94">
        <f t="shared" si="5"/>
        <v>0.46138787878787879</v>
      </c>
      <c r="AR20" s="94">
        <f t="shared" si="6"/>
        <v>0.88762907659320422</v>
      </c>
      <c r="AS20" s="95" t="s">
        <v>187</v>
      </c>
      <c r="AT20" s="35"/>
      <c r="AU20" s="102">
        <v>1</v>
      </c>
      <c r="AV20" s="102">
        <v>1</v>
      </c>
      <c r="AW20" s="102">
        <v>1</v>
      </c>
      <c r="AX20" s="102">
        <v>1</v>
      </c>
      <c r="AY20" s="102">
        <v>1</v>
      </c>
      <c r="AZ20" s="102">
        <v>1</v>
      </c>
      <c r="BA20" s="102">
        <v>1</v>
      </c>
      <c r="BB20" s="102">
        <v>1</v>
      </c>
      <c r="BC20" s="102">
        <v>1</v>
      </c>
      <c r="BD20" s="102">
        <v>1</v>
      </c>
      <c r="BE20" s="102">
        <v>1</v>
      </c>
      <c r="BF20" s="102">
        <v>1</v>
      </c>
      <c r="BG20" s="102">
        <v>1</v>
      </c>
      <c r="BH20" s="102">
        <v>1</v>
      </c>
      <c r="BI20" s="102">
        <v>1</v>
      </c>
      <c r="BJ20" s="102">
        <v>1</v>
      </c>
      <c r="BK20" s="102">
        <v>1</v>
      </c>
      <c r="BL20" s="102">
        <v>1</v>
      </c>
      <c r="BM20" s="102">
        <v>1</v>
      </c>
      <c r="BN20" s="102">
        <v>1</v>
      </c>
      <c r="BO20" s="102">
        <v>1</v>
      </c>
      <c r="BP20" s="102">
        <v>1</v>
      </c>
      <c r="BQ20" s="102">
        <v>1</v>
      </c>
      <c r="BR20" s="102">
        <v>1</v>
      </c>
      <c r="BS20" s="102">
        <v>1</v>
      </c>
      <c r="BT20" s="102">
        <v>1</v>
      </c>
      <c r="BU20" s="102">
        <v>1</v>
      </c>
      <c r="BV20" s="102">
        <v>1</v>
      </c>
      <c r="BW20" s="102">
        <v>1</v>
      </c>
      <c r="BX20" s="102">
        <v>1</v>
      </c>
      <c r="BY20" s="102">
        <v>1</v>
      </c>
      <c r="BZ20" s="102">
        <v>1</v>
      </c>
      <c r="CA20" s="102">
        <v>1</v>
      </c>
      <c r="CB20" s="102">
        <v>1</v>
      </c>
      <c r="CC20" s="102">
        <v>1</v>
      </c>
      <c r="CD20" s="102">
        <v>1</v>
      </c>
      <c r="CE20" s="102">
        <v>1</v>
      </c>
      <c r="CF20" s="102">
        <v>1</v>
      </c>
      <c r="CG20" s="102">
        <v>1</v>
      </c>
      <c r="CH20" s="102">
        <v>1</v>
      </c>
      <c r="CI20" s="102">
        <v>1</v>
      </c>
      <c r="CJ20" s="102">
        <v>1</v>
      </c>
      <c r="CK20" s="102">
        <v>1</v>
      </c>
      <c r="CL20" s="102">
        <v>1</v>
      </c>
      <c r="CM20" s="102">
        <v>1</v>
      </c>
      <c r="CN20" s="102">
        <v>1</v>
      </c>
      <c r="CO20" s="102">
        <v>1</v>
      </c>
      <c r="CP20" s="102">
        <v>1</v>
      </c>
      <c r="CQ20" s="102">
        <v>1</v>
      </c>
      <c r="CR20" s="102">
        <v>1</v>
      </c>
      <c r="CS20" s="103">
        <v>1</v>
      </c>
      <c r="CT20" s="102">
        <v>1</v>
      </c>
      <c r="CU20" s="102">
        <v>1</v>
      </c>
      <c r="CV20" s="102">
        <v>1</v>
      </c>
      <c r="CW20" s="102">
        <v>1</v>
      </c>
      <c r="CX20" s="102">
        <v>1</v>
      </c>
      <c r="CY20" s="102">
        <v>1</v>
      </c>
      <c r="CZ20" s="102">
        <v>1</v>
      </c>
      <c r="DA20" s="102">
        <v>1</v>
      </c>
      <c r="DB20" s="102">
        <v>1</v>
      </c>
      <c r="DC20" s="102">
        <v>1</v>
      </c>
      <c r="DD20" s="102">
        <v>1</v>
      </c>
      <c r="DE20" s="102">
        <v>1</v>
      </c>
      <c r="DF20" s="102">
        <v>1</v>
      </c>
      <c r="DG20" s="102">
        <v>1</v>
      </c>
      <c r="DH20" s="102">
        <v>1</v>
      </c>
      <c r="DI20" s="102">
        <v>1</v>
      </c>
      <c r="DJ20" s="102">
        <v>1</v>
      </c>
      <c r="DK20" s="102">
        <v>1</v>
      </c>
      <c r="DL20" s="102">
        <v>1</v>
      </c>
      <c r="DM20" s="102">
        <v>1</v>
      </c>
      <c r="DN20" s="102">
        <v>1</v>
      </c>
      <c r="DO20" s="102">
        <v>1</v>
      </c>
      <c r="DP20" s="102">
        <v>1</v>
      </c>
      <c r="DQ20" s="102">
        <v>1</v>
      </c>
      <c r="DR20" s="102">
        <v>1</v>
      </c>
      <c r="DS20" s="102">
        <v>1</v>
      </c>
      <c r="DT20" s="102">
        <v>1</v>
      </c>
      <c r="DU20" s="102">
        <v>1</v>
      </c>
      <c r="DV20" s="102">
        <v>1</v>
      </c>
      <c r="DW20" s="102">
        <v>1</v>
      </c>
      <c r="DX20" s="102">
        <v>1</v>
      </c>
      <c r="DY20" s="102">
        <v>1</v>
      </c>
      <c r="DZ20" s="102">
        <v>1</v>
      </c>
      <c r="EA20" s="102">
        <v>1</v>
      </c>
      <c r="EB20" s="102">
        <v>1</v>
      </c>
      <c r="EC20" s="102">
        <v>1</v>
      </c>
      <c r="ED20" s="102">
        <v>1</v>
      </c>
      <c r="EE20" s="102">
        <v>1</v>
      </c>
      <c r="EF20" s="102">
        <v>1</v>
      </c>
      <c r="EG20" s="102">
        <v>1</v>
      </c>
      <c r="EH20" s="102">
        <v>1</v>
      </c>
      <c r="EI20" s="102">
        <v>1</v>
      </c>
      <c r="EJ20" s="102">
        <v>1</v>
      </c>
      <c r="EK20" s="102">
        <v>1</v>
      </c>
      <c r="EL20" s="102">
        <v>1</v>
      </c>
      <c r="EM20" s="102">
        <v>1</v>
      </c>
      <c r="EN20" s="102">
        <v>1</v>
      </c>
      <c r="EO20" s="102">
        <v>1</v>
      </c>
      <c r="EP20" s="102">
        <v>1</v>
      </c>
      <c r="EQ20" s="102">
        <v>1</v>
      </c>
      <c r="ER20" s="102">
        <v>1</v>
      </c>
      <c r="ES20" s="102">
        <v>1</v>
      </c>
      <c r="ET20" s="102">
        <v>1</v>
      </c>
      <c r="EU20" s="102">
        <v>1</v>
      </c>
      <c r="EV20" s="102">
        <v>1</v>
      </c>
      <c r="EW20" s="102">
        <v>1</v>
      </c>
      <c r="EX20" s="102">
        <v>1</v>
      </c>
      <c r="EY20" s="102">
        <v>1</v>
      </c>
      <c r="EZ20" s="102">
        <v>1</v>
      </c>
      <c r="FA20" s="102">
        <v>1</v>
      </c>
      <c r="FB20" s="102">
        <v>1</v>
      </c>
      <c r="FC20" s="102">
        <v>1</v>
      </c>
      <c r="FD20" s="102">
        <v>1</v>
      </c>
      <c r="FE20" s="102">
        <v>1</v>
      </c>
      <c r="FF20" s="102">
        <v>1</v>
      </c>
      <c r="FG20" s="102">
        <v>1</v>
      </c>
      <c r="FH20" s="102">
        <v>1</v>
      </c>
      <c r="FI20" s="102">
        <v>1</v>
      </c>
      <c r="FJ20" s="102">
        <v>1</v>
      </c>
      <c r="FK20" s="102">
        <v>1</v>
      </c>
      <c r="FL20" s="102">
        <v>1</v>
      </c>
      <c r="FM20" s="102">
        <v>1</v>
      </c>
      <c r="FN20" s="102">
        <v>1</v>
      </c>
      <c r="FO20" s="102">
        <v>1</v>
      </c>
      <c r="FP20" s="102">
        <v>1</v>
      </c>
      <c r="FQ20" s="102">
        <v>1</v>
      </c>
      <c r="FR20" s="102">
        <v>1</v>
      </c>
      <c r="FS20" s="102">
        <v>1</v>
      </c>
      <c r="FT20" s="102">
        <v>1</v>
      </c>
      <c r="FU20" s="102">
        <v>1</v>
      </c>
      <c r="FV20" s="102">
        <v>1</v>
      </c>
      <c r="FW20" s="102">
        <v>1</v>
      </c>
      <c r="FX20" s="102">
        <v>1</v>
      </c>
      <c r="FY20" s="102">
        <v>1</v>
      </c>
      <c r="FZ20" s="102">
        <v>1</v>
      </c>
      <c r="GA20" s="102">
        <v>1</v>
      </c>
      <c r="GB20" s="102">
        <v>1</v>
      </c>
      <c r="GC20" s="102">
        <v>1</v>
      </c>
      <c r="GD20" s="102">
        <v>1</v>
      </c>
      <c r="GE20" s="102">
        <v>1</v>
      </c>
      <c r="GF20" s="102">
        <v>1</v>
      </c>
      <c r="GG20" s="102">
        <v>1</v>
      </c>
      <c r="GH20" s="102">
        <v>1</v>
      </c>
      <c r="GI20" s="102">
        <v>1</v>
      </c>
      <c r="GJ20" s="102">
        <v>1</v>
      </c>
      <c r="GK20" s="102">
        <v>1</v>
      </c>
      <c r="GL20" s="102">
        <v>1</v>
      </c>
      <c r="GM20" s="102">
        <v>1</v>
      </c>
      <c r="GN20" s="102">
        <v>1</v>
      </c>
      <c r="GO20" s="102">
        <v>1</v>
      </c>
      <c r="GP20" s="24">
        <f t="shared" si="7"/>
        <v>1</v>
      </c>
    </row>
    <row r="21" spans="1:198" ht="29.15">
      <c r="B21" s="36">
        <v>1</v>
      </c>
      <c r="C21" s="34" t="s">
        <v>16</v>
      </c>
      <c r="D21" s="1">
        <v>16104</v>
      </c>
      <c r="E21" s="1" t="s">
        <v>88</v>
      </c>
      <c r="F21" s="34" t="s">
        <v>78</v>
      </c>
      <c r="G21" s="34" t="s">
        <v>45</v>
      </c>
      <c r="H21" s="1" t="s">
        <v>42</v>
      </c>
      <c r="I21" s="1" t="s">
        <v>113</v>
      </c>
      <c r="J21" s="1" t="s">
        <v>96</v>
      </c>
      <c r="K21" s="1">
        <v>3713</v>
      </c>
      <c r="L21" s="1" t="s">
        <v>22</v>
      </c>
      <c r="M21" s="1" t="s">
        <v>40</v>
      </c>
      <c r="N21" s="1" t="s">
        <v>24</v>
      </c>
      <c r="O21" s="1" t="s">
        <v>33</v>
      </c>
      <c r="P21" s="35">
        <v>32214406</v>
      </c>
      <c r="Q21" s="4" t="s">
        <v>120</v>
      </c>
      <c r="R21" s="1" t="s">
        <v>116</v>
      </c>
      <c r="S21" s="49">
        <v>220924</v>
      </c>
      <c r="T21" s="45">
        <v>820352901</v>
      </c>
      <c r="U21" s="45">
        <v>3156</v>
      </c>
      <c r="V21" s="45"/>
      <c r="W21" s="51">
        <v>363417651</v>
      </c>
      <c r="X21" s="104">
        <v>75</v>
      </c>
      <c r="Y21" s="104" t="s">
        <v>163</v>
      </c>
      <c r="Z21" s="107">
        <v>9</v>
      </c>
      <c r="AA21" s="107">
        <v>10</v>
      </c>
      <c r="AB21" s="107">
        <v>4</v>
      </c>
      <c r="AC21" s="88">
        <v>1638.16</v>
      </c>
      <c r="AD21" s="88">
        <v>764.47</v>
      </c>
      <c r="AE21" s="88">
        <v>2219.75</v>
      </c>
      <c r="AF21" s="89">
        <f>'Цены,перевалка,аренда'!$C$26*SUM(Уголь_эластика_внутр!Z21+Уголь_эластика_внутр!AA21+Уголь_эластика_внутр!AB21)/Уголь_эластика_внутр!X21</f>
        <v>306.66666666666669</v>
      </c>
      <c r="AG21" s="90"/>
      <c r="AH21" s="47"/>
      <c r="AI21" s="91">
        <v>4817</v>
      </c>
      <c r="AJ21" s="92">
        <f>'Цены,перевалка,аренда'!$D$14</f>
        <v>10200</v>
      </c>
      <c r="AK21" s="47">
        <f>AJ21/'Цены,перевалка,аренда'!$C$1</f>
        <v>133.67319524804898</v>
      </c>
      <c r="AL21" s="47">
        <f t="shared" si="0"/>
        <v>2526.4166666666665</v>
      </c>
      <c r="AM21" s="47">
        <f t="shared" si="1"/>
        <v>7673.5833333333339</v>
      </c>
      <c r="AN21" s="47">
        <f t="shared" si="8"/>
        <v>7343.416666666667</v>
      </c>
      <c r="AO21" s="93">
        <f t="shared" si="3"/>
        <v>0.28005718954248365</v>
      </c>
      <c r="AP21" s="94">
        <f t="shared" si="4"/>
        <v>0.247687908496732</v>
      </c>
      <c r="AQ21" s="94">
        <f t="shared" si="5"/>
        <v>0.21762254901960784</v>
      </c>
      <c r="AR21" s="94">
        <f t="shared" si="6"/>
        <v>0.87861595804334203</v>
      </c>
      <c r="AS21" s="95" t="s">
        <v>179</v>
      </c>
      <c r="AT21" s="35"/>
      <c r="AU21" s="102">
        <v>1</v>
      </c>
      <c r="AV21" s="102">
        <v>1</v>
      </c>
      <c r="AW21" s="102">
        <v>1</v>
      </c>
      <c r="AX21" s="102">
        <v>1</v>
      </c>
      <c r="AY21" s="102">
        <v>1</v>
      </c>
      <c r="AZ21" s="102">
        <v>1</v>
      </c>
      <c r="BA21" s="102">
        <v>1</v>
      </c>
      <c r="BB21" s="102">
        <v>1</v>
      </c>
      <c r="BC21" s="102">
        <v>1</v>
      </c>
      <c r="BD21" s="102">
        <v>1</v>
      </c>
      <c r="BE21" s="102">
        <v>1</v>
      </c>
      <c r="BF21" s="102">
        <v>1</v>
      </c>
      <c r="BG21" s="102">
        <v>1</v>
      </c>
      <c r="BH21" s="102">
        <v>1</v>
      </c>
      <c r="BI21" s="102">
        <v>1</v>
      </c>
      <c r="BJ21" s="102">
        <v>1</v>
      </c>
      <c r="BK21" s="102">
        <v>1</v>
      </c>
      <c r="BL21" s="102">
        <v>1</v>
      </c>
      <c r="BM21" s="102">
        <v>1</v>
      </c>
      <c r="BN21" s="102">
        <v>1</v>
      </c>
      <c r="BO21" s="102">
        <v>1</v>
      </c>
      <c r="BP21" s="102">
        <v>1</v>
      </c>
      <c r="BQ21" s="102">
        <v>1</v>
      </c>
      <c r="BR21" s="102">
        <v>1</v>
      </c>
      <c r="BS21" s="102">
        <v>1</v>
      </c>
      <c r="BT21" s="102">
        <v>1</v>
      </c>
      <c r="BU21" s="102">
        <v>1</v>
      </c>
      <c r="BV21" s="102">
        <v>1</v>
      </c>
      <c r="BW21" s="102">
        <v>1</v>
      </c>
      <c r="BX21" s="102">
        <v>1</v>
      </c>
      <c r="BY21" s="102">
        <v>1</v>
      </c>
      <c r="BZ21" s="102">
        <v>1</v>
      </c>
      <c r="CA21" s="102">
        <v>1</v>
      </c>
      <c r="CB21" s="102">
        <v>1</v>
      </c>
      <c r="CC21" s="102">
        <v>1</v>
      </c>
      <c r="CD21" s="102">
        <v>1</v>
      </c>
      <c r="CE21" s="102">
        <v>1</v>
      </c>
      <c r="CF21" s="102">
        <v>1</v>
      </c>
      <c r="CG21" s="102">
        <v>1</v>
      </c>
      <c r="CH21" s="102">
        <v>1</v>
      </c>
      <c r="CI21" s="102">
        <v>1</v>
      </c>
      <c r="CJ21" s="102">
        <v>1</v>
      </c>
      <c r="CK21" s="102">
        <v>1</v>
      </c>
      <c r="CL21" s="102">
        <v>1</v>
      </c>
      <c r="CM21" s="102">
        <v>1</v>
      </c>
      <c r="CN21" s="102">
        <v>1</v>
      </c>
      <c r="CO21" s="102">
        <v>1</v>
      </c>
      <c r="CP21" s="102">
        <v>1</v>
      </c>
      <c r="CQ21" s="102">
        <v>1</v>
      </c>
      <c r="CR21" s="102">
        <v>1</v>
      </c>
      <c r="CS21" s="103">
        <v>1</v>
      </c>
      <c r="CT21" s="102">
        <v>1</v>
      </c>
      <c r="CU21" s="102">
        <v>1</v>
      </c>
      <c r="CV21" s="102">
        <v>1</v>
      </c>
      <c r="CW21" s="102">
        <v>1</v>
      </c>
      <c r="CX21" s="102">
        <v>1</v>
      </c>
      <c r="CY21" s="102">
        <v>1</v>
      </c>
      <c r="CZ21" s="102">
        <v>1</v>
      </c>
      <c r="DA21" s="102">
        <v>1</v>
      </c>
      <c r="DB21" s="102">
        <v>1</v>
      </c>
      <c r="DC21" s="102">
        <v>1</v>
      </c>
      <c r="DD21" s="102">
        <v>1</v>
      </c>
      <c r="DE21" s="102">
        <v>1</v>
      </c>
      <c r="DF21" s="102">
        <v>1</v>
      </c>
      <c r="DG21" s="102">
        <v>1</v>
      </c>
      <c r="DH21" s="102">
        <v>1</v>
      </c>
      <c r="DI21" s="102">
        <v>1</v>
      </c>
      <c r="DJ21" s="102">
        <v>1</v>
      </c>
      <c r="DK21" s="102">
        <v>1</v>
      </c>
      <c r="DL21" s="102">
        <v>1</v>
      </c>
      <c r="DM21" s="102">
        <v>1</v>
      </c>
      <c r="DN21" s="102">
        <v>1</v>
      </c>
      <c r="DO21" s="102">
        <v>1</v>
      </c>
      <c r="DP21" s="102">
        <v>1</v>
      </c>
      <c r="DQ21" s="102">
        <v>1</v>
      </c>
      <c r="DR21" s="102">
        <v>1</v>
      </c>
      <c r="DS21" s="102">
        <v>1</v>
      </c>
      <c r="DT21" s="102">
        <v>1</v>
      </c>
      <c r="DU21" s="102">
        <v>1</v>
      </c>
      <c r="DV21" s="102">
        <v>1</v>
      </c>
      <c r="DW21" s="102">
        <v>1</v>
      </c>
      <c r="DX21" s="102">
        <v>1</v>
      </c>
      <c r="DY21" s="102">
        <v>1</v>
      </c>
      <c r="DZ21" s="102">
        <v>1</v>
      </c>
      <c r="EA21" s="102">
        <v>1</v>
      </c>
      <c r="EB21" s="102">
        <v>1</v>
      </c>
      <c r="EC21" s="102">
        <v>1</v>
      </c>
      <c r="ED21" s="102">
        <v>1</v>
      </c>
      <c r="EE21" s="102">
        <v>1</v>
      </c>
      <c r="EF21" s="102">
        <v>1</v>
      </c>
      <c r="EG21" s="102">
        <v>1</v>
      </c>
      <c r="EH21" s="102">
        <v>1</v>
      </c>
      <c r="EI21" s="102">
        <v>1</v>
      </c>
      <c r="EJ21" s="102">
        <v>1</v>
      </c>
      <c r="EK21" s="102">
        <v>1</v>
      </c>
      <c r="EL21" s="102">
        <v>1</v>
      </c>
      <c r="EM21" s="102">
        <v>1</v>
      </c>
      <c r="EN21" s="102">
        <v>1</v>
      </c>
      <c r="EO21" s="102">
        <v>1</v>
      </c>
      <c r="EP21" s="102">
        <v>1</v>
      </c>
      <c r="EQ21" s="102">
        <v>1</v>
      </c>
      <c r="ER21" s="102">
        <v>1</v>
      </c>
      <c r="ES21" s="102">
        <v>1</v>
      </c>
      <c r="ET21" s="102">
        <v>1</v>
      </c>
      <c r="EU21" s="102">
        <v>1</v>
      </c>
      <c r="EV21" s="102">
        <v>1</v>
      </c>
      <c r="EW21" s="102">
        <v>1</v>
      </c>
      <c r="EX21" s="102">
        <v>1</v>
      </c>
      <c r="EY21" s="102">
        <v>1</v>
      </c>
      <c r="EZ21" s="102">
        <v>1</v>
      </c>
      <c r="FA21" s="102">
        <v>1</v>
      </c>
      <c r="FB21" s="102">
        <v>1</v>
      </c>
      <c r="FC21" s="102">
        <v>1</v>
      </c>
      <c r="FD21" s="102">
        <v>1</v>
      </c>
      <c r="FE21" s="102">
        <v>1</v>
      </c>
      <c r="FF21" s="102">
        <v>1</v>
      </c>
      <c r="FG21" s="102">
        <v>1</v>
      </c>
      <c r="FH21" s="102">
        <v>1</v>
      </c>
      <c r="FI21" s="102">
        <v>1</v>
      </c>
      <c r="FJ21" s="102">
        <v>1</v>
      </c>
      <c r="FK21" s="102">
        <v>1</v>
      </c>
      <c r="FL21" s="102">
        <v>1</v>
      </c>
      <c r="FM21" s="102">
        <v>1</v>
      </c>
      <c r="FN21" s="102">
        <v>1</v>
      </c>
      <c r="FO21" s="102">
        <v>1</v>
      </c>
      <c r="FP21" s="102">
        <v>1</v>
      </c>
      <c r="FQ21" s="102">
        <v>1</v>
      </c>
      <c r="FR21" s="102">
        <v>1</v>
      </c>
      <c r="FS21" s="102">
        <v>1</v>
      </c>
      <c r="FT21" s="102">
        <v>1</v>
      </c>
      <c r="FU21" s="102">
        <v>1</v>
      </c>
      <c r="FV21" s="102">
        <v>1</v>
      </c>
      <c r="FW21" s="102">
        <v>1</v>
      </c>
      <c r="FX21" s="102">
        <v>1</v>
      </c>
      <c r="FY21" s="102">
        <v>1</v>
      </c>
      <c r="FZ21" s="102">
        <v>1</v>
      </c>
      <c r="GA21" s="102">
        <v>1</v>
      </c>
      <c r="GB21" s="102">
        <v>1</v>
      </c>
      <c r="GC21" s="102">
        <v>1</v>
      </c>
      <c r="GD21" s="102">
        <v>1</v>
      </c>
      <c r="GE21" s="102">
        <v>1</v>
      </c>
      <c r="GF21" s="102">
        <v>1</v>
      </c>
      <c r="GG21" s="102">
        <v>1</v>
      </c>
      <c r="GH21" s="102">
        <v>1</v>
      </c>
      <c r="GI21" s="102">
        <v>1</v>
      </c>
      <c r="GJ21" s="102">
        <v>1</v>
      </c>
      <c r="GK21" s="102">
        <v>1</v>
      </c>
      <c r="GL21" s="102">
        <v>1</v>
      </c>
      <c r="GM21" s="102">
        <v>1</v>
      </c>
      <c r="GN21" s="102">
        <v>1</v>
      </c>
      <c r="GO21" s="102">
        <v>1</v>
      </c>
      <c r="GP21" s="24">
        <f t="shared" si="7"/>
        <v>1</v>
      </c>
    </row>
    <row r="22" spans="1:198" ht="29.15">
      <c r="B22" s="36">
        <v>1</v>
      </c>
      <c r="C22" s="34" t="s">
        <v>16</v>
      </c>
      <c r="D22" s="1">
        <v>16104</v>
      </c>
      <c r="E22" s="1" t="s">
        <v>88</v>
      </c>
      <c r="F22" s="34" t="s">
        <v>78</v>
      </c>
      <c r="G22" s="34" t="s">
        <v>45</v>
      </c>
      <c r="H22" s="1" t="s">
        <v>45</v>
      </c>
      <c r="I22" s="1" t="s">
        <v>121</v>
      </c>
      <c r="J22" s="1" t="s">
        <v>122</v>
      </c>
      <c r="K22" s="1">
        <v>162</v>
      </c>
      <c r="L22" s="1" t="s">
        <v>22</v>
      </c>
      <c r="M22" s="1" t="s">
        <v>40</v>
      </c>
      <c r="N22" s="1" t="s">
        <v>24</v>
      </c>
      <c r="O22" s="1" t="s">
        <v>36</v>
      </c>
      <c r="P22" s="4">
        <v>160212</v>
      </c>
      <c r="Q22" s="4" t="s">
        <v>115</v>
      </c>
      <c r="R22" s="1" t="s">
        <v>116</v>
      </c>
      <c r="S22" s="49">
        <v>1050106</v>
      </c>
      <c r="T22" s="45">
        <v>170116878</v>
      </c>
      <c r="U22" s="45">
        <v>14865</v>
      </c>
      <c r="V22" s="45"/>
      <c r="W22" s="51">
        <v>264423344</v>
      </c>
      <c r="X22" s="104">
        <v>69</v>
      </c>
      <c r="Y22" s="104" t="s">
        <v>163</v>
      </c>
      <c r="Z22" s="107">
        <v>3</v>
      </c>
      <c r="AA22" s="107">
        <v>4</v>
      </c>
      <c r="AB22" s="107">
        <v>4</v>
      </c>
      <c r="AC22" s="88">
        <v>285.88</v>
      </c>
      <c r="AD22" s="88">
        <v>78.03000000000003</v>
      </c>
      <c r="AE22" s="88">
        <v>321.70999999999998</v>
      </c>
      <c r="AF22" s="89">
        <f>'Цены,перевалка,аренда'!$C$27*SUM(Уголь_эластика_внутр!Z22+Уголь_эластика_внутр!AA22+Уголь_эластика_внутр!AB22)/Уголь_эластика_внутр!X22</f>
        <v>111.59420289855072</v>
      </c>
      <c r="AG22" s="90"/>
      <c r="AH22" s="47"/>
      <c r="AI22" s="91">
        <v>4817</v>
      </c>
      <c r="AJ22" s="92">
        <f>'Цены,перевалка,аренда'!$D$14</f>
        <v>10200</v>
      </c>
      <c r="AK22" s="47">
        <f>AJ22/'Цены,перевалка,аренда'!$C$1</f>
        <v>133.67319524804898</v>
      </c>
      <c r="AL22" s="47">
        <f t="shared" si="0"/>
        <v>433.30420289855067</v>
      </c>
      <c r="AM22" s="47">
        <f t="shared" si="1"/>
        <v>9766.695797101449</v>
      </c>
      <c r="AN22" s="47">
        <f t="shared" si="8"/>
        <v>5250.304202898551</v>
      </c>
      <c r="AO22" s="93">
        <f t="shared" si="3"/>
        <v>0.48526429383347541</v>
      </c>
      <c r="AP22" s="94">
        <f t="shared" si="4"/>
        <v>4.2480804205740262E-2</v>
      </c>
      <c r="AQ22" s="94">
        <f t="shared" si="5"/>
        <v>3.1540196078431372E-2</v>
      </c>
      <c r="AR22" s="94">
        <f t="shared" si="6"/>
        <v>0.74245760333721433</v>
      </c>
      <c r="AS22" s="95" t="s">
        <v>196</v>
      </c>
      <c r="AT22" s="35"/>
      <c r="AU22" s="102">
        <v>1</v>
      </c>
      <c r="AV22" s="102">
        <v>1</v>
      </c>
      <c r="AW22" s="102">
        <v>1</v>
      </c>
      <c r="AX22" s="102">
        <v>1</v>
      </c>
      <c r="AY22" s="102">
        <v>1</v>
      </c>
      <c r="AZ22" s="102">
        <v>1</v>
      </c>
      <c r="BA22" s="102">
        <v>1</v>
      </c>
      <c r="BB22" s="102">
        <v>1</v>
      </c>
      <c r="BC22" s="102">
        <v>1</v>
      </c>
      <c r="BD22" s="102">
        <v>1</v>
      </c>
      <c r="BE22" s="102">
        <v>1</v>
      </c>
      <c r="BF22" s="102">
        <v>1</v>
      </c>
      <c r="BG22" s="102">
        <v>1</v>
      </c>
      <c r="BH22" s="102">
        <v>1</v>
      </c>
      <c r="BI22" s="102">
        <v>1</v>
      </c>
      <c r="BJ22" s="102">
        <v>1</v>
      </c>
      <c r="BK22" s="102">
        <v>1</v>
      </c>
      <c r="BL22" s="102">
        <v>1</v>
      </c>
      <c r="BM22" s="102">
        <v>1</v>
      </c>
      <c r="BN22" s="102">
        <v>1</v>
      </c>
      <c r="BO22" s="102">
        <v>1</v>
      </c>
      <c r="BP22" s="102">
        <v>1</v>
      </c>
      <c r="BQ22" s="102">
        <v>1</v>
      </c>
      <c r="BR22" s="102">
        <v>1</v>
      </c>
      <c r="BS22" s="102">
        <v>1</v>
      </c>
      <c r="BT22" s="102">
        <v>1</v>
      </c>
      <c r="BU22" s="102">
        <v>1</v>
      </c>
      <c r="BV22" s="102">
        <v>1</v>
      </c>
      <c r="BW22" s="102">
        <v>1</v>
      </c>
      <c r="BX22" s="102">
        <v>1</v>
      </c>
      <c r="BY22" s="102">
        <v>1</v>
      </c>
      <c r="BZ22" s="102">
        <v>1</v>
      </c>
      <c r="CA22" s="102">
        <v>1</v>
      </c>
      <c r="CB22" s="102">
        <v>1</v>
      </c>
      <c r="CC22" s="102">
        <v>1</v>
      </c>
      <c r="CD22" s="102">
        <v>1</v>
      </c>
      <c r="CE22" s="102">
        <v>1</v>
      </c>
      <c r="CF22" s="102">
        <v>1</v>
      </c>
      <c r="CG22" s="102">
        <v>1</v>
      </c>
      <c r="CH22" s="102">
        <v>1</v>
      </c>
      <c r="CI22" s="102">
        <v>1</v>
      </c>
      <c r="CJ22" s="102">
        <v>1</v>
      </c>
      <c r="CK22" s="102">
        <v>1</v>
      </c>
      <c r="CL22" s="102">
        <v>1</v>
      </c>
      <c r="CM22" s="102">
        <v>1</v>
      </c>
      <c r="CN22" s="102">
        <v>1</v>
      </c>
      <c r="CO22" s="102">
        <v>1</v>
      </c>
      <c r="CP22" s="102">
        <v>1</v>
      </c>
      <c r="CQ22" s="102">
        <v>1</v>
      </c>
      <c r="CR22" s="102">
        <v>1</v>
      </c>
      <c r="CS22" s="103">
        <v>1</v>
      </c>
      <c r="CT22" s="102">
        <v>1</v>
      </c>
      <c r="CU22" s="102">
        <v>1</v>
      </c>
      <c r="CV22" s="102">
        <v>1</v>
      </c>
      <c r="CW22" s="102">
        <v>1</v>
      </c>
      <c r="CX22" s="102">
        <v>1</v>
      </c>
      <c r="CY22" s="102">
        <v>1</v>
      </c>
      <c r="CZ22" s="102">
        <v>1</v>
      </c>
      <c r="DA22" s="102">
        <v>1</v>
      </c>
      <c r="DB22" s="102">
        <v>1</v>
      </c>
      <c r="DC22" s="102">
        <v>1</v>
      </c>
      <c r="DD22" s="102">
        <v>1</v>
      </c>
      <c r="DE22" s="102">
        <v>1</v>
      </c>
      <c r="DF22" s="102">
        <v>1</v>
      </c>
      <c r="DG22" s="102">
        <v>1</v>
      </c>
      <c r="DH22" s="102">
        <v>1</v>
      </c>
      <c r="DI22" s="102">
        <v>1</v>
      </c>
      <c r="DJ22" s="102">
        <v>1</v>
      </c>
      <c r="DK22" s="102">
        <v>1</v>
      </c>
      <c r="DL22" s="102">
        <v>1</v>
      </c>
      <c r="DM22" s="102">
        <v>1</v>
      </c>
      <c r="DN22" s="102">
        <v>1</v>
      </c>
      <c r="DO22" s="102">
        <v>1</v>
      </c>
      <c r="DP22" s="102">
        <v>1</v>
      </c>
      <c r="DQ22" s="102">
        <v>1</v>
      </c>
      <c r="DR22" s="102">
        <v>1</v>
      </c>
      <c r="DS22" s="102">
        <v>1</v>
      </c>
      <c r="DT22" s="102">
        <v>1</v>
      </c>
      <c r="DU22" s="102">
        <v>1</v>
      </c>
      <c r="DV22" s="102">
        <v>1</v>
      </c>
      <c r="DW22" s="102">
        <v>1</v>
      </c>
      <c r="DX22" s="102">
        <v>1</v>
      </c>
      <c r="DY22" s="102">
        <v>1</v>
      </c>
      <c r="DZ22" s="102">
        <v>1</v>
      </c>
      <c r="EA22" s="102">
        <v>1</v>
      </c>
      <c r="EB22" s="102">
        <v>1</v>
      </c>
      <c r="EC22" s="102">
        <v>1</v>
      </c>
      <c r="ED22" s="102">
        <v>1</v>
      </c>
      <c r="EE22" s="102">
        <v>1</v>
      </c>
      <c r="EF22" s="102">
        <v>1</v>
      </c>
      <c r="EG22" s="102">
        <v>1</v>
      </c>
      <c r="EH22" s="102">
        <v>1</v>
      </c>
      <c r="EI22" s="102">
        <v>1</v>
      </c>
      <c r="EJ22" s="102">
        <v>1</v>
      </c>
      <c r="EK22" s="102">
        <v>1</v>
      </c>
      <c r="EL22" s="102">
        <v>1</v>
      </c>
      <c r="EM22" s="102">
        <v>1</v>
      </c>
      <c r="EN22" s="102">
        <v>1</v>
      </c>
      <c r="EO22" s="102">
        <v>1</v>
      </c>
      <c r="EP22" s="102">
        <v>1</v>
      </c>
      <c r="EQ22" s="102">
        <v>1</v>
      </c>
      <c r="ER22" s="102">
        <v>1</v>
      </c>
      <c r="ES22" s="102">
        <v>1</v>
      </c>
      <c r="ET22" s="102">
        <v>1</v>
      </c>
      <c r="EU22" s="102">
        <v>1</v>
      </c>
      <c r="EV22" s="102">
        <v>1</v>
      </c>
      <c r="EW22" s="102">
        <v>1</v>
      </c>
      <c r="EX22" s="102">
        <v>1</v>
      </c>
      <c r="EY22" s="102">
        <v>1</v>
      </c>
      <c r="EZ22" s="102">
        <v>1</v>
      </c>
      <c r="FA22" s="102">
        <v>1</v>
      </c>
      <c r="FB22" s="102">
        <v>1</v>
      </c>
      <c r="FC22" s="102">
        <v>1</v>
      </c>
      <c r="FD22" s="102">
        <v>1</v>
      </c>
      <c r="FE22" s="102">
        <v>1</v>
      </c>
      <c r="FF22" s="102">
        <v>1</v>
      </c>
      <c r="FG22" s="102">
        <v>1</v>
      </c>
      <c r="FH22" s="102">
        <v>1</v>
      </c>
      <c r="FI22" s="102">
        <v>1</v>
      </c>
      <c r="FJ22" s="102">
        <v>1</v>
      </c>
      <c r="FK22" s="102">
        <v>1</v>
      </c>
      <c r="FL22" s="102">
        <v>1</v>
      </c>
      <c r="FM22" s="102">
        <v>1</v>
      </c>
      <c r="FN22" s="102">
        <v>1</v>
      </c>
      <c r="FO22" s="102">
        <v>1</v>
      </c>
      <c r="FP22" s="102">
        <v>1</v>
      </c>
      <c r="FQ22" s="102">
        <v>1</v>
      </c>
      <c r="FR22" s="102">
        <v>1</v>
      </c>
      <c r="FS22" s="102">
        <v>1</v>
      </c>
      <c r="FT22" s="102">
        <v>1</v>
      </c>
      <c r="FU22" s="102">
        <v>1</v>
      </c>
      <c r="FV22" s="102">
        <v>1</v>
      </c>
      <c r="FW22" s="102">
        <v>1</v>
      </c>
      <c r="FX22" s="102">
        <v>1</v>
      </c>
      <c r="FY22" s="102">
        <v>1</v>
      </c>
      <c r="FZ22" s="102">
        <v>1</v>
      </c>
      <c r="GA22" s="102">
        <v>1</v>
      </c>
      <c r="GB22" s="102">
        <v>1</v>
      </c>
      <c r="GC22" s="102">
        <v>1</v>
      </c>
      <c r="GD22" s="102">
        <v>1</v>
      </c>
      <c r="GE22" s="102">
        <v>1</v>
      </c>
      <c r="GF22" s="102">
        <v>1</v>
      </c>
      <c r="GG22" s="102">
        <v>1</v>
      </c>
      <c r="GH22" s="102">
        <v>1</v>
      </c>
      <c r="GI22" s="102">
        <v>1</v>
      </c>
      <c r="GJ22" s="102">
        <v>1</v>
      </c>
      <c r="GK22" s="102">
        <v>1</v>
      </c>
      <c r="GL22" s="102">
        <v>1</v>
      </c>
      <c r="GM22" s="102">
        <v>1</v>
      </c>
      <c r="GN22" s="102">
        <v>1</v>
      </c>
      <c r="GO22" s="102">
        <v>1</v>
      </c>
      <c r="GP22" s="24">
        <f t="shared" si="7"/>
        <v>1</v>
      </c>
    </row>
    <row r="23" spans="1:198" ht="29.15" customHeight="1">
      <c r="B23" s="36">
        <v>1</v>
      </c>
      <c r="C23" s="34" t="s">
        <v>16</v>
      </c>
      <c r="D23" s="1">
        <v>16117</v>
      </c>
      <c r="E23" s="1" t="s">
        <v>70</v>
      </c>
      <c r="F23" s="34" t="s">
        <v>18</v>
      </c>
      <c r="G23" s="34" t="s">
        <v>45</v>
      </c>
      <c r="H23" s="1" t="s">
        <v>30</v>
      </c>
      <c r="I23" s="1" t="s">
        <v>121</v>
      </c>
      <c r="J23" s="1" t="s">
        <v>126</v>
      </c>
      <c r="K23" s="1">
        <v>4786</v>
      </c>
      <c r="L23" s="1" t="s">
        <v>22</v>
      </c>
      <c r="M23" s="1" t="s">
        <v>40</v>
      </c>
      <c r="N23" s="1" t="s">
        <v>24</v>
      </c>
      <c r="O23" s="1" t="s">
        <v>33</v>
      </c>
      <c r="P23" s="4">
        <v>13212867</v>
      </c>
      <c r="Q23" s="4" t="s">
        <v>127</v>
      </c>
      <c r="R23" s="34" t="s">
        <v>124</v>
      </c>
      <c r="S23" s="49">
        <v>34520</v>
      </c>
      <c r="T23" s="45">
        <v>165211463</v>
      </c>
      <c r="U23" s="45">
        <v>486</v>
      </c>
      <c r="V23" s="45"/>
      <c r="W23" s="51">
        <v>49795459</v>
      </c>
      <c r="X23" s="105">
        <v>69</v>
      </c>
      <c r="Y23" s="105" t="s">
        <v>161</v>
      </c>
      <c r="Z23" s="107">
        <v>15</v>
      </c>
      <c r="AA23" s="107">
        <v>16</v>
      </c>
      <c r="AB23" s="107">
        <v>4</v>
      </c>
      <c r="AC23" s="88">
        <v>1656.22</v>
      </c>
      <c r="AD23" s="88">
        <v>1078.3599999999999</v>
      </c>
      <c r="AE23" s="88">
        <v>2734.58</v>
      </c>
      <c r="AF23" s="89">
        <f>'Цены,перевалка,аренда'!$C$27*SUM(Уголь_эластика_внутр!Z23+Уголь_эластика_внутр!AA23+Уголь_эластика_внутр!AB23)/Уголь_эластика_внутр!X23</f>
        <v>355.07246376811594</v>
      </c>
      <c r="AG23" s="90"/>
      <c r="AH23" s="47"/>
      <c r="AI23" s="91">
        <v>4390</v>
      </c>
      <c r="AJ23" s="92">
        <f>'Цены,перевалка,аренда'!$D$8</f>
        <v>3300</v>
      </c>
      <c r="AK23" s="47">
        <f>AJ23/'Цены,перевалка,аренда'!$C$1</f>
        <v>43.247210227309964</v>
      </c>
      <c r="AL23" s="47">
        <f t="shared" si="0"/>
        <v>3089.6524637681159</v>
      </c>
      <c r="AM23" s="47">
        <f t="shared" si="1"/>
        <v>210.34753623188408</v>
      </c>
      <c r="AN23" s="47">
        <f t="shared" si="8"/>
        <v>7479.6524637681159</v>
      </c>
      <c r="AO23" s="93">
        <f t="shared" si="3"/>
        <v>-1.2665613526570048</v>
      </c>
      <c r="AP23" s="94">
        <f>AL23/AJ23</f>
        <v>0.93625832235397455</v>
      </c>
      <c r="AQ23" s="94">
        <f t="shared" si="5"/>
        <v>0.82866060606060599</v>
      </c>
      <c r="AR23" s="94">
        <f t="shared" si="6"/>
        <v>0.88507689200258066</v>
      </c>
      <c r="AS23" s="95" t="s">
        <v>180</v>
      </c>
      <c r="AT23" s="35"/>
      <c r="AU23" s="102">
        <v>1</v>
      </c>
      <c r="AV23" s="102">
        <v>1</v>
      </c>
      <c r="AW23" s="102">
        <v>1</v>
      </c>
      <c r="AX23" s="102">
        <v>1</v>
      </c>
      <c r="AY23" s="102">
        <v>1</v>
      </c>
      <c r="AZ23" s="102">
        <v>1</v>
      </c>
      <c r="BA23" s="102">
        <v>1</v>
      </c>
      <c r="BB23" s="102">
        <v>1</v>
      </c>
      <c r="BC23" s="102">
        <v>1</v>
      </c>
      <c r="BD23" s="102">
        <v>1</v>
      </c>
      <c r="BE23" s="102">
        <v>1</v>
      </c>
      <c r="BF23" s="102">
        <v>1</v>
      </c>
      <c r="BG23" s="102">
        <v>1</v>
      </c>
      <c r="BH23" s="102">
        <v>1</v>
      </c>
      <c r="BI23" s="102">
        <v>1</v>
      </c>
      <c r="BJ23" s="102">
        <v>1</v>
      </c>
      <c r="BK23" s="102">
        <v>1</v>
      </c>
      <c r="BL23" s="102">
        <v>1</v>
      </c>
      <c r="BM23" s="102">
        <v>1</v>
      </c>
      <c r="BN23" s="102">
        <v>1</v>
      </c>
      <c r="BO23" s="102">
        <v>1</v>
      </c>
      <c r="BP23" s="102">
        <v>1</v>
      </c>
      <c r="BQ23" s="102">
        <v>1</v>
      </c>
      <c r="BR23" s="102">
        <v>1</v>
      </c>
      <c r="BS23" s="102">
        <v>1</v>
      </c>
      <c r="BT23" s="102">
        <v>1</v>
      </c>
      <c r="BU23" s="102">
        <v>1</v>
      </c>
      <c r="BV23" s="102">
        <v>1</v>
      </c>
      <c r="BW23" s="102">
        <v>1</v>
      </c>
      <c r="BX23" s="102">
        <v>1</v>
      </c>
      <c r="BY23" s="102">
        <v>1</v>
      </c>
      <c r="BZ23" s="102">
        <v>1</v>
      </c>
      <c r="CA23" s="102">
        <v>1</v>
      </c>
      <c r="CB23" s="102">
        <v>1</v>
      </c>
      <c r="CC23" s="102">
        <v>1</v>
      </c>
      <c r="CD23" s="102">
        <v>1</v>
      </c>
      <c r="CE23" s="102">
        <v>1</v>
      </c>
      <c r="CF23" s="102">
        <v>1</v>
      </c>
      <c r="CG23" s="102">
        <v>1</v>
      </c>
      <c r="CH23" s="102">
        <v>1</v>
      </c>
      <c r="CI23" s="102">
        <v>1</v>
      </c>
      <c r="CJ23" s="102">
        <v>1</v>
      </c>
      <c r="CK23" s="102">
        <v>1</v>
      </c>
      <c r="CL23" s="102">
        <v>1</v>
      </c>
      <c r="CM23" s="102">
        <v>1</v>
      </c>
      <c r="CN23" s="102">
        <v>1</v>
      </c>
      <c r="CO23" s="102">
        <v>1</v>
      </c>
      <c r="CP23" s="102">
        <v>1</v>
      </c>
      <c r="CQ23" s="102">
        <v>1</v>
      </c>
      <c r="CR23" s="102">
        <v>1</v>
      </c>
      <c r="CS23" s="103">
        <v>1</v>
      </c>
      <c r="CT23" s="102">
        <v>1</v>
      </c>
      <c r="CU23" s="102">
        <v>1</v>
      </c>
      <c r="CV23" s="102">
        <v>1</v>
      </c>
      <c r="CW23" s="102">
        <v>1</v>
      </c>
      <c r="CX23" s="102">
        <v>1</v>
      </c>
      <c r="CY23" s="102">
        <v>1</v>
      </c>
      <c r="CZ23" s="102">
        <v>1</v>
      </c>
      <c r="DA23" s="102">
        <v>1</v>
      </c>
      <c r="DB23" s="102">
        <v>1</v>
      </c>
      <c r="DC23" s="102">
        <v>1</v>
      </c>
      <c r="DD23" s="102">
        <v>1</v>
      </c>
      <c r="DE23" s="102">
        <v>1</v>
      </c>
      <c r="DF23" s="102">
        <v>1</v>
      </c>
      <c r="DG23" s="102">
        <v>1</v>
      </c>
      <c r="DH23" s="102">
        <v>1</v>
      </c>
      <c r="DI23" s="102">
        <v>1</v>
      </c>
      <c r="DJ23" s="102">
        <v>1</v>
      </c>
      <c r="DK23" s="102">
        <v>1</v>
      </c>
      <c r="DL23" s="102">
        <v>1</v>
      </c>
      <c r="DM23" s="102">
        <v>1</v>
      </c>
      <c r="DN23" s="102">
        <v>1</v>
      </c>
      <c r="DO23" s="102">
        <v>1</v>
      </c>
      <c r="DP23" s="102">
        <v>1</v>
      </c>
      <c r="DQ23" s="102">
        <v>1</v>
      </c>
      <c r="DR23" s="102">
        <v>1</v>
      </c>
      <c r="DS23" s="102">
        <v>1</v>
      </c>
      <c r="DT23" s="102">
        <v>1</v>
      </c>
      <c r="DU23" s="102">
        <v>1</v>
      </c>
      <c r="DV23" s="102">
        <v>1</v>
      </c>
      <c r="DW23" s="102">
        <v>1</v>
      </c>
      <c r="DX23" s="102">
        <v>1</v>
      </c>
      <c r="DY23" s="102">
        <v>1</v>
      </c>
      <c r="DZ23" s="102">
        <v>1</v>
      </c>
      <c r="EA23" s="102">
        <v>1</v>
      </c>
      <c r="EB23" s="102">
        <v>1</v>
      </c>
      <c r="EC23" s="102">
        <v>1</v>
      </c>
      <c r="ED23" s="102">
        <v>1</v>
      </c>
      <c r="EE23" s="102">
        <v>1</v>
      </c>
      <c r="EF23" s="102">
        <v>1</v>
      </c>
      <c r="EG23" s="102">
        <v>1</v>
      </c>
      <c r="EH23" s="102">
        <v>1</v>
      </c>
      <c r="EI23" s="102">
        <v>1</v>
      </c>
      <c r="EJ23" s="102">
        <v>1</v>
      </c>
      <c r="EK23" s="102">
        <v>1</v>
      </c>
      <c r="EL23" s="102">
        <v>1</v>
      </c>
      <c r="EM23" s="102">
        <v>1</v>
      </c>
      <c r="EN23" s="102">
        <v>1</v>
      </c>
      <c r="EO23" s="102">
        <v>1</v>
      </c>
      <c r="EP23" s="102">
        <v>1</v>
      </c>
      <c r="EQ23" s="102">
        <v>1</v>
      </c>
      <c r="ER23" s="102">
        <v>1</v>
      </c>
      <c r="ES23" s="102">
        <v>1</v>
      </c>
      <c r="ET23" s="102">
        <v>1</v>
      </c>
      <c r="EU23" s="102">
        <v>1</v>
      </c>
      <c r="EV23" s="102">
        <v>1</v>
      </c>
      <c r="EW23" s="102">
        <v>1</v>
      </c>
      <c r="EX23" s="102">
        <v>1</v>
      </c>
      <c r="EY23" s="102">
        <v>1</v>
      </c>
      <c r="EZ23" s="102">
        <v>1</v>
      </c>
      <c r="FA23" s="102">
        <v>1</v>
      </c>
      <c r="FB23" s="102">
        <v>1</v>
      </c>
      <c r="FC23" s="102">
        <v>1</v>
      </c>
      <c r="FD23" s="102">
        <v>1</v>
      </c>
      <c r="FE23" s="102">
        <v>1</v>
      </c>
      <c r="FF23" s="102">
        <v>1</v>
      </c>
      <c r="FG23" s="102">
        <v>1</v>
      </c>
      <c r="FH23" s="102">
        <v>1</v>
      </c>
      <c r="FI23" s="102">
        <v>1</v>
      </c>
      <c r="FJ23" s="102">
        <v>1</v>
      </c>
      <c r="FK23" s="102">
        <v>1</v>
      </c>
      <c r="FL23" s="102">
        <v>1</v>
      </c>
      <c r="FM23" s="102">
        <v>1</v>
      </c>
      <c r="FN23" s="102">
        <v>1</v>
      </c>
      <c r="FO23" s="102">
        <v>1</v>
      </c>
      <c r="FP23" s="102">
        <v>1</v>
      </c>
      <c r="FQ23" s="102">
        <v>1</v>
      </c>
      <c r="FR23" s="102">
        <v>1</v>
      </c>
      <c r="FS23" s="102">
        <v>1</v>
      </c>
      <c r="FT23" s="102">
        <v>1</v>
      </c>
      <c r="FU23" s="102">
        <v>1</v>
      </c>
      <c r="FV23" s="102">
        <v>1</v>
      </c>
      <c r="FW23" s="102">
        <v>1</v>
      </c>
      <c r="FX23" s="102">
        <v>1</v>
      </c>
      <c r="FY23" s="102">
        <v>1</v>
      </c>
      <c r="FZ23" s="102">
        <v>1</v>
      </c>
      <c r="GA23" s="102">
        <v>1</v>
      </c>
      <c r="GB23" s="102">
        <v>1</v>
      </c>
      <c r="GC23" s="102">
        <v>1</v>
      </c>
      <c r="GD23" s="102">
        <v>1</v>
      </c>
      <c r="GE23" s="102">
        <v>1</v>
      </c>
      <c r="GF23" s="102">
        <v>1</v>
      </c>
      <c r="GG23" s="102">
        <v>1</v>
      </c>
      <c r="GH23" s="102">
        <v>1</v>
      </c>
      <c r="GI23" s="102">
        <v>1</v>
      </c>
      <c r="GJ23" s="102">
        <v>1</v>
      </c>
      <c r="GK23" s="102">
        <v>1</v>
      </c>
      <c r="GL23" s="102">
        <v>1</v>
      </c>
      <c r="GM23" s="102">
        <v>1</v>
      </c>
      <c r="GN23" s="102">
        <v>1</v>
      </c>
      <c r="GO23" s="102">
        <v>1</v>
      </c>
      <c r="GP23" s="24">
        <f t="shared" si="7"/>
        <v>1</v>
      </c>
    </row>
    <row r="24" spans="1:198" ht="29.15">
      <c r="B24" s="36">
        <v>1</v>
      </c>
      <c r="C24" s="34" t="s">
        <v>16</v>
      </c>
      <c r="D24" s="1">
        <v>16115</v>
      </c>
      <c r="E24" s="1" t="s">
        <v>128</v>
      </c>
      <c r="F24" s="34" t="s">
        <v>78</v>
      </c>
      <c r="G24" s="34" t="s">
        <v>45</v>
      </c>
      <c r="H24" s="1" t="s">
        <v>45</v>
      </c>
      <c r="I24" s="1" t="s">
        <v>129</v>
      </c>
      <c r="J24" s="1" t="s">
        <v>130</v>
      </c>
      <c r="K24" s="1">
        <v>392</v>
      </c>
      <c r="L24" s="1" t="s">
        <v>22</v>
      </c>
      <c r="M24" s="1" t="s">
        <v>40</v>
      </c>
      <c r="N24" s="1" t="s">
        <v>24</v>
      </c>
      <c r="O24" s="1" t="s">
        <v>36</v>
      </c>
      <c r="P24" s="4">
        <v>46492054</v>
      </c>
      <c r="Q24" s="4" t="s">
        <v>131</v>
      </c>
      <c r="R24" s="34" t="s">
        <v>124</v>
      </c>
      <c r="S24" s="49">
        <v>202214</v>
      </c>
      <c r="T24" s="45">
        <v>79267780</v>
      </c>
      <c r="U24" s="45">
        <v>2848</v>
      </c>
      <c r="V24" s="45"/>
      <c r="W24" s="51">
        <v>85511910</v>
      </c>
      <c r="X24" s="105">
        <v>69</v>
      </c>
      <c r="Y24" s="105" t="s">
        <v>161</v>
      </c>
      <c r="Z24" s="107">
        <v>5</v>
      </c>
      <c r="AA24" s="107">
        <v>6</v>
      </c>
      <c r="AB24" s="107">
        <v>4</v>
      </c>
      <c r="AC24" s="88">
        <v>497.49</v>
      </c>
      <c r="AD24" s="88">
        <v>196.92999999999995</v>
      </c>
      <c r="AE24" s="88">
        <v>602.35</v>
      </c>
      <c r="AF24" s="89">
        <f>'Цены,перевалка,аренда'!$C$27*SUM(Уголь_эластика_внутр!Z24+Уголь_эластика_внутр!AA24+Уголь_эластика_внутр!AB24)/Уголь_эластика_внутр!X24</f>
        <v>152.17391304347825</v>
      </c>
      <c r="AG24" s="90"/>
      <c r="AH24" s="47"/>
      <c r="AI24" s="91">
        <v>2338</v>
      </c>
      <c r="AJ24" s="92">
        <f>'Цены,перевалка,аренда'!$D$14</f>
        <v>10200</v>
      </c>
      <c r="AK24" s="47">
        <f>AJ24/'Цены,перевалка,аренда'!$C$1</f>
        <v>133.67319524804898</v>
      </c>
      <c r="AL24" s="47">
        <f t="shared" si="0"/>
        <v>754.52391304347827</v>
      </c>
      <c r="AM24" s="47">
        <f t="shared" si="1"/>
        <v>9445.4760869565216</v>
      </c>
      <c r="AN24" s="47">
        <f t="shared" si="8"/>
        <v>3092.5239130434779</v>
      </c>
      <c r="AO24" s="93">
        <f t="shared" si="3"/>
        <v>0.69681138107416873</v>
      </c>
      <c r="AP24" s="94">
        <f t="shared" si="4"/>
        <v>7.3972932651321405E-2</v>
      </c>
      <c r="AQ24" s="94">
        <f t="shared" si="5"/>
        <v>5.9053921568627453E-2</v>
      </c>
      <c r="AR24" s="94">
        <f t="shared" si="6"/>
        <v>0.79831797188552533</v>
      </c>
      <c r="AS24" s="95" t="s">
        <v>197</v>
      </c>
      <c r="AT24" s="35"/>
      <c r="AU24" s="102">
        <v>1</v>
      </c>
      <c r="AV24" s="102">
        <v>1</v>
      </c>
      <c r="AW24" s="102">
        <v>1</v>
      </c>
      <c r="AX24" s="102">
        <v>1</v>
      </c>
      <c r="AY24" s="102">
        <v>1</v>
      </c>
      <c r="AZ24" s="102">
        <v>1</v>
      </c>
      <c r="BA24" s="102">
        <v>1</v>
      </c>
      <c r="BB24" s="102">
        <v>1</v>
      </c>
      <c r="BC24" s="102">
        <v>1</v>
      </c>
      <c r="BD24" s="102">
        <v>1</v>
      </c>
      <c r="BE24" s="102">
        <v>1</v>
      </c>
      <c r="BF24" s="102">
        <v>1</v>
      </c>
      <c r="BG24" s="102">
        <v>1</v>
      </c>
      <c r="BH24" s="102">
        <v>1</v>
      </c>
      <c r="BI24" s="102">
        <v>1</v>
      </c>
      <c r="BJ24" s="102">
        <v>1</v>
      </c>
      <c r="BK24" s="102">
        <v>1</v>
      </c>
      <c r="BL24" s="102">
        <v>1</v>
      </c>
      <c r="BM24" s="102">
        <v>1</v>
      </c>
      <c r="BN24" s="102">
        <v>1</v>
      </c>
      <c r="BO24" s="102">
        <v>1</v>
      </c>
      <c r="BP24" s="102">
        <v>1</v>
      </c>
      <c r="BQ24" s="102">
        <v>1</v>
      </c>
      <c r="BR24" s="102">
        <v>1</v>
      </c>
      <c r="BS24" s="102">
        <v>1</v>
      </c>
      <c r="BT24" s="102">
        <v>1</v>
      </c>
      <c r="BU24" s="102">
        <v>1</v>
      </c>
      <c r="BV24" s="102">
        <v>1</v>
      </c>
      <c r="BW24" s="102">
        <v>1</v>
      </c>
      <c r="BX24" s="102">
        <v>1</v>
      </c>
      <c r="BY24" s="102">
        <v>1</v>
      </c>
      <c r="BZ24" s="102">
        <v>1</v>
      </c>
      <c r="CA24" s="102">
        <v>1</v>
      </c>
      <c r="CB24" s="102">
        <v>1</v>
      </c>
      <c r="CC24" s="102">
        <v>1</v>
      </c>
      <c r="CD24" s="102">
        <v>1</v>
      </c>
      <c r="CE24" s="102">
        <v>1</v>
      </c>
      <c r="CF24" s="102">
        <v>1</v>
      </c>
      <c r="CG24" s="102">
        <v>1</v>
      </c>
      <c r="CH24" s="102">
        <v>1</v>
      </c>
      <c r="CI24" s="102">
        <v>1</v>
      </c>
      <c r="CJ24" s="102">
        <v>1</v>
      </c>
      <c r="CK24" s="102">
        <v>1</v>
      </c>
      <c r="CL24" s="102">
        <v>1</v>
      </c>
      <c r="CM24" s="102">
        <v>1</v>
      </c>
      <c r="CN24" s="102">
        <v>1</v>
      </c>
      <c r="CO24" s="102">
        <v>1</v>
      </c>
      <c r="CP24" s="102">
        <v>1</v>
      </c>
      <c r="CQ24" s="102">
        <v>1</v>
      </c>
      <c r="CR24" s="102">
        <v>1</v>
      </c>
      <c r="CS24" s="103">
        <v>1</v>
      </c>
      <c r="CT24" s="102">
        <v>1</v>
      </c>
      <c r="CU24" s="102">
        <v>1</v>
      </c>
      <c r="CV24" s="102">
        <v>1</v>
      </c>
      <c r="CW24" s="102">
        <v>1</v>
      </c>
      <c r="CX24" s="102">
        <v>1</v>
      </c>
      <c r="CY24" s="102">
        <v>1</v>
      </c>
      <c r="CZ24" s="102">
        <v>1</v>
      </c>
      <c r="DA24" s="102">
        <v>1</v>
      </c>
      <c r="DB24" s="102">
        <v>1</v>
      </c>
      <c r="DC24" s="102">
        <v>1</v>
      </c>
      <c r="DD24" s="102">
        <v>1</v>
      </c>
      <c r="DE24" s="102">
        <v>1</v>
      </c>
      <c r="DF24" s="102">
        <v>1</v>
      </c>
      <c r="DG24" s="102">
        <v>1</v>
      </c>
      <c r="DH24" s="102">
        <v>1</v>
      </c>
      <c r="DI24" s="102">
        <v>1</v>
      </c>
      <c r="DJ24" s="102">
        <v>1</v>
      </c>
      <c r="DK24" s="102">
        <v>1</v>
      </c>
      <c r="DL24" s="102">
        <v>1</v>
      </c>
      <c r="DM24" s="102">
        <v>1</v>
      </c>
      <c r="DN24" s="102">
        <v>1</v>
      </c>
      <c r="DO24" s="102">
        <v>1</v>
      </c>
      <c r="DP24" s="102">
        <v>1</v>
      </c>
      <c r="DQ24" s="102">
        <v>1</v>
      </c>
      <c r="DR24" s="102">
        <v>1</v>
      </c>
      <c r="DS24" s="102">
        <v>1</v>
      </c>
      <c r="DT24" s="102">
        <v>1</v>
      </c>
      <c r="DU24" s="102">
        <v>1</v>
      </c>
      <c r="DV24" s="102">
        <v>1</v>
      </c>
      <c r="DW24" s="102">
        <v>1</v>
      </c>
      <c r="DX24" s="102">
        <v>1</v>
      </c>
      <c r="DY24" s="102">
        <v>1</v>
      </c>
      <c r="DZ24" s="102">
        <v>1</v>
      </c>
      <c r="EA24" s="102">
        <v>1</v>
      </c>
      <c r="EB24" s="102">
        <v>1</v>
      </c>
      <c r="EC24" s="102">
        <v>1</v>
      </c>
      <c r="ED24" s="102">
        <v>1</v>
      </c>
      <c r="EE24" s="102">
        <v>1</v>
      </c>
      <c r="EF24" s="102">
        <v>1</v>
      </c>
      <c r="EG24" s="102">
        <v>1</v>
      </c>
      <c r="EH24" s="102">
        <v>1</v>
      </c>
      <c r="EI24" s="102">
        <v>1</v>
      </c>
      <c r="EJ24" s="102">
        <v>1</v>
      </c>
      <c r="EK24" s="102">
        <v>1</v>
      </c>
      <c r="EL24" s="102">
        <v>1</v>
      </c>
      <c r="EM24" s="102">
        <v>1</v>
      </c>
      <c r="EN24" s="102">
        <v>1</v>
      </c>
      <c r="EO24" s="102">
        <v>1</v>
      </c>
      <c r="EP24" s="102">
        <v>1</v>
      </c>
      <c r="EQ24" s="102">
        <v>1</v>
      </c>
      <c r="ER24" s="102">
        <v>1</v>
      </c>
      <c r="ES24" s="102">
        <v>1</v>
      </c>
      <c r="ET24" s="102">
        <v>1</v>
      </c>
      <c r="EU24" s="102">
        <v>1</v>
      </c>
      <c r="EV24" s="102">
        <v>1</v>
      </c>
      <c r="EW24" s="102">
        <v>1</v>
      </c>
      <c r="EX24" s="102">
        <v>1</v>
      </c>
      <c r="EY24" s="102">
        <v>1</v>
      </c>
      <c r="EZ24" s="102">
        <v>1</v>
      </c>
      <c r="FA24" s="102">
        <v>1</v>
      </c>
      <c r="FB24" s="102">
        <v>1</v>
      </c>
      <c r="FC24" s="102">
        <v>1</v>
      </c>
      <c r="FD24" s="102">
        <v>1</v>
      </c>
      <c r="FE24" s="102">
        <v>1</v>
      </c>
      <c r="FF24" s="102">
        <v>1</v>
      </c>
      <c r="FG24" s="102">
        <v>1</v>
      </c>
      <c r="FH24" s="102">
        <v>1</v>
      </c>
      <c r="FI24" s="102">
        <v>1</v>
      </c>
      <c r="FJ24" s="102">
        <v>1</v>
      </c>
      <c r="FK24" s="102">
        <v>1</v>
      </c>
      <c r="FL24" s="102">
        <v>1</v>
      </c>
      <c r="FM24" s="102">
        <v>1</v>
      </c>
      <c r="FN24" s="102">
        <v>1</v>
      </c>
      <c r="FO24" s="102">
        <v>1</v>
      </c>
      <c r="FP24" s="102">
        <v>1</v>
      </c>
      <c r="FQ24" s="102">
        <v>1</v>
      </c>
      <c r="FR24" s="102">
        <v>1</v>
      </c>
      <c r="FS24" s="102">
        <v>1</v>
      </c>
      <c r="FT24" s="102">
        <v>1</v>
      </c>
      <c r="FU24" s="102">
        <v>1</v>
      </c>
      <c r="FV24" s="102">
        <v>1</v>
      </c>
      <c r="FW24" s="102">
        <v>1</v>
      </c>
      <c r="FX24" s="102">
        <v>1</v>
      </c>
      <c r="FY24" s="102">
        <v>1</v>
      </c>
      <c r="FZ24" s="102">
        <v>1</v>
      </c>
      <c r="GA24" s="102">
        <v>1</v>
      </c>
      <c r="GB24" s="102">
        <v>1</v>
      </c>
      <c r="GC24" s="102">
        <v>1</v>
      </c>
      <c r="GD24" s="102">
        <v>1</v>
      </c>
      <c r="GE24" s="102">
        <v>1</v>
      </c>
      <c r="GF24" s="102">
        <v>1</v>
      </c>
      <c r="GG24" s="102">
        <v>1</v>
      </c>
      <c r="GH24" s="102">
        <v>1</v>
      </c>
      <c r="GI24" s="102">
        <v>1</v>
      </c>
      <c r="GJ24" s="102">
        <v>1</v>
      </c>
      <c r="GK24" s="102">
        <v>1</v>
      </c>
      <c r="GL24" s="102">
        <v>1</v>
      </c>
      <c r="GM24" s="102">
        <v>1</v>
      </c>
      <c r="GN24" s="102">
        <v>1</v>
      </c>
      <c r="GO24" s="102">
        <v>1</v>
      </c>
      <c r="GP24" s="24">
        <f t="shared" si="7"/>
        <v>1</v>
      </c>
    </row>
    <row r="25" spans="1:198" s="2" customFormat="1" ht="29.15">
      <c r="A25"/>
      <c r="B25" s="36">
        <v>1</v>
      </c>
      <c r="C25" s="34" t="s">
        <v>16</v>
      </c>
      <c r="D25" s="1">
        <v>16104</v>
      </c>
      <c r="E25" s="5" t="s">
        <v>88</v>
      </c>
      <c r="F25" s="34" t="s">
        <v>78</v>
      </c>
      <c r="G25" s="7" t="s">
        <v>19</v>
      </c>
      <c r="H25" s="7" t="s">
        <v>137</v>
      </c>
      <c r="I25" s="7" t="s">
        <v>133</v>
      </c>
      <c r="J25" s="7" t="s">
        <v>138</v>
      </c>
      <c r="K25" s="7">
        <v>5681</v>
      </c>
      <c r="L25" s="1" t="s">
        <v>22</v>
      </c>
      <c r="M25" s="1" t="s">
        <v>40</v>
      </c>
      <c r="N25" s="1" t="s">
        <v>24</v>
      </c>
      <c r="O25" s="7" t="s">
        <v>36</v>
      </c>
      <c r="P25" s="4">
        <v>161878</v>
      </c>
      <c r="Q25" s="5" t="s">
        <v>135</v>
      </c>
      <c r="R25" s="1" t="s">
        <v>136</v>
      </c>
      <c r="S25" s="50">
        <v>41424</v>
      </c>
      <c r="T25" s="46">
        <v>235340176</v>
      </c>
      <c r="U25" s="47">
        <v>599</v>
      </c>
      <c r="V25" s="47"/>
      <c r="W25" s="50">
        <v>71755427</v>
      </c>
      <c r="X25" s="104">
        <v>69</v>
      </c>
      <c r="Y25" s="104" t="s">
        <v>163</v>
      </c>
      <c r="Z25" s="108">
        <v>17</v>
      </c>
      <c r="AA25" s="108">
        <v>17</v>
      </c>
      <c r="AB25" s="107">
        <v>4</v>
      </c>
      <c r="AC25" s="99">
        <v>1921.99</v>
      </c>
      <c r="AD25" s="88">
        <v>1156.0400000000002</v>
      </c>
      <c r="AE25" s="99">
        <v>2794.3</v>
      </c>
      <c r="AF25" s="89">
        <f>'Цены,перевалка,аренда'!$C$27*SUM(Уголь_эластика_внутр!Z25+Уголь_эластика_внутр!AA25+Уголь_эластика_внутр!AB25)/Уголь_эластика_внутр!X25</f>
        <v>385.50724637681162</v>
      </c>
      <c r="AG25" s="90"/>
      <c r="AH25" s="47"/>
      <c r="AI25" s="100">
        <v>4037</v>
      </c>
      <c r="AJ25" s="92">
        <f>'Цены,перевалка,аренда'!$D$14</f>
        <v>10200</v>
      </c>
      <c r="AK25" s="47">
        <f>AJ25/'Цены,перевалка,аренда'!$C$1</f>
        <v>133.67319524804898</v>
      </c>
      <c r="AL25" s="47">
        <f t="shared" si="0"/>
        <v>3179.8072463768117</v>
      </c>
      <c r="AM25" s="47">
        <f t="shared" si="1"/>
        <v>7020.1927536231888</v>
      </c>
      <c r="AN25" s="47">
        <f t="shared" si="8"/>
        <v>7216.8072463768121</v>
      </c>
      <c r="AO25" s="93">
        <f t="shared" si="3"/>
        <v>0.29246987780619488</v>
      </c>
      <c r="AP25" s="94">
        <f t="shared" si="4"/>
        <v>0.31174580846831484</v>
      </c>
      <c r="AQ25" s="94">
        <f t="shared" si="5"/>
        <v>0.27395098039215687</v>
      </c>
      <c r="AR25" s="94">
        <f t="shared" si="6"/>
        <v>0.87876395752727698</v>
      </c>
      <c r="AS25" s="101" t="s">
        <v>181</v>
      </c>
      <c r="AT25" s="96">
        <f t="shared" ref="AT25:AT27" si="9">7.6/11</f>
        <v>0.69090909090909092</v>
      </c>
      <c r="AU25" s="102">
        <v>1</v>
      </c>
      <c r="AV25" s="102">
        <v>1</v>
      </c>
      <c r="AW25" s="102">
        <v>1</v>
      </c>
      <c r="AX25" s="102">
        <v>1</v>
      </c>
      <c r="AY25" s="102">
        <v>1</v>
      </c>
      <c r="AZ25" s="102">
        <v>1</v>
      </c>
      <c r="BA25" s="102">
        <v>1</v>
      </c>
      <c r="BB25" s="102">
        <v>1</v>
      </c>
      <c r="BC25" s="102">
        <v>1</v>
      </c>
      <c r="BD25" s="102">
        <v>1</v>
      </c>
      <c r="BE25" s="102">
        <v>1</v>
      </c>
      <c r="BF25" s="102">
        <v>1</v>
      </c>
      <c r="BG25" s="102">
        <v>1</v>
      </c>
      <c r="BH25" s="102">
        <v>1</v>
      </c>
      <c r="BI25" s="102">
        <v>1</v>
      </c>
      <c r="BJ25" s="102">
        <v>1</v>
      </c>
      <c r="BK25" s="102">
        <v>1</v>
      </c>
      <c r="BL25" s="102">
        <v>1</v>
      </c>
      <c r="BM25" s="102">
        <v>1</v>
      </c>
      <c r="BN25" s="102">
        <v>1</v>
      </c>
      <c r="BO25" s="102">
        <v>1</v>
      </c>
      <c r="BP25" s="102">
        <v>1</v>
      </c>
      <c r="BQ25" s="102">
        <v>1</v>
      </c>
      <c r="BR25" s="102">
        <v>1</v>
      </c>
      <c r="BS25" s="102">
        <v>1</v>
      </c>
      <c r="BT25" s="102">
        <v>1</v>
      </c>
      <c r="BU25" s="102">
        <v>1</v>
      </c>
      <c r="BV25" s="102">
        <v>1</v>
      </c>
      <c r="BW25" s="102">
        <v>1</v>
      </c>
      <c r="BX25" s="102">
        <v>1</v>
      </c>
      <c r="BY25" s="102">
        <v>1</v>
      </c>
      <c r="BZ25" s="102">
        <v>1</v>
      </c>
      <c r="CA25" s="102">
        <v>1</v>
      </c>
      <c r="CB25" s="102">
        <v>1</v>
      </c>
      <c r="CC25" s="102">
        <v>1</v>
      </c>
      <c r="CD25" s="102">
        <v>1</v>
      </c>
      <c r="CE25" s="102">
        <v>1</v>
      </c>
      <c r="CF25" s="102">
        <v>1</v>
      </c>
      <c r="CG25" s="102">
        <v>1</v>
      </c>
      <c r="CH25" s="102">
        <v>1</v>
      </c>
      <c r="CI25" s="102">
        <v>1</v>
      </c>
      <c r="CJ25" s="102">
        <v>1</v>
      </c>
      <c r="CK25" s="102">
        <v>1</v>
      </c>
      <c r="CL25" s="102">
        <v>1</v>
      </c>
      <c r="CM25" s="102">
        <v>1</v>
      </c>
      <c r="CN25" s="102">
        <v>1</v>
      </c>
      <c r="CO25" s="102">
        <v>1</v>
      </c>
      <c r="CP25" s="102">
        <v>1</v>
      </c>
      <c r="CQ25" s="102">
        <v>1</v>
      </c>
      <c r="CR25" s="102">
        <v>1</v>
      </c>
      <c r="CS25" s="103">
        <v>1</v>
      </c>
      <c r="CT25" s="102">
        <v>1</v>
      </c>
      <c r="CU25" s="102">
        <v>1</v>
      </c>
      <c r="CV25" s="102">
        <v>1</v>
      </c>
      <c r="CW25" s="102">
        <v>1</v>
      </c>
      <c r="CX25" s="102">
        <v>1</v>
      </c>
      <c r="CY25" s="102">
        <v>1</v>
      </c>
      <c r="CZ25" s="102">
        <v>1</v>
      </c>
      <c r="DA25" s="102">
        <v>1</v>
      </c>
      <c r="DB25" s="102">
        <v>1</v>
      </c>
      <c r="DC25" s="102">
        <v>1</v>
      </c>
      <c r="DD25" s="102">
        <v>1</v>
      </c>
      <c r="DE25" s="102">
        <v>1</v>
      </c>
      <c r="DF25" s="102">
        <v>1</v>
      </c>
      <c r="DG25" s="102">
        <v>1</v>
      </c>
      <c r="DH25" s="102">
        <v>1</v>
      </c>
      <c r="DI25" s="102">
        <v>1</v>
      </c>
      <c r="DJ25" s="102">
        <v>1</v>
      </c>
      <c r="DK25" s="102">
        <v>1</v>
      </c>
      <c r="DL25" s="102">
        <v>1</v>
      </c>
      <c r="DM25" s="102">
        <v>1</v>
      </c>
      <c r="DN25" s="102">
        <v>1</v>
      </c>
      <c r="DO25" s="102">
        <v>1</v>
      </c>
      <c r="DP25" s="102">
        <v>1</v>
      </c>
      <c r="DQ25" s="102">
        <v>1</v>
      </c>
      <c r="DR25" s="102">
        <v>1</v>
      </c>
      <c r="DS25" s="102">
        <v>1</v>
      </c>
      <c r="DT25" s="102">
        <v>1</v>
      </c>
      <c r="DU25" s="102">
        <v>1</v>
      </c>
      <c r="DV25" s="102">
        <v>1</v>
      </c>
      <c r="DW25" s="102">
        <v>1</v>
      </c>
      <c r="DX25" s="102">
        <v>1</v>
      </c>
      <c r="DY25" s="102">
        <v>1</v>
      </c>
      <c r="DZ25" s="102">
        <v>1</v>
      </c>
      <c r="EA25" s="102">
        <v>1</v>
      </c>
      <c r="EB25" s="102">
        <v>1</v>
      </c>
      <c r="EC25" s="102">
        <v>1</v>
      </c>
      <c r="ED25" s="102">
        <v>1</v>
      </c>
      <c r="EE25" s="102">
        <v>1</v>
      </c>
      <c r="EF25" s="102">
        <v>1</v>
      </c>
      <c r="EG25" s="102">
        <v>1</v>
      </c>
      <c r="EH25" s="102">
        <v>1</v>
      </c>
      <c r="EI25" s="102">
        <v>1</v>
      </c>
      <c r="EJ25" s="102">
        <v>1</v>
      </c>
      <c r="EK25" s="102">
        <v>1</v>
      </c>
      <c r="EL25" s="102">
        <v>1</v>
      </c>
      <c r="EM25" s="102">
        <v>1</v>
      </c>
      <c r="EN25" s="102">
        <v>1</v>
      </c>
      <c r="EO25" s="102">
        <v>1</v>
      </c>
      <c r="EP25" s="102">
        <v>1</v>
      </c>
      <c r="EQ25" s="102">
        <v>1</v>
      </c>
      <c r="ER25" s="102">
        <v>1</v>
      </c>
      <c r="ES25" s="102">
        <v>1</v>
      </c>
      <c r="ET25" s="102">
        <v>1</v>
      </c>
      <c r="EU25" s="102">
        <v>1</v>
      </c>
      <c r="EV25" s="102">
        <v>1</v>
      </c>
      <c r="EW25" s="102">
        <v>1</v>
      </c>
      <c r="EX25" s="102">
        <v>1</v>
      </c>
      <c r="EY25" s="102">
        <v>1</v>
      </c>
      <c r="EZ25" s="102">
        <v>1</v>
      </c>
      <c r="FA25" s="102">
        <v>1</v>
      </c>
      <c r="FB25" s="102">
        <v>1</v>
      </c>
      <c r="FC25" s="102">
        <v>1</v>
      </c>
      <c r="FD25" s="102">
        <v>1</v>
      </c>
      <c r="FE25" s="102">
        <v>1</v>
      </c>
      <c r="FF25" s="102">
        <v>1</v>
      </c>
      <c r="FG25" s="102">
        <v>1</v>
      </c>
      <c r="FH25" s="102">
        <v>1</v>
      </c>
      <c r="FI25" s="102">
        <v>1</v>
      </c>
      <c r="FJ25" s="102">
        <v>1</v>
      </c>
      <c r="FK25" s="102">
        <v>1</v>
      </c>
      <c r="FL25" s="102">
        <v>1</v>
      </c>
      <c r="FM25" s="102">
        <v>1</v>
      </c>
      <c r="FN25" s="102">
        <v>1</v>
      </c>
      <c r="FO25" s="102">
        <v>1</v>
      </c>
      <c r="FP25" s="102">
        <v>1</v>
      </c>
      <c r="FQ25" s="102">
        <v>1</v>
      </c>
      <c r="FR25" s="102">
        <v>1</v>
      </c>
      <c r="FS25" s="102">
        <v>1</v>
      </c>
      <c r="FT25" s="102">
        <v>1</v>
      </c>
      <c r="FU25" s="102">
        <v>1</v>
      </c>
      <c r="FV25" s="102">
        <v>1</v>
      </c>
      <c r="FW25" s="102">
        <v>1</v>
      </c>
      <c r="FX25" s="102">
        <v>1</v>
      </c>
      <c r="FY25" s="102">
        <v>1</v>
      </c>
      <c r="FZ25" s="102">
        <v>1</v>
      </c>
      <c r="GA25" s="102">
        <v>1</v>
      </c>
      <c r="GB25" s="102">
        <v>1</v>
      </c>
      <c r="GC25" s="102">
        <v>1</v>
      </c>
      <c r="GD25" s="102">
        <v>1</v>
      </c>
      <c r="GE25" s="102">
        <v>1</v>
      </c>
      <c r="GF25" s="102">
        <v>1</v>
      </c>
      <c r="GG25" s="102">
        <v>1</v>
      </c>
      <c r="GH25" s="102">
        <v>1</v>
      </c>
      <c r="GI25" s="102">
        <v>1</v>
      </c>
      <c r="GJ25" s="102">
        <v>1</v>
      </c>
      <c r="GK25" s="102">
        <v>1</v>
      </c>
      <c r="GL25" s="102">
        <v>1</v>
      </c>
      <c r="GM25" s="102">
        <v>1</v>
      </c>
      <c r="GN25" s="102">
        <v>1</v>
      </c>
      <c r="GO25" s="102">
        <v>1</v>
      </c>
      <c r="GP25" s="24">
        <f t="shared" si="7"/>
        <v>1</v>
      </c>
    </row>
    <row r="26" spans="1:198" ht="14.7" customHeight="1">
      <c r="B26" s="36">
        <v>1</v>
      </c>
      <c r="C26" s="34" t="s">
        <v>16</v>
      </c>
      <c r="D26" s="1">
        <v>16104</v>
      </c>
      <c r="E26" s="1" t="s">
        <v>88</v>
      </c>
      <c r="F26" s="34" t="s">
        <v>78</v>
      </c>
      <c r="G26" s="1" t="s">
        <v>45</v>
      </c>
      <c r="H26" s="1" t="s">
        <v>60</v>
      </c>
      <c r="I26" s="1" t="s">
        <v>139</v>
      </c>
      <c r="J26" s="1" t="s">
        <v>140</v>
      </c>
      <c r="K26" s="1">
        <v>3737</v>
      </c>
      <c r="L26" s="1" t="s">
        <v>22</v>
      </c>
      <c r="M26" s="1" t="s">
        <v>40</v>
      </c>
      <c r="N26" s="1" t="s">
        <v>24</v>
      </c>
      <c r="O26" s="1" t="s">
        <v>33</v>
      </c>
      <c r="P26" s="4">
        <v>26644096</v>
      </c>
      <c r="Q26" s="4" t="s">
        <v>141</v>
      </c>
      <c r="R26" s="1" t="s">
        <v>136</v>
      </c>
      <c r="S26" s="49">
        <v>197607</v>
      </c>
      <c r="T26" s="45">
        <v>738529334</v>
      </c>
      <c r="U26" s="45">
        <v>2855</v>
      </c>
      <c r="V26" s="45"/>
      <c r="W26" s="51">
        <v>326687155</v>
      </c>
      <c r="X26" s="104">
        <v>69</v>
      </c>
      <c r="Y26" s="104" t="s">
        <v>163</v>
      </c>
      <c r="Z26" s="108">
        <v>9</v>
      </c>
      <c r="AA26" s="108">
        <v>10</v>
      </c>
      <c r="AB26" s="107">
        <v>4</v>
      </c>
      <c r="AC26" s="88">
        <v>1821</v>
      </c>
      <c r="AD26" s="88">
        <v>863.52</v>
      </c>
      <c r="AE26" s="99">
        <v>2415.71</v>
      </c>
      <c r="AF26" s="89">
        <f>'Цены,перевалка,аренда'!$C$27*SUM(Уголь_эластика_внутр!Z26+Уголь_эластика_внутр!AA26+Уголь_эластика_внутр!AB26)/Уголь_эластика_внутр!X26</f>
        <v>233.33333333333334</v>
      </c>
      <c r="AG26" s="90"/>
      <c r="AH26" s="47"/>
      <c r="AI26" s="91">
        <v>3000</v>
      </c>
      <c r="AJ26" s="92">
        <f>'Цены,перевалка,аренда'!$D$14</f>
        <v>10200</v>
      </c>
      <c r="AK26" s="47">
        <f>AJ26/'Цены,перевалка,аренда'!$C$1</f>
        <v>133.67319524804898</v>
      </c>
      <c r="AL26" s="47">
        <f t="shared" si="0"/>
        <v>2649.0433333333335</v>
      </c>
      <c r="AM26" s="47">
        <f t="shared" si="1"/>
        <v>7550.9566666666669</v>
      </c>
      <c r="AN26" s="47">
        <f t="shared" si="8"/>
        <v>5649.0433333333331</v>
      </c>
      <c r="AO26" s="93">
        <f t="shared" si="3"/>
        <v>0.44617222222222225</v>
      </c>
      <c r="AP26" s="94">
        <f t="shared" si="4"/>
        <v>0.25971013071895427</v>
      </c>
      <c r="AQ26" s="94">
        <f t="shared" si="5"/>
        <v>0.23683431372549019</v>
      </c>
      <c r="AR26" s="94">
        <f t="shared" si="6"/>
        <v>0.91191788733794454</v>
      </c>
      <c r="AS26" s="95" t="s">
        <v>198</v>
      </c>
      <c r="AT26" s="96">
        <f t="shared" si="9"/>
        <v>0.69090909090909092</v>
      </c>
      <c r="AU26" s="102">
        <v>1</v>
      </c>
      <c r="AV26" s="102">
        <v>1</v>
      </c>
      <c r="AW26" s="102">
        <v>1</v>
      </c>
      <c r="AX26" s="102">
        <v>1</v>
      </c>
      <c r="AY26" s="102">
        <v>1</v>
      </c>
      <c r="AZ26" s="102">
        <v>1</v>
      </c>
      <c r="BA26" s="102">
        <v>1</v>
      </c>
      <c r="BB26" s="102">
        <v>1</v>
      </c>
      <c r="BC26" s="102">
        <v>1</v>
      </c>
      <c r="BD26" s="102">
        <v>1</v>
      </c>
      <c r="BE26" s="102">
        <v>1</v>
      </c>
      <c r="BF26" s="102">
        <v>1</v>
      </c>
      <c r="BG26" s="102">
        <v>1</v>
      </c>
      <c r="BH26" s="102">
        <v>1</v>
      </c>
      <c r="BI26" s="102">
        <v>1</v>
      </c>
      <c r="BJ26" s="102">
        <v>1</v>
      </c>
      <c r="BK26" s="102">
        <v>1</v>
      </c>
      <c r="BL26" s="102">
        <v>1</v>
      </c>
      <c r="BM26" s="102">
        <v>1</v>
      </c>
      <c r="BN26" s="102">
        <v>1</v>
      </c>
      <c r="BO26" s="102">
        <v>1</v>
      </c>
      <c r="BP26" s="102">
        <v>1</v>
      </c>
      <c r="BQ26" s="102">
        <v>1</v>
      </c>
      <c r="BR26" s="102">
        <v>1</v>
      </c>
      <c r="BS26" s="102">
        <v>1</v>
      </c>
      <c r="BT26" s="102">
        <v>1</v>
      </c>
      <c r="BU26" s="102">
        <v>1</v>
      </c>
      <c r="BV26" s="102">
        <v>1</v>
      </c>
      <c r="BW26" s="102">
        <v>1</v>
      </c>
      <c r="BX26" s="102">
        <v>1</v>
      </c>
      <c r="BY26" s="102">
        <v>1</v>
      </c>
      <c r="BZ26" s="102">
        <v>1</v>
      </c>
      <c r="CA26" s="102">
        <v>1</v>
      </c>
      <c r="CB26" s="102">
        <v>1</v>
      </c>
      <c r="CC26" s="102">
        <v>1</v>
      </c>
      <c r="CD26" s="102">
        <v>1</v>
      </c>
      <c r="CE26" s="102">
        <v>1</v>
      </c>
      <c r="CF26" s="102">
        <v>1</v>
      </c>
      <c r="CG26" s="102">
        <v>1</v>
      </c>
      <c r="CH26" s="102">
        <v>1</v>
      </c>
      <c r="CI26" s="102">
        <v>1</v>
      </c>
      <c r="CJ26" s="102">
        <v>1</v>
      </c>
      <c r="CK26" s="102">
        <v>1</v>
      </c>
      <c r="CL26" s="102">
        <v>1</v>
      </c>
      <c r="CM26" s="102">
        <v>1</v>
      </c>
      <c r="CN26" s="102">
        <v>1</v>
      </c>
      <c r="CO26" s="102">
        <v>1</v>
      </c>
      <c r="CP26" s="102">
        <v>1</v>
      </c>
      <c r="CQ26" s="102">
        <v>1</v>
      </c>
      <c r="CR26" s="102">
        <v>1</v>
      </c>
      <c r="CS26" s="103">
        <v>1</v>
      </c>
      <c r="CT26" s="102">
        <v>1</v>
      </c>
      <c r="CU26" s="102">
        <v>1</v>
      </c>
      <c r="CV26" s="102">
        <v>1</v>
      </c>
      <c r="CW26" s="102">
        <v>1</v>
      </c>
      <c r="CX26" s="102">
        <v>1</v>
      </c>
      <c r="CY26" s="102">
        <v>1</v>
      </c>
      <c r="CZ26" s="102">
        <v>1</v>
      </c>
      <c r="DA26" s="102">
        <v>1</v>
      </c>
      <c r="DB26" s="102">
        <v>1</v>
      </c>
      <c r="DC26" s="102">
        <v>1</v>
      </c>
      <c r="DD26" s="102">
        <v>1</v>
      </c>
      <c r="DE26" s="102">
        <v>1</v>
      </c>
      <c r="DF26" s="102">
        <v>1</v>
      </c>
      <c r="DG26" s="102">
        <v>1</v>
      </c>
      <c r="DH26" s="102">
        <v>1</v>
      </c>
      <c r="DI26" s="102">
        <v>1</v>
      </c>
      <c r="DJ26" s="102">
        <v>1</v>
      </c>
      <c r="DK26" s="102">
        <v>1</v>
      </c>
      <c r="DL26" s="102">
        <v>1</v>
      </c>
      <c r="DM26" s="102">
        <v>1</v>
      </c>
      <c r="DN26" s="102">
        <v>1</v>
      </c>
      <c r="DO26" s="102">
        <v>1</v>
      </c>
      <c r="DP26" s="102">
        <v>1</v>
      </c>
      <c r="DQ26" s="102">
        <v>1</v>
      </c>
      <c r="DR26" s="102">
        <v>1</v>
      </c>
      <c r="DS26" s="102">
        <v>1</v>
      </c>
      <c r="DT26" s="102">
        <v>1</v>
      </c>
      <c r="DU26" s="102">
        <v>1</v>
      </c>
      <c r="DV26" s="102">
        <v>1</v>
      </c>
      <c r="DW26" s="102">
        <v>1</v>
      </c>
      <c r="DX26" s="102">
        <v>1</v>
      </c>
      <c r="DY26" s="102">
        <v>1</v>
      </c>
      <c r="DZ26" s="102">
        <v>1</v>
      </c>
      <c r="EA26" s="102">
        <v>1</v>
      </c>
      <c r="EB26" s="102">
        <v>1</v>
      </c>
      <c r="EC26" s="102">
        <v>1</v>
      </c>
      <c r="ED26" s="102">
        <v>1</v>
      </c>
      <c r="EE26" s="102">
        <v>1</v>
      </c>
      <c r="EF26" s="102">
        <v>1</v>
      </c>
      <c r="EG26" s="102">
        <v>1</v>
      </c>
      <c r="EH26" s="102">
        <v>1</v>
      </c>
      <c r="EI26" s="102">
        <v>1</v>
      </c>
      <c r="EJ26" s="102">
        <v>1</v>
      </c>
      <c r="EK26" s="102">
        <v>1</v>
      </c>
      <c r="EL26" s="102">
        <v>1</v>
      </c>
      <c r="EM26" s="102">
        <v>1</v>
      </c>
      <c r="EN26" s="102">
        <v>1</v>
      </c>
      <c r="EO26" s="102">
        <v>1</v>
      </c>
      <c r="EP26" s="102">
        <v>1</v>
      </c>
      <c r="EQ26" s="102">
        <v>1</v>
      </c>
      <c r="ER26" s="102">
        <v>1</v>
      </c>
      <c r="ES26" s="102">
        <v>1</v>
      </c>
      <c r="ET26" s="102">
        <v>1</v>
      </c>
      <c r="EU26" s="102">
        <v>1</v>
      </c>
      <c r="EV26" s="102">
        <v>1</v>
      </c>
      <c r="EW26" s="102">
        <v>1</v>
      </c>
      <c r="EX26" s="102">
        <v>1</v>
      </c>
      <c r="EY26" s="102">
        <v>1</v>
      </c>
      <c r="EZ26" s="102">
        <v>1</v>
      </c>
      <c r="FA26" s="102">
        <v>1</v>
      </c>
      <c r="FB26" s="102">
        <v>1</v>
      </c>
      <c r="FC26" s="102">
        <v>1</v>
      </c>
      <c r="FD26" s="102">
        <v>1</v>
      </c>
      <c r="FE26" s="102">
        <v>1</v>
      </c>
      <c r="FF26" s="102">
        <v>1</v>
      </c>
      <c r="FG26" s="102">
        <v>1</v>
      </c>
      <c r="FH26" s="102">
        <v>1</v>
      </c>
      <c r="FI26" s="102">
        <v>1</v>
      </c>
      <c r="FJ26" s="102">
        <v>1</v>
      </c>
      <c r="FK26" s="102">
        <v>1</v>
      </c>
      <c r="FL26" s="102">
        <v>1</v>
      </c>
      <c r="FM26" s="102">
        <v>1</v>
      </c>
      <c r="FN26" s="102">
        <v>1</v>
      </c>
      <c r="FO26" s="102">
        <v>1</v>
      </c>
      <c r="FP26" s="102">
        <v>1</v>
      </c>
      <c r="FQ26" s="102">
        <v>1</v>
      </c>
      <c r="FR26" s="102">
        <v>1</v>
      </c>
      <c r="FS26" s="102">
        <v>1</v>
      </c>
      <c r="FT26" s="102">
        <v>1</v>
      </c>
      <c r="FU26" s="102">
        <v>1</v>
      </c>
      <c r="FV26" s="102">
        <v>1</v>
      </c>
      <c r="FW26" s="102">
        <v>1</v>
      </c>
      <c r="FX26" s="102">
        <v>1</v>
      </c>
      <c r="FY26" s="102">
        <v>1</v>
      </c>
      <c r="FZ26" s="102">
        <v>1</v>
      </c>
      <c r="GA26" s="102">
        <v>1</v>
      </c>
      <c r="GB26" s="102">
        <v>1</v>
      </c>
      <c r="GC26" s="102">
        <v>1</v>
      </c>
      <c r="GD26" s="102">
        <v>1</v>
      </c>
      <c r="GE26" s="102">
        <v>1</v>
      </c>
      <c r="GF26" s="102">
        <v>1</v>
      </c>
      <c r="GG26" s="102">
        <v>1</v>
      </c>
      <c r="GH26" s="102">
        <v>1</v>
      </c>
      <c r="GI26" s="102">
        <v>1</v>
      </c>
      <c r="GJ26" s="102">
        <v>1</v>
      </c>
      <c r="GK26" s="102">
        <v>1</v>
      </c>
      <c r="GL26" s="102">
        <v>1</v>
      </c>
      <c r="GM26" s="102">
        <v>1</v>
      </c>
      <c r="GN26" s="102">
        <v>1</v>
      </c>
      <c r="GO26" s="102">
        <v>1</v>
      </c>
      <c r="GP26" s="24">
        <f t="shared" si="7"/>
        <v>1</v>
      </c>
    </row>
    <row r="27" spans="1:198" ht="29.15">
      <c r="B27" s="36">
        <v>1</v>
      </c>
      <c r="C27" s="34" t="s">
        <v>16</v>
      </c>
      <c r="D27" s="1">
        <v>16114</v>
      </c>
      <c r="E27" s="1" t="s">
        <v>77</v>
      </c>
      <c r="F27" s="34" t="s">
        <v>78</v>
      </c>
      <c r="G27" s="34" t="s">
        <v>45</v>
      </c>
      <c r="H27" s="1" t="s">
        <v>45</v>
      </c>
      <c r="I27" s="1" t="s">
        <v>104</v>
      </c>
      <c r="J27" s="1" t="s">
        <v>139</v>
      </c>
      <c r="K27" s="1">
        <v>10</v>
      </c>
      <c r="L27" s="1" t="s">
        <v>22</v>
      </c>
      <c r="M27" s="1" t="s">
        <v>40</v>
      </c>
      <c r="N27" s="1" t="s">
        <v>24</v>
      </c>
      <c r="O27" s="1" t="s">
        <v>36</v>
      </c>
      <c r="P27" s="35">
        <v>26644096</v>
      </c>
      <c r="Q27" s="4" t="s">
        <v>141</v>
      </c>
      <c r="R27" s="1" t="s">
        <v>136</v>
      </c>
      <c r="S27" s="45">
        <v>1037077</v>
      </c>
      <c r="T27" s="45">
        <v>10373937</v>
      </c>
      <c r="U27" s="45">
        <v>14823</v>
      </c>
      <c r="V27" s="45"/>
      <c r="W27" s="45">
        <v>180567101</v>
      </c>
      <c r="X27" s="106">
        <v>69</v>
      </c>
      <c r="Y27" s="104" t="s">
        <v>161</v>
      </c>
      <c r="Z27" s="107">
        <v>3</v>
      </c>
      <c r="AA27" s="107">
        <v>4</v>
      </c>
      <c r="AB27" s="107">
        <v>4</v>
      </c>
      <c r="AC27" s="88">
        <v>202.46</v>
      </c>
      <c r="AD27" s="88">
        <v>4.4099999999999966</v>
      </c>
      <c r="AE27" s="88">
        <v>171.67</v>
      </c>
      <c r="AF27" s="89">
        <f>'Цены,перевалка,аренда'!$C$27*SUM(Уголь_эластика_внутр!Z27+Уголь_эластика_внутр!AA27+Уголь_эластика_внутр!AB27)/Уголь_эластика_внутр!X27</f>
        <v>111.59420289855072</v>
      </c>
      <c r="AG27" s="90"/>
      <c r="AH27" s="47"/>
      <c r="AI27" s="91">
        <v>3000</v>
      </c>
      <c r="AJ27" s="92">
        <f>'Цены,перевалка,аренда'!$D$14</f>
        <v>10200</v>
      </c>
      <c r="AK27" s="47">
        <f>AJ27/'Цены,перевалка,аренда'!$C$1</f>
        <v>133.67319524804898</v>
      </c>
      <c r="AL27" s="47">
        <f t="shared" si="0"/>
        <v>283.26420289855071</v>
      </c>
      <c r="AM27" s="47">
        <f t="shared" si="1"/>
        <v>9916.7357971014499</v>
      </c>
      <c r="AN27" s="47">
        <f t="shared" si="8"/>
        <v>3283.2642028985506</v>
      </c>
      <c r="AO27" s="93">
        <f t="shared" si="3"/>
        <v>0.67811135265700484</v>
      </c>
      <c r="AP27" s="94">
        <f t="shared" si="4"/>
        <v>2.7771000284171638E-2</v>
      </c>
      <c r="AQ27" s="94">
        <f t="shared" si="5"/>
        <v>1.6830392156862745E-2</v>
      </c>
      <c r="AR27" s="94">
        <f t="shared" si="6"/>
        <v>0.60604198569164958</v>
      </c>
      <c r="AS27" s="95" t="s">
        <v>199</v>
      </c>
      <c r="AT27" s="96">
        <f t="shared" si="9"/>
        <v>0.69090909090909092</v>
      </c>
      <c r="AU27" s="102">
        <f>IF($AT27="1",1,1+(1-VLOOKUP(($AJ27-$AI27-$AH27-$AG27-$AF27-$AE27)/$AJ27-($AJ27-$AI27-$AH27-$AG27-$AF27-$AE27*(1+AU$3))/$AJ27,Уголь_коэфф!$A:$B,2,1)))</f>
        <v>1</v>
      </c>
      <c r="AV27" s="102">
        <f>IF($AT27="1",1,1+(1-VLOOKUP(($AJ27-$AI27-$AH27-$AG27-$AF27-$AE27)/$AJ27-($AJ27-$AI27-$AH27-$AG27-$AF27-$AE27*(1+AV$3))/$AJ27,Уголь_коэфф!$A:$B,2,1)))</f>
        <v>1</v>
      </c>
      <c r="AW27" s="102">
        <f>IF($AT27="1",1,1+(1-VLOOKUP(($AJ27-$AI27-$AH27-$AG27-$AF27-$AE27)/$AJ27-($AJ27-$AI27-$AH27-$AG27-$AF27-$AE27*(1+AW$3))/$AJ27,Уголь_коэфф!$A:$B,2,1)))</f>
        <v>1</v>
      </c>
      <c r="AX27" s="102">
        <f>IF($AT27="1",1,1+(1-VLOOKUP(($AJ27-$AI27-$AH27-$AG27-$AF27-$AE27)/$AJ27-($AJ27-$AI27-$AH27-$AG27-$AF27-$AE27*(1+AX$3))/$AJ27,Уголь_коэфф!$A:$B,2,1)))</f>
        <v>1</v>
      </c>
      <c r="AY27" s="102">
        <f>IF($AT27="1",1,1+(1-VLOOKUP(($AJ27-$AI27-$AH27-$AG27-$AF27-$AE27)/$AJ27-($AJ27-$AI27-$AH27-$AG27-$AF27-$AE27*(1+AY$3))/$AJ27,Уголь_коэфф!$A:$B,2,1)))</f>
        <v>1</v>
      </c>
      <c r="AZ27" s="102">
        <f>IF($AT27="1",1,1+(1-VLOOKUP(($AJ27-$AI27-$AH27-$AG27-$AF27-$AE27)/$AJ27-($AJ27-$AI27-$AH27-$AG27-$AF27-$AE27*(1+AZ$3))/$AJ27,Уголь_коэфф!$A:$B,2,1)))</f>
        <v>1</v>
      </c>
      <c r="BA27" s="102">
        <f>IF($AT27="1",1,1+(1-VLOOKUP(($AJ27-$AI27-$AH27-$AG27-$AF27-$AE27)/$AJ27-($AJ27-$AI27-$AH27-$AG27-$AF27-$AE27*(1+BA$3))/$AJ27,Уголь_коэфф!$A:$B,2,1)))</f>
        <v>1</v>
      </c>
      <c r="BB27" s="102">
        <f>IF($AT27="1",1,1+(1-VLOOKUP(($AJ27-$AI27-$AH27-$AG27-$AF27-$AE27)/$AJ27-($AJ27-$AI27-$AH27-$AG27-$AF27-$AE27*(1+BB$3))/$AJ27,Уголь_коэфф!$A:$B,2,1)))</f>
        <v>1</v>
      </c>
      <c r="BC27" s="102">
        <f>IF($AT27="1",1,1+(1-VLOOKUP(($AJ27-$AI27-$AH27-$AG27-$AF27-$AE27)/$AJ27-($AJ27-$AI27-$AH27-$AG27-$AF27-$AE27*(1+BC$3))/$AJ27,Уголь_коэфф!$A:$B,2,1)))</f>
        <v>1</v>
      </c>
      <c r="BD27" s="102">
        <f>IF($AT27="1",1,1+(1-VLOOKUP(($AJ27-$AI27-$AH27-$AG27-$AF27-$AE27)/$AJ27-($AJ27-$AI27-$AH27-$AG27-$AF27-$AE27*(1+BD$3))/$AJ27,Уголь_коэфф!$A:$B,2,1)))</f>
        <v>1</v>
      </c>
      <c r="BE27" s="102">
        <f>IF($AT27="1",1,1+(1-VLOOKUP(($AJ27-$AI27-$AH27-$AG27-$AF27-$AE27)/$AJ27-($AJ27-$AI27-$AH27-$AG27-$AF27-$AE27*(1+BE$3))/$AJ27,Уголь_коэфф!$A:$B,2,1)))</f>
        <v>1</v>
      </c>
      <c r="BF27" s="102">
        <f>IF($AT27="1",1,1+(1-VLOOKUP(($AJ27-$AI27-$AH27-$AG27-$AF27-$AE27)/$AJ27-($AJ27-$AI27-$AH27-$AG27-$AF27-$AE27*(1+BF$3))/$AJ27,Уголь_коэфф!$A:$B,2,1)))</f>
        <v>1</v>
      </c>
      <c r="BG27" s="102">
        <f>IF($AT27="1",1,1+(1-VLOOKUP(($AJ27-$AI27-$AH27-$AG27-$AF27-$AE27)/$AJ27-($AJ27-$AI27-$AH27-$AG27-$AF27-$AE27*(1+BG$3))/$AJ27,Уголь_коэфф!$A:$B,2,1)))</f>
        <v>1</v>
      </c>
      <c r="BH27" s="102">
        <f>IF($AT27="1",1,1+(1-VLOOKUP(($AJ27-$AI27-$AH27-$AG27-$AF27-$AE27)/$AJ27-($AJ27-$AI27-$AH27-$AG27-$AF27-$AE27*(1+BH$3))/$AJ27,Уголь_коэфф!$A:$B,2,1)))</f>
        <v>1</v>
      </c>
      <c r="BI27" s="102">
        <f>IF($AT27="1",1,1+(1-VLOOKUP(($AJ27-$AI27-$AH27-$AG27-$AF27-$AE27)/$AJ27-($AJ27-$AI27-$AH27-$AG27-$AF27-$AE27*(1+BI$3))/$AJ27,Уголь_коэфф!$A:$B,2,1)))</f>
        <v>1</v>
      </c>
      <c r="BJ27" s="102">
        <f>IF($AT27="1",1,1+(1-VLOOKUP(($AJ27-$AI27-$AH27-$AG27-$AF27-$AE27)/$AJ27-($AJ27-$AI27-$AH27-$AG27-$AF27-$AE27*(1+BJ$3))/$AJ27,Уголь_коэфф!$A:$B,2,1)))</f>
        <v>1</v>
      </c>
      <c r="BK27" s="102">
        <f>IF($AT27="1",1,1+(1-VLOOKUP(($AJ27-$AI27-$AH27-$AG27-$AF27-$AE27)/$AJ27-($AJ27-$AI27-$AH27-$AG27-$AF27-$AE27*(1+BK$3))/$AJ27,Уголь_коэфф!$A:$B,2,1)))</f>
        <v>1</v>
      </c>
      <c r="BL27" s="102">
        <f>IF($AT27="1",1,1+(1-VLOOKUP(($AJ27-$AI27-$AH27-$AG27-$AF27-$AE27)/$AJ27-($AJ27-$AI27-$AH27-$AG27-$AF27-$AE27*(1+BL$3))/$AJ27,Уголь_коэфф!$A:$B,2,1)))</f>
        <v>1</v>
      </c>
      <c r="BM27" s="102">
        <f>IF($AT27="1",1,1+(1-VLOOKUP(($AJ27-$AI27-$AH27-$AG27-$AF27-$AE27)/$AJ27-($AJ27-$AI27-$AH27-$AG27-$AF27-$AE27*(1+BM$3))/$AJ27,Уголь_коэфф!$A:$B,2,1)))</f>
        <v>1</v>
      </c>
      <c r="BN27" s="102">
        <f>IF($AT27="1",1,1+(1-VLOOKUP(($AJ27-$AI27-$AH27-$AG27-$AF27-$AE27)/$AJ27-($AJ27-$AI27-$AH27-$AG27-$AF27-$AE27*(1+BN$3))/$AJ27,Уголь_коэфф!$A:$B,2,1)))</f>
        <v>1</v>
      </c>
      <c r="BO27" s="102">
        <f>IF($AT27="1",1,1+(1-VLOOKUP(($AJ27-$AI27-$AH27-$AG27-$AF27-$AE27)/$AJ27-($AJ27-$AI27-$AH27-$AG27-$AF27-$AE27*(1+BO$3))/$AJ27,Уголь_коэфф!$A:$B,2,1)))</f>
        <v>1</v>
      </c>
      <c r="BP27" s="102">
        <f>IF($AT27="1",1,1+(1-VLOOKUP(($AJ27-$AI27-$AH27-$AG27-$AF27-$AE27)/$AJ27-($AJ27-$AI27-$AH27-$AG27-$AF27-$AE27*(1+BP$3))/$AJ27,Уголь_коэфф!$A:$B,2,1)))</f>
        <v>1</v>
      </c>
      <c r="BQ27" s="102">
        <f>IF($AT27="1",1,1+(1-VLOOKUP(($AJ27-$AI27-$AH27-$AG27-$AF27-$AE27)/$AJ27-($AJ27-$AI27-$AH27-$AG27-$AF27-$AE27*(1+BQ$3))/$AJ27,Уголь_коэфф!$A:$B,2,1)))</f>
        <v>1</v>
      </c>
      <c r="BR27" s="102">
        <f>IF($AT27="1",1,1+(1-VLOOKUP(($AJ27-$AI27-$AH27-$AG27-$AF27-$AE27)/$AJ27-($AJ27-$AI27-$AH27-$AG27-$AF27-$AE27*(1+BR$3))/$AJ27,Уголь_коэфф!$A:$B,2,1)))</f>
        <v>1</v>
      </c>
      <c r="BS27" s="102">
        <f>IF($AT27="1",1,1+(1-VLOOKUP(($AJ27-$AI27-$AH27-$AG27-$AF27-$AE27)/$AJ27-($AJ27-$AI27-$AH27-$AG27-$AF27-$AE27*(1+BS$3))/$AJ27,Уголь_коэфф!$A:$B,2,1)))</f>
        <v>1</v>
      </c>
      <c r="BT27" s="102">
        <f>IF($AT27="1",1,1+(1-VLOOKUP(($AJ27-$AI27-$AH27-$AG27-$AF27-$AE27)/$AJ27-($AJ27-$AI27-$AH27-$AG27-$AF27-$AE27*(1+BT$3))/$AJ27,Уголь_коэфф!$A:$B,2,1)))</f>
        <v>1</v>
      </c>
      <c r="BU27" s="102">
        <f>IF($AT27="1",1,1+(1-VLOOKUP(($AJ27-$AI27-$AH27-$AG27-$AF27-$AE27)/$AJ27-($AJ27-$AI27-$AH27-$AG27-$AF27-$AE27*(1+BU$3))/$AJ27,Уголь_коэфф!$A:$B,2,1)))</f>
        <v>1</v>
      </c>
      <c r="BV27" s="102">
        <f>IF($AT27="1",1,1+(1-VLOOKUP(($AJ27-$AI27-$AH27-$AG27-$AF27-$AE27)/$AJ27-($AJ27-$AI27-$AH27-$AG27-$AF27-$AE27*(1+BV$3))/$AJ27,Уголь_коэфф!$A:$B,2,1)))</f>
        <v>1</v>
      </c>
      <c r="BW27" s="102">
        <f>IF($AT27="1",1,1+(1-VLOOKUP(($AJ27-$AI27-$AH27-$AG27-$AF27-$AE27)/$AJ27-($AJ27-$AI27-$AH27-$AG27-$AF27-$AE27*(1+BW$3))/$AJ27,Уголь_коэфф!$A:$B,2,1)))</f>
        <v>1</v>
      </c>
      <c r="BX27" s="102">
        <f>IF($AT27="1",1,1+(1-VLOOKUP(($AJ27-$AI27-$AH27-$AG27-$AF27-$AE27)/$AJ27-($AJ27-$AI27-$AH27-$AG27-$AF27-$AE27*(1+BX$3))/$AJ27,Уголь_коэфф!$A:$B,2,1)))</f>
        <v>1</v>
      </c>
      <c r="BY27" s="102">
        <f>IF($AT27="1",1,1+(1-VLOOKUP(($AJ27-$AI27-$AH27-$AG27-$AF27-$AE27)/$AJ27-($AJ27-$AI27-$AH27-$AG27-$AF27-$AE27*(1+BY$3))/$AJ27,Уголь_коэфф!$A:$B,2,1)))</f>
        <v>1</v>
      </c>
      <c r="BZ27" s="102">
        <f>IF($AT27="1",1,1+(1-VLOOKUP(($AJ27-$AI27-$AH27-$AG27-$AF27-$AE27)/$AJ27-($AJ27-$AI27-$AH27-$AG27-$AF27-$AE27*(1+BZ$3))/$AJ27,Уголь_коэфф!$A:$B,2,1)))</f>
        <v>1</v>
      </c>
      <c r="CA27" s="102">
        <f>IF($AT27="1",1,1+(1-VLOOKUP(($AJ27-$AI27-$AH27-$AG27-$AF27-$AE27)/$AJ27-($AJ27-$AI27-$AH27-$AG27-$AF27-$AE27*(1+CA$3))/$AJ27,Уголь_коэфф!$A:$B,2,1)))</f>
        <v>1</v>
      </c>
      <c r="CB27" s="102">
        <f>IF($AT27="1",1,1+(1-VLOOKUP(($AJ27-$AI27-$AH27-$AG27-$AF27-$AE27)/$AJ27-($AJ27-$AI27-$AH27-$AG27-$AF27-$AE27*(1+CB$3))/$AJ27,Уголь_коэфф!$A:$B,2,1)))</f>
        <v>1</v>
      </c>
      <c r="CC27" s="102">
        <f>IF($AT27="1",1,1+(1-VLOOKUP(($AJ27-$AI27-$AH27-$AG27-$AF27-$AE27)/$AJ27-($AJ27-$AI27-$AH27-$AG27-$AF27-$AE27*(1+CC$3))/$AJ27,Уголь_коэфф!$A:$B,2,1)))</f>
        <v>1</v>
      </c>
      <c r="CD27" s="102">
        <f>IF($AT27="1",1,1+(1-VLOOKUP(($AJ27-$AI27-$AH27-$AG27-$AF27-$AE27)/$AJ27-($AJ27-$AI27-$AH27-$AG27-$AF27-$AE27*(1+CD$3))/$AJ27,Уголь_коэфф!$A:$B,2,1)))</f>
        <v>1</v>
      </c>
      <c r="CE27" s="102">
        <f>IF($AT27="1",1,1+(1-VLOOKUP(($AJ27-$AI27-$AH27-$AG27-$AF27-$AE27)/$AJ27-($AJ27-$AI27-$AH27-$AG27-$AF27-$AE27*(1+CE$3))/$AJ27,Уголь_коэфф!$A:$B,2,1)))</f>
        <v>1</v>
      </c>
      <c r="CF27" s="102">
        <f>IF($AT27="1",1,1+(1-VLOOKUP(($AJ27-$AI27-$AH27-$AG27-$AF27-$AE27)/$AJ27-($AJ27-$AI27-$AH27-$AG27-$AF27-$AE27*(1+CF$3))/$AJ27,Уголь_коэфф!$A:$B,2,1)))</f>
        <v>1</v>
      </c>
      <c r="CG27" s="102">
        <f>IF($AT27="1",1,1+(1-VLOOKUP(($AJ27-$AI27-$AH27-$AG27-$AF27-$AE27)/$AJ27-($AJ27-$AI27-$AH27-$AG27-$AF27-$AE27*(1+CG$3))/$AJ27,Уголь_коэфф!$A:$B,2,1)))</f>
        <v>1</v>
      </c>
      <c r="CH27" s="102">
        <f>IF($AT27="1",1,1+(1-VLOOKUP(($AJ27-$AI27-$AH27-$AG27-$AF27-$AE27)/$AJ27-($AJ27-$AI27-$AH27-$AG27-$AF27-$AE27*(1+CH$3))/$AJ27,Уголь_коэфф!$A:$B,2,1)))</f>
        <v>1</v>
      </c>
      <c r="CI27" s="102">
        <f>IF($AT27="1",1,1+(1-VLOOKUP(($AJ27-$AI27-$AH27-$AG27-$AF27-$AE27)/$AJ27-($AJ27-$AI27-$AH27-$AG27-$AF27-$AE27*(1+CI$3))/$AJ27,Уголь_коэфф!$A:$B,2,1)))</f>
        <v>1</v>
      </c>
      <c r="CJ27" s="102">
        <f>IF($AT27="1",1,1+(1-VLOOKUP(($AJ27-$AI27-$AH27-$AG27-$AF27-$AE27)/$AJ27-($AJ27-$AI27-$AH27-$AG27-$AF27-$AE27*(1+CJ$3))/$AJ27,Уголь_коэфф!$A:$B,2,1)))</f>
        <v>1</v>
      </c>
      <c r="CK27" s="102">
        <f>IF($AT27="1",1,1+(1-VLOOKUP(($AJ27-$AI27-$AH27-$AG27-$AF27-$AE27)/$AJ27-($AJ27-$AI27-$AH27-$AG27-$AF27-$AE27*(1+CK$3))/$AJ27,Уголь_коэфф!$A:$B,2,1)))</f>
        <v>1</v>
      </c>
      <c r="CL27" s="102">
        <f>IF($AT27="1",1,1+(1-VLOOKUP(($AJ27-$AI27-$AH27-$AG27-$AF27-$AE27)/$AJ27-($AJ27-$AI27-$AH27-$AG27-$AF27-$AE27*(1+CL$3))/$AJ27,Уголь_коэфф!$A:$B,2,1)))</f>
        <v>1</v>
      </c>
      <c r="CM27" s="102">
        <f>IF($AT27="1",1,1+(1-VLOOKUP(($AJ27-$AI27-$AH27-$AG27-$AF27-$AE27)/$AJ27-($AJ27-$AI27-$AH27-$AG27-$AF27-$AE27*(1+CM$3))/$AJ27,Уголь_коэфф!$A:$B,2,1)))</f>
        <v>1</v>
      </c>
      <c r="CN27" s="102">
        <f>IF($AT27="1",1,1+(1-VLOOKUP(($AJ27-$AI27-$AH27-$AG27-$AF27-$AE27)/$AJ27-($AJ27-$AI27-$AH27-$AG27-$AF27-$AE27*(1+CN$3))/$AJ27,Уголь_коэфф!$A:$B,2,1)))</f>
        <v>1</v>
      </c>
      <c r="CO27" s="102">
        <f>IF($AT27="1",1,1+(1-VLOOKUP(($AJ27-$AI27-$AH27-$AG27-$AF27-$AE27)/$AJ27-($AJ27-$AI27-$AH27-$AG27-$AF27-$AE27*(1+CO$3))/$AJ27,Уголь_коэфф!$A:$B,2,1)))</f>
        <v>1</v>
      </c>
      <c r="CP27" s="102">
        <f>IF($AT27="1",1,1+(1-VLOOKUP(($AJ27-$AI27-$AH27-$AG27-$AF27-$AE27)/$AJ27-($AJ27-$AI27-$AH27-$AG27-$AF27-$AE27*(1+CP$3))/$AJ27,Уголь_коэфф!$A:$B,2,1)))</f>
        <v>1</v>
      </c>
      <c r="CQ27" s="102">
        <f>IF($AT27="1",1,1+(1-VLOOKUP(($AJ27-$AI27-$AH27-$AG27-$AF27-$AE27)/$AJ27-($AJ27-$AI27-$AH27-$AG27-$AF27-$AE27*(1+CQ$3))/$AJ27,Уголь_коэфф!$A:$B,2,1)))</f>
        <v>1</v>
      </c>
      <c r="CR27" s="102">
        <f>IF($AT27="1",1,1+(1-VLOOKUP(($AJ27-$AI27-$AH27-$AG27-$AF27-$AE27)/$AJ27-($AJ27-$AI27-$AH27-$AG27-$AF27-$AE27*(1+CR$3))/$AJ27,Уголь_коэфф!$A:$B,2,1)))</f>
        <v>1</v>
      </c>
      <c r="CS27" s="103">
        <v>1</v>
      </c>
      <c r="CT27" s="102">
        <v>1</v>
      </c>
      <c r="CU27" s="102">
        <v>1</v>
      </c>
      <c r="CV27" s="102">
        <v>1</v>
      </c>
      <c r="CW27" s="102">
        <v>1</v>
      </c>
      <c r="CX27" s="102">
        <v>1</v>
      </c>
      <c r="CY27" s="102">
        <v>1</v>
      </c>
      <c r="CZ27" s="102">
        <v>1</v>
      </c>
      <c r="DA27" s="102">
        <v>1</v>
      </c>
      <c r="DB27" s="102">
        <v>1</v>
      </c>
      <c r="DC27" s="102">
        <v>1</v>
      </c>
      <c r="DD27" s="102">
        <v>1</v>
      </c>
      <c r="DE27" s="102">
        <v>1</v>
      </c>
      <c r="DF27" s="102">
        <v>1</v>
      </c>
      <c r="DG27" s="102">
        <v>1</v>
      </c>
      <c r="DH27" s="102">
        <v>1</v>
      </c>
      <c r="DI27" s="102">
        <v>1</v>
      </c>
      <c r="DJ27" s="102">
        <v>1</v>
      </c>
      <c r="DK27" s="102">
        <v>1</v>
      </c>
      <c r="DL27" s="102">
        <v>1</v>
      </c>
      <c r="DM27" s="102">
        <v>1</v>
      </c>
      <c r="DN27" s="102">
        <v>1</v>
      </c>
      <c r="DO27" s="102">
        <v>1</v>
      </c>
      <c r="DP27" s="102">
        <v>1</v>
      </c>
      <c r="DQ27" s="102">
        <v>1</v>
      </c>
      <c r="DR27" s="102">
        <v>1</v>
      </c>
      <c r="DS27" s="102">
        <v>1</v>
      </c>
      <c r="DT27" s="102">
        <v>1</v>
      </c>
      <c r="DU27" s="102">
        <v>1</v>
      </c>
      <c r="DV27" s="102">
        <v>1</v>
      </c>
      <c r="DW27" s="102">
        <v>1</v>
      </c>
      <c r="DX27" s="102">
        <v>1</v>
      </c>
      <c r="DY27" s="102">
        <v>1</v>
      </c>
      <c r="DZ27" s="102">
        <v>1</v>
      </c>
      <c r="EA27" s="102">
        <v>1</v>
      </c>
      <c r="EB27" s="102">
        <v>1</v>
      </c>
      <c r="EC27" s="102">
        <v>1</v>
      </c>
      <c r="ED27" s="102">
        <v>1</v>
      </c>
      <c r="EE27" s="102">
        <v>1</v>
      </c>
      <c r="EF27" s="102">
        <v>1</v>
      </c>
      <c r="EG27" s="102">
        <v>1</v>
      </c>
      <c r="EH27" s="102">
        <v>1</v>
      </c>
      <c r="EI27" s="102">
        <v>1</v>
      </c>
      <c r="EJ27" s="102">
        <v>1</v>
      </c>
      <c r="EK27" s="102">
        <v>1</v>
      </c>
      <c r="EL27" s="102">
        <v>1</v>
      </c>
      <c r="EM27" s="102">
        <v>1</v>
      </c>
      <c r="EN27" s="102">
        <v>1</v>
      </c>
      <c r="EO27" s="102">
        <v>1</v>
      </c>
      <c r="EP27" s="102">
        <v>1</v>
      </c>
      <c r="EQ27" s="102">
        <v>1</v>
      </c>
      <c r="ER27" s="102">
        <v>1</v>
      </c>
      <c r="ES27" s="102">
        <v>1</v>
      </c>
      <c r="ET27" s="102">
        <v>1</v>
      </c>
      <c r="EU27" s="102">
        <v>1</v>
      </c>
      <c r="EV27" s="102">
        <v>1</v>
      </c>
      <c r="EW27" s="102">
        <v>1</v>
      </c>
      <c r="EX27" s="102">
        <v>1</v>
      </c>
      <c r="EY27" s="102">
        <v>1</v>
      </c>
      <c r="EZ27" s="102">
        <v>1</v>
      </c>
      <c r="FA27" s="102">
        <v>1</v>
      </c>
      <c r="FB27" s="102">
        <v>1</v>
      </c>
      <c r="FC27" s="102">
        <v>1</v>
      </c>
      <c r="FD27" s="102">
        <v>1</v>
      </c>
      <c r="FE27" s="102">
        <v>1</v>
      </c>
      <c r="FF27" s="102">
        <v>1</v>
      </c>
      <c r="FG27" s="102">
        <v>1</v>
      </c>
      <c r="FH27" s="102">
        <v>1</v>
      </c>
      <c r="FI27" s="102">
        <v>1</v>
      </c>
      <c r="FJ27" s="102">
        <v>1</v>
      </c>
      <c r="FK27" s="102">
        <v>1</v>
      </c>
      <c r="FL27" s="102">
        <v>1</v>
      </c>
      <c r="FM27" s="102">
        <v>1</v>
      </c>
      <c r="FN27" s="102">
        <v>1</v>
      </c>
      <c r="FO27" s="102">
        <v>1</v>
      </c>
      <c r="FP27" s="102">
        <v>1</v>
      </c>
      <c r="FQ27" s="102">
        <v>1</v>
      </c>
      <c r="FR27" s="102">
        <v>1</v>
      </c>
      <c r="FS27" s="102">
        <v>1</v>
      </c>
      <c r="FT27" s="102">
        <v>1</v>
      </c>
      <c r="FU27" s="102">
        <v>1</v>
      </c>
      <c r="FV27" s="102">
        <v>1</v>
      </c>
      <c r="FW27" s="102">
        <v>1</v>
      </c>
      <c r="FX27" s="102">
        <v>1</v>
      </c>
      <c r="FY27" s="102">
        <v>1</v>
      </c>
      <c r="FZ27" s="102">
        <v>1</v>
      </c>
      <c r="GA27" s="102">
        <v>1</v>
      </c>
      <c r="GB27" s="102">
        <v>1</v>
      </c>
      <c r="GC27" s="102">
        <v>1</v>
      </c>
      <c r="GD27" s="102">
        <v>1</v>
      </c>
      <c r="GE27" s="102">
        <v>1</v>
      </c>
      <c r="GF27" s="102">
        <v>1</v>
      </c>
      <c r="GG27" s="102">
        <v>1</v>
      </c>
      <c r="GH27" s="102">
        <v>1</v>
      </c>
      <c r="GI27" s="102">
        <v>1</v>
      </c>
      <c r="GJ27" s="102">
        <v>1</v>
      </c>
      <c r="GK27" s="102">
        <v>1</v>
      </c>
      <c r="GL27" s="102">
        <v>1</v>
      </c>
      <c r="GM27" s="102">
        <v>1</v>
      </c>
      <c r="GN27" s="102">
        <v>1</v>
      </c>
      <c r="GO27" s="102">
        <v>1</v>
      </c>
      <c r="GP27" s="24">
        <f t="shared" si="7"/>
        <v>1</v>
      </c>
    </row>
    <row r="28" spans="1:198" ht="14.6" customHeight="1">
      <c r="AC28" s="424"/>
      <c r="AD28" s="424"/>
      <c r="AE28" s="424"/>
      <c r="AF28" s="3"/>
      <c r="AG28" s="3"/>
      <c r="AH28" s="3"/>
      <c r="AI28" s="3"/>
      <c r="AU28" s="26"/>
    </row>
    <row r="29" spans="1:198" ht="14.6" customHeight="1">
      <c r="AU29" s="25"/>
      <c r="AV29" s="24"/>
    </row>
    <row r="30" spans="1:198" ht="14.6" customHeight="1">
      <c r="AU30" s="24"/>
      <c r="AV30" s="24"/>
    </row>
    <row r="32" spans="1:198">
      <c r="AW32" s="25"/>
    </row>
    <row r="33" spans="47:49">
      <c r="AU33" s="25"/>
    </row>
    <row r="34" spans="47:49">
      <c r="AW34" s="16"/>
    </row>
  </sheetData>
  <autoFilter ref="B3:GO27" xr:uid="{00000000-0009-0000-0000-000003000000}"/>
  <mergeCells count="7">
    <mergeCell ref="X2:AB2"/>
    <mergeCell ref="B2:W2"/>
    <mergeCell ref="AU2:GO2"/>
    <mergeCell ref="AC28:AE28"/>
    <mergeCell ref="AS2:AS3"/>
    <mergeCell ref="AC2:AR2"/>
    <mergeCell ref="AT2:AT3"/>
  </mergeCells>
  <conditionalFormatting sqref="AU4:CR27 CT4:GO2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10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G187"/>
  <sheetViews>
    <sheetView showGridLines="0" topLeftCell="A121" workbookViewId="0">
      <selection activeCell="I137" sqref="I137"/>
    </sheetView>
  </sheetViews>
  <sheetFormatPr defaultRowHeight="14.6"/>
  <sheetData>
    <row r="1" spans="1:7">
      <c r="A1" s="458" t="s">
        <v>182</v>
      </c>
      <c r="B1" s="458"/>
      <c r="C1" s="9"/>
      <c r="D1" s="9"/>
      <c r="E1" s="458" t="s">
        <v>183</v>
      </c>
      <c r="F1" s="458"/>
      <c r="G1" s="9"/>
    </row>
    <row r="2" spans="1:7">
      <c r="A2" s="10" t="s">
        <v>184</v>
      </c>
      <c r="B2" s="10" t="s">
        <v>185</v>
      </c>
      <c r="C2" s="9"/>
      <c r="D2" s="9"/>
      <c r="E2" s="10" t="s">
        <v>184</v>
      </c>
      <c r="F2" s="10" t="s">
        <v>185</v>
      </c>
      <c r="G2" s="9"/>
    </row>
    <row r="3" spans="1:7">
      <c r="A3" s="11">
        <v>-5</v>
      </c>
      <c r="B3" s="10">
        <v>0</v>
      </c>
      <c r="C3" s="9"/>
      <c r="D3" s="9"/>
      <c r="E3" s="11">
        <v>-5</v>
      </c>
      <c r="F3" s="10">
        <v>1</v>
      </c>
      <c r="G3" s="9"/>
    </row>
    <row r="4" spans="1:7">
      <c r="A4" s="11">
        <v>-2.4500000000000002</v>
      </c>
      <c r="B4" s="10">
        <v>0</v>
      </c>
      <c r="C4" s="9"/>
      <c r="D4" s="9"/>
      <c r="E4" s="11">
        <v>-2.4500000000000002</v>
      </c>
      <c r="F4" s="10">
        <v>1</v>
      </c>
      <c r="G4" s="9"/>
    </row>
    <row r="5" spans="1:7">
      <c r="A5" s="11">
        <v>-2.4</v>
      </c>
      <c r="B5" s="10">
        <v>0</v>
      </c>
      <c r="C5" s="9"/>
      <c r="D5" s="9"/>
      <c r="E5" s="11">
        <v>-2.4</v>
      </c>
      <c r="F5" s="10">
        <v>1</v>
      </c>
      <c r="G5" s="9"/>
    </row>
    <row r="6" spans="1:7">
      <c r="A6" s="11">
        <v>-2.35</v>
      </c>
      <c r="B6" s="10">
        <v>0</v>
      </c>
      <c r="C6" s="9"/>
      <c r="D6" s="9"/>
      <c r="E6" s="11">
        <v>-2.35</v>
      </c>
      <c r="F6" s="10">
        <v>1</v>
      </c>
      <c r="G6" s="9"/>
    </row>
    <row r="7" spans="1:7">
      <c r="A7" s="11">
        <v>-2.2999999999999998</v>
      </c>
      <c r="B7" s="10">
        <v>0</v>
      </c>
      <c r="C7" s="9"/>
      <c r="D7" s="9"/>
      <c r="E7" s="11">
        <v>-2.2999999999999998</v>
      </c>
      <c r="F7" s="10">
        <v>1</v>
      </c>
      <c r="G7" s="9"/>
    </row>
    <row r="8" spans="1:7">
      <c r="A8" s="11">
        <v>-2.25</v>
      </c>
      <c r="B8" s="10">
        <v>0</v>
      </c>
      <c r="C8" s="9"/>
      <c r="D8" s="9"/>
      <c r="E8" s="11">
        <v>-2.25</v>
      </c>
      <c r="F8" s="10">
        <v>1</v>
      </c>
      <c r="G8" s="9"/>
    </row>
    <row r="9" spans="1:7">
      <c r="A9" s="11">
        <v>-2.2000000000000002</v>
      </c>
      <c r="B9" s="10">
        <v>0</v>
      </c>
      <c r="C9" s="9"/>
      <c r="D9" s="9"/>
      <c r="E9" s="11">
        <v>-2.2000000000000002</v>
      </c>
      <c r="F9" s="10">
        <v>1</v>
      </c>
      <c r="G9" s="9"/>
    </row>
    <row r="10" spans="1:7">
      <c r="A10" s="11">
        <v>-2.15</v>
      </c>
      <c r="B10" s="10">
        <v>0</v>
      </c>
      <c r="C10" s="9"/>
      <c r="D10" s="9"/>
      <c r="E10" s="11">
        <v>-2.15</v>
      </c>
      <c r="F10" s="10">
        <v>1</v>
      </c>
      <c r="G10" s="9"/>
    </row>
    <row r="11" spans="1:7">
      <c r="A11" s="11">
        <v>-2.1</v>
      </c>
      <c r="B11" s="10">
        <v>0</v>
      </c>
      <c r="C11" s="9"/>
      <c r="D11" s="9"/>
      <c r="E11" s="11">
        <v>-2.1</v>
      </c>
      <c r="F11" s="10">
        <v>1</v>
      </c>
      <c r="G11" s="9"/>
    </row>
    <row r="12" spans="1:7">
      <c r="A12" s="11">
        <v>-2.0499999999999998</v>
      </c>
      <c r="B12" s="10">
        <v>0</v>
      </c>
      <c r="C12" s="9"/>
      <c r="D12" s="9"/>
      <c r="E12" s="11">
        <v>-2.0499999999999998</v>
      </c>
      <c r="F12" s="10">
        <v>1</v>
      </c>
      <c r="G12" s="9"/>
    </row>
    <row r="13" spans="1:7">
      <c r="A13" s="11">
        <v>-2</v>
      </c>
      <c r="B13" s="10">
        <v>0</v>
      </c>
      <c r="C13" s="9"/>
      <c r="D13" s="9"/>
      <c r="E13" s="11">
        <v>-2</v>
      </c>
      <c r="F13" s="10">
        <v>1</v>
      </c>
      <c r="G13" s="9"/>
    </row>
    <row r="14" spans="1:7">
      <c r="A14" s="11">
        <v>-1.95</v>
      </c>
      <c r="B14" s="10">
        <v>0</v>
      </c>
      <c r="C14" s="9"/>
      <c r="D14" s="9"/>
      <c r="E14" s="11">
        <v>-1.95</v>
      </c>
      <c r="F14" s="10">
        <v>1</v>
      </c>
      <c r="G14" s="15">
        <v>0</v>
      </c>
    </row>
    <row r="15" spans="1:7">
      <c r="A15" s="11">
        <v>-1.9</v>
      </c>
      <c r="B15" s="10">
        <v>0</v>
      </c>
      <c r="C15" s="9"/>
      <c r="D15" s="9"/>
      <c r="E15" s="11">
        <v>-1.9</v>
      </c>
      <c r="F15" s="10">
        <v>1</v>
      </c>
      <c r="G15" s="15">
        <v>0</v>
      </c>
    </row>
    <row r="16" spans="1:7">
      <c r="A16" s="11">
        <v>-1.85</v>
      </c>
      <c r="B16" s="10">
        <v>0</v>
      </c>
      <c r="C16" s="9"/>
      <c r="D16" s="9"/>
      <c r="E16" s="11">
        <v>-1.85</v>
      </c>
      <c r="F16" s="10">
        <v>1</v>
      </c>
      <c r="G16" s="15">
        <v>0</v>
      </c>
    </row>
    <row r="17" spans="1:7">
      <c r="A17" s="11">
        <v>-1.8</v>
      </c>
      <c r="B17" s="10">
        <v>0</v>
      </c>
      <c r="C17" s="9"/>
      <c r="D17" s="9"/>
      <c r="E17" s="11">
        <v>-1.8</v>
      </c>
      <c r="F17" s="10">
        <v>1</v>
      </c>
      <c r="G17" s="15">
        <v>0</v>
      </c>
    </row>
    <row r="18" spans="1:7">
      <c r="A18" s="11">
        <v>-1.75</v>
      </c>
      <c r="B18" s="10">
        <v>0</v>
      </c>
      <c r="C18" s="9"/>
      <c r="D18" s="9"/>
      <c r="E18" s="11">
        <v>-1.75</v>
      </c>
      <c r="F18" s="10">
        <v>1</v>
      </c>
      <c r="G18" s="15">
        <v>0</v>
      </c>
    </row>
    <row r="19" spans="1:7">
      <c r="A19" s="11">
        <v>-1.7</v>
      </c>
      <c r="B19" s="10">
        <v>0</v>
      </c>
      <c r="C19" s="9"/>
      <c r="D19" s="9"/>
      <c r="E19" s="11">
        <v>-1.7</v>
      </c>
      <c r="F19" s="10">
        <v>1</v>
      </c>
      <c r="G19" s="15">
        <v>0</v>
      </c>
    </row>
    <row r="20" spans="1:7">
      <c r="A20" s="11">
        <v>-1.65</v>
      </c>
      <c r="B20" s="10">
        <v>0</v>
      </c>
      <c r="C20" s="9"/>
      <c r="D20" s="9"/>
      <c r="E20" s="11">
        <v>-1.65</v>
      </c>
      <c r="F20" s="10">
        <v>1</v>
      </c>
      <c r="G20" s="15">
        <v>0</v>
      </c>
    </row>
    <row r="21" spans="1:7">
      <c r="A21" s="11">
        <v>-1.6</v>
      </c>
      <c r="B21" s="10">
        <v>0</v>
      </c>
      <c r="C21" s="9"/>
      <c r="D21" s="9"/>
      <c r="E21" s="11">
        <v>-1.6</v>
      </c>
      <c r="F21" s="10">
        <v>1</v>
      </c>
      <c r="G21" s="15">
        <v>0</v>
      </c>
    </row>
    <row r="22" spans="1:7">
      <c r="A22" s="11">
        <v>-1.55</v>
      </c>
      <c r="B22" s="10">
        <v>0</v>
      </c>
      <c r="C22" s="9"/>
      <c r="D22" s="9"/>
      <c r="E22" s="11">
        <v>-1.55</v>
      </c>
      <c r="F22" s="10">
        <v>1</v>
      </c>
      <c r="G22" s="15">
        <v>0</v>
      </c>
    </row>
    <row r="23" spans="1:7">
      <c r="A23" s="11">
        <v>-1.5</v>
      </c>
      <c r="B23" s="10">
        <v>0</v>
      </c>
      <c r="C23" s="9"/>
      <c r="D23" s="9"/>
      <c r="E23" s="11">
        <v>-1.5</v>
      </c>
      <c r="F23" s="10">
        <v>1</v>
      </c>
      <c r="G23" s="15">
        <v>0</v>
      </c>
    </row>
    <row r="24" spans="1:7">
      <c r="A24" s="11">
        <v>-1.45</v>
      </c>
      <c r="B24" s="10">
        <v>0</v>
      </c>
      <c r="C24" s="9"/>
      <c r="D24" s="9"/>
      <c r="E24" s="11">
        <v>-1.45</v>
      </c>
      <c r="F24" s="10">
        <v>1</v>
      </c>
      <c r="G24" s="15">
        <v>0</v>
      </c>
    </row>
    <row r="25" spans="1:7">
      <c r="A25" s="11">
        <v>-1.4</v>
      </c>
      <c r="B25" s="10">
        <v>0</v>
      </c>
      <c r="C25" s="9"/>
      <c r="D25" s="9"/>
      <c r="E25" s="11">
        <v>-1.4</v>
      </c>
      <c r="F25" s="10">
        <v>1</v>
      </c>
      <c r="G25" s="15">
        <v>0</v>
      </c>
    </row>
    <row r="26" spans="1:7">
      <c r="A26" s="11">
        <v>-1.35</v>
      </c>
      <c r="B26" s="10">
        <v>0</v>
      </c>
      <c r="C26" s="9"/>
      <c r="D26" s="9"/>
      <c r="E26" s="11">
        <v>-1.35</v>
      </c>
      <c r="F26" s="10">
        <v>1</v>
      </c>
      <c r="G26" s="15">
        <v>0</v>
      </c>
    </row>
    <row r="27" spans="1:7">
      <c r="A27" s="11">
        <v>-1.3</v>
      </c>
      <c r="B27" s="10">
        <v>0</v>
      </c>
      <c r="C27" s="9"/>
      <c r="D27" s="9"/>
      <c r="E27" s="11">
        <v>-1.3</v>
      </c>
      <c r="F27" s="10">
        <v>1</v>
      </c>
      <c r="G27" s="15">
        <v>0</v>
      </c>
    </row>
    <row r="28" spans="1:7">
      <c r="A28" s="11">
        <v>-1.25</v>
      </c>
      <c r="B28" s="10">
        <v>0</v>
      </c>
      <c r="C28" s="9"/>
      <c r="D28" s="9"/>
      <c r="E28" s="11">
        <v>-1.25</v>
      </c>
      <c r="F28" s="10">
        <v>1</v>
      </c>
      <c r="G28" s="15">
        <v>0</v>
      </c>
    </row>
    <row r="29" spans="1:7">
      <c r="A29" s="11">
        <v>-1.2</v>
      </c>
      <c r="B29" s="10">
        <v>0</v>
      </c>
      <c r="C29" s="9"/>
      <c r="D29" s="9"/>
      <c r="E29" s="11">
        <v>-1.2</v>
      </c>
      <c r="F29" s="10">
        <v>1</v>
      </c>
      <c r="G29" s="15">
        <v>0</v>
      </c>
    </row>
    <row r="30" spans="1:7">
      <c r="A30" s="11">
        <v>-1.1499999999999999</v>
      </c>
      <c r="B30" s="10">
        <v>0</v>
      </c>
      <c r="C30" s="9"/>
      <c r="D30" s="9"/>
      <c r="E30" s="11">
        <v>-1.1499999999999999</v>
      </c>
      <c r="F30" s="10">
        <v>1</v>
      </c>
      <c r="G30" s="15">
        <v>0</v>
      </c>
    </row>
    <row r="31" spans="1:7">
      <c r="A31" s="11">
        <v>-1.1000000000000001</v>
      </c>
      <c r="B31" s="14">
        <v>0</v>
      </c>
      <c r="C31" s="15">
        <v>1.7999999999999999E-2</v>
      </c>
      <c r="D31" s="9"/>
      <c r="E31" s="11">
        <v>-1.1000000000000001</v>
      </c>
      <c r="F31" s="10">
        <v>1</v>
      </c>
      <c r="G31" s="15">
        <v>0</v>
      </c>
    </row>
    <row r="32" spans="1:7">
      <c r="A32" s="11">
        <v>-1.05</v>
      </c>
      <c r="B32" s="14">
        <v>1.7999999999999999E-2</v>
      </c>
      <c r="C32" s="15">
        <v>1.7999999999999999E-2</v>
      </c>
      <c r="D32" s="9"/>
      <c r="E32" s="11">
        <v>-1.05</v>
      </c>
      <c r="F32" s="10">
        <v>1</v>
      </c>
      <c r="G32" s="15">
        <v>0</v>
      </c>
    </row>
    <row r="33" spans="1:7">
      <c r="A33" s="11">
        <v>-1.04</v>
      </c>
      <c r="B33" s="14">
        <v>3.5999999999999997E-2</v>
      </c>
      <c r="C33" s="15">
        <v>1.8000000000000002E-2</v>
      </c>
      <c r="D33" s="9"/>
      <c r="E33" s="11">
        <v>-1.04</v>
      </c>
      <c r="F33" s="10">
        <v>1</v>
      </c>
      <c r="G33" s="15">
        <v>0</v>
      </c>
    </row>
    <row r="34" spans="1:7">
      <c r="A34" s="11">
        <v>-1.03</v>
      </c>
      <c r="B34" s="14">
        <v>5.3999999999999999E-2</v>
      </c>
      <c r="C34" s="15">
        <v>1.6999999999999994E-2</v>
      </c>
      <c r="D34" s="9"/>
      <c r="E34" s="11">
        <v>-1.03</v>
      </c>
      <c r="F34" s="10">
        <v>1</v>
      </c>
      <c r="G34" s="15">
        <v>0</v>
      </c>
    </row>
    <row r="35" spans="1:7">
      <c r="A35" s="11">
        <v>-1.02</v>
      </c>
      <c r="B35" s="14">
        <v>7.0999999999999994E-2</v>
      </c>
      <c r="C35" s="15">
        <v>1.7000000000000001E-2</v>
      </c>
      <c r="D35" s="9"/>
      <c r="E35" s="11">
        <v>-1.02</v>
      </c>
      <c r="F35" s="10">
        <v>1</v>
      </c>
      <c r="G35" s="15">
        <v>0</v>
      </c>
    </row>
    <row r="36" spans="1:7">
      <c r="A36" s="11">
        <v>-1.01</v>
      </c>
      <c r="B36" s="14">
        <v>8.7999999999999995E-2</v>
      </c>
      <c r="C36" s="15">
        <v>1.7000000000000001E-2</v>
      </c>
      <c r="D36" s="9"/>
      <c r="E36" s="11">
        <v>-1.01</v>
      </c>
      <c r="F36" s="10">
        <v>1</v>
      </c>
      <c r="G36" s="15">
        <v>0</v>
      </c>
    </row>
    <row r="37" spans="1:7">
      <c r="A37" s="11">
        <v>-1</v>
      </c>
      <c r="B37" s="14">
        <v>0.105</v>
      </c>
      <c r="C37" s="15">
        <v>1.7000000000000001E-2</v>
      </c>
      <c r="D37" s="9"/>
      <c r="E37" s="11">
        <v>-1</v>
      </c>
      <c r="F37" s="10">
        <v>1</v>
      </c>
      <c r="G37" s="15">
        <v>0</v>
      </c>
    </row>
    <row r="38" spans="1:7">
      <c r="A38" s="11">
        <v>-0.99</v>
      </c>
      <c r="B38" s="14">
        <v>0.122</v>
      </c>
      <c r="C38" s="15">
        <v>1.6000000000000014E-2</v>
      </c>
      <c r="D38" s="9"/>
      <c r="E38" s="11">
        <v>-0.99</v>
      </c>
      <c r="F38" s="10">
        <v>1</v>
      </c>
      <c r="G38" s="15">
        <v>0</v>
      </c>
    </row>
    <row r="39" spans="1:7">
      <c r="A39" s="11">
        <v>-0.98</v>
      </c>
      <c r="B39" s="14">
        <v>0.13800000000000001</v>
      </c>
      <c r="C39" s="15">
        <v>1.5999999999999986E-2</v>
      </c>
      <c r="D39" s="9"/>
      <c r="E39" s="11">
        <v>-0.98</v>
      </c>
      <c r="F39" s="10">
        <v>1</v>
      </c>
      <c r="G39" s="15">
        <v>0</v>
      </c>
    </row>
    <row r="40" spans="1:7">
      <c r="A40" s="11">
        <v>-0.97</v>
      </c>
      <c r="B40" s="14">
        <v>0.154</v>
      </c>
      <c r="C40" s="15">
        <v>1.6000000000000014E-2</v>
      </c>
      <c r="D40" s="9"/>
      <c r="E40" s="11">
        <v>-0.97</v>
      </c>
      <c r="F40" s="10">
        <v>1</v>
      </c>
      <c r="G40" s="15">
        <v>0</v>
      </c>
    </row>
    <row r="41" spans="1:7">
      <c r="A41" s="11">
        <v>-0.96</v>
      </c>
      <c r="B41" s="14">
        <v>0.17</v>
      </c>
      <c r="C41" s="15">
        <v>1.5999999999999986E-2</v>
      </c>
      <c r="D41" s="9"/>
      <c r="E41" s="11">
        <v>-0.96</v>
      </c>
      <c r="F41" s="10">
        <v>1</v>
      </c>
      <c r="G41" s="15">
        <v>0</v>
      </c>
    </row>
    <row r="42" spans="1:7">
      <c r="A42" s="11">
        <v>-0.95</v>
      </c>
      <c r="B42" s="14">
        <v>0.186</v>
      </c>
      <c r="C42" s="15">
        <v>1.6000000000000014E-2</v>
      </c>
      <c r="D42" s="9"/>
      <c r="E42" s="11">
        <v>-0.95</v>
      </c>
      <c r="F42" s="10">
        <v>1</v>
      </c>
      <c r="G42" s="15">
        <v>0</v>
      </c>
    </row>
    <row r="43" spans="1:7">
      <c r="A43" s="11">
        <v>-0.94</v>
      </c>
      <c r="B43" s="14">
        <v>0.20200000000000001</v>
      </c>
      <c r="C43" s="15">
        <v>1.4999999999999986E-2</v>
      </c>
      <c r="D43" s="9"/>
      <c r="E43" s="11">
        <v>-0.94</v>
      </c>
      <c r="F43" s="10">
        <v>1</v>
      </c>
      <c r="G43" s="15">
        <v>0</v>
      </c>
    </row>
    <row r="44" spans="1:7">
      <c r="A44" s="11">
        <v>-0.93</v>
      </c>
      <c r="B44" s="14">
        <v>0.217</v>
      </c>
      <c r="C44" s="15">
        <v>1.5000000000000013E-2</v>
      </c>
      <c r="D44" s="9"/>
      <c r="E44" s="11">
        <v>-0.93</v>
      </c>
      <c r="F44" s="10">
        <v>1</v>
      </c>
      <c r="G44" s="15">
        <v>0</v>
      </c>
    </row>
    <row r="45" spans="1:7">
      <c r="A45" s="11">
        <v>-0.92</v>
      </c>
      <c r="B45" s="14">
        <v>0.23200000000000001</v>
      </c>
      <c r="C45" s="15">
        <v>1.4999999999999986E-2</v>
      </c>
      <c r="D45" s="9"/>
      <c r="E45" s="11">
        <v>-0.92</v>
      </c>
      <c r="F45" s="10">
        <v>1</v>
      </c>
      <c r="G45" s="15">
        <v>0</v>
      </c>
    </row>
    <row r="46" spans="1:7">
      <c r="A46" s="11">
        <v>-0.91</v>
      </c>
      <c r="B46" s="14">
        <v>0.247</v>
      </c>
      <c r="C46" s="15">
        <v>1.5000000000000013E-2</v>
      </c>
      <c r="D46" s="9"/>
      <c r="E46" s="11">
        <v>-0.91</v>
      </c>
      <c r="F46" s="10">
        <v>1</v>
      </c>
      <c r="G46" s="15">
        <v>0</v>
      </c>
    </row>
    <row r="47" spans="1:7">
      <c r="A47" s="11">
        <v>-0.9</v>
      </c>
      <c r="B47" s="14">
        <v>0.26200000000000001</v>
      </c>
      <c r="C47" s="15">
        <v>1.5000000000000013E-2</v>
      </c>
      <c r="D47" s="9"/>
      <c r="E47" s="11">
        <v>-0.9</v>
      </c>
      <c r="F47" s="10">
        <v>1</v>
      </c>
      <c r="G47" s="15">
        <v>0</v>
      </c>
    </row>
    <row r="48" spans="1:7">
      <c r="A48" s="11">
        <v>-0.89</v>
      </c>
      <c r="B48" s="14">
        <v>0.27700000000000002</v>
      </c>
      <c r="C48" s="15">
        <v>1.3999999999999957E-2</v>
      </c>
      <c r="D48" s="9"/>
      <c r="E48" s="11">
        <v>-0.89</v>
      </c>
      <c r="F48" s="10">
        <v>1</v>
      </c>
      <c r="G48" s="15">
        <v>0</v>
      </c>
    </row>
    <row r="49" spans="1:7">
      <c r="A49" s="11">
        <v>-0.88</v>
      </c>
      <c r="B49" s="14">
        <v>0.29099999999999998</v>
      </c>
      <c r="C49" s="15">
        <v>1.4000000000000012E-2</v>
      </c>
      <c r="D49" s="9"/>
      <c r="E49" s="11">
        <v>-0.88</v>
      </c>
      <c r="F49" s="10">
        <v>1</v>
      </c>
      <c r="G49" s="15">
        <v>0</v>
      </c>
    </row>
    <row r="50" spans="1:7">
      <c r="A50" s="11">
        <v>-0.87</v>
      </c>
      <c r="B50" s="14">
        <v>0.30499999999999999</v>
      </c>
      <c r="C50" s="15">
        <v>1.4000000000000012E-2</v>
      </c>
      <c r="D50" s="9"/>
      <c r="E50" s="11">
        <v>-0.87</v>
      </c>
      <c r="F50" s="10">
        <v>1</v>
      </c>
      <c r="G50" s="15">
        <v>0</v>
      </c>
    </row>
    <row r="51" spans="1:7">
      <c r="A51" s="11">
        <v>-0.86</v>
      </c>
      <c r="B51" s="14">
        <v>0.31900000000000001</v>
      </c>
      <c r="C51" s="15">
        <v>1.4000000000000012E-2</v>
      </c>
      <c r="D51" s="9"/>
      <c r="E51" s="11">
        <v>-0.86</v>
      </c>
      <c r="F51" s="10">
        <v>1</v>
      </c>
      <c r="G51" s="15">
        <v>0</v>
      </c>
    </row>
    <row r="52" spans="1:7">
      <c r="A52" s="11">
        <v>-0.85</v>
      </c>
      <c r="B52" s="14">
        <v>0.33300000000000002</v>
      </c>
      <c r="C52" s="15">
        <v>1.3999999999999957E-2</v>
      </c>
      <c r="D52" s="9"/>
      <c r="E52" s="11">
        <v>-0.85</v>
      </c>
      <c r="F52" s="10">
        <v>1</v>
      </c>
      <c r="G52" s="15">
        <v>0</v>
      </c>
    </row>
    <row r="53" spans="1:7">
      <c r="A53" s="11">
        <v>-0.84</v>
      </c>
      <c r="B53" s="14">
        <v>0.34699999999999998</v>
      </c>
      <c r="C53" s="15">
        <v>1.3000000000000012E-2</v>
      </c>
      <c r="D53" s="9"/>
      <c r="E53" s="11">
        <v>-0.84</v>
      </c>
      <c r="F53" s="10">
        <v>1</v>
      </c>
      <c r="G53" s="15">
        <v>0</v>
      </c>
    </row>
    <row r="54" spans="1:7">
      <c r="A54" s="11">
        <v>-0.83</v>
      </c>
      <c r="B54" s="14">
        <v>0.36</v>
      </c>
      <c r="C54" s="15">
        <v>1.3000000000000012E-2</v>
      </c>
      <c r="D54" s="9"/>
      <c r="E54" s="11">
        <v>-0.83</v>
      </c>
      <c r="F54" s="10">
        <v>1</v>
      </c>
      <c r="G54" s="15">
        <v>0</v>
      </c>
    </row>
    <row r="55" spans="1:7">
      <c r="A55" s="11">
        <v>-0.82</v>
      </c>
      <c r="B55" s="14">
        <v>0.373</v>
      </c>
      <c r="C55" s="15">
        <v>1.3000000000000012E-2</v>
      </c>
      <c r="D55" s="9"/>
      <c r="E55" s="11">
        <v>-0.82</v>
      </c>
      <c r="F55" s="10">
        <v>1</v>
      </c>
      <c r="G55" s="15">
        <v>0</v>
      </c>
    </row>
    <row r="56" spans="1:7">
      <c r="A56" s="11">
        <v>-0.81</v>
      </c>
      <c r="B56" s="14">
        <v>0.38600000000000001</v>
      </c>
      <c r="C56" s="15">
        <v>1.3000000000000012E-2</v>
      </c>
      <c r="D56" s="9"/>
      <c r="E56" s="11">
        <v>-0.81</v>
      </c>
      <c r="F56" s="10">
        <v>1</v>
      </c>
      <c r="G56" s="15">
        <v>0</v>
      </c>
    </row>
    <row r="57" spans="1:7">
      <c r="A57" s="11">
        <v>-0.8</v>
      </c>
      <c r="B57" s="14">
        <v>0.39900000000000002</v>
      </c>
      <c r="C57" s="15">
        <v>1.2999999999999956E-2</v>
      </c>
      <c r="D57" s="9"/>
      <c r="E57" s="11">
        <v>-0.8</v>
      </c>
      <c r="F57" s="10">
        <v>1</v>
      </c>
      <c r="G57" s="15">
        <v>0</v>
      </c>
    </row>
    <row r="58" spans="1:7">
      <c r="A58" s="11">
        <v>-0.79</v>
      </c>
      <c r="B58" s="14">
        <v>0.41199999999999998</v>
      </c>
      <c r="C58" s="15">
        <v>1.2000000000000011E-2</v>
      </c>
      <c r="D58" s="9"/>
      <c r="E58" s="11">
        <v>-0.79</v>
      </c>
      <c r="F58" s="10">
        <v>1</v>
      </c>
      <c r="G58" s="15">
        <v>0</v>
      </c>
    </row>
    <row r="59" spans="1:7">
      <c r="A59" s="11">
        <v>-0.78</v>
      </c>
      <c r="B59" s="14">
        <v>0.42399999999999999</v>
      </c>
      <c r="C59" s="15">
        <v>1.2000000000000011E-2</v>
      </c>
      <c r="D59" s="9"/>
      <c r="E59" s="11">
        <v>-0.78</v>
      </c>
      <c r="F59" s="10">
        <v>1</v>
      </c>
      <c r="G59" s="15">
        <v>0</v>
      </c>
    </row>
    <row r="60" spans="1:7">
      <c r="A60" s="11">
        <v>-0.77</v>
      </c>
      <c r="B60" s="14">
        <v>0.436</v>
      </c>
      <c r="C60" s="15">
        <v>1.2000000000000011E-2</v>
      </c>
      <c r="D60" s="9"/>
      <c r="E60" s="11">
        <v>-0.77</v>
      </c>
      <c r="F60" s="10">
        <v>1</v>
      </c>
      <c r="G60" s="15">
        <v>0</v>
      </c>
    </row>
    <row r="61" spans="1:7">
      <c r="A61" s="11">
        <v>-0.76</v>
      </c>
      <c r="B61" s="14">
        <v>0.44800000000000001</v>
      </c>
      <c r="C61" s="15">
        <v>1.2000000000000011E-2</v>
      </c>
      <c r="D61" s="9"/>
      <c r="E61" s="11">
        <v>-0.76</v>
      </c>
      <c r="F61" s="10">
        <v>1</v>
      </c>
      <c r="G61" s="15">
        <v>0</v>
      </c>
    </row>
    <row r="62" spans="1:7">
      <c r="A62" s="11">
        <v>-0.75</v>
      </c>
      <c r="B62" s="14">
        <v>0.46</v>
      </c>
      <c r="C62" s="15">
        <v>1.1999999999999955E-2</v>
      </c>
      <c r="D62" s="9"/>
      <c r="E62" s="11">
        <v>-0.75</v>
      </c>
      <c r="F62" s="10">
        <v>1</v>
      </c>
      <c r="G62" s="15">
        <v>0</v>
      </c>
    </row>
    <row r="63" spans="1:7">
      <c r="A63" s="11">
        <v>-0.74</v>
      </c>
      <c r="B63" s="14">
        <v>0.47199999999999998</v>
      </c>
      <c r="C63" s="15">
        <v>1.100000000000001E-2</v>
      </c>
      <c r="D63" s="9"/>
      <c r="E63" s="11">
        <v>-0.74</v>
      </c>
      <c r="F63" s="10">
        <v>1</v>
      </c>
      <c r="G63" s="15">
        <v>0</v>
      </c>
    </row>
    <row r="64" spans="1:7">
      <c r="A64" s="11">
        <v>-0.73</v>
      </c>
      <c r="B64" s="14">
        <v>0.48299999999999998</v>
      </c>
      <c r="C64" s="15">
        <v>1.100000000000001E-2</v>
      </c>
      <c r="D64" s="9"/>
      <c r="E64" s="11">
        <v>-0.73</v>
      </c>
      <c r="F64" s="10">
        <v>1</v>
      </c>
      <c r="G64" s="15">
        <v>0</v>
      </c>
    </row>
    <row r="65" spans="1:7">
      <c r="A65" s="11">
        <v>-0.72</v>
      </c>
      <c r="B65" s="14">
        <v>0.49399999999999999</v>
      </c>
      <c r="C65" s="15">
        <v>1.100000000000001E-2</v>
      </c>
      <c r="D65" s="9"/>
      <c r="E65" s="11">
        <v>-0.72</v>
      </c>
      <c r="F65" s="10">
        <v>1</v>
      </c>
      <c r="G65" s="15">
        <v>0</v>
      </c>
    </row>
    <row r="66" spans="1:7">
      <c r="A66" s="11">
        <v>-0.71</v>
      </c>
      <c r="B66" s="14">
        <v>0.505</v>
      </c>
      <c r="C66" s="15">
        <v>1.100000000000001E-2</v>
      </c>
      <c r="D66" s="9"/>
      <c r="E66" s="11">
        <v>-0.71</v>
      </c>
      <c r="F66" s="10">
        <v>1</v>
      </c>
      <c r="G66" s="15">
        <v>0</v>
      </c>
    </row>
    <row r="67" spans="1:7">
      <c r="A67" s="11">
        <v>-0.7</v>
      </c>
      <c r="B67" s="14">
        <v>0.51600000000000001</v>
      </c>
      <c r="C67" s="15">
        <v>1.100000000000001E-2</v>
      </c>
      <c r="D67" s="9"/>
      <c r="E67" s="11">
        <v>-0.7</v>
      </c>
      <c r="F67" s="10">
        <v>1</v>
      </c>
      <c r="G67" s="15">
        <v>0</v>
      </c>
    </row>
    <row r="68" spans="1:7">
      <c r="A68" s="11">
        <v>-0.69</v>
      </c>
      <c r="B68" s="14">
        <v>0.52700000000000002</v>
      </c>
      <c r="C68" s="15">
        <v>1.100000000000001E-2</v>
      </c>
      <c r="D68" s="9"/>
      <c r="E68" s="11">
        <v>-0.69</v>
      </c>
      <c r="F68" s="10">
        <v>1</v>
      </c>
      <c r="G68" s="15">
        <v>0</v>
      </c>
    </row>
    <row r="69" spans="1:7">
      <c r="A69" s="11">
        <v>-0.68</v>
      </c>
      <c r="B69" s="14">
        <v>0.53800000000000003</v>
      </c>
      <c r="C69" s="15">
        <v>1.0000000000000009E-2</v>
      </c>
      <c r="D69" s="9"/>
      <c r="E69" s="11">
        <v>-0.68</v>
      </c>
      <c r="F69" s="10">
        <v>1</v>
      </c>
      <c r="G69" s="15">
        <v>0</v>
      </c>
    </row>
    <row r="70" spans="1:7">
      <c r="A70" s="11">
        <v>-0.67</v>
      </c>
      <c r="B70" s="14">
        <v>0.54800000000000004</v>
      </c>
      <c r="C70" s="15">
        <v>1.0000000000000009E-2</v>
      </c>
      <c r="D70" s="9"/>
      <c r="E70" s="11">
        <v>-0.67</v>
      </c>
      <c r="F70" s="10">
        <v>1</v>
      </c>
      <c r="G70" s="15">
        <v>0</v>
      </c>
    </row>
    <row r="71" spans="1:7">
      <c r="A71" s="11">
        <v>-0.66</v>
      </c>
      <c r="B71" s="14">
        <v>0.55800000000000005</v>
      </c>
      <c r="C71" s="15">
        <v>9.9999999999998979E-3</v>
      </c>
      <c r="D71" s="9"/>
      <c r="E71" s="11">
        <v>-0.66</v>
      </c>
      <c r="F71" s="10">
        <v>1</v>
      </c>
      <c r="G71" s="15">
        <v>0</v>
      </c>
    </row>
    <row r="72" spans="1:7">
      <c r="A72" s="11">
        <v>-0.65</v>
      </c>
      <c r="B72" s="14">
        <v>0.56799999999999995</v>
      </c>
      <c r="C72" s="15">
        <v>1.0000000000000009E-2</v>
      </c>
      <c r="D72" s="9"/>
      <c r="E72" s="11">
        <v>-0.65</v>
      </c>
      <c r="F72" s="10">
        <v>1</v>
      </c>
      <c r="G72" s="15">
        <v>0</v>
      </c>
    </row>
    <row r="73" spans="1:7">
      <c r="A73" s="11">
        <v>-0.64</v>
      </c>
      <c r="B73" s="14">
        <v>0.57799999999999996</v>
      </c>
      <c r="C73" s="15">
        <v>1.0000000000000009E-2</v>
      </c>
      <c r="D73" s="9"/>
      <c r="E73" s="11">
        <v>-0.64</v>
      </c>
      <c r="F73" s="10">
        <v>1</v>
      </c>
      <c r="G73" s="15">
        <v>0</v>
      </c>
    </row>
    <row r="74" spans="1:7">
      <c r="A74" s="11">
        <v>-0.63</v>
      </c>
      <c r="B74" s="14">
        <v>0.58799999999999997</v>
      </c>
      <c r="C74" s="15">
        <v>1.0000000000000009E-2</v>
      </c>
      <c r="D74" s="9"/>
      <c r="E74" s="11">
        <v>-0.63</v>
      </c>
      <c r="F74" s="10">
        <v>1</v>
      </c>
      <c r="G74" s="15">
        <v>0</v>
      </c>
    </row>
    <row r="75" spans="1:7">
      <c r="A75" s="11">
        <v>-0.62</v>
      </c>
      <c r="B75" s="14">
        <v>0.59799999999999998</v>
      </c>
      <c r="C75" s="15">
        <v>1.0000000000000009E-2</v>
      </c>
      <c r="D75" s="9"/>
      <c r="E75" s="11">
        <v>-0.62</v>
      </c>
      <c r="F75" s="10">
        <v>1</v>
      </c>
      <c r="G75" s="15">
        <v>0</v>
      </c>
    </row>
    <row r="76" spans="1:7">
      <c r="A76" s="11">
        <v>-0.61</v>
      </c>
      <c r="B76" s="14">
        <v>0.60799999999999998</v>
      </c>
      <c r="C76" s="15">
        <v>9.000000000000008E-3</v>
      </c>
      <c r="D76" s="9"/>
      <c r="E76" s="11">
        <v>-0.61</v>
      </c>
      <c r="F76" s="10">
        <v>1</v>
      </c>
      <c r="G76" s="15">
        <v>0</v>
      </c>
    </row>
    <row r="77" spans="1:7">
      <c r="A77" s="11">
        <v>-0.6</v>
      </c>
      <c r="B77" s="14">
        <v>0.61699999999999999</v>
      </c>
      <c r="C77" s="15">
        <v>9.000000000000008E-3</v>
      </c>
      <c r="D77" s="9"/>
      <c r="E77" s="11">
        <v>-0.6</v>
      </c>
      <c r="F77" s="10">
        <v>1</v>
      </c>
      <c r="G77" s="15">
        <v>0</v>
      </c>
    </row>
    <row r="78" spans="1:7">
      <c r="A78" s="11">
        <v>-0.59</v>
      </c>
      <c r="B78" s="14">
        <v>0.626</v>
      </c>
      <c r="C78" s="15">
        <v>9.000000000000008E-3</v>
      </c>
      <c r="D78" s="9"/>
      <c r="E78" s="11">
        <v>-0.59</v>
      </c>
      <c r="F78" s="10">
        <v>1</v>
      </c>
      <c r="G78" s="15">
        <v>0</v>
      </c>
    </row>
    <row r="79" spans="1:7">
      <c r="A79" s="11">
        <v>-0.57999999999999996</v>
      </c>
      <c r="B79" s="14">
        <v>0.63500000000000001</v>
      </c>
      <c r="C79" s="15">
        <v>9.000000000000008E-3</v>
      </c>
      <c r="D79" s="9"/>
      <c r="E79" s="11">
        <v>-0.57999999999999996</v>
      </c>
      <c r="F79" s="10">
        <v>1</v>
      </c>
      <c r="G79" s="15">
        <v>0</v>
      </c>
    </row>
    <row r="80" spans="1:7">
      <c r="A80" s="11">
        <v>-0.56999999999999995</v>
      </c>
      <c r="B80" s="14">
        <v>0.64400000000000002</v>
      </c>
      <c r="C80" s="15">
        <v>9.000000000000008E-3</v>
      </c>
      <c r="D80" s="9"/>
      <c r="E80" s="11">
        <v>-0.56999999999999995</v>
      </c>
      <c r="F80" s="10">
        <v>1</v>
      </c>
      <c r="G80" s="15">
        <v>0</v>
      </c>
    </row>
    <row r="81" spans="1:7">
      <c r="A81" s="11">
        <v>-0.56000000000000005</v>
      </c>
      <c r="B81" s="14">
        <v>0.65300000000000002</v>
      </c>
      <c r="C81" s="15">
        <v>9.000000000000008E-3</v>
      </c>
      <c r="D81" s="9"/>
      <c r="E81" s="11">
        <v>-0.56000000000000005</v>
      </c>
      <c r="F81" s="10">
        <v>1</v>
      </c>
      <c r="G81" s="15">
        <v>0</v>
      </c>
    </row>
    <row r="82" spans="1:7">
      <c r="A82" s="11">
        <v>-0.55000000000000004</v>
      </c>
      <c r="B82" s="14">
        <v>0.66200000000000003</v>
      </c>
      <c r="C82" s="15">
        <v>9.000000000000008E-3</v>
      </c>
      <c r="D82" s="9"/>
      <c r="E82" s="11">
        <v>-0.55000000000000004</v>
      </c>
      <c r="F82" s="10">
        <v>1</v>
      </c>
      <c r="G82" s="15">
        <v>0</v>
      </c>
    </row>
    <row r="83" spans="1:7">
      <c r="A83" s="11">
        <v>-0.54</v>
      </c>
      <c r="B83" s="14">
        <v>0.67100000000000004</v>
      </c>
      <c r="C83" s="15">
        <v>9.000000000000008E-3</v>
      </c>
      <c r="D83" s="9"/>
      <c r="E83" s="11">
        <v>-0.54</v>
      </c>
      <c r="F83" s="10">
        <v>1</v>
      </c>
      <c r="G83" s="15">
        <v>0</v>
      </c>
    </row>
    <row r="84" spans="1:7">
      <c r="A84" s="11">
        <v>-0.53</v>
      </c>
      <c r="B84" s="14">
        <v>0.68</v>
      </c>
      <c r="C84" s="15">
        <v>7.9999999999998961E-3</v>
      </c>
      <c r="D84" s="9"/>
      <c r="E84" s="11">
        <v>-0.53</v>
      </c>
      <c r="F84" s="10">
        <v>1</v>
      </c>
      <c r="G84" s="15">
        <v>0</v>
      </c>
    </row>
    <row r="85" spans="1:7">
      <c r="A85" s="11">
        <v>-0.52</v>
      </c>
      <c r="B85" s="14">
        <v>0.68799999999999994</v>
      </c>
      <c r="C85" s="15">
        <v>8.0000000000000071E-3</v>
      </c>
      <c r="D85" s="9"/>
      <c r="E85" s="11">
        <v>-0.52</v>
      </c>
      <c r="F85" s="10">
        <v>1</v>
      </c>
      <c r="G85" s="15">
        <v>0</v>
      </c>
    </row>
    <row r="86" spans="1:7">
      <c r="A86" s="11">
        <v>-0.51</v>
      </c>
      <c r="B86" s="14">
        <v>0.69599999999999995</v>
      </c>
      <c r="C86" s="15">
        <v>8.0000000000000071E-3</v>
      </c>
      <c r="D86" s="9"/>
      <c r="E86" s="11">
        <v>-0.51</v>
      </c>
      <c r="F86" s="10">
        <v>1</v>
      </c>
      <c r="G86" s="15">
        <v>0</v>
      </c>
    </row>
    <row r="87" spans="1:7">
      <c r="A87" s="11">
        <v>-0.5</v>
      </c>
      <c r="B87" s="14">
        <v>0.70399999999999996</v>
      </c>
      <c r="C87" s="15">
        <v>8.0000000000000071E-3</v>
      </c>
      <c r="D87" s="9"/>
      <c r="E87" s="11">
        <v>-0.5</v>
      </c>
      <c r="F87" s="10">
        <v>1</v>
      </c>
      <c r="G87" s="15">
        <v>0</v>
      </c>
    </row>
    <row r="88" spans="1:7">
      <c r="A88" s="11">
        <v>-0.49</v>
      </c>
      <c r="B88" s="14">
        <v>0.71199999999999997</v>
      </c>
      <c r="C88" s="15">
        <v>8.0000000000000071E-3</v>
      </c>
      <c r="D88" s="9"/>
      <c r="E88" s="11">
        <v>-0.49</v>
      </c>
      <c r="F88" s="10">
        <v>1</v>
      </c>
      <c r="G88" s="15">
        <v>0</v>
      </c>
    </row>
    <row r="89" spans="1:7">
      <c r="A89" s="11">
        <v>-0.48</v>
      </c>
      <c r="B89" s="14">
        <v>0.72</v>
      </c>
      <c r="C89" s="15">
        <v>8.0000000000000071E-3</v>
      </c>
      <c r="D89" s="9"/>
      <c r="E89" s="11">
        <v>-0.48</v>
      </c>
      <c r="F89" s="10">
        <v>1</v>
      </c>
      <c r="G89" s="15">
        <v>0</v>
      </c>
    </row>
    <row r="90" spans="1:7">
      <c r="A90" s="11">
        <v>-0.47</v>
      </c>
      <c r="B90" s="14">
        <v>0.72799999999999998</v>
      </c>
      <c r="C90" s="15">
        <v>8.0000000000000071E-3</v>
      </c>
      <c r="D90" s="9"/>
      <c r="E90" s="11">
        <v>-0.47</v>
      </c>
      <c r="F90" s="10">
        <v>1</v>
      </c>
      <c r="G90" s="15">
        <v>0</v>
      </c>
    </row>
    <row r="91" spans="1:7">
      <c r="A91" s="11">
        <v>-0.46</v>
      </c>
      <c r="B91" s="14">
        <v>0.73599999999999999</v>
      </c>
      <c r="C91" s="15">
        <v>8.0000000000000071E-3</v>
      </c>
      <c r="D91" s="9"/>
      <c r="E91" s="11">
        <v>-0.46</v>
      </c>
      <c r="F91" s="10">
        <v>1</v>
      </c>
      <c r="G91" s="15">
        <v>0</v>
      </c>
    </row>
    <row r="92" spans="1:7">
      <c r="A92" s="11">
        <v>-0.45</v>
      </c>
      <c r="B92" s="14">
        <v>0.74399999999999999</v>
      </c>
      <c r="C92" s="15">
        <v>8.0000000000000071E-3</v>
      </c>
      <c r="D92" s="9"/>
      <c r="E92" s="11">
        <v>-0.45</v>
      </c>
      <c r="F92" s="10">
        <v>1</v>
      </c>
      <c r="G92" s="15">
        <v>0</v>
      </c>
    </row>
    <row r="93" spans="1:7">
      <c r="A93" s="11">
        <v>-0.44</v>
      </c>
      <c r="B93" s="14">
        <v>0.752</v>
      </c>
      <c r="C93" s="15">
        <v>7.0000000000000062E-3</v>
      </c>
      <c r="D93" s="9"/>
      <c r="E93" s="11">
        <v>-0.44</v>
      </c>
      <c r="F93" s="10">
        <v>1</v>
      </c>
      <c r="G93" s="15">
        <v>0</v>
      </c>
    </row>
    <row r="94" spans="1:7">
      <c r="A94" s="11">
        <v>-0.43</v>
      </c>
      <c r="B94" s="14">
        <v>0.75900000000000001</v>
      </c>
      <c r="C94" s="15">
        <v>7.0000000000000062E-3</v>
      </c>
      <c r="D94" s="9"/>
      <c r="E94" s="11">
        <v>-0.43</v>
      </c>
      <c r="F94" s="10">
        <v>1</v>
      </c>
      <c r="G94" s="15">
        <v>0</v>
      </c>
    </row>
    <row r="95" spans="1:7">
      <c r="A95" s="11">
        <v>-0.42</v>
      </c>
      <c r="B95" s="14">
        <v>0.76600000000000001</v>
      </c>
      <c r="C95" s="15">
        <v>7.0000000000000062E-3</v>
      </c>
      <c r="D95" s="9"/>
      <c r="E95" s="11">
        <v>-0.42</v>
      </c>
      <c r="F95" s="10">
        <v>1</v>
      </c>
      <c r="G95" s="15">
        <v>0</v>
      </c>
    </row>
    <row r="96" spans="1:7">
      <c r="A96" s="11">
        <v>-0.41</v>
      </c>
      <c r="B96" s="14">
        <v>0.77300000000000002</v>
      </c>
      <c r="C96" s="15">
        <v>7.0000000000000062E-3</v>
      </c>
      <c r="D96" s="9"/>
      <c r="E96" s="11">
        <v>-0.41</v>
      </c>
      <c r="F96" s="10">
        <v>1</v>
      </c>
      <c r="G96" s="15">
        <v>0</v>
      </c>
    </row>
    <row r="97" spans="1:7">
      <c r="A97" s="11">
        <v>-0.4</v>
      </c>
      <c r="B97" s="14">
        <v>0.78</v>
      </c>
      <c r="C97" s="15">
        <v>7.0000000000000062E-3</v>
      </c>
      <c r="D97" s="9"/>
      <c r="E97" s="11">
        <v>-0.4</v>
      </c>
      <c r="F97" s="10">
        <v>1</v>
      </c>
      <c r="G97" s="15">
        <v>0</v>
      </c>
    </row>
    <row r="98" spans="1:7">
      <c r="A98" s="11">
        <v>-0.39</v>
      </c>
      <c r="B98" s="14">
        <v>0.78700000000000003</v>
      </c>
      <c r="C98" s="15">
        <v>7.0000000000000062E-3</v>
      </c>
      <c r="D98" s="9"/>
      <c r="E98" s="11">
        <v>-0.39</v>
      </c>
      <c r="F98" s="10">
        <v>1</v>
      </c>
      <c r="G98" s="15">
        <v>0</v>
      </c>
    </row>
    <row r="99" spans="1:7">
      <c r="A99" s="11">
        <v>-0.38</v>
      </c>
      <c r="B99" s="14">
        <v>0.79400000000000004</v>
      </c>
      <c r="C99" s="15">
        <v>7.0000000000000062E-3</v>
      </c>
      <c r="D99" s="9"/>
      <c r="E99" s="11">
        <v>-0.38</v>
      </c>
      <c r="F99" s="10">
        <v>1</v>
      </c>
      <c r="G99" s="15">
        <v>0</v>
      </c>
    </row>
    <row r="100" spans="1:7">
      <c r="A100" s="11">
        <v>-0.37</v>
      </c>
      <c r="B100" s="14">
        <v>0.80100000000000005</v>
      </c>
      <c r="C100" s="15">
        <v>7.0000000000000062E-3</v>
      </c>
      <c r="D100" s="9"/>
      <c r="E100" s="11">
        <v>-0.37</v>
      </c>
      <c r="F100" s="10">
        <v>1</v>
      </c>
      <c r="G100" s="15">
        <v>0</v>
      </c>
    </row>
    <row r="101" spans="1:7">
      <c r="A101" s="11">
        <v>-0.36</v>
      </c>
      <c r="B101" s="14">
        <v>0.80800000000000005</v>
      </c>
      <c r="C101" s="15">
        <v>6.9999999999998952E-3</v>
      </c>
      <c r="D101" s="9"/>
      <c r="E101" s="11">
        <v>-0.36</v>
      </c>
      <c r="F101" s="10">
        <v>1</v>
      </c>
      <c r="G101" s="15">
        <v>0</v>
      </c>
    </row>
    <row r="102" spans="1:7">
      <c r="A102" s="11">
        <v>-0.35</v>
      </c>
      <c r="B102" s="14">
        <v>0.81499999999999995</v>
      </c>
      <c r="C102" s="15">
        <v>7.0000000000000062E-3</v>
      </c>
      <c r="D102" s="9"/>
      <c r="E102" s="11">
        <v>-0.35</v>
      </c>
      <c r="F102" s="10">
        <v>1</v>
      </c>
      <c r="G102" s="15">
        <v>0</v>
      </c>
    </row>
    <row r="103" spans="1:7">
      <c r="A103" s="11">
        <v>-0.34</v>
      </c>
      <c r="B103" s="14">
        <v>0.82199999999999995</v>
      </c>
      <c r="C103" s="15">
        <v>7.0000000000000062E-3</v>
      </c>
      <c r="D103" s="9"/>
      <c r="E103" s="11">
        <v>-0.34</v>
      </c>
      <c r="F103" s="10">
        <v>1</v>
      </c>
      <c r="G103" s="15">
        <v>0</v>
      </c>
    </row>
    <row r="104" spans="1:7">
      <c r="A104" s="11">
        <v>-0.33</v>
      </c>
      <c r="B104" s="14">
        <v>0.82899999999999996</v>
      </c>
      <c r="C104" s="15">
        <v>7.0000000000000062E-3</v>
      </c>
      <c r="D104" s="9"/>
      <c r="E104" s="11">
        <v>-0.33</v>
      </c>
      <c r="F104" s="10">
        <v>1</v>
      </c>
      <c r="G104" s="15">
        <v>0</v>
      </c>
    </row>
    <row r="105" spans="1:7">
      <c r="A105" s="11">
        <v>-0.32</v>
      </c>
      <c r="B105" s="14">
        <v>0.83599999999999997</v>
      </c>
      <c r="C105" s="15">
        <v>6.0000000000000053E-3</v>
      </c>
      <c r="D105" s="9"/>
      <c r="E105" s="11">
        <v>-0.32</v>
      </c>
      <c r="F105" s="10">
        <v>1</v>
      </c>
      <c r="G105" s="15">
        <v>0</v>
      </c>
    </row>
    <row r="106" spans="1:7">
      <c r="A106" s="11">
        <v>-0.31</v>
      </c>
      <c r="B106" s="14">
        <v>0.84199999999999997</v>
      </c>
      <c r="C106" s="15">
        <v>6.0000000000000053E-3</v>
      </c>
      <c r="D106" s="9"/>
      <c r="E106" s="11">
        <v>-0.31</v>
      </c>
      <c r="F106" s="10">
        <v>1</v>
      </c>
      <c r="G106" s="15">
        <v>0</v>
      </c>
    </row>
    <row r="107" spans="1:7">
      <c r="A107" s="11">
        <v>-0.3</v>
      </c>
      <c r="B107" s="14">
        <v>0.84799999999999998</v>
      </c>
      <c r="C107" s="15">
        <v>6.0000000000000053E-3</v>
      </c>
      <c r="D107" s="9"/>
      <c r="E107" s="11">
        <v>-0.3</v>
      </c>
      <c r="F107" s="10">
        <v>1</v>
      </c>
      <c r="G107" s="15">
        <v>0</v>
      </c>
    </row>
    <row r="108" spans="1:7">
      <c r="A108" s="11">
        <v>-0.28999999999999998</v>
      </c>
      <c r="B108" s="14">
        <v>0.85399999999999998</v>
      </c>
      <c r="C108" s="15">
        <v>6.0000000000000053E-3</v>
      </c>
      <c r="D108" s="9"/>
      <c r="E108" s="11">
        <v>-0.28999999999999998</v>
      </c>
      <c r="F108" s="10">
        <v>1</v>
      </c>
      <c r="G108" s="15">
        <v>0</v>
      </c>
    </row>
    <row r="109" spans="1:7">
      <c r="A109" s="11">
        <v>-0.28000000000000003</v>
      </c>
      <c r="B109" s="14">
        <v>0.86</v>
      </c>
      <c r="C109" s="15">
        <v>6.0000000000000053E-3</v>
      </c>
      <c r="D109" s="9"/>
      <c r="E109" s="11">
        <v>-0.28000000000000003</v>
      </c>
      <c r="F109" s="10">
        <v>1</v>
      </c>
      <c r="G109" s="15">
        <v>0</v>
      </c>
    </row>
    <row r="110" spans="1:7">
      <c r="A110" s="11">
        <v>-0.27</v>
      </c>
      <c r="B110" s="14">
        <v>0.86599999999999999</v>
      </c>
      <c r="C110" s="15">
        <v>6.0000000000000053E-3</v>
      </c>
      <c r="D110" s="9"/>
      <c r="E110" s="11">
        <v>-0.27</v>
      </c>
      <c r="F110" s="10">
        <v>1</v>
      </c>
      <c r="G110" s="15">
        <v>0</v>
      </c>
    </row>
    <row r="111" spans="1:7">
      <c r="A111" s="11">
        <v>-0.26</v>
      </c>
      <c r="B111" s="14">
        <v>0.872</v>
      </c>
      <c r="C111" s="15">
        <v>6.0000000000000053E-3</v>
      </c>
      <c r="D111" s="9"/>
      <c r="E111" s="11">
        <v>-0.26</v>
      </c>
      <c r="F111" s="10">
        <v>1</v>
      </c>
      <c r="G111" s="15">
        <v>0</v>
      </c>
    </row>
    <row r="112" spans="1:7">
      <c r="A112" s="11">
        <v>-0.25</v>
      </c>
      <c r="B112" s="14">
        <v>0.878</v>
      </c>
      <c r="C112" s="15">
        <v>6.0000000000000053E-3</v>
      </c>
      <c r="D112" s="9"/>
      <c r="E112" s="11">
        <v>-0.25</v>
      </c>
      <c r="F112" s="10">
        <v>1</v>
      </c>
      <c r="G112" s="15">
        <v>0</v>
      </c>
    </row>
    <row r="113" spans="1:7">
      <c r="A113" s="11">
        <v>-0.24</v>
      </c>
      <c r="B113" s="14">
        <v>0.88400000000000001</v>
      </c>
      <c r="C113" s="15">
        <v>6.0000000000000053E-3</v>
      </c>
      <c r="D113" s="9"/>
      <c r="E113" s="11">
        <v>-0.24</v>
      </c>
      <c r="F113" s="10">
        <v>1</v>
      </c>
      <c r="G113" s="15">
        <v>0</v>
      </c>
    </row>
    <row r="114" spans="1:7">
      <c r="A114" s="11">
        <v>-0.23</v>
      </c>
      <c r="B114" s="14">
        <v>0.89</v>
      </c>
      <c r="C114" s="15">
        <v>6.0000000000000053E-3</v>
      </c>
      <c r="D114" s="9"/>
      <c r="E114" s="11">
        <v>-0.23</v>
      </c>
      <c r="F114" s="10">
        <v>1</v>
      </c>
      <c r="G114" s="15">
        <v>0</v>
      </c>
    </row>
    <row r="115" spans="1:7">
      <c r="A115" s="11">
        <v>-0.22</v>
      </c>
      <c r="B115" s="14">
        <v>0.89600000000000002</v>
      </c>
      <c r="C115" s="15">
        <v>6.0000000000000053E-3</v>
      </c>
      <c r="D115" s="9"/>
      <c r="E115" s="11">
        <v>-0.22</v>
      </c>
      <c r="F115" s="10">
        <v>1</v>
      </c>
      <c r="G115" s="15">
        <v>0</v>
      </c>
    </row>
    <row r="116" spans="1:7">
      <c r="A116" s="11">
        <v>-0.21</v>
      </c>
      <c r="B116" s="14">
        <v>0.90200000000000002</v>
      </c>
      <c r="C116" s="15">
        <v>6.0000000000000053E-3</v>
      </c>
      <c r="D116" s="9"/>
      <c r="E116" s="11">
        <v>-0.21</v>
      </c>
      <c r="F116" s="10">
        <v>1</v>
      </c>
      <c r="G116" s="15">
        <v>0</v>
      </c>
    </row>
    <row r="117" spans="1:7">
      <c r="A117" s="11">
        <v>-0.2</v>
      </c>
      <c r="B117" s="14">
        <v>0.90800000000000003</v>
      </c>
      <c r="C117" s="15">
        <v>6.0000000000000053E-3</v>
      </c>
      <c r="D117" s="9"/>
      <c r="E117" s="11">
        <v>-0.2</v>
      </c>
      <c r="F117" s="10">
        <v>1</v>
      </c>
      <c r="G117" s="15">
        <v>0</v>
      </c>
    </row>
    <row r="118" spans="1:7">
      <c r="A118" s="11">
        <v>-0.19</v>
      </c>
      <c r="B118" s="14">
        <v>0.91400000000000003</v>
      </c>
      <c r="C118" s="15">
        <v>6.0000000000000053E-3</v>
      </c>
      <c r="D118" s="9"/>
      <c r="E118" s="11">
        <v>-0.19</v>
      </c>
      <c r="F118" s="10">
        <v>1</v>
      </c>
      <c r="G118" s="15">
        <v>0</v>
      </c>
    </row>
    <row r="119" spans="1:7">
      <c r="A119" s="11">
        <v>-0.18</v>
      </c>
      <c r="B119" s="14">
        <v>0.92</v>
      </c>
      <c r="C119" s="15">
        <v>5.0000000000000044E-3</v>
      </c>
      <c r="D119" s="9"/>
      <c r="E119" s="11">
        <v>-0.18</v>
      </c>
      <c r="F119" s="10">
        <v>1</v>
      </c>
      <c r="G119" s="15">
        <v>0</v>
      </c>
    </row>
    <row r="120" spans="1:7">
      <c r="A120" s="11">
        <v>-0.17</v>
      </c>
      <c r="B120" s="14">
        <v>0.92500000000000004</v>
      </c>
      <c r="C120" s="15">
        <v>5.0000000000000044E-3</v>
      </c>
      <c r="D120" s="9"/>
      <c r="E120" s="11">
        <v>-0.17</v>
      </c>
      <c r="F120" s="10">
        <v>1</v>
      </c>
      <c r="G120" s="15">
        <v>0</v>
      </c>
    </row>
    <row r="121" spans="1:7">
      <c r="A121" s="11">
        <v>-0.16</v>
      </c>
      <c r="B121" s="14">
        <v>0.93</v>
      </c>
      <c r="C121" s="15">
        <v>5.0000000000000044E-3</v>
      </c>
      <c r="D121" s="9"/>
      <c r="E121" s="11">
        <v>-0.16</v>
      </c>
      <c r="F121" s="10">
        <v>1</v>
      </c>
      <c r="G121" s="15">
        <v>0</v>
      </c>
    </row>
    <row r="122" spans="1:7">
      <c r="A122" s="11">
        <v>-0.15</v>
      </c>
      <c r="B122" s="14">
        <v>0.93500000000000005</v>
      </c>
      <c r="C122" s="15">
        <v>4.9999999999998934E-3</v>
      </c>
      <c r="D122" s="9"/>
      <c r="E122" s="11">
        <v>-0.15</v>
      </c>
      <c r="F122" s="10">
        <v>1</v>
      </c>
      <c r="G122" s="15">
        <v>0</v>
      </c>
    </row>
    <row r="123" spans="1:7">
      <c r="A123" s="11">
        <v>-0.14000000000000001</v>
      </c>
      <c r="B123" s="14">
        <v>0.94</v>
      </c>
      <c r="C123" s="15">
        <v>5.0000000000000044E-3</v>
      </c>
      <c r="D123" s="9"/>
      <c r="E123" s="11">
        <v>-0.14000000000000001</v>
      </c>
      <c r="F123" s="10">
        <v>1</v>
      </c>
      <c r="G123" s="15">
        <v>0</v>
      </c>
    </row>
    <row r="124" spans="1:7">
      <c r="A124" s="11">
        <v>-0.13</v>
      </c>
      <c r="B124" s="14">
        <v>0.94499999999999995</v>
      </c>
      <c r="C124" s="15">
        <v>5.0000000000000044E-3</v>
      </c>
      <c r="D124" s="9"/>
      <c r="E124" s="11">
        <v>-0.13</v>
      </c>
      <c r="F124" s="10">
        <v>1</v>
      </c>
      <c r="G124" s="15">
        <v>0</v>
      </c>
    </row>
    <row r="125" spans="1:7">
      <c r="A125" s="11">
        <v>-0.12</v>
      </c>
      <c r="B125" s="14">
        <v>0.95</v>
      </c>
      <c r="C125" s="15">
        <v>5.0000000000000044E-3</v>
      </c>
      <c r="D125" s="9"/>
      <c r="E125" s="11">
        <v>-0.12</v>
      </c>
      <c r="F125" s="10">
        <v>1</v>
      </c>
      <c r="G125" s="15">
        <v>0</v>
      </c>
    </row>
    <row r="126" spans="1:7">
      <c r="A126" s="11">
        <v>-0.11</v>
      </c>
      <c r="B126" s="14">
        <v>0.95499999999999996</v>
      </c>
      <c r="C126" s="15">
        <v>5.0000000000000044E-3</v>
      </c>
      <c r="D126" s="9"/>
      <c r="E126" s="11">
        <v>-0.11</v>
      </c>
      <c r="F126" s="10">
        <v>1</v>
      </c>
      <c r="G126" s="15">
        <v>0</v>
      </c>
    </row>
    <row r="127" spans="1:7">
      <c r="A127" s="11">
        <v>-0.1</v>
      </c>
      <c r="B127" s="14">
        <v>0.96</v>
      </c>
      <c r="C127" s="15">
        <v>5.0000000000000044E-3</v>
      </c>
      <c r="D127" s="9"/>
      <c r="E127" s="11">
        <v>-0.1</v>
      </c>
      <c r="F127" s="10">
        <v>1</v>
      </c>
      <c r="G127" s="15">
        <v>0</v>
      </c>
    </row>
    <row r="128" spans="1:7">
      <c r="A128" s="11">
        <v>-0.09</v>
      </c>
      <c r="B128" s="14">
        <v>0.96499999999999997</v>
      </c>
      <c r="C128" s="15">
        <v>5.0000000000000044E-3</v>
      </c>
      <c r="D128" s="9"/>
      <c r="E128" s="11">
        <v>-0.09</v>
      </c>
      <c r="F128" s="10">
        <v>1</v>
      </c>
      <c r="G128" s="15">
        <v>0</v>
      </c>
    </row>
    <row r="129" spans="1:7">
      <c r="A129" s="11">
        <v>-0.08</v>
      </c>
      <c r="B129" s="14">
        <v>0.97</v>
      </c>
      <c r="C129" s="15">
        <v>5.0000000000000044E-3</v>
      </c>
      <c r="D129" s="9"/>
      <c r="E129" s="11">
        <v>-0.08</v>
      </c>
      <c r="F129" s="10">
        <v>1</v>
      </c>
      <c r="G129" s="15">
        <v>0</v>
      </c>
    </row>
    <row r="130" spans="1:7">
      <c r="A130" s="11">
        <v>-7.0000000000000007E-2</v>
      </c>
      <c r="B130" s="14">
        <v>0.97499999999999998</v>
      </c>
      <c r="C130" s="15">
        <v>5.0000000000000044E-3</v>
      </c>
      <c r="D130" s="9"/>
      <c r="E130" s="11">
        <v>-7.0000000000000007E-2</v>
      </c>
      <c r="F130" s="10">
        <v>1</v>
      </c>
      <c r="G130" s="15">
        <v>0</v>
      </c>
    </row>
    <row r="131" spans="1:7">
      <c r="A131" s="11">
        <v>-0.06</v>
      </c>
      <c r="B131" s="14">
        <v>0.98</v>
      </c>
      <c r="C131" s="15">
        <v>5.0000000000000044E-3</v>
      </c>
      <c r="D131" s="9"/>
      <c r="E131" s="11">
        <v>-0.06</v>
      </c>
      <c r="F131" s="10">
        <v>1</v>
      </c>
      <c r="G131" s="15">
        <v>0</v>
      </c>
    </row>
    <row r="132" spans="1:7">
      <c r="A132" s="11">
        <v>-0.05</v>
      </c>
      <c r="B132" s="14">
        <v>0.98499999999999999</v>
      </c>
      <c r="C132" s="15">
        <v>5.0000000000000044E-3</v>
      </c>
      <c r="D132" s="9"/>
      <c r="E132" s="11">
        <v>-0.05</v>
      </c>
      <c r="F132" s="10">
        <v>1</v>
      </c>
      <c r="G132" s="15">
        <v>0</v>
      </c>
    </row>
    <row r="133" spans="1:7">
      <c r="A133" s="11">
        <v>-0.04</v>
      </c>
      <c r="B133" s="14">
        <v>0.99</v>
      </c>
      <c r="C133" s="15">
        <v>5.0000000000000044E-3</v>
      </c>
      <c r="D133" s="9"/>
      <c r="E133" s="11">
        <v>-0.04</v>
      </c>
      <c r="F133" s="10">
        <v>1</v>
      </c>
      <c r="G133" s="15">
        <v>0</v>
      </c>
    </row>
    <row r="134" spans="1:7">
      <c r="A134" s="11">
        <v>-0.03</v>
      </c>
      <c r="B134" s="14">
        <v>0.995</v>
      </c>
      <c r="C134" s="15">
        <v>5.0000000000000044E-3</v>
      </c>
      <c r="D134" s="9"/>
      <c r="E134" s="11">
        <v>-0.03</v>
      </c>
      <c r="F134" s="10">
        <v>1</v>
      </c>
      <c r="G134" s="15">
        <v>0</v>
      </c>
    </row>
    <row r="135" spans="1:7">
      <c r="A135" s="11">
        <v>-0.02</v>
      </c>
      <c r="B135" s="10">
        <v>1</v>
      </c>
      <c r="C135" s="15">
        <v>0</v>
      </c>
      <c r="D135" s="9"/>
      <c r="E135" s="11">
        <v>-0.02</v>
      </c>
      <c r="F135" s="10">
        <v>1</v>
      </c>
      <c r="G135" s="15">
        <v>0</v>
      </c>
    </row>
    <row r="136" spans="1:7">
      <c r="A136" s="12">
        <v>0</v>
      </c>
      <c r="B136" s="13">
        <v>1</v>
      </c>
      <c r="C136" s="9"/>
      <c r="D136" s="9"/>
      <c r="E136" s="12">
        <v>0</v>
      </c>
      <c r="F136" s="10">
        <v>1</v>
      </c>
      <c r="G136" s="9"/>
    </row>
    <row r="137" spans="1:7">
      <c r="A137" s="22">
        <v>0.02</v>
      </c>
      <c r="B137" s="23">
        <v>1</v>
      </c>
    </row>
    <row r="138" spans="1:7">
      <c r="A138" s="22">
        <v>0.06</v>
      </c>
      <c r="B138" s="23">
        <v>1.0049999999999999</v>
      </c>
    </row>
    <row r="139" spans="1:7">
      <c r="A139" s="22">
        <v>0.04</v>
      </c>
      <c r="B139" s="23">
        <v>1.01</v>
      </c>
    </row>
    <row r="140" spans="1:7">
      <c r="A140" s="22">
        <v>0.05</v>
      </c>
      <c r="B140" s="23">
        <v>1.0149999999999999</v>
      </c>
    </row>
    <row r="141" spans="1:7">
      <c r="A141" s="22">
        <v>0.06</v>
      </c>
      <c r="B141" s="23">
        <v>1.02</v>
      </c>
    </row>
    <row r="142" spans="1:7">
      <c r="A142" s="22">
        <v>0.04</v>
      </c>
      <c r="B142" s="23">
        <v>1.0249999999999999</v>
      </c>
    </row>
    <row r="143" spans="1:7">
      <c r="A143" s="22">
        <v>0.08</v>
      </c>
      <c r="B143" s="23">
        <v>1.03</v>
      </c>
    </row>
    <row r="144" spans="1:7">
      <c r="A144" s="22">
        <v>0.09</v>
      </c>
      <c r="B144" s="23">
        <v>1.0349999999999999</v>
      </c>
    </row>
    <row r="145" spans="1:2">
      <c r="A145" s="22">
        <v>0.1</v>
      </c>
      <c r="B145" s="23">
        <v>1.04</v>
      </c>
    </row>
    <row r="146" spans="1:2">
      <c r="A146" s="22">
        <v>0.11</v>
      </c>
      <c r="B146" s="23">
        <v>1.0449999999999999</v>
      </c>
    </row>
    <row r="147" spans="1:2">
      <c r="A147" s="22">
        <v>0.12</v>
      </c>
      <c r="B147" s="23">
        <v>1.05</v>
      </c>
    </row>
    <row r="148" spans="1:2">
      <c r="A148" s="22">
        <v>0.13</v>
      </c>
      <c r="B148" s="23">
        <v>1.0549999999999999</v>
      </c>
    </row>
    <row r="149" spans="1:2">
      <c r="A149" s="22">
        <v>0.14000000000000001</v>
      </c>
      <c r="B149" s="23">
        <v>1.06</v>
      </c>
    </row>
    <row r="150" spans="1:2">
      <c r="A150" s="22">
        <v>0.15</v>
      </c>
      <c r="B150" s="23">
        <v>1.0649999999999999</v>
      </c>
    </row>
    <row r="151" spans="1:2">
      <c r="A151" s="22">
        <v>0.16</v>
      </c>
      <c r="B151" s="23">
        <v>1.07</v>
      </c>
    </row>
    <row r="152" spans="1:2">
      <c r="A152" s="22">
        <v>0.17</v>
      </c>
      <c r="B152" s="23">
        <v>1.075</v>
      </c>
    </row>
    <row r="153" spans="1:2">
      <c r="A153" s="22">
        <v>0.18</v>
      </c>
      <c r="B153" s="23">
        <v>1.08</v>
      </c>
    </row>
    <row r="154" spans="1:2">
      <c r="A154" s="22">
        <v>0.19</v>
      </c>
      <c r="B154" s="23">
        <v>1.0860000000000001</v>
      </c>
    </row>
    <row r="155" spans="1:2">
      <c r="A155" s="22">
        <v>0.2</v>
      </c>
      <c r="B155" s="23">
        <v>1.0920000000000001</v>
      </c>
    </row>
    <row r="156" spans="1:2">
      <c r="A156" s="22">
        <v>0.21</v>
      </c>
      <c r="B156" s="23">
        <v>1.0980000000000001</v>
      </c>
    </row>
    <row r="157" spans="1:2">
      <c r="A157" s="22">
        <v>0.22</v>
      </c>
      <c r="B157" s="23">
        <v>1.1040000000000001</v>
      </c>
    </row>
    <row r="158" spans="1:2">
      <c r="A158" s="22">
        <v>0.23</v>
      </c>
      <c r="B158" s="23">
        <v>1.1100000000000001</v>
      </c>
    </row>
    <row r="159" spans="1:2">
      <c r="A159" s="22">
        <v>0.24</v>
      </c>
      <c r="B159" s="23">
        <v>1.1160000000000001</v>
      </c>
    </row>
    <row r="160" spans="1:2">
      <c r="A160" s="22">
        <v>0.25</v>
      </c>
      <c r="B160" s="23">
        <v>1.1220000000000001</v>
      </c>
    </row>
    <row r="161" spans="1:2">
      <c r="A161" s="22">
        <v>0.26</v>
      </c>
      <c r="B161" s="23">
        <v>1.1279999999999999</v>
      </c>
    </row>
    <row r="162" spans="1:2">
      <c r="A162" s="22">
        <v>0.27</v>
      </c>
      <c r="B162" s="23">
        <v>1.1339999999999999</v>
      </c>
    </row>
    <row r="163" spans="1:2">
      <c r="A163" s="22">
        <v>0.28000000000000003</v>
      </c>
      <c r="B163" s="23">
        <v>1.1399999999999999</v>
      </c>
    </row>
    <row r="164" spans="1:2">
      <c r="A164" s="22">
        <v>0.28999999999999998</v>
      </c>
      <c r="B164" s="23">
        <v>1.1459999999999999</v>
      </c>
    </row>
    <row r="165" spans="1:2">
      <c r="A165" s="22">
        <v>0.3</v>
      </c>
      <c r="B165" s="23">
        <v>1.1519999999999999</v>
      </c>
    </row>
    <row r="166" spans="1:2">
      <c r="A166" s="22">
        <v>0.31</v>
      </c>
      <c r="B166" s="23">
        <v>1.1579999999999999</v>
      </c>
    </row>
    <row r="167" spans="1:2">
      <c r="A167" s="22">
        <v>0.32</v>
      </c>
      <c r="B167" s="23">
        <v>1.1639999999999999</v>
      </c>
    </row>
    <row r="168" spans="1:2">
      <c r="A168" s="22">
        <v>0.33</v>
      </c>
      <c r="B168" s="23">
        <v>1.171</v>
      </c>
    </row>
    <row r="169" spans="1:2">
      <c r="A169" s="22">
        <v>0.34</v>
      </c>
      <c r="B169" s="23">
        <v>1.1779999999999999</v>
      </c>
    </row>
    <row r="170" spans="1:2">
      <c r="A170" s="22">
        <v>0.35</v>
      </c>
      <c r="B170" s="23">
        <v>1.1850000000000001</v>
      </c>
    </row>
    <row r="171" spans="1:2">
      <c r="A171" s="22">
        <v>0.36</v>
      </c>
      <c r="B171" s="23">
        <v>1.1919999999999999</v>
      </c>
    </row>
    <row r="172" spans="1:2">
      <c r="A172" s="22">
        <v>0.37</v>
      </c>
      <c r="B172" s="23">
        <v>1.1990000000000001</v>
      </c>
    </row>
    <row r="173" spans="1:2">
      <c r="A173" s="22">
        <v>0.38</v>
      </c>
      <c r="B173" s="23">
        <v>1.206</v>
      </c>
    </row>
    <row r="174" spans="1:2">
      <c r="A174" s="22">
        <v>0.39</v>
      </c>
      <c r="B174" s="23">
        <v>1.2130000000000001</v>
      </c>
    </row>
    <row r="175" spans="1:2">
      <c r="A175" s="22">
        <v>0.4</v>
      </c>
      <c r="B175" s="23">
        <v>1.22</v>
      </c>
    </row>
    <row r="176" spans="1:2">
      <c r="A176" s="22">
        <v>0.41</v>
      </c>
      <c r="B176" s="23">
        <v>1.2270000000000001</v>
      </c>
    </row>
    <row r="177" spans="1:2">
      <c r="A177" s="22">
        <v>0.42</v>
      </c>
      <c r="B177" s="23">
        <v>1.234</v>
      </c>
    </row>
    <row r="178" spans="1:2">
      <c r="A178" s="22">
        <v>0.43</v>
      </c>
      <c r="B178" s="23">
        <v>1.2410000000000001</v>
      </c>
    </row>
    <row r="179" spans="1:2">
      <c r="A179" s="22">
        <v>0.44</v>
      </c>
      <c r="B179" s="23">
        <v>1.248</v>
      </c>
    </row>
    <row r="180" spans="1:2">
      <c r="A180" s="22">
        <v>0.45</v>
      </c>
      <c r="B180" s="23">
        <v>1.256</v>
      </c>
    </row>
    <row r="181" spans="1:2">
      <c r="A181" s="22">
        <v>0.46</v>
      </c>
      <c r="B181" s="23">
        <v>1.264</v>
      </c>
    </row>
    <row r="182" spans="1:2">
      <c r="A182" s="22">
        <v>0.47</v>
      </c>
      <c r="B182" s="23">
        <v>1.272</v>
      </c>
    </row>
    <row r="183" spans="1:2">
      <c r="A183" s="22">
        <v>0.48</v>
      </c>
      <c r="B183" s="23">
        <v>1.28</v>
      </c>
    </row>
    <row r="184" spans="1:2">
      <c r="A184" s="22">
        <v>0.49</v>
      </c>
      <c r="B184" s="23">
        <v>1.288</v>
      </c>
    </row>
    <row r="185" spans="1:2">
      <c r="A185" s="22">
        <v>0.5</v>
      </c>
      <c r="B185" s="24">
        <f>2-B87</f>
        <v>1.296</v>
      </c>
    </row>
    <row r="186" spans="1:2">
      <c r="A186" s="22">
        <v>0.51</v>
      </c>
      <c r="B186" s="23">
        <v>1.296</v>
      </c>
    </row>
    <row r="187" spans="1:2">
      <c r="A187" s="22">
        <v>0.52</v>
      </c>
      <c r="B187" s="23">
        <v>1.304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F27"/>
  <sheetViews>
    <sheetView showGridLines="0" topLeftCell="B1" zoomScale="130" zoomScaleNormal="130" workbookViewId="0">
      <selection activeCell="C1" sqref="C1"/>
    </sheetView>
  </sheetViews>
  <sheetFormatPr defaultRowHeight="14.6" outlineLevelCol="1"/>
  <cols>
    <col min="1" max="1" width="58.3046875" hidden="1" customWidth="1" outlineLevel="1"/>
    <col min="2" max="2" width="36.53515625" customWidth="1" collapsed="1"/>
    <col min="3" max="3" width="15.23046875" customWidth="1"/>
    <col min="4" max="4" width="10.3046875" customWidth="1"/>
    <col min="5" max="5" width="16.15234375" customWidth="1"/>
    <col min="6" max="6" width="22" customWidth="1"/>
    <col min="7" max="7" width="18.84375" customWidth="1"/>
  </cols>
  <sheetData>
    <row r="1" spans="1:6" ht="18.45">
      <c r="A1" t="s">
        <v>247</v>
      </c>
      <c r="B1" s="60" t="s">
        <v>203</v>
      </c>
      <c r="C1" s="69">
        <f>'Курс $'!B2</f>
        <v>76.305499999999995</v>
      </c>
      <c r="D1" s="55"/>
      <c r="E1" s="29"/>
    </row>
    <row r="2" spans="1:6" s="70" customFormat="1" ht="18.45">
      <c r="C2" s="71"/>
      <c r="D2" s="72"/>
      <c r="E2" s="73"/>
    </row>
    <row r="3" spans="1:6">
      <c r="B3" s="87" t="s">
        <v>227</v>
      </c>
      <c r="C3" s="75" t="s">
        <v>228</v>
      </c>
      <c r="D3" s="75" t="s">
        <v>229</v>
      </c>
      <c r="E3" s="76"/>
      <c r="F3" s="74"/>
    </row>
    <row r="4" spans="1:6">
      <c r="B4" s="27" t="s">
        <v>18</v>
      </c>
      <c r="C4" s="63"/>
      <c r="D4" s="63"/>
      <c r="E4" s="63" t="s">
        <v>202</v>
      </c>
      <c r="F4" s="61">
        <v>46192</v>
      </c>
    </row>
    <row r="5" spans="1:6">
      <c r="A5" t="s">
        <v>239</v>
      </c>
      <c r="B5" t="s">
        <v>231</v>
      </c>
      <c r="C5" s="59">
        <v>112</v>
      </c>
      <c r="D5" s="65">
        <f>$C$1*C5</f>
        <v>8546.2160000000003</v>
      </c>
      <c r="E5" s="59"/>
      <c r="F5" s="8"/>
    </row>
    <row r="6" spans="1:6">
      <c r="A6" t="s">
        <v>240</v>
      </c>
      <c r="B6" t="s">
        <v>232</v>
      </c>
      <c r="C6" s="59">
        <v>85</v>
      </c>
      <c r="D6" s="65">
        <f>$C$1*C6</f>
        <v>6485.9674999999997</v>
      </c>
      <c r="E6" s="59"/>
      <c r="F6" s="29"/>
    </row>
    <row r="7" spans="1:6">
      <c r="A7" t="s">
        <v>241</v>
      </c>
      <c r="B7" t="s">
        <v>233</v>
      </c>
      <c r="C7" s="59">
        <v>95</v>
      </c>
      <c r="D7" s="65">
        <f>$C$1*C7</f>
        <v>7249.0224999999991</v>
      </c>
      <c r="E7" s="59"/>
      <c r="F7" s="29"/>
    </row>
    <row r="8" spans="1:6">
      <c r="A8" s="83"/>
      <c r="B8" s="79" t="s">
        <v>235</v>
      </c>
      <c r="C8" s="80"/>
      <c r="D8" s="80">
        <v>3300</v>
      </c>
      <c r="E8" s="80" t="s">
        <v>208</v>
      </c>
      <c r="F8" s="81">
        <v>46188</v>
      </c>
    </row>
    <row r="9" spans="1:6">
      <c r="A9" s="83"/>
      <c r="B9" s="79" t="s">
        <v>248</v>
      </c>
      <c r="C9" s="80"/>
      <c r="D9" s="80">
        <v>1750</v>
      </c>
      <c r="E9" s="80" t="s">
        <v>208</v>
      </c>
      <c r="F9" s="81">
        <v>46188</v>
      </c>
    </row>
    <row r="10" spans="1:6">
      <c r="B10" s="27" t="s">
        <v>78</v>
      </c>
      <c r="C10" s="63"/>
      <c r="D10" s="66"/>
      <c r="E10" s="63"/>
      <c r="F10" s="61"/>
    </row>
    <row r="11" spans="1:6">
      <c r="A11" t="s">
        <v>242</v>
      </c>
      <c r="B11" t="s">
        <v>234</v>
      </c>
      <c r="C11" s="59">
        <v>143</v>
      </c>
      <c r="D11" s="65">
        <f>$C$1*C11</f>
        <v>10911.6865</v>
      </c>
      <c r="E11" s="78" t="s">
        <v>202</v>
      </c>
      <c r="F11" s="73">
        <v>46192</v>
      </c>
    </row>
    <row r="12" spans="1:6">
      <c r="A12" t="s">
        <v>243</v>
      </c>
      <c r="B12" t="s">
        <v>237</v>
      </c>
      <c r="C12" s="59">
        <v>110.5</v>
      </c>
      <c r="D12" s="65">
        <f t="shared" ref="D12:D13" si="0">$C$1*C12</f>
        <v>8431.7577499999989</v>
      </c>
      <c r="E12" s="84" t="s">
        <v>208</v>
      </c>
      <c r="F12" s="85">
        <v>46188</v>
      </c>
    </row>
    <row r="13" spans="1:6">
      <c r="A13" t="s">
        <v>244</v>
      </c>
      <c r="B13" t="s">
        <v>238</v>
      </c>
      <c r="C13" s="59">
        <v>119</v>
      </c>
      <c r="D13" s="65">
        <f t="shared" si="0"/>
        <v>9080.3544999999995</v>
      </c>
      <c r="E13" s="84" t="s">
        <v>208</v>
      </c>
      <c r="F13" s="85">
        <v>46188</v>
      </c>
    </row>
    <row r="14" spans="1:6">
      <c r="B14" s="79" t="s">
        <v>235</v>
      </c>
      <c r="C14" s="82"/>
      <c r="D14" s="82">
        <v>10200</v>
      </c>
      <c r="E14" s="80" t="s">
        <v>202</v>
      </c>
      <c r="F14" s="81">
        <v>46192</v>
      </c>
    </row>
    <row r="15" spans="1:6">
      <c r="B15" s="27" t="s">
        <v>99</v>
      </c>
      <c r="C15" s="63"/>
      <c r="D15" s="66"/>
      <c r="E15" s="63" t="s">
        <v>202</v>
      </c>
      <c r="F15" s="61">
        <v>46192</v>
      </c>
    </row>
    <row r="16" spans="1:6">
      <c r="A16" t="s">
        <v>245</v>
      </c>
      <c r="B16" t="s">
        <v>234</v>
      </c>
      <c r="C16" s="59">
        <v>132</v>
      </c>
      <c r="D16" s="65">
        <f>$C$1*C16</f>
        <v>10072.325999999999</v>
      </c>
      <c r="E16" s="59"/>
      <c r="F16" s="8"/>
    </row>
    <row r="17" spans="1:6">
      <c r="A17" t="s">
        <v>246</v>
      </c>
      <c r="B17" t="s">
        <v>232</v>
      </c>
      <c r="C17" s="59">
        <v>101</v>
      </c>
      <c r="D17" s="65">
        <f>$C$1*C17</f>
        <v>7706.8554999999997</v>
      </c>
      <c r="E17" s="59"/>
      <c r="F17" s="8"/>
    </row>
    <row r="18" spans="1:6">
      <c r="B18" s="79" t="s">
        <v>235</v>
      </c>
      <c r="C18" s="82"/>
      <c r="D18" s="82">
        <v>6000</v>
      </c>
      <c r="E18" s="80" t="s">
        <v>208</v>
      </c>
      <c r="F18" s="81">
        <v>46188</v>
      </c>
    </row>
    <row r="19" spans="1:6">
      <c r="B19" s="77" t="s">
        <v>230</v>
      </c>
      <c r="C19" s="64"/>
      <c r="D19" s="67"/>
      <c r="E19" s="64" t="s">
        <v>208</v>
      </c>
      <c r="F19" s="62">
        <v>46188</v>
      </c>
    </row>
    <row r="20" spans="1:6">
      <c r="A20" s="83" t="s">
        <v>25</v>
      </c>
      <c r="B20" t="s">
        <v>170</v>
      </c>
      <c r="C20" s="68">
        <v>10</v>
      </c>
      <c r="D20" s="65">
        <f>$C$1*C20</f>
        <v>763.05499999999995</v>
      </c>
    </row>
    <row r="21" spans="1:6">
      <c r="A21" s="83" t="s">
        <v>33</v>
      </c>
      <c r="B21" t="s">
        <v>172</v>
      </c>
      <c r="C21" s="68">
        <v>8</v>
      </c>
      <c r="D21" s="65">
        <f>$C$1*C21</f>
        <v>610.44399999999996</v>
      </c>
    </row>
    <row r="22" spans="1:6">
      <c r="A22" s="83" t="s">
        <v>36</v>
      </c>
      <c r="B22" t="s">
        <v>171</v>
      </c>
      <c r="C22" s="68">
        <v>13</v>
      </c>
      <c r="D22" s="65">
        <f>$C$1*C22</f>
        <v>991.97149999999988</v>
      </c>
    </row>
    <row r="24" spans="1:6">
      <c r="B24" s="86" t="s">
        <v>249</v>
      </c>
      <c r="C24" s="86"/>
      <c r="D24" s="86"/>
      <c r="E24" s="86"/>
      <c r="F24" s="86"/>
    </row>
    <row r="25" spans="1:6">
      <c r="B25" t="s">
        <v>166</v>
      </c>
      <c r="C25" t="s">
        <v>167</v>
      </c>
    </row>
    <row r="26" spans="1:6">
      <c r="B26" t="s">
        <v>168</v>
      </c>
      <c r="C26">
        <v>1000</v>
      </c>
    </row>
    <row r="27" spans="1:6">
      <c r="B27" t="s">
        <v>169</v>
      </c>
      <c r="C27">
        <v>700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C103"/>
  <sheetViews>
    <sheetView showGridLines="0" workbookViewId="0">
      <selection sqref="A1:C15"/>
    </sheetView>
  </sheetViews>
  <sheetFormatPr defaultRowHeight="14.6"/>
  <cols>
    <col min="1" max="1" width="15.3046875" customWidth="1"/>
    <col min="2" max="2" width="32.3828125" customWidth="1"/>
    <col min="3" max="3" width="9.921875" bestFit="1" customWidth="1"/>
  </cols>
  <sheetData>
    <row r="1" spans="1:3" ht="18.45">
      <c r="A1" s="8" t="s">
        <v>173</v>
      </c>
      <c r="B1" s="8" t="s">
        <v>188</v>
      </c>
      <c r="C1" s="55" t="s">
        <v>226</v>
      </c>
    </row>
    <row r="2" spans="1:3">
      <c r="A2" s="57" t="s">
        <v>174</v>
      </c>
      <c r="B2" s="58">
        <f>AVERAGE(B4:B15)</f>
        <v>76.305499999999995</v>
      </c>
      <c r="C2" s="19">
        <v>46196</v>
      </c>
    </row>
    <row r="4" spans="1:3">
      <c r="A4" s="28" t="s">
        <v>214</v>
      </c>
      <c r="B4" s="28">
        <v>77.563199999999995</v>
      </c>
    </row>
    <row r="5" spans="1:3">
      <c r="A5" s="28" t="s">
        <v>215</v>
      </c>
      <c r="B5" s="28">
        <v>76.851600000000005</v>
      </c>
    </row>
    <row r="6" spans="1:3">
      <c r="A6" s="28" t="s">
        <v>216</v>
      </c>
      <c r="B6" s="28">
        <v>80.761300000000006</v>
      </c>
    </row>
    <row r="7" spans="1:3">
      <c r="A7" s="28" t="s">
        <v>217</v>
      </c>
      <c r="B7" s="28">
        <v>76.938000000000002</v>
      </c>
    </row>
    <row r="8" spans="1:3">
      <c r="A8" s="28" t="s">
        <v>218</v>
      </c>
      <c r="B8" s="28">
        <v>73.006900000000002</v>
      </c>
    </row>
    <row r="9" spans="1:3">
      <c r="A9" s="28" t="s">
        <v>219</v>
      </c>
      <c r="B9" s="28">
        <v>72.712000000000003</v>
      </c>
    </row>
    <row r="10" spans="1:3">
      <c r="A10" s="28" t="s">
        <v>220</v>
      </c>
      <c r="B10" s="28"/>
    </row>
    <row r="11" spans="1:3">
      <c r="A11" s="28" t="s">
        <v>221</v>
      </c>
      <c r="B11" s="56"/>
      <c r="C11" s="20"/>
    </row>
    <row r="12" spans="1:3">
      <c r="A12" s="28" t="s">
        <v>222</v>
      </c>
      <c r="B12" s="56"/>
      <c r="C12" s="20"/>
    </row>
    <row r="13" spans="1:3">
      <c r="A13" s="28" t="s">
        <v>223</v>
      </c>
      <c r="B13" s="56"/>
      <c r="C13" s="20"/>
    </row>
    <row r="14" spans="1:3">
      <c r="A14" s="28" t="s">
        <v>224</v>
      </c>
      <c r="B14" s="56"/>
      <c r="C14" s="20"/>
    </row>
    <row r="15" spans="1:3">
      <c r="A15" s="28" t="s">
        <v>225</v>
      </c>
      <c r="B15" s="56"/>
      <c r="C15" s="20"/>
    </row>
    <row r="16" spans="1:3">
      <c r="A16" s="18"/>
      <c r="B16" s="19"/>
      <c r="C16" s="20"/>
    </row>
    <row r="17" spans="1:3">
      <c r="A17" s="18"/>
      <c r="B17" s="19"/>
      <c r="C17" s="20"/>
    </row>
    <row r="18" spans="1:3">
      <c r="A18" s="18"/>
      <c r="B18" s="19"/>
      <c r="C18" s="20"/>
    </row>
    <row r="19" spans="1:3">
      <c r="A19" s="18"/>
      <c r="B19" s="19"/>
      <c r="C19" s="20"/>
    </row>
    <row r="20" spans="1:3">
      <c r="A20" s="18"/>
      <c r="B20" s="19"/>
      <c r="C20" s="20"/>
    </row>
    <row r="21" spans="1:3">
      <c r="A21" s="18"/>
      <c r="B21" s="19"/>
      <c r="C21" s="20"/>
    </row>
    <row r="22" spans="1:3">
      <c r="A22" s="18"/>
      <c r="B22" s="19"/>
      <c r="C22" s="20"/>
    </row>
    <row r="23" spans="1:3">
      <c r="A23" s="18"/>
      <c r="B23" s="19"/>
      <c r="C23" s="20"/>
    </row>
    <row r="24" spans="1:3">
      <c r="A24" s="18"/>
      <c r="B24" s="19"/>
      <c r="C24" s="20"/>
    </row>
    <row r="25" spans="1:3">
      <c r="A25" s="18"/>
      <c r="B25" s="19"/>
      <c r="C25" s="20"/>
    </row>
    <row r="26" spans="1:3">
      <c r="A26" s="18"/>
      <c r="B26" s="19"/>
      <c r="C26" s="20"/>
    </row>
    <row r="27" spans="1:3">
      <c r="A27" s="18"/>
      <c r="B27" s="19"/>
      <c r="C27" s="20"/>
    </row>
    <row r="28" spans="1:3">
      <c r="A28" s="18"/>
      <c r="B28" s="19"/>
      <c r="C28" s="20"/>
    </row>
    <row r="29" spans="1:3">
      <c r="A29" s="18"/>
      <c r="B29" s="19"/>
      <c r="C29" s="20"/>
    </row>
    <row r="30" spans="1:3">
      <c r="A30" s="18"/>
      <c r="B30" s="19"/>
      <c r="C30" s="20"/>
    </row>
    <row r="31" spans="1:3">
      <c r="A31" s="18"/>
      <c r="B31" s="19"/>
      <c r="C31" s="20"/>
    </row>
    <row r="32" spans="1:3">
      <c r="A32" s="18"/>
      <c r="B32" s="19"/>
      <c r="C32" s="20"/>
    </row>
    <row r="33" spans="1:3">
      <c r="A33" s="18"/>
      <c r="B33" s="19"/>
      <c r="C33" s="20"/>
    </row>
    <row r="34" spans="1:3">
      <c r="A34" s="18"/>
      <c r="B34" s="19"/>
      <c r="C34" s="20"/>
    </row>
    <row r="35" spans="1:3">
      <c r="A35" s="18"/>
      <c r="B35" s="19"/>
      <c r="C35" s="20"/>
    </row>
    <row r="36" spans="1:3">
      <c r="A36" s="18"/>
      <c r="B36" s="19"/>
      <c r="C36" s="20"/>
    </row>
    <row r="37" spans="1:3">
      <c r="A37" s="18"/>
      <c r="B37" s="19"/>
      <c r="C37" s="20"/>
    </row>
    <row r="38" spans="1:3">
      <c r="A38" s="18"/>
      <c r="B38" s="19"/>
      <c r="C38" s="20"/>
    </row>
    <row r="39" spans="1:3">
      <c r="A39" s="18"/>
      <c r="B39" s="19"/>
      <c r="C39" s="20"/>
    </row>
    <row r="40" spans="1:3">
      <c r="A40" s="18"/>
      <c r="B40" s="19"/>
      <c r="C40" s="20"/>
    </row>
    <row r="41" spans="1:3">
      <c r="A41" s="18"/>
      <c r="B41" s="19"/>
      <c r="C41" s="20"/>
    </row>
    <row r="42" spans="1:3">
      <c r="A42" s="18"/>
      <c r="B42" s="19"/>
      <c r="C42" s="20"/>
    </row>
    <row r="43" spans="1:3">
      <c r="A43" s="18"/>
      <c r="B43" s="19"/>
      <c r="C43" s="20"/>
    </row>
    <row r="44" spans="1:3">
      <c r="A44" s="18"/>
      <c r="B44" s="19"/>
      <c r="C44" s="20"/>
    </row>
    <row r="45" spans="1:3">
      <c r="A45" s="18"/>
      <c r="B45" s="19"/>
      <c r="C45" s="20"/>
    </row>
    <row r="46" spans="1:3">
      <c r="A46" s="18"/>
      <c r="B46" s="19"/>
      <c r="C46" s="20"/>
    </row>
    <row r="47" spans="1:3">
      <c r="A47" s="18"/>
      <c r="B47" s="19"/>
      <c r="C47" s="20"/>
    </row>
    <row r="48" spans="1:3">
      <c r="A48" s="18"/>
      <c r="B48" s="19"/>
      <c r="C48" s="20"/>
    </row>
    <row r="49" spans="1:3">
      <c r="A49" s="18"/>
      <c r="B49" s="19"/>
      <c r="C49" s="20"/>
    </row>
    <row r="50" spans="1:3">
      <c r="A50" s="18"/>
      <c r="B50" s="19"/>
      <c r="C50" s="20"/>
    </row>
    <row r="51" spans="1:3">
      <c r="A51" s="18"/>
      <c r="B51" s="19"/>
      <c r="C51" s="20"/>
    </row>
    <row r="52" spans="1:3">
      <c r="A52" s="18"/>
      <c r="B52" s="19"/>
      <c r="C52" s="20"/>
    </row>
    <row r="53" spans="1:3">
      <c r="A53" s="18"/>
      <c r="B53" s="19"/>
      <c r="C53" s="20"/>
    </row>
    <row r="54" spans="1:3">
      <c r="A54" s="18"/>
      <c r="B54" s="19"/>
      <c r="C54" s="20"/>
    </row>
    <row r="55" spans="1:3">
      <c r="A55" s="18"/>
      <c r="B55" s="19"/>
      <c r="C55" s="20"/>
    </row>
    <row r="56" spans="1:3">
      <c r="A56" s="18"/>
      <c r="B56" s="19"/>
      <c r="C56" s="20"/>
    </row>
    <row r="57" spans="1:3">
      <c r="A57" s="18"/>
      <c r="B57" s="19"/>
      <c r="C57" s="20"/>
    </row>
    <row r="58" spans="1:3">
      <c r="A58" s="18"/>
      <c r="B58" s="19"/>
      <c r="C58" s="20"/>
    </row>
    <row r="59" spans="1:3">
      <c r="A59" s="18"/>
      <c r="B59" s="19"/>
      <c r="C59" s="20"/>
    </row>
    <row r="60" spans="1:3">
      <c r="A60" s="18"/>
      <c r="B60" s="19"/>
      <c r="C60" s="20"/>
    </row>
    <row r="61" spans="1:3">
      <c r="A61" s="18"/>
      <c r="B61" s="19"/>
      <c r="C61" s="20"/>
    </row>
    <row r="62" spans="1:3">
      <c r="A62" s="18"/>
      <c r="B62" s="19"/>
      <c r="C62" s="20"/>
    </row>
    <row r="63" spans="1:3">
      <c r="A63" s="18"/>
      <c r="B63" s="19"/>
      <c r="C63" s="20"/>
    </row>
    <row r="64" spans="1:3">
      <c r="A64" s="18"/>
      <c r="B64" s="19"/>
      <c r="C64" s="20"/>
    </row>
    <row r="65" spans="1:3">
      <c r="A65" s="18"/>
      <c r="B65" s="19"/>
      <c r="C65" s="20"/>
    </row>
    <row r="66" spans="1:3">
      <c r="A66" s="18"/>
      <c r="B66" s="19"/>
      <c r="C66" s="20"/>
    </row>
    <row r="67" spans="1:3">
      <c r="A67" s="18"/>
      <c r="B67" s="19"/>
      <c r="C67" s="20"/>
    </row>
    <row r="68" spans="1:3">
      <c r="A68" s="18"/>
      <c r="B68" s="19"/>
      <c r="C68" s="20"/>
    </row>
    <row r="69" spans="1:3">
      <c r="A69" s="18"/>
      <c r="B69" s="19"/>
      <c r="C69" s="20"/>
    </row>
    <row r="70" spans="1:3">
      <c r="A70" s="18"/>
      <c r="B70" s="19"/>
      <c r="C70" s="20"/>
    </row>
    <row r="71" spans="1:3">
      <c r="A71" s="18"/>
      <c r="B71" s="19"/>
      <c r="C71" s="20"/>
    </row>
    <row r="72" spans="1:3">
      <c r="A72" s="18"/>
      <c r="B72" s="19"/>
      <c r="C72" s="20"/>
    </row>
    <row r="73" spans="1:3">
      <c r="A73" s="18"/>
      <c r="B73" s="19"/>
      <c r="C73" s="20"/>
    </row>
    <row r="74" spans="1:3">
      <c r="A74" s="18"/>
      <c r="B74" s="19"/>
      <c r="C74" s="20"/>
    </row>
    <row r="75" spans="1:3">
      <c r="A75" s="18"/>
      <c r="B75" s="19"/>
      <c r="C75" s="20"/>
    </row>
    <row r="76" spans="1:3">
      <c r="A76" s="18"/>
      <c r="B76" s="19"/>
      <c r="C76" s="20"/>
    </row>
    <row r="77" spans="1:3">
      <c r="A77" s="18"/>
      <c r="B77" s="19"/>
      <c r="C77" s="20"/>
    </row>
    <row r="78" spans="1:3">
      <c r="A78" s="18"/>
      <c r="B78" s="19"/>
      <c r="C78" s="20"/>
    </row>
    <row r="79" spans="1:3">
      <c r="A79" s="18"/>
      <c r="B79" s="19"/>
      <c r="C79" s="20"/>
    </row>
    <row r="80" spans="1:3">
      <c r="A80" s="18"/>
      <c r="B80" s="19"/>
      <c r="C80" s="20"/>
    </row>
    <row r="81" spans="1:3">
      <c r="A81" s="18"/>
      <c r="B81" s="19"/>
      <c r="C81" s="20"/>
    </row>
    <row r="82" spans="1:3">
      <c r="A82" s="18"/>
      <c r="B82" s="19"/>
      <c r="C82" s="20"/>
    </row>
    <row r="83" spans="1:3">
      <c r="A83" s="18"/>
      <c r="B83" s="19"/>
      <c r="C83" s="20"/>
    </row>
    <row r="84" spans="1:3">
      <c r="A84" s="18"/>
      <c r="B84" s="19"/>
      <c r="C84" s="20"/>
    </row>
    <row r="85" spans="1:3">
      <c r="A85" s="18"/>
      <c r="B85" s="19"/>
      <c r="C85" s="20"/>
    </row>
    <row r="86" spans="1:3">
      <c r="A86" s="18"/>
      <c r="B86" s="19"/>
      <c r="C86" s="20"/>
    </row>
    <row r="87" spans="1:3">
      <c r="A87" s="18"/>
      <c r="B87" s="19"/>
      <c r="C87" s="20"/>
    </row>
    <row r="88" spans="1:3">
      <c r="A88" s="18"/>
      <c r="B88" s="19"/>
      <c r="C88" s="20"/>
    </row>
    <row r="89" spans="1:3">
      <c r="A89" s="18"/>
      <c r="B89" s="19"/>
      <c r="C89" s="20"/>
    </row>
    <row r="90" spans="1:3">
      <c r="A90" s="18"/>
      <c r="B90" s="19"/>
      <c r="C90" s="20"/>
    </row>
    <row r="91" spans="1:3">
      <c r="A91" s="18"/>
      <c r="B91" s="19"/>
      <c r="C91" s="20"/>
    </row>
    <row r="92" spans="1:3">
      <c r="A92" s="18"/>
      <c r="B92" s="19"/>
      <c r="C92" s="20"/>
    </row>
    <row r="93" spans="1:3">
      <c r="A93" s="18"/>
      <c r="B93" s="19"/>
      <c r="C93" s="20"/>
    </row>
    <row r="94" spans="1:3">
      <c r="A94" s="18"/>
      <c r="B94" s="19"/>
      <c r="C94" s="20"/>
    </row>
    <row r="95" spans="1:3">
      <c r="A95" s="18"/>
      <c r="B95" s="19"/>
      <c r="C95" s="20"/>
    </row>
    <row r="96" spans="1:3">
      <c r="A96" s="18"/>
      <c r="B96" s="19"/>
      <c r="C96" s="20"/>
    </row>
    <row r="97" spans="1:3">
      <c r="A97" s="18"/>
      <c r="B97" s="19"/>
      <c r="C97" s="20"/>
    </row>
    <row r="98" spans="1:3">
      <c r="A98" s="18"/>
      <c r="B98" s="19"/>
      <c r="C98" s="20"/>
    </row>
    <row r="99" spans="1:3">
      <c r="A99" s="18"/>
      <c r="B99" s="19"/>
      <c r="C99" s="20"/>
    </row>
    <row r="100" spans="1:3">
      <c r="A100" s="18"/>
      <c r="B100" s="19"/>
      <c r="C100" s="20"/>
    </row>
    <row r="101" spans="1:3">
      <c r="A101" s="18"/>
      <c r="B101" s="19"/>
      <c r="C101" s="20"/>
    </row>
    <row r="102" spans="1:3">
      <c r="A102" s="18"/>
      <c r="B102" s="19"/>
      <c r="C102" s="20"/>
    </row>
    <row r="103" spans="1:3">
      <c r="A103" s="18"/>
      <c r="B103" s="19"/>
      <c r="C103" s="20"/>
    </row>
  </sheetData>
  <hyperlinks>
    <hyperlink ref="C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G187"/>
  <sheetViews>
    <sheetView showGridLines="0" topLeftCell="A118" workbookViewId="0">
      <selection activeCell="F3" sqref="F3"/>
    </sheetView>
  </sheetViews>
  <sheetFormatPr defaultRowHeight="14.6"/>
  <sheetData>
    <row r="1" spans="1:7">
      <c r="A1" s="458" t="s">
        <v>182</v>
      </c>
      <c r="B1" s="458"/>
      <c r="C1" s="9"/>
      <c r="D1" s="9"/>
      <c r="E1" s="458" t="s">
        <v>183</v>
      </c>
      <c r="F1" s="458"/>
      <c r="G1" s="9"/>
    </row>
    <row r="2" spans="1:7">
      <c r="A2" s="10" t="s">
        <v>184</v>
      </c>
      <c r="B2" s="10" t="s">
        <v>185</v>
      </c>
      <c r="C2" s="9"/>
      <c r="D2" s="9"/>
      <c r="E2" s="10" t="s">
        <v>184</v>
      </c>
      <c r="F2" s="10" t="s">
        <v>185</v>
      </c>
      <c r="G2" s="9"/>
    </row>
    <row r="3" spans="1:7">
      <c r="A3" s="11">
        <v>-5</v>
      </c>
      <c r="B3" s="10">
        <v>0</v>
      </c>
      <c r="C3" s="9"/>
      <c r="D3" s="9"/>
      <c r="E3" s="11">
        <v>-5</v>
      </c>
      <c r="F3" s="10">
        <v>1</v>
      </c>
      <c r="G3" s="9"/>
    </row>
    <row r="4" spans="1:7">
      <c r="A4" s="11">
        <v>-2.4500000000000002</v>
      </c>
      <c r="B4" s="10">
        <v>0</v>
      </c>
      <c r="C4" s="9"/>
      <c r="D4" s="9"/>
      <c r="E4" s="11">
        <v>-2.4500000000000002</v>
      </c>
      <c r="F4" s="10">
        <v>1</v>
      </c>
      <c r="G4" s="9"/>
    </row>
    <row r="5" spans="1:7">
      <c r="A5" s="11">
        <v>-2.4</v>
      </c>
      <c r="B5" s="10">
        <v>0</v>
      </c>
      <c r="C5" s="9"/>
      <c r="D5" s="9"/>
      <c r="E5" s="11">
        <v>-2.4</v>
      </c>
      <c r="F5" s="10">
        <v>1</v>
      </c>
      <c r="G5" s="9"/>
    </row>
    <row r="6" spans="1:7">
      <c r="A6" s="11">
        <v>-2.35</v>
      </c>
      <c r="B6" s="10">
        <v>0</v>
      </c>
      <c r="C6" s="9"/>
      <c r="D6" s="9"/>
      <c r="E6" s="11">
        <v>-2.35</v>
      </c>
      <c r="F6" s="10">
        <v>1</v>
      </c>
      <c r="G6" s="9"/>
    </row>
    <row r="7" spans="1:7">
      <c r="A7" s="11">
        <v>-2.2999999999999998</v>
      </c>
      <c r="B7" s="10">
        <v>0</v>
      </c>
      <c r="C7" s="9"/>
      <c r="D7" s="9"/>
      <c r="E7" s="11">
        <v>-2.2999999999999998</v>
      </c>
      <c r="F7" s="10">
        <v>1</v>
      </c>
      <c r="G7" s="9"/>
    </row>
    <row r="8" spans="1:7">
      <c r="A8" s="11">
        <v>-2.25</v>
      </c>
      <c r="B8" s="10">
        <v>0</v>
      </c>
      <c r="C8" s="9"/>
      <c r="D8" s="9"/>
      <c r="E8" s="11">
        <v>-2.25</v>
      </c>
      <c r="F8" s="10">
        <v>1</v>
      </c>
      <c r="G8" s="9"/>
    </row>
    <row r="9" spans="1:7">
      <c r="A9" s="11">
        <v>-2.2000000000000002</v>
      </c>
      <c r="B9" s="10">
        <v>0</v>
      </c>
      <c r="C9" s="9"/>
      <c r="D9" s="9"/>
      <c r="E9" s="11">
        <v>-2.2000000000000002</v>
      </c>
      <c r="F9" s="10">
        <v>1</v>
      </c>
      <c r="G9" s="9"/>
    </row>
    <row r="10" spans="1:7">
      <c r="A10" s="11">
        <v>-2.15</v>
      </c>
      <c r="B10" s="10">
        <v>0</v>
      </c>
      <c r="C10" s="9"/>
      <c r="D10" s="9"/>
      <c r="E10" s="11">
        <v>-2.15</v>
      </c>
      <c r="F10" s="10">
        <v>1</v>
      </c>
      <c r="G10" s="9"/>
    </row>
    <row r="11" spans="1:7">
      <c r="A11" s="11">
        <v>-2.1</v>
      </c>
      <c r="B11" s="10">
        <v>0</v>
      </c>
      <c r="C11" s="9"/>
      <c r="D11" s="9"/>
      <c r="E11" s="11">
        <v>-2.1</v>
      </c>
      <c r="F11" s="10">
        <v>1</v>
      </c>
      <c r="G11" s="9"/>
    </row>
    <row r="12" spans="1:7">
      <c r="A12" s="11">
        <v>-2.0499999999999998</v>
      </c>
      <c r="B12" s="10">
        <v>0</v>
      </c>
      <c r="C12" s="9"/>
      <c r="D12" s="9"/>
      <c r="E12" s="11">
        <v>-2.0499999999999998</v>
      </c>
      <c r="F12" s="10">
        <v>1</v>
      </c>
      <c r="G12" s="9"/>
    </row>
    <row r="13" spans="1:7">
      <c r="A13" s="11">
        <v>-2</v>
      </c>
      <c r="B13" s="10">
        <v>0</v>
      </c>
      <c r="C13" s="9"/>
      <c r="D13" s="9"/>
      <c r="E13" s="11">
        <v>-2</v>
      </c>
      <c r="F13" s="10">
        <v>1</v>
      </c>
      <c r="G13" s="9"/>
    </row>
    <row r="14" spans="1:7">
      <c r="A14" s="11">
        <v>-1.95</v>
      </c>
      <c r="B14" s="10">
        <v>0</v>
      </c>
      <c r="C14" s="9"/>
      <c r="D14" s="9"/>
      <c r="E14" s="11">
        <v>-1.95</v>
      </c>
      <c r="F14" s="10">
        <v>1</v>
      </c>
      <c r="G14" s="15">
        <v>0</v>
      </c>
    </row>
    <row r="15" spans="1:7">
      <c r="A15" s="11">
        <v>-1.9</v>
      </c>
      <c r="B15" s="10">
        <v>0</v>
      </c>
      <c r="C15" s="9"/>
      <c r="D15" s="9"/>
      <c r="E15" s="11">
        <v>-1.9</v>
      </c>
      <c r="F15" s="10">
        <v>1</v>
      </c>
      <c r="G15" s="15">
        <v>0</v>
      </c>
    </row>
    <row r="16" spans="1:7">
      <c r="A16" s="11">
        <v>-1.85</v>
      </c>
      <c r="B16" s="10">
        <v>0</v>
      </c>
      <c r="C16" s="9"/>
      <c r="D16" s="9"/>
      <c r="E16" s="11">
        <v>-1.85</v>
      </c>
      <c r="F16" s="10">
        <v>1</v>
      </c>
      <c r="G16" s="15">
        <v>0</v>
      </c>
    </row>
    <row r="17" spans="1:7">
      <c r="A17" s="11">
        <v>-1.8</v>
      </c>
      <c r="B17" s="10">
        <v>0</v>
      </c>
      <c r="C17" s="9"/>
      <c r="D17" s="9"/>
      <c r="E17" s="11">
        <v>-1.8</v>
      </c>
      <c r="F17" s="10">
        <v>1</v>
      </c>
      <c r="G17" s="15">
        <v>0</v>
      </c>
    </row>
    <row r="18" spans="1:7">
      <c r="A18" s="11">
        <v>-1.75</v>
      </c>
      <c r="B18" s="10">
        <v>0</v>
      </c>
      <c r="C18" s="9"/>
      <c r="D18" s="9"/>
      <c r="E18" s="11">
        <v>-1.75</v>
      </c>
      <c r="F18" s="10">
        <v>1</v>
      </c>
      <c r="G18" s="15">
        <v>0</v>
      </c>
    </row>
    <row r="19" spans="1:7">
      <c r="A19" s="11">
        <v>-1.7</v>
      </c>
      <c r="B19" s="10">
        <v>0</v>
      </c>
      <c r="C19" s="9"/>
      <c r="D19" s="9"/>
      <c r="E19" s="11">
        <v>-1.7</v>
      </c>
      <c r="F19" s="10">
        <v>1</v>
      </c>
      <c r="G19" s="15">
        <v>0</v>
      </c>
    </row>
    <row r="20" spans="1:7">
      <c r="A20" s="11">
        <v>-1.65</v>
      </c>
      <c r="B20" s="10">
        <v>0</v>
      </c>
      <c r="C20" s="9"/>
      <c r="D20" s="9"/>
      <c r="E20" s="11">
        <v>-1.65</v>
      </c>
      <c r="F20" s="10">
        <v>1</v>
      </c>
      <c r="G20" s="15">
        <v>0</v>
      </c>
    </row>
    <row r="21" spans="1:7">
      <c r="A21" s="11">
        <v>-1.6</v>
      </c>
      <c r="B21" s="10">
        <v>0</v>
      </c>
      <c r="C21" s="9"/>
      <c r="D21" s="9"/>
      <c r="E21" s="11">
        <v>-1.6</v>
      </c>
      <c r="F21" s="10">
        <v>1</v>
      </c>
      <c r="G21" s="15">
        <v>0</v>
      </c>
    </row>
    <row r="22" spans="1:7">
      <c r="A22" s="11">
        <v>-1.55</v>
      </c>
      <c r="B22" s="10">
        <v>0</v>
      </c>
      <c r="C22" s="9"/>
      <c r="D22" s="9"/>
      <c r="E22" s="11">
        <v>-1.55</v>
      </c>
      <c r="F22" s="10">
        <v>1</v>
      </c>
      <c r="G22" s="15">
        <v>0</v>
      </c>
    </row>
    <row r="23" spans="1:7">
      <c r="A23" s="11">
        <v>-1.5</v>
      </c>
      <c r="B23" s="10">
        <v>0</v>
      </c>
      <c r="C23" s="9"/>
      <c r="D23" s="9"/>
      <c r="E23" s="11">
        <v>-1.5</v>
      </c>
      <c r="F23" s="10">
        <v>1</v>
      </c>
      <c r="G23" s="15">
        <v>0</v>
      </c>
    </row>
    <row r="24" spans="1:7">
      <c r="A24" s="11">
        <v>-1.45</v>
      </c>
      <c r="B24" s="10">
        <v>0</v>
      </c>
      <c r="C24" s="9"/>
      <c r="D24" s="9"/>
      <c r="E24" s="11">
        <v>-1.45</v>
      </c>
      <c r="F24" s="10">
        <v>1</v>
      </c>
      <c r="G24" s="15">
        <v>0</v>
      </c>
    </row>
    <row r="25" spans="1:7">
      <c r="A25" s="11">
        <v>-1.4</v>
      </c>
      <c r="B25" s="10">
        <v>0</v>
      </c>
      <c r="C25" s="9"/>
      <c r="D25" s="9"/>
      <c r="E25" s="11">
        <v>-1.4</v>
      </c>
      <c r="F25" s="10">
        <v>1</v>
      </c>
      <c r="G25" s="15">
        <v>0</v>
      </c>
    </row>
    <row r="26" spans="1:7">
      <c r="A26" s="11">
        <v>-1.35</v>
      </c>
      <c r="B26" s="10">
        <v>0</v>
      </c>
      <c r="C26" s="9"/>
      <c r="D26" s="9"/>
      <c r="E26" s="11">
        <v>-1.35</v>
      </c>
      <c r="F26" s="10">
        <v>1</v>
      </c>
      <c r="G26" s="15">
        <v>0</v>
      </c>
    </row>
    <row r="27" spans="1:7">
      <c r="A27" s="11">
        <v>-1.3</v>
      </c>
      <c r="B27" s="10">
        <v>0</v>
      </c>
      <c r="C27" s="9"/>
      <c r="D27" s="9"/>
      <c r="E27" s="11">
        <v>-1.3</v>
      </c>
      <c r="F27" s="10">
        <v>1</v>
      </c>
      <c r="G27" s="15">
        <v>0</v>
      </c>
    </row>
    <row r="28" spans="1:7">
      <c r="A28" s="11">
        <v>-1.25</v>
      </c>
      <c r="B28" s="10">
        <v>0</v>
      </c>
      <c r="C28" s="9"/>
      <c r="D28" s="9"/>
      <c r="E28" s="11">
        <v>-1.25</v>
      </c>
      <c r="F28" s="10">
        <v>1</v>
      </c>
      <c r="G28" s="15">
        <v>0</v>
      </c>
    </row>
    <row r="29" spans="1:7">
      <c r="A29" s="11">
        <v>-1.2</v>
      </c>
      <c r="B29" s="10">
        <v>0</v>
      </c>
      <c r="C29" s="9"/>
      <c r="D29" s="9"/>
      <c r="E29" s="11">
        <v>-1.2</v>
      </c>
      <c r="F29" s="10">
        <v>1</v>
      </c>
      <c r="G29" s="15">
        <v>0</v>
      </c>
    </row>
    <row r="30" spans="1:7">
      <c r="A30" s="11">
        <v>-1.1499999999999999</v>
      </c>
      <c r="B30" s="10">
        <v>0</v>
      </c>
      <c r="C30" s="9"/>
      <c r="D30" s="9"/>
      <c r="E30" s="11">
        <v>-1.1499999999999999</v>
      </c>
      <c r="F30" s="10">
        <v>1</v>
      </c>
      <c r="G30" s="15">
        <v>0</v>
      </c>
    </row>
    <row r="31" spans="1:7">
      <c r="A31" s="11">
        <v>-1.1000000000000001</v>
      </c>
      <c r="B31" s="14">
        <v>0</v>
      </c>
      <c r="C31" s="15">
        <v>1.7999999999999999E-2</v>
      </c>
      <c r="D31" s="9"/>
      <c r="E31" s="11">
        <v>-1.1000000000000001</v>
      </c>
      <c r="F31" s="10">
        <v>1</v>
      </c>
      <c r="G31" s="15">
        <v>0</v>
      </c>
    </row>
    <row r="32" spans="1:7">
      <c r="A32" s="11">
        <v>-1.05</v>
      </c>
      <c r="B32" s="14">
        <v>1.7999999999999999E-2</v>
      </c>
      <c r="C32" s="15">
        <v>1.7999999999999999E-2</v>
      </c>
      <c r="D32" s="9"/>
      <c r="E32" s="11">
        <v>-1.05</v>
      </c>
      <c r="F32" s="10">
        <v>1</v>
      </c>
      <c r="G32" s="15">
        <v>0</v>
      </c>
    </row>
    <row r="33" spans="1:7">
      <c r="A33" s="11">
        <v>-1.04</v>
      </c>
      <c r="B33" s="14">
        <v>3.5999999999999997E-2</v>
      </c>
      <c r="C33" s="15">
        <v>1.8000000000000002E-2</v>
      </c>
      <c r="D33" s="9"/>
      <c r="E33" s="11">
        <v>-1.04</v>
      </c>
      <c r="F33" s="10">
        <v>1</v>
      </c>
      <c r="G33" s="15">
        <v>0</v>
      </c>
    </row>
    <row r="34" spans="1:7">
      <c r="A34" s="11">
        <v>-1.03</v>
      </c>
      <c r="B34" s="14">
        <v>5.3999999999999999E-2</v>
      </c>
      <c r="C34" s="15">
        <v>1.6999999999999994E-2</v>
      </c>
      <c r="D34" s="9"/>
      <c r="E34" s="11">
        <v>-1.03</v>
      </c>
      <c r="F34" s="10">
        <v>1</v>
      </c>
      <c r="G34" s="15">
        <v>0</v>
      </c>
    </row>
    <row r="35" spans="1:7">
      <c r="A35" s="11">
        <v>-1.02</v>
      </c>
      <c r="B35" s="14">
        <v>7.0999999999999994E-2</v>
      </c>
      <c r="C35" s="15">
        <v>1.7000000000000001E-2</v>
      </c>
      <c r="D35" s="9"/>
      <c r="E35" s="11">
        <v>-1.02</v>
      </c>
      <c r="F35" s="10">
        <v>1</v>
      </c>
      <c r="G35" s="15">
        <v>0</v>
      </c>
    </row>
    <row r="36" spans="1:7">
      <c r="A36" s="11">
        <v>-1.01</v>
      </c>
      <c r="B36" s="14">
        <v>8.7999999999999995E-2</v>
      </c>
      <c r="C36" s="15">
        <v>1.7000000000000001E-2</v>
      </c>
      <c r="D36" s="9"/>
      <c r="E36" s="11">
        <v>-1.01</v>
      </c>
      <c r="F36" s="10">
        <v>1</v>
      </c>
      <c r="G36" s="15">
        <v>0</v>
      </c>
    </row>
    <row r="37" spans="1:7">
      <c r="A37" s="11">
        <v>-1</v>
      </c>
      <c r="B37" s="14">
        <v>0.105</v>
      </c>
      <c r="C37" s="15">
        <v>1.7000000000000001E-2</v>
      </c>
      <c r="D37" s="9"/>
      <c r="E37" s="11">
        <v>-1</v>
      </c>
      <c r="F37" s="10">
        <v>1</v>
      </c>
      <c r="G37" s="15">
        <v>0</v>
      </c>
    </row>
    <row r="38" spans="1:7">
      <c r="A38" s="11">
        <v>-0.99</v>
      </c>
      <c r="B38" s="14">
        <v>0.122</v>
      </c>
      <c r="C38" s="15">
        <v>1.6000000000000014E-2</v>
      </c>
      <c r="D38" s="9"/>
      <c r="E38" s="11">
        <v>-0.99</v>
      </c>
      <c r="F38" s="10">
        <v>1</v>
      </c>
      <c r="G38" s="15">
        <v>0</v>
      </c>
    </row>
    <row r="39" spans="1:7">
      <c r="A39" s="11">
        <v>-0.98</v>
      </c>
      <c r="B39" s="14">
        <v>0.13800000000000001</v>
      </c>
      <c r="C39" s="15">
        <v>1.5999999999999986E-2</v>
      </c>
      <c r="D39" s="9"/>
      <c r="E39" s="11">
        <v>-0.98</v>
      </c>
      <c r="F39" s="10">
        <v>1</v>
      </c>
      <c r="G39" s="15">
        <v>0</v>
      </c>
    </row>
    <row r="40" spans="1:7">
      <c r="A40" s="11">
        <v>-0.97</v>
      </c>
      <c r="B40" s="14">
        <v>0.154</v>
      </c>
      <c r="C40" s="15">
        <v>1.6000000000000014E-2</v>
      </c>
      <c r="D40" s="9"/>
      <c r="E40" s="11">
        <v>-0.97</v>
      </c>
      <c r="F40" s="10">
        <v>1</v>
      </c>
      <c r="G40" s="15">
        <v>0</v>
      </c>
    </row>
    <row r="41" spans="1:7">
      <c r="A41" s="11">
        <v>-0.96</v>
      </c>
      <c r="B41" s="14">
        <v>0.17</v>
      </c>
      <c r="C41" s="15">
        <v>1.5999999999999986E-2</v>
      </c>
      <c r="D41" s="9"/>
      <c r="E41" s="11">
        <v>-0.96</v>
      </c>
      <c r="F41" s="10">
        <v>1</v>
      </c>
      <c r="G41" s="15">
        <v>0</v>
      </c>
    </row>
    <row r="42" spans="1:7">
      <c r="A42" s="11">
        <v>-0.95</v>
      </c>
      <c r="B42" s="14">
        <v>0.186</v>
      </c>
      <c r="C42" s="15">
        <v>1.6000000000000014E-2</v>
      </c>
      <c r="D42" s="9"/>
      <c r="E42" s="11">
        <v>-0.95</v>
      </c>
      <c r="F42" s="10">
        <v>1</v>
      </c>
      <c r="G42" s="15">
        <v>0</v>
      </c>
    </row>
    <row r="43" spans="1:7">
      <c r="A43" s="11">
        <v>-0.94</v>
      </c>
      <c r="B43" s="14">
        <v>0.20200000000000001</v>
      </c>
      <c r="C43" s="15">
        <v>1.4999999999999986E-2</v>
      </c>
      <c r="D43" s="9"/>
      <c r="E43" s="11">
        <v>-0.94</v>
      </c>
      <c r="F43" s="10">
        <v>1</v>
      </c>
      <c r="G43" s="15">
        <v>0</v>
      </c>
    </row>
    <row r="44" spans="1:7">
      <c r="A44" s="11">
        <v>-0.93</v>
      </c>
      <c r="B44" s="14">
        <v>0.217</v>
      </c>
      <c r="C44" s="15">
        <v>1.5000000000000013E-2</v>
      </c>
      <c r="D44" s="9"/>
      <c r="E44" s="11">
        <v>-0.93</v>
      </c>
      <c r="F44" s="10">
        <v>1</v>
      </c>
      <c r="G44" s="15">
        <v>0</v>
      </c>
    </row>
    <row r="45" spans="1:7">
      <c r="A45" s="11">
        <v>-0.92</v>
      </c>
      <c r="B45" s="14">
        <v>0.23200000000000001</v>
      </c>
      <c r="C45" s="15">
        <v>1.4999999999999986E-2</v>
      </c>
      <c r="D45" s="9"/>
      <c r="E45" s="11">
        <v>-0.92</v>
      </c>
      <c r="F45" s="10">
        <v>1</v>
      </c>
      <c r="G45" s="15">
        <v>0</v>
      </c>
    </row>
    <row r="46" spans="1:7">
      <c r="A46" s="11">
        <v>-0.91</v>
      </c>
      <c r="B46" s="14">
        <v>0.247</v>
      </c>
      <c r="C46" s="15">
        <v>1.5000000000000013E-2</v>
      </c>
      <c r="D46" s="9"/>
      <c r="E46" s="11">
        <v>-0.91</v>
      </c>
      <c r="F46" s="10">
        <v>1</v>
      </c>
      <c r="G46" s="15">
        <v>0</v>
      </c>
    </row>
    <row r="47" spans="1:7">
      <c r="A47" s="11">
        <v>-0.9</v>
      </c>
      <c r="B47" s="14">
        <v>0.26200000000000001</v>
      </c>
      <c r="C47" s="15">
        <v>1.5000000000000013E-2</v>
      </c>
      <c r="D47" s="9"/>
      <c r="E47" s="11">
        <v>-0.9</v>
      </c>
      <c r="F47" s="10">
        <v>1</v>
      </c>
      <c r="G47" s="15">
        <v>0</v>
      </c>
    </row>
    <row r="48" spans="1:7">
      <c r="A48" s="11">
        <v>-0.89</v>
      </c>
      <c r="B48" s="14">
        <v>0.27700000000000002</v>
      </c>
      <c r="C48" s="15">
        <v>1.3999999999999957E-2</v>
      </c>
      <c r="D48" s="9"/>
      <c r="E48" s="11">
        <v>-0.89</v>
      </c>
      <c r="F48" s="10">
        <v>1</v>
      </c>
      <c r="G48" s="15">
        <v>0</v>
      </c>
    </row>
    <row r="49" spans="1:7">
      <c r="A49" s="11">
        <v>-0.88</v>
      </c>
      <c r="B49" s="14">
        <v>0.29099999999999998</v>
      </c>
      <c r="C49" s="15">
        <v>1.4000000000000012E-2</v>
      </c>
      <c r="D49" s="9"/>
      <c r="E49" s="11">
        <v>-0.88</v>
      </c>
      <c r="F49" s="10">
        <v>1</v>
      </c>
      <c r="G49" s="15">
        <v>0</v>
      </c>
    </row>
    <row r="50" spans="1:7">
      <c r="A50" s="11">
        <v>-0.87</v>
      </c>
      <c r="B50" s="14">
        <v>0.30499999999999999</v>
      </c>
      <c r="C50" s="15">
        <v>1.4000000000000012E-2</v>
      </c>
      <c r="D50" s="9"/>
      <c r="E50" s="11">
        <v>-0.87</v>
      </c>
      <c r="F50" s="10">
        <v>1</v>
      </c>
      <c r="G50" s="15">
        <v>0</v>
      </c>
    </row>
    <row r="51" spans="1:7">
      <c r="A51" s="11">
        <v>-0.86</v>
      </c>
      <c r="B51" s="14">
        <v>0.31900000000000001</v>
      </c>
      <c r="C51" s="15">
        <v>1.4000000000000012E-2</v>
      </c>
      <c r="D51" s="9"/>
      <c r="E51" s="11">
        <v>-0.86</v>
      </c>
      <c r="F51" s="10">
        <v>1</v>
      </c>
      <c r="G51" s="15">
        <v>0</v>
      </c>
    </row>
    <row r="52" spans="1:7">
      <c r="A52" s="11">
        <v>-0.85</v>
      </c>
      <c r="B52" s="14">
        <v>0.33300000000000002</v>
      </c>
      <c r="C52" s="15">
        <v>1.3999999999999957E-2</v>
      </c>
      <c r="D52" s="9"/>
      <c r="E52" s="11">
        <v>-0.85</v>
      </c>
      <c r="F52" s="10">
        <v>1</v>
      </c>
      <c r="G52" s="15">
        <v>0</v>
      </c>
    </row>
    <row r="53" spans="1:7">
      <c r="A53" s="11">
        <v>-0.84</v>
      </c>
      <c r="B53" s="14">
        <v>0.34699999999999998</v>
      </c>
      <c r="C53" s="15">
        <v>1.3000000000000012E-2</v>
      </c>
      <c r="D53" s="9"/>
      <c r="E53" s="11">
        <v>-0.84</v>
      </c>
      <c r="F53" s="10">
        <v>1</v>
      </c>
      <c r="G53" s="15">
        <v>0</v>
      </c>
    </row>
    <row r="54" spans="1:7">
      <c r="A54" s="11">
        <v>-0.83</v>
      </c>
      <c r="B54" s="14">
        <v>0.36</v>
      </c>
      <c r="C54" s="15">
        <v>1.3000000000000012E-2</v>
      </c>
      <c r="D54" s="9"/>
      <c r="E54" s="11">
        <v>-0.83</v>
      </c>
      <c r="F54" s="10">
        <v>1</v>
      </c>
      <c r="G54" s="15">
        <v>0</v>
      </c>
    </row>
    <row r="55" spans="1:7">
      <c r="A55" s="11">
        <v>-0.82</v>
      </c>
      <c r="B55" s="14">
        <v>0.373</v>
      </c>
      <c r="C55" s="15">
        <v>1.3000000000000012E-2</v>
      </c>
      <c r="D55" s="9"/>
      <c r="E55" s="11">
        <v>-0.82</v>
      </c>
      <c r="F55" s="10">
        <v>1</v>
      </c>
      <c r="G55" s="15">
        <v>0</v>
      </c>
    </row>
    <row r="56" spans="1:7">
      <c r="A56" s="11">
        <v>-0.81</v>
      </c>
      <c r="B56" s="14">
        <v>0.38600000000000001</v>
      </c>
      <c r="C56" s="15">
        <v>1.3000000000000012E-2</v>
      </c>
      <c r="D56" s="9"/>
      <c r="E56" s="11">
        <v>-0.81</v>
      </c>
      <c r="F56" s="10">
        <v>1</v>
      </c>
      <c r="G56" s="15">
        <v>0</v>
      </c>
    </row>
    <row r="57" spans="1:7">
      <c r="A57" s="11">
        <v>-0.8</v>
      </c>
      <c r="B57" s="14">
        <v>0.39900000000000002</v>
      </c>
      <c r="C57" s="15">
        <v>1.2999999999999956E-2</v>
      </c>
      <c r="D57" s="9"/>
      <c r="E57" s="11">
        <v>-0.8</v>
      </c>
      <c r="F57" s="10">
        <v>1</v>
      </c>
      <c r="G57" s="15">
        <v>0</v>
      </c>
    </row>
    <row r="58" spans="1:7">
      <c r="A58" s="11">
        <v>-0.79</v>
      </c>
      <c r="B58" s="14">
        <v>0.41199999999999998</v>
      </c>
      <c r="C58" s="15">
        <v>1.2000000000000011E-2</v>
      </c>
      <c r="D58" s="9"/>
      <c r="E58" s="11">
        <v>-0.79</v>
      </c>
      <c r="F58" s="10">
        <v>1</v>
      </c>
      <c r="G58" s="15">
        <v>0</v>
      </c>
    </row>
    <row r="59" spans="1:7">
      <c r="A59" s="11">
        <v>-0.78</v>
      </c>
      <c r="B59" s="14">
        <v>0.42399999999999999</v>
      </c>
      <c r="C59" s="15">
        <v>1.2000000000000011E-2</v>
      </c>
      <c r="D59" s="9"/>
      <c r="E59" s="11">
        <v>-0.78</v>
      </c>
      <c r="F59" s="10">
        <v>1</v>
      </c>
      <c r="G59" s="15">
        <v>0</v>
      </c>
    </row>
    <row r="60" spans="1:7">
      <c r="A60" s="11">
        <v>-0.77</v>
      </c>
      <c r="B60" s="14">
        <v>0.436</v>
      </c>
      <c r="C60" s="15">
        <v>1.2000000000000011E-2</v>
      </c>
      <c r="D60" s="9"/>
      <c r="E60" s="11">
        <v>-0.77</v>
      </c>
      <c r="F60" s="10">
        <v>1</v>
      </c>
      <c r="G60" s="15">
        <v>0</v>
      </c>
    </row>
    <row r="61" spans="1:7">
      <c r="A61" s="11">
        <v>-0.76</v>
      </c>
      <c r="B61" s="14">
        <v>0.44800000000000001</v>
      </c>
      <c r="C61" s="15">
        <v>1.2000000000000011E-2</v>
      </c>
      <c r="D61" s="9"/>
      <c r="E61" s="11">
        <v>-0.76</v>
      </c>
      <c r="F61" s="10">
        <v>1</v>
      </c>
      <c r="G61" s="15">
        <v>0</v>
      </c>
    </row>
    <row r="62" spans="1:7">
      <c r="A62" s="11">
        <v>-0.75</v>
      </c>
      <c r="B62" s="14">
        <v>0.46</v>
      </c>
      <c r="C62" s="15">
        <v>1.1999999999999955E-2</v>
      </c>
      <c r="D62" s="9"/>
      <c r="E62" s="11">
        <v>-0.75</v>
      </c>
      <c r="F62" s="10">
        <v>1</v>
      </c>
      <c r="G62" s="15">
        <v>0</v>
      </c>
    </row>
    <row r="63" spans="1:7">
      <c r="A63" s="11">
        <v>-0.74</v>
      </c>
      <c r="B63" s="14">
        <v>0.47199999999999998</v>
      </c>
      <c r="C63" s="15">
        <v>1.100000000000001E-2</v>
      </c>
      <c r="D63" s="9"/>
      <c r="E63" s="11">
        <v>-0.74</v>
      </c>
      <c r="F63" s="10">
        <v>1</v>
      </c>
      <c r="G63" s="15">
        <v>0</v>
      </c>
    </row>
    <row r="64" spans="1:7">
      <c r="A64" s="11">
        <v>-0.73</v>
      </c>
      <c r="B64" s="14">
        <v>0.48299999999999998</v>
      </c>
      <c r="C64" s="15">
        <v>1.100000000000001E-2</v>
      </c>
      <c r="D64" s="9"/>
      <c r="E64" s="11">
        <v>-0.73</v>
      </c>
      <c r="F64" s="10">
        <v>1</v>
      </c>
      <c r="G64" s="15">
        <v>0</v>
      </c>
    </row>
    <row r="65" spans="1:7">
      <c r="A65" s="11">
        <v>-0.72</v>
      </c>
      <c r="B65" s="14">
        <v>0.49399999999999999</v>
      </c>
      <c r="C65" s="15">
        <v>1.100000000000001E-2</v>
      </c>
      <c r="D65" s="9"/>
      <c r="E65" s="11">
        <v>-0.72</v>
      </c>
      <c r="F65" s="10">
        <v>1</v>
      </c>
      <c r="G65" s="15">
        <v>0</v>
      </c>
    </row>
    <row r="66" spans="1:7">
      <c r="A66" s="11">
        <v>-0.71</v>
      </c>
      <c r="B66" s="14">
        <v>0.505</v>
      </c>
      <c r="C66" s="15">
        <v>1.100000000000001E-2</v>
      </c>
      <c r="D66" s="9"/>
      <c r="E66" s="11">
        <v>-0.71</v>
      </c>
      <c r="F66" s="10">
        <v>1</v>
      </c>
      <c r="G66" s="15">
        <v>0</v>
      </c>
    </row>
    <row r="67" spans="1:7">
      <c r="A67" s="11">
        <v>-0.7</v>
      </c>
      <c r="B67" s="14">
        <v>0.51600000000000001</v>
      </c>
      <c r="C67" s="15">
        <v>1.100000000000001E-2</v>
      </c>
      <c r="D67" s="9"/>
      <c r="E67" s="11">
        <v>-0.7</v>
      </c>
      <c r="F67" s="10">
        <v>1</v>
      </c>
      <c r="G67" s="15">
        <v>0</v>
      </c>
    </row>
    <row r="68" spans="1:7">
      <c r="A68" s="11">
        <v>-0.69</v>
      </c>
      <c r="B68" s="14">
        <v>0.52700000000000002</v>
      </c>
      <c r="C68" s="15">
        <v>1.100000000000001E-2</v>
      </c>
      <c r="D68" s="9"/>
      <c r="E68" s="11">
        <v>-0.69</v>
      </c>
      <c r="F68" s="10">
        <v>1</v>
      </c>
      <c r="G68" s="15">
        <v>0</v>
      </c>
    </row>
    <row r="69" spans="1:7">
      <c r="A69" s="11">
        <v>-0.68</v>
      </c>
      <c r="B69" s="14">
        <v>0.53800000000000003</v>
      </c>
      <c r="C69" s="15">
        <v>1.0000000000000009E-2</v>
      </c>
      <c r="D69" s="9"/>
      <c r="E69" s="11">
        <v>-0.68</v>
      </c>
      <c r="F69" s="10">
        <v>1</v>
      </c>
      <c r="G69" s="15">
        <v>0</v>
      </c>
    </row>
    <row r="70" spans="1:7">
      <c r="A70" s="11">
        <v>-0.67</v>
      </c>
      <c r="B70" s="14">
        <v>0.54800000000000004</v>
      </c>
      <c r="C70" s="15">
        <v>1.0000000000000009E-2</v>
      </c>
      <c r="D70" s="9"/>
      <c r="E70" s="11">
        <v>-0.67</v>
      </c>
      <c r="F70" s="10">
        <v>1</v>
      </c>
      <c r="G70" s="15">
        <v>0</v>
      </c>
    </row>
    <row r="71" spans="1:7">
      <c r="A71" s="11">
        <v>-0.66</v>
      </c>
      <c r="B71" s="14">
        <v>0.55800000000000005</v>
      </c>
      <c r="C71" s="15">
        <v>9.9999999999998979E-3</v>
      </c>
      <c r="D71" s="9"/>
      <c r="E71" s="11">
        <v>-0.66</v>
      </c>
      <c r="F71" s="10">
        <v>1</v>
      </c>
      <c r="G71" s="15">
        <v>0</v>
      </c>
    </row>
    <row r="72" spans="1:7">
      <c r="A72" s="11">
        <v>-0.65</v>
      </c>
      <c r="B72" s="14">
        <v>0.56799999999999995</v>
      </c>
      <c r="C72" s="15">
        <v>1.0000000000000009E-2</v>
      </c>
      <c r="D72" s="9"/>
      <c r="E72" s="11">
        <v>-0.65</v>
      </c>
      <c r="F72" s="10">
        <v>1</v>
      </c>
      <c r="G72" s="15">
        <v>0</v>
      </c>
    </row>
    <row r="73" spans="1:7">
      <c r="A73" s="11">
        <v>-0.64</v>
      </c>
      <c r="B73" s="14">
        <v>0.57799999999999996</v>
      </c>
      <c r="C73" s="15">
        <v>1.0000000000000009E-2</v>
      </c>
      <c r="D73" s="9"/>
      <c r="E73" s="11">
        <v>-0.64</v>
      </c>
      <c r="F73" s="10">
        <v>1</v>
      </c>
      <c r="G73" s="15">
        <v>0</v>
      </c>
    </row>
    <row r="74" spans="1:7">
      <c r="A74" s="11">
        <v>-0.63</v>
      </c>
      <c r="B74" s="14">
        <v>0.58799999999999997</v>
      </c>
      <c r="C74" s="15">
        <v>1.0000000000000009E-2</v>
      </c>
      <c r="D74" s="9"/>
      <c r="E74" s="11">
        <v>-0.63</v>
      </c>
      <c r="F74" s="10">
        <v>1</v>
      </c>
      <c r="G74" s="15">
        <v>0</v>
      </c>
    </row>
    <row r="75" spans="1:7">
      <c r="A75" s="11">
        <v>-0.62</v>
      </c>
      <c r="B75" s="14">
        <v>0.59799999999999998</v>
      </c>
      <c r="C75" s="15">
        <v>1.0000000000000009E-2</v>
      </c>
      <c r="D75" s="9"/>
      <c r="E75" s="11">
        <v>-0.62</v>
      </c>
      <c r="F75" s="10">
        <v>1</v>
      </c>
      <c r="G75" s="15">
        <v>0</v>
      </c>
    </row>
    <row r="76" spans="1:7">
      <c r="A76" s="11">
        <v>-0.61</v>
      </c>
      <c r="B76" s="14">
        <v>0.60799999999999998</v>
      </c>
      <c r="C76" s="15">
        <v>9.000000000000008E-3</v>
      </c>
      <c r="D76" s="9"/>
      <c r="E76" s="11">
        <v>-0.61</v>
      </c>
      <c r="F76" s="10">
        <v>1</v>
      </c>
      <c r="G76" s="15">
        <v>0</v>
      </c>
    </row>
    <row r="77" spans="1:7">
      <c r="A77" s="11">
        <v>-0.6</v>
      </c>
      <c r="B77" s="14">
        <v>0.61699999999999999</v>
      </c>
      <c r="C77" s="15">
        <v>9.000000000000008E-3</v>
      </c>
      <c r="D77" s="9"/>
      <c r="E77" s="11">
        <v>-0.6</v>
      </c>
      <c r="F77" s="10">
        <v>1</v>
      </c>
      <c r="G77" s="15">
        <v>0</v>
      </c>
    </row>
    <row r="78" spans="1:7">
      <c r="A78" s="11">
        <v>-0.59</v>
      </c>
      <c r="B78" s="14">
        <v>0.626</v>
      </c>
      <c r="C78" s="15">
        <v>9.000000000000008E-3</v>
      </c>
      <c r="D78" s="9"/>
      <c r="E78" s="11">
        <v>-0.59</v>
      </c>
      <c r="F78" s="10">
        <v>1</v>
      </c>
      <c r="G78" s="15">
        <v>0</v>
      </c>
    </row>
    <row r="79" spans="1:7">
      <c r="A79" s="11">
        <v>-0.57999999999999996</v>
      </c>
      <c r="B79" s="14">
        <v>0.63500000000000001</v>
      </c>
      <c r="C79" s="15">
        <v>9.000000000000008E-3</v>
      </c>
      <c r="D79" s="9"/>
      <c r="E79" s="11">
        <v>-0.57999999999999996</v>
      </c>
      <c r="F79" s="10">
        <v>1</v>
      </c>
      <c r="G79" s="15">
        <v>0</v>
      </c>
    </row>
    <row r="80" spans="1:7">
      <c r="A80" s="11">
        <v>-0.56999999999999995</v>
      </c>
      <c r="B80" s="14">
        <v>0.64400000000000002</v>
      </c>
      <c r="C80" s="15">
        <v>9.000000000000008E-3</v>
      </c>
      <c r="D80" s="9"/>
      <c r="E80" s="11">
        <v>-0.56999999999999995</v>
      </c>
      <c r="F80" s="10">
        <v>1</v>
      </c>
      <c r="G80" s="15">
        <v>0</v>
      </c>
    </row>
    <row r="81" spans="1:7">
      <c r="A81" s="11">
        <v>-0.56000000000000005</v>
      </c>
      <c r="B81" s="14">
        <v>0.65300000000000002</v>
      </c>
      <c r="C81" s="15">
        <v>9.000000000000008E-3</v>
      </c>
      <c r="D81" s="9"/>
      <c r="E81" s="11">
        <v>-0.56000000000000005</v>
      </c>
      <c r="F81" s="10">
        <v>1</v>
      </c>
      <c r="G81" s="15">
        <v>0</v>
      </c>
    </row>
    <row r="82" spans="1:7">
      <c r="A82" s="11">
        <v>-0.55000000000000004</v>
      </c>
      <c r="B82" s="14">
        <v>0.66200000000000003</v>
      </c>
      <c r="C82" s="15">
        <v>9.000000000000008E-3</v>
      </c>
      <c r="D82" s="9"/>
      <c r="E82" s="11">
        <v>-0.55000000000000004</v>
      </c>
      <c r="F82" s="10">
        <v>1</v>
      </c>
      <c r="G82" s="15">
        <v>0</v>
      </c>
    </row>
    <row r="83" spans="1:7">
      <c r="A83" s="11">
        <v>-0.54</v>
      </c>
      <c r="B83" s="14">
        <v>0.67100000000000004</v>
      </c>
      <c r="C83" s="15">
        <v>9.000000000000008E-3</v>
      </c>
      <c r="D83" s="9"/>
      <c r="E83" s="11">
        <v>-0.54</v>
      </c>
      <c r="F83" s="10">
        <v>1</v>
      </c>
      <c r="G83" s="15">
        <v>0</v>
      </c>
    </row>
    <row r="84" spans="1:7">
      <c r="A84" s="11">
        <v>-0.53</v>
      </c>
      <c r="B84" s="14">
        <v>0.68</v>
      </c>
      <c r="C84" s="15">
        <v>7.9999999999998961E-3</v>
      </c>
      <c r="D84" s="9"/>
      <c r="E84" s="11">
        <v>-0.53</v>
      </c>
      <c r="F84" s="10">
        <v>1</v>
      </c>
      <c r="G84" s="15">
        <v>0</v>
      </c>
    </row>
    <row r="85" spans="1:7">
      <c r="A85" s="11">
        <v>-0.52</v>
      </c>
      <c r="B85" s="14">
        <v>0.68799999999999994</v>
      </c>
      <c r="C85" s="15">
        <v>8.0000000000000071E-3</v>
      </c>
      <c r="D85" s="9"/>
      <c r="E85" s="11">
        <v>-0.52</v>
      </c>
      <c r="F85" s="10">
        <v>1</v>
      </c>
      <c r="G85" s="15">
        <v>0</v>
      </c>
    </row>
    <row r="86" spans="1:7">
      <c r="A86" s="11">
        <v>-0.51</v>
      </c>
      <c r="B86" s="14">
        <v>0.69599999999999995</v>
      </c>
      <c r="C86" s="15">
        <v>8.0000000000000071E-3</v>
      </c>
      <c r="D86" s="9"/>
      <c r="E86" s="11">
        <v>-0.51</v>
      </c>
      <c r="F86" s="10">
        <v>1</v>
      </c>
      <c r="G86" s="15">
        <v>0</v>
      </c>
    </row>
    <row r="87" spans="1:7">
      <c r="A87" s="11">
        <v>-0.5</v>
      </c>
      <c r="B87" s="14">
        <v>0.70399999999999996</v>
      </c>
      <c r="C87" s="15">
        <v>8.0000000000000071E-3</v>
      </c>
      <c r="D87" s="9"/>
      <c r="E87" s="11">
        <v>-0.5</v>
      </c>
      <c r="F87" s="10">
        <v>1</v>
      </c>
      <c r="G87" s="15">
        <v>0</v>
      </c>
    </row>
    <row r="88" spans="1:7">
      <c r="A88" s="11">
        <v>-0.49</v>
      </c>
      <c r="B88" s="14">
        <v>0.71199999999999997</v>
      </c>
      <c r="C88" s="15">
        <v>8.0000000000000071E-3</v>
      </c>
      <c r="D88" s="9"/>
      <c r="E88" s="11">
        <v>-0.49</v>
      </c>
      <c r="F88" s="10">
        <v>1</v>
      </c>
      <c r="G88" s="15">
        <v>0</v>
      </c>
    </row>
    <row r="89" spans="1:7">
      <c r="A89" s="11">
        <v>-0.48</v>
      </c>
      <c r="B89" s="14">
        <v>0.72</v>
      </c>
      <c r="C89" s="15">
        <v>8.0000000000000071E-3</v>
      </c>
      <c r="D89" s="9"/>
      <c r="E89" s="11">
        <v>-0.48</v>
      </c>
      <c r="F89" s="10">
        <v>1</v>
      </c>
      <c r="G89" s="15">
        <v>0</v>
      </c>
    </row>
    <row r="90" spans="1:7">
      <c r="A90" s="11">
        <v>-0.47</v>
      </c>
      <c r="B90" s="14">
        <v>0.72799999999999998</v>
      </c>
      <c r="C90" s="15">
        <v>8.0000000000000071E-3</v>
      </c>
      <c r="D90" s="9"/>
      <c r="E90" s="11">
        <v>-0.47</v>
      </c>
      <c r="F90" s="10">
        <v>1</v>
      </c>
      <c r="G90" s="15">
        <v>0</v>
      </c>
    </row>
    <row r="91" spans="1:7">
      <c r="A91" s="11">
        <v>-0.46</v>
      </c>
      <c r="B91" s="14">
        <v>0.73599999999999999</v>
      </c>
      <c r="C91" s="15">
        <v>8.0000000000000071E-3</v>
      </c>
      <c r="D91" s="9"/>
      <c r="E91" s="11">
        <v>-0.46</v>
      </c>
      <c r="F91" s="10">
        <v>1</v>
      </c>
      <c r="G91" s="15">
        <v>0</v>
      </c>
    </row>
    <row r="92" spans="1:7">
      <c r="A92" s="11">
        <v>-0.45</v>
      </c>
      <c r="B92" s="14">
        <v>0.74399999999999999</v>
      </c>
      <c r="C92" s="15">
        <v>8.0000000000000071E-3</v>
      </c>
      <c r="D92" s="9"/>
      <c r="E92" s="11">
        <v>-0.45</v>
      </c>
      <c r="F92" s="10">
        <v>1</v>
      </c>
      <c r="G92" s="15">
        <v>0</v>
      </c>
    </row>
    <row r="93" spans="1:7">
      <c r="A93" s="11">
        <v>-0.44</v>
      </c>
      <c r="B93" s="14">
        <v>0.752</v>
      </c>
      <c r="C93" s="15">
        <v>7.0000000000000062E-3</v>
      </c>
      <c r="D93" s="9"/>
      <c r="E93" s="11">
        <v>-0.44</v>
      </c>
      <c r="F93" s="10">
        <v>1</v>
      </c>
      <c r="G93" s="15">
        <v>0</v>
      </c>
    </row>
    <row r="94" spans="1:7">
      <c r="A94" s="11">
        <v>-0.43</v>
      </c>
      <c r="B94" s="14">
        <v>0.75900000000000001</v>
      </c>
      <c r="C94" s="15">
        <v>7.0000000000000062E-3</v>
      </c>
      <c r="D94" s="9"/>
      <c r="E94" s="11">
        <v>-0.43</v>
      </c>
      <c r="F94" s="10">
        <v>1</v>
      </c>
      <c r="G94" s="15">
        <v>0</v>
      </c>
    </row>
    <row r="95" spans="1:7">
      <c r="A95" s="11">
        <v>-0.42</v>
      </c>
      <c r="B95" s="14">
        <v>0.76600000000000001</v>
      </c>
      <c r="C95" s="15">
        <v>7.0000000000000062E-3</v>
      </c>
      <c r="D95" s="9"/>
      <c r="E95" s="11">
        <v>-0.42</v>
      </c>
      <c r="F95" s="10">
        <v>1</v>
      </c>
      <c r="G95" s="15">
        <v>0</v>
      </c>
    </row>
    <row r="96" spans="1:7">
      <c r="A96" s="11">
        <v>-0.41</v>
      </c>
      <c r="B96" s="14">
        <v>0.77300000000000002</v>
      </c>
      <c r="C96" s="15">
        <v>7.0000000000000062E-3</v>
      </c>
      <c r="D96" s="9"/>
      <c r="E96" s="11">
        <v>-0.41</v>
      </c>
      <c r="F96" s="10">
        <v>1</v>
      </c>
      <c r="G96" s="15">
        <v>0</v>
      </c>
    </row>
    <row r="97" spans="1:7">
      <c r="A97" s="11">
        <v>-0.4</v>
      </c>
      <c r="B97" s="14">
        <v>0.78</v>
      </c>
      <c r="C97" s="15">
        <v>7.0000000000000062E-3</v>
      </c>
      <c r="D97" s="9"/>
      <c r="E97" s="11">
        <v>-0.4</v>
      </c>
      <c r="F97" s="10">
        <v>1</v>
      </c>
      <c r="G97" s="15">
        <v>0</v>
      </c>
    </row>
    <row r="98" spans="1:7">
      <c r="A98" s="11">
        <v>-0.39</v>
      </c>
      <c r="B98" s="14">
        <v>0.78700000000000003</v>
      </c>
      <c r="C98" s="15">
        <v>7.0000000000000062E-3</v>
      </c>
      <c r="D98" s="9"/>
      <c r="E98" s="11">
        <v>-0.39</v>
      </c>
      <c r="F98" s="10">
        <v>1</v>
      </c>
      <c r="G98" s="15">
        <v>0</v>
      </c>
    </row>
    <row r="99" spans="1:7">
      <c r="A99" s="11">
        <v>-0.38</v>
      </c>
      <c r="B99" s="14">
        <v>0.79400000000000004</v>
      </c>
      <c r="C99" s="15">
        <v>7.0000000000000062E-3</v>
      </c>
      <c r="D99" s="9"/>
      <c r="E99" s="11">
        <v>-0.38</v>
      </c>
      <c r="F99" s="10">
        <v>1</v>
      </c>
      <c r="G99" s="15">
        <v>0</v>
      </c>
    </row>
    <row r="100" spans="1:7">
      <c r="A100" s="11">
        <v>-0.37</v>
      </c>
      <c r="B100" s="14">
        <v>0.80100000000000005</v>
      </c>
      <c r="C100" s="15">
        <v>7.0000000000000062E-3</v>
      </c>
      <c r="D100" s="9"/>
      <c r="E100" s="11">
        <v>-0.37</v>
      </c>
      <c r="F100" s="10">
        <v>1</v>
      </c>
      <c r="G100" s="15">
        <v>0</v>
      </c>
    </row>
    <row r="101" spans="1:7">
      <c r="A101" s="11">
        <v>-0.36</v>
      </c>
      <c r="B101" s="14">
        <v>0.80800000000000005</v>
      </c>
      <c r="C101" s="15">
        <v>6.9999999999998952E-3</v>
      </c>
      <c r="D101" s="9"/>
      <c r="E101" s="11">
        <v>-0.36</v>
      </c>
      <c r="F101" s="10">
        <v>1</v>
      </c>
      <c r="G101" s="15">
        <v>0</v>
      </c>
    </row>
    <row r="102" spans="1:7">
      <c r="A102" s="11">
        <v>-0.35</v>
      </c>
      <c r="B102" s="14">
        <v>0.81499999999999995</v>
      </c>
      <c r="C102" s="15">
        <v>7.0000000000000062E-3</v>
      </c>
      <c r="D102" s="9"/>
      <c r="E102" s="11">
        <v>-0.35</v>
      </c>
      <c r="F102" s="10">
        <v>1</v>
      </c>
      <c r="G102" s="15">
        <v>0</v>
      </c>
    </row>
    <row r="103" spans="1:7">
      <c r="A103" s="11">
        <v>-0.34</v>
      </c>
      <c r="B103" s="14">
        <v>0.82199999999999995</v>
      </c>
      <c r="C103" s="15">
        <v>7.0000000000000062E-3</v>
      </c>
      <c r="D103" s="9"/>
      <c r="E103" s="11">
        <v>-0.34</v>
      </c>
      <c r="F103" s="10">
        <v>1</v>
      </c>
      <c r="G103" s="15">
        <v>0</v>
      </c>
    </row>
    <row r="104" spans="1:7">
      <c r="A104" s="11">
        <v>-0.33</v>
      </c>
      <c r="B104" s="14">
        <v>0.82899999999999996</v>
      </c>
      <c r="C104" s="15">
        <v>7.0000000000000062E-3</v>
      </c>
      <c r="D104" s="9"/>
      <c r="E104" s="11">
        <v>-0.33</v>
      </c>
      <c r="F104" s="10">
        <v>1</v>
      </c>
      <c r="G104" s="15">
        <v>0</v>
      </c>
    </row>
    <row r="105" spans="1:7">
      <c r="A105" s="11">
        <v>-0.32</v>
      </c>
      <c r="B105" s="14">
        <v>0.83599999999999997</v>
      </c>
      <c r="C105" s="15">
        <v>6.0000000000000053E-3</v>
      </c>
      <c r="D105" s="9"/>
      <c r="E105" s="11">
        <v>-0.32</v>
      </c>
      <c r="F105" s="10">
        <v>1</v>
      </c>
      <c r="G105" s="15">
        <v>0</v>
      </c>
    </row>
    <row r="106" spans="1:7">
      <c r="A106" s="11">
        <v>-0.31</v>
      </c>
      <c r="B106" s="14">
        <v>0.84199999999999997</v>
      </c>
      <c r="C106" s="15">
        <v>6.0000000000000053E-3</v>
      </c>
      <c r="D106" s="9"/>
      <c r="E106" s="11">
        <v>-0.31</v>
      </c>
      <c r="F106" s="10">
        <v>1</v>
      </c>
      <c r="G106" s="15">
        <v>0</v>
      </c>
    </row>
    <row r="107" spans="1:7">
      <c r="A107" s="11">
        <v>-0.3</v>
      </c>
      <c r="B107" s="14">
        <v>0.84799999999999998</v>
      </c>
      <c r="C107" s="15">
        <v>6.0000000000000053E-3</v>
      </c>
      <c r="D107" s="9"/>
      <c r="E107" s="11">
        <v>-0.3</v>
      </c>
      <c r="F107" s="10">
        <v>1</v>
      </c>
      <c r="G107" s="15">
        <v>0</v>
      </c>
    </row>
    <row r="108" spans="1:7">
      <c r="A108" s="11">
        <v>-0.28999999999999998</v>
      </c>
      <c r="B108" s="14">
        <v>0.85399999999999998</v>
      </c>
      <c r="C108" s="15">
        <v>6.0000000000000053E-3</v>
      </c>
      <c r="D108" s="9"/>
      <c r="E108" s="11">
        <v>-0.28999999999999998</v>
      </c>
      <c r="F108" s="10">
        <v>1</v>
      </c>
      <c r="G108" s="15">
        <v>0</v>
      </c>
    </row>
    <row r="109" spans="1:7">
      <c r="A109" s="11">
        <v>-0.28000000000000003</v>
      </c>
      <c r="B109" s="14">
        <v>0.86</v>
      </c>
      <c r="C109" s="15">
        <v>6.0000000000000053E-3</v>
      </c>
      <c r="D109" s="9"/>
      <c r="E109" s="11">
        <v>-0.28000000000000003</v>
      </c>
      <c r="F109" s="10">
        <v>1</v>
      </c>
      <c r="G109" s="15">
        <v>0</v>
      </c>
    </row>
    <row r="110" spans="1:7">
      <c r="A110" s="11">
        <v>-0.27</v>
      </c>
      <c r="B110" s="14">
        <v>0.86599999999999999</v>
      </c>
      <c r="C110" s="15">
        <v>6.0000000000000053E-3</v>
      </c>
      <c r="D110" s="9"/>
      <c r="E110" s="11">
        <v>-0.27</v>
      </c>
      <c r="F110" s="10">
        <v>1</v>
      </c>
      <c r="G110" s="15">
        <v>0</v>
      </c>
    </row>
    <row r="111" spans="1:7">
      <c r="A111" s="11">
        <v>-0.26</v>
      </c>
      <c r="B111" s="14">
        <v>0.872</v>
      </c>
      <c r="C111" s="15">
        <v>6.0000000000000053E-3</v>
      </c>
      <c r="D111" s="9"/>
      <c r="E111" s="11">
        <v>-0.26</v>
      </c>
      <c r="F111" s="10">
        <v>1</v>
      </c>
      <c r="G111" s="15">
        <v>0</v>
      </c>
    </row>
    <row r="112" spans="1:7">
      <c r="A112" s="11">
        <v>-0.25</v>
      </c>
      <c r="B112" s="14">
        <v>0.878</v>
      </c>
      <c r="C112" s="15">
        <v>6.0000000000000053E-3</v>
      </c>
      <c r="D112" s="9"/>
      <c r="E112" s="11">
        <v>-0.25</v>
      </c>
      <c r="F112" s="10">
        <v>1</v>
      </c>
      <c r="G112" s="15">
        <v>0</v>
      </c>
    </row>
    <row r="113" spans="1:7">
      <c r="A113" s="11">
        <v>-0.24</v>
      </c>
      <c r="B113" s="14">
        <v>0.88400000000000001</v>
      </c>
      <c r="C113" s="15">
        <v>6.0000000000000053E-3</v>
      </c>
      <c r="D113" s="9"/>
      <c r="E113" s="11">
        <v>-0.24</v>
      </c>
      <c r="F113" s="10">
        <v>1</v>
      </c>
      <c r="G113" s="15">
        <v>0</v>
      </c>
    </row>
    <row r="114" spans="1:7">
      <c r="A114" s="11">
        <v>-0.23</v>
      </c>
      <c r="B114" s="14">
        <v>0.89</v>
      </c>
      <c r="C114" s="15">
        <v>6.0000000000000053E-3</v>
      </c>
      <c r="D114" s="9"/>
      <c r="E114" s="11">
        <v>-0.23</v>
      </c>
      <c r="F114" s="10">
        <v>1</v>
      </c>
      <c r="G114" s="15">
        <v>0</v>
      </c>
    </row>
    <row r="115" spans="1:7">
      <c r="A115" s="11">
        <v>-0.22</v>
      </c>
      <c r="B115" s="14">
        <v>0.89600000000000002</v>
      </c>
      <c r="C115" s="15">
        <v>6.0000000000000053E-3</v>
      </c>
      <c r="D115" s="9"/>
      <c r="E115" s="11">
        <v>-0.22</v>
      </c>
      <c r="F115" s="10">
        <v>1</v>
      </c>
      <c r="G115" s="15">
        <v>0</v>
      </c>
    </row>
    <row r="116" spans="1:7">
      <c r="A116" s="11">
        <v>-0.21</v>
      </c>
      <c r="B116" s="14">
        <v>0.90200000000000002</v>
      </c>
      <c r="C116" s="15">
        <v>6.0000000000000053E-3</v>
      </c>
      <c r="D116" s="9"/>
      <c r="E116" s="11">
        <v>-0.21</v>
      </c>
      <c r="F116" s="10">
        <v>1</v>
      </c>
      <c r="G116" s="15">
        <v>0</v>
      </c>
    </row>
    <row r="117" spans="1:7">
      <c r="A117" s="11">
        <v>-0.2</v>
      </c>
      <c r="B117" s="14">
        <v>0.90800000000000003</v>
      </c>
      <c r="C117" s="15">
        <v>6.0000000000000053E-3</v>
      </c>
      <c r="D117" s="9"/>
      <c r="E117" s="11">
        <v>-0.2</v>
      </c>
      <c r="F117" s="10">
        <v>1</v>
      </c>
      <c r="G117" s="15">
        <v>0</v>
      </c>
    </row>
    <row r="118" spans="1:7">
      <c r="A118" s="11">
        <v>-0.19</v>
      </c>
      <c r="B118" s="14">
        <v>0.91400000000000003</v>
      </c>
      <c r="C118" s="15">
        <v>6.0000000000000053E-3</v>
      </c>
      <c r="D118" s="9"/>
      <c r="E118" s="11">
        <v>-0.19</v>
      </c>
      <c r="F118" s="10">
        <v>1</v>
      </c>
      <c r="G118" s="15">
        <v>0</v>
      </c>
    </row>
    <row r="119" spans="1:7">
      <c r="A119" s="11">
        <v>-0.18</v>
      </c>
      <c r="B119" s="14">
        <v>0.92</v>
      </c>
      <c r="C119" s="15">
        <v>5.0000000000000044E-3</v>
      </c>
      <c r="D119" s="9"/>
      <c r="E119" s="11">
        <v>-0.18</v>
      </c>
      <c r="F119" s="10">
        <v>1</v>
      </c>
      <c r="G119" s="15">
        <v>0</v>
      </c>
    </row>
    <row r="120" spans="1:7">
      <c r="A120" s="11">
        <v>-0.17</v>
      </c>
      <c r="B120" s="14">
        <v>0.92500000000000004</v>
      </c>
      <c r="C120" s="15">
        <v>5.0000000000000044E-3</v>
      </c>
      <c r="D120" s="9"/>
      <c r="E120" s="11">
        <v>-0.17</v>
      </c>
      <c r="F120" s="10">
        <v>1</v>
      </c>
      <c r="G120" s="15">
        <v>0</v>
      </c>
    </row>
    <row r="121" spans="1:7">
      <c r="A121" s="11">
        <v>-0.16</v>
      </c>
      <c r="B121" s="14">
        <v>0.93</v>
      </c>
      <c r="C121" s="15">
        <v>5.0000000000000044E-3</v>
      </c>
      <c r="D121" s="9"/>
      <c r="E121" s="11">
        <v>-0.16</v>
      </c>
      <c r="F121" s="10">
        <v>1</v>
      </c>
      <c r="G121" s="15">
        <v>0</v>
      </c>
    </row>
    <row r="122" spans="1:7">
      <c r="A122" s="11">
        <v>-0.15</v>
      </c>
      <c r="B122" s="14">
        <v>0.93500000000000005</v>
      </c>
      <c r="C122" s="15">
        <v>4.9999999999998934E-3</v>
      </c>
      <c r="D122" s="9"/>
      <c r="E122" s="11">
        <v>-0.15</v>
      </c>
      <c r="F122" s="10">
        <v>1</v>
      </c>
      <c r="G122" s="15">
        <v>0</v>
      </c>
    </row>
    <row r="123" spans="1:7">
      <c r="A123" s="11">
        <v>-0.14000000000000001</v>
      </c>
      <c r="B123" s="14">
        <v>0.94</v>
      </c>
      <c r="C123" s="15">
        <v>5.0000000000000044E-3</v>
      </c>
      <c r="D123" s="9"/>
      <c r="E123" s="11">
        <v>-0.14000000000000001</v>
      </c>
      <c r="F123" s="10">
        <v>1</v>
      </c>
      <c r="G123" s="15">
        <v>0</v>
      </c>
    </row>
    <row r="124" spans="1:7">
      <c r="A124" s="11">
        <v>-0.13</v>
      </c>
      <c r="B124" s="14">
        <v>0.94499999999999995</v>
      </c>
      <c r="C124" s="15">
        <v>5.0000000000000044E-3</v>
      </c>
      <c r="D124" s="9"/>
      <c r="E124" s="11">
        <v>-0.13</v>
      </c>
      <c r="F124" s="10">
        <v>1</v>
      </c>
      <c r="G124" s="15">
        <v>0</v>
      </c>
    </row>
    <row r="125" spans="1:7">
      <c r="A125" s="11">
        <v>-0.12</v>
      </c>
      <c r="B125" s="14">
        <v>0.95</v>
      </c>
      <c r="C125" s="15">
        <v>5.0000000000000044E-3</v>
      </c>
      <c r="D125" s="9"/>
      <c r="E125" s="11">
        <v>-0.12</v>
      </c>
      <c r="F125" s="10">
        <v>1</v>
      </c>
      <c r="G125" s="15">
        <v>0</v>
      </c>
    </row>
    <row r="126" spans="1:7">
      <c r="A126" s="11">
        <v>-0.11</v>
      </c>
      <c r="B126" s="14">
        <v>0.95499999999999996</v>
      </c>
      <c r="C126" s="15">
        <v>5.0000000000000044E-3</v>
      </c>
      <c r="D126" s="9"/>
      <c r="E126" s="11">
        <v>-0.11</v>
      </c>
      <c r="F126" s="10">
        <v>1</v>
      </c>
      <c r="G126" s="15">
        <v>0</v>
      </c>
    </row>
    <row r="127" spans="1:7">
      <c r="A127" s="11">
        <v>-0.1</v>
      </c>
      <c r="B127" s="14">
        <v>0.96</v>
      </c>
      <c r="C127" s="15">
        <v>5.0000000000000044E-3</v>
      </c>
      <c r="D127" s="9"/>
      <c r="E127" s="11">
        <v>-0.1</v>
      </c>
      <c r="F127" s="10">
        <v>1</v>
      </c>
      <c r="G127" s="15">
        <v>0</v>
      </c>
    </row>
    <row r="128" spans="1:7">
      <c r="A128" s="11">
        <v>-0.09</v>
      </c>
      <c r="B128" s="14">
        <v>0.96499999999999997</v>
      </c>
      <c r="C128" s="15">
        <v>5.0000000000000044E-3</v>
      </c>
      <c r="D128" s="9"/>
      <c r="E128" s="11">
        <v>-0.09</v>
      </c>
      <c r="F128" s="10">
        <v>1</v>
      </c>
      <c r="G128" s="15">
        <v>0</v>
      </c>
    </row>
    <row r="129" spans="1:7">
      <c r="A129" s="11">
        <v>-0.08</v>
      </c>
      <c r="B129" s="14">
        <v>0.97</v>
      </c>
      <c r="C129" s="15">
        <v>5.0000000000000044E-3</v>
      </c>
      <c r="D129" s="9"/>
      <c r="E129" s="11">
        <v>-0.08</v>
      </c>
      <c r="F129" s="10">
        <v>1</v>
      </c>
      <c r="G129" s="15">
        <v>0</v>
      </c>
    </row>
    <row r="130" spans="1:7">
      <c r="A130" s="11">
        <v>-7.0000000000000007E-2</v>
      </c>
      <c r="B130" s="14">
        <v>0.97499999999999998</v>
      </c>
      <c r="C130" s="15">
        <v>5.0000000000000044E-3</v>
      </c>
      <c r="D130" s="9"/>
      <c r="E130" s="11">
        <v>-7.0000000000000007E-2</v>
      </c>
      <c r="F130" s="10">
        <v>1</v>
      </c>
      <c r="G130" s="15">
        <v>0</v>
      </c>
    </row>
    <row r="131" spans="1:7">
      <c r="A131" s="11">
        <v>-0.06</v>
      </c>
      <c r="B131" s="14">
        <v>0.98</v>
      </c>
      <c r="C131" s="15">
        <v>5.0000000000000044E-3</v>
      </c>
      <c r="D131" s="9"/>
      <c r="E131" s="11">
        <v>-0.06</v>
      </c>
      <c r="F131" s="10">
        <v>1</v>
      </c>
      <c r="G131" s="15">
        <v>0</v>
      </c>
    </row>
    <row r="132" spans="1:7">
      <c r="A132" s="11">
        <v>-0.05</v>
      </c>
      <c r="B132" s="14">
        <v>0.98499999999999999</v>
      </c>
      <c r="C132" s="15">
        <v>5.0000000000000044E-3</v>
      </c>
      <c r="D132" s="9"/>
      <c r="E132" s="11">
        <v>-0.05</v>
      </c>
      <c r="F132" s="10">
        <v>1</v>
      </c>
      <c r="G132" s="15">
        <v>0</v>
      </c>
    </row>
    <row r="133" spans="1:7">
      <c r="A133" s="11">
        <v>-0.04</v>
      </c>
      <c r="B133" s="14">
        <v>0.99</v>
      </c>
      <c r="C133" s="15">
        <v>5.0000000000000044E-3</v>
      </c>
      <c r="D133" s="9"/>
      <c r="E133" s="11">
        <v>-0.04</v>
      </c>
      <c r="F133" s="10">
        <v>1</v>
      </c>
      <c r="G133" s="15">
        <v>0</v>
      </c>
    </row>
    <row r="134" spans="1:7">
      <c r="A134" s="11">
        <v>-0.03</v>
      </c>
      <c r="B134" s="14">
        <v>0.995</v>
      </c>
      <c r="C134" s="15">
        <v>5.0000000000000044E-3</v>
      </c>
      <c r="D134" s="9"/>
      <c r="E134" s="11">
        <v>-0.03</v>
      </c>
      <c r="F134" s="10">
        <v>1</v>
      </c>
      <c r="G134" s="15">
        <v>0</v>
      </c>
    </row>
    <row r="135" spans="1:7">
      <c r="A135" s="11">
        <v>-0.02</v>
      </c>
      <c r="B135" s="10">
        <v>1</v>
      </c>
      <c r="C135" s="15">
        <v>0</v>
      </c>
      <c r="D135" s="9"/>
      <c r="E135" s="11">
        <v>-0.02</v>
      </c>
      <c r="F135" s="10">
        <v>1</v>
      </c>
      <c r="G135" s="15">
        <v>0</v>
      </c>
    </row>
    <row r="136" spans="1:7">
      <c r="A136" s="12">
        <v>0</v>
      </c>
      <c r="B136" s="13">
        <v>1</v>
      </c>
      <c r="C136" s="9"/>
      <c r="D136" s="9"/>
      <c r="E136" s="12">
        <v>0</v>
      </c>
      <c r="F136" s="10">
        <v>1</v>
      </c>
      <c r="G136" s="9"/>
    </row>
    <row r="137" spans="1:7">
      <c r="A137" s="22">
        <v>0.02</v>
      </c>
      <c r="B137" s="23">
        <v>1</v>
      </c>
    </row>
    <row r="138" spans="1:7">
      <c r="A138" s="22">
        <v>0.06</v>
      </c>
      <c r="B138" s="23">
        <v>1.0049999999999999</v>
      </c>
    </row>
    <row r="139" spans="1:7">
      <c r="A139" s="22">
        <v>0.04</v>
      </c>
      <c r="B139" s="23">
        <v>1.01</v>
      </c>
    </row>
    <row r="140" spans="1:7">
      <c r="A140" s="22">
        <v>0.05</v>
      </c>
      <c r="B140" s="23">
        <v>1.0149999999999999</v>
      </c>
    </row>
    <row r="141" spans="1:7">
      <c r="A141" s="22">
        <v>0.06</v>
      </c>
      <c r="B141" s="23">
        <v>1.02</v>
      </c>
    </row>
    <row r="142" spans="1:7">
      <c r="A142" s="22">
        <v>0.04</v>
      </c>
      <c r="B142" s="23">
        <v>1.0249999999999999</v>
      </c>
    </row>
    <row r="143" spans="1:7">
      <c r="A143" s="22">
        <v>0.08</v>
      </c>
      <c r="B143" s="23">
        <v>1.03</v>
      </c>
    </row>
    <row r="144" spans="1:7">
      <c r="A144" s="22">
        <v>0.09</v>
      </c>
      <c r="B144" s="23">
        <v>1.0349999999999999</v>
      </c>
    </row>
    <row r="145" spans="1:2">
      <c r="A145" s="22">
        <v>0.1</v>
      </c>
      <c r="B145" s="23">
        <v>1.04</v>
      </c>
    </row>
    <row r="146" spans="1:2">
      <c r="A146" s="22">
        <v>0.11</v>
      </c>
      <c r="B146" s="23">
        <v>1.0449999999999999</v>
      </c>
    </row>
    <row r="147" spans="1:2">
      <c r="A147" s="22">
        <v>0.12</v>
      </c>
      <c r="B147" s="23">
        <v>1.05</v>
      </c>
    </row>
    <row r="148" spans="1:2">
      <c r="A148" s="22">
        <v>0.13</v>
      </c>
      <c r="B148" s="23">
        <v>1.0549999999999999</v>
      </c>
    </row>
    <row r="149" spans="1:2">
      <c r="A149" s="22">
        <v>0.14000000000000001</v>
      </c>
      <c r="B149" s="23">
        <v>1.06</v>
      </c>
    </row>
    <row r="150" spans="1:2">
      <c r="A150" s="22">
        <v>0.15</v>
      </c>
      <c r="B150" s="23">
        <v>1.0649999999999999</v>
      </c>
    </row>
    <row r="151" spans="1:2">
      <c r="A151" s="22">
        <v>0.16</v>
      </c>
      <c r="B151" s="23">
        <v>1.07</v>
      </c>
    </row>
    <row r="152" spans="1:2">
      <c r="A152" s="22">
        <v>0.17</v>
      </c>
      <c r="B152" s="23">
        <v>1.075</v>
      </c>
    </row>
    <row r="153" spans="1:2">
      <c r="A153" s="22">
        <v>0.18</v>
      </c>
      <c r="B153" s="23">
        <v>1.08</v>
      </c>
    </row>
    <row r="154" spans="1:2">
      <c r="A154" s="22">
        <v>0.19</v>
      </c>
      <c r="B154" s="23">
        <v>1.0860000000000001</v>
      </c>
    </row>
    <row r="155" spans="1:2">
      <c r="A155" s="22">
        <v>0.2</v>
      </c>
      <c r="B155" s="23">
        <v>1.0920000000000001</v>
      </c>
    </row>
    <row r="156" spans="1:2">
      <c r="A156" s="22">
        <v>0.21</v>
      </c>
      <c r="B156" s="23">
        <v>1.0980000000000001</v>
      </c>
    </row>
    <row r="157" spans="1:2">
      <c r="A157" s="22">
        <v>0.22</v>
      </c>
      <c r="B157" s="23">
        <v>1.1040000000000001</v>
      </c>
    </row>
    <row r="158" spans="1:2">
      <c r="A158" s="22">
        <v>0.23</v>
      </c>
      <c r="B158" s="23">
        <v>1.1100000000000001</v>
      </c>
    </row>
    <row r="159" spans="1:2">
      <c r="A159" s="22">
        <v>0.24</v>
      </c>
      <c r="B159" s="23">
        <v>1.1160000000000001</v>
      </c>
    </row>
    <row r="160" spans="1:2">
      <c r="A160" s="22">
        <v>0.25</v>
      </c>
      <c r="B160" s="23">
        <v>1.1220000000000001</v>
      </c>
    </row>
    <row r="161" spans="1:2">
      <c r="A161" s="22">
        <v>0.26</v>
      </c>
      <c r="B161" s="23">
        <v>1.1279999999999999</v>
      </c>
    </row>
    <row r="162" spans="1:2">
      <c r="A162" s="22">
        <v>0.27</v>
      </c>
      <c r="B162" s="23">
        <v>1.1339999999999999</v>
      </c>
    </row>
    <row r="163" spans="1:2">
      <c r="A163" s="22">
        <v>0.28000000000000003</v>
      </c>
      <c r="B163" s="23">
        <v>1.1399999999999999</v>
      </c>
    </row>
    <row r="164" spans="1:2">
      <c r="A164" s="22">
        <v>0.28999999999999998</v>
      </c>
      <c r="B164" s="23">
        <v>1.1459999999999999</v>
      </c>
    </row>
    <row r="165" spans="1:2">
      <c r="A165" s="22">
        <v>0.3</v>
      </c>
      <c r="B165" s="23">
        <v>1.1519999999999999</v>
      </c>
    </row>
    <row r="166" spans="1:2">
      <c r="A166" s="22">
        <v>0.31</v>
      </c>
      <c r="B166" s="23">
        <v>1.1579999999999999</v>
      </c>
    </row>
    <row r="167" spans="1:2">
      <c r="A167" s="22">
        <v>0.32</v>
      </c>
      <c r="B167" s="23">
        <v>1.1639999999999999</v>
      </c>
    </row>
    <row r="168" spans="1:2">
      <c r="A168" s="22">
        <v>0.33</v>
      </c>
      <c r="B168" s="23">
        <v>1.171</v>
      </c>
    </row>
    <row r="169" spans="1:2">
      <c r="A169" s="22">
        <v>0.34</v>
      </c>
      <c r="B169" s="23">
        <v>1.1779999999999999</v>
      </c>
    </row>
    <row r="170" spans="1:2">
      <c r="A170" s="22">
        <v>0.35</v>
      </c>
      <c r="B170" s="23">
        <v>1.1850000000000001</v>
      </c>
    </row>
    <row r="171" spans="1:2">
      <c r="A171" s="22">
        <v>0.36</v>
      </c>
      <c r="B171" s="23">
        <v>1.1919999999999999</v>
      </c>
    </row>
    <row r="172" spans="1:2">
      <c r="A172" s="22">
        <v>0.37</v>
      </c>
      <c r="B172" s="23">
        <v>1.1990000000000001</v>
      </c>
    </row>
    <row r="173" spans="1:2">
      <c r="A173" s="22">
        <v>0.38</v>
      </c>
      <c r="B173" s="23">
        <v>1.206</v>
      </c>
    </row>
    <row r="174" spans="1:2">
      <c r="A174" s="22">
        <v>0.39</v>
      </c>
      <c r="B174" s="23">
        <v>1.2130000000000001</v>
      </c>
    </row>
    <row r="175" spans="1:2">
      <c r="A175" s="22">
        <v>0.4</v>
      </c>
      <c r="B175" s="23">
        <v>1.22</v>
      </c>
    </row>
    <row r="176" spans="1:2">
      <c r="A176" s="22">
        <v>0.41</v>
      </c>
      <c r="B176" s="23">
        <v>1.2270000000000001</v>
      </c>
    </row>
    <row r="177" spans="1:2">
      <c r="A177" s="22">
        <v>0.42</v>
      </c>
      <c r="B177" s="23">
        <v>1.234</v>
      </c>
    </row>
    <row r="178" spans="1:2">
      <c r="A178" s="22">
        <v>0.43</v>
      </c>
      <c r="B178" s="23">
        <v>1.2410000000000001</v>
      </c>
    </row>
    <row r="179" spans="1:2">
      <c r="A179" s="22">
        <v>0.44</v>
      </c>
      <c r="B179" s="23">
        <v>1.248</v>
      </c>
    </row>
    <row r="180" spans="1:2">
      <c r="A180" s="22">
        <v>0.45</v>
      </c>
      <c r="B180" s="23">
        <v>1.256</v>
      </c>
    </row>
    <row r="181" spans="1:2">
      <c r="A181" s="22">
        <v>0.46</v>
      </c>
      <c r="B181" s="23">
        <v>1.264</v>
      </c>
    </row>
    <row r="182" spans="1:2">
      <c r="A182" s="22">
        <v>0.47</v>
      </c>
      <c r="B182" s="23">
        <v>1.272</v>
      </c>
    </row>
    <row r="183" spans="1:2">
      <c r="A183" s="22">
        <v>0.48</v>
      </c>
      <c r="B183" s="23">
        <v>1.28</v>
      </c>
    </row>
    <row r="184" spans="1:2">
      <c r="A184" s="22">
        <v>0.49</v>
      </c>
      <c r="B184" s="23">
        <v>1.288</v>
      </c>
    </row>
    <row r="185" spans="1:2">
      <c r="A185" s="22">
        <v>0.5</v>
      </c>
      <c r="B185" s="24">
        <f>2-B87</f>
        <v>1.296</v>
      </c>
    </row>
    <row r="186" spans="1:2">
      <c r="A186" s="22">
        <v>0.51</v>
      </c>
      <c r="B186" s="23">
        <v>1.296</v>
      </c>
    </row>
    <row r="187" spans="1:2">
      <c r="A187" s="22">
        <v>0.52</v>
      </c>
      <c r="B187" s="23">
        <v>1.304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Выпадение всего</vt:lpstr>
      <vt:lpstr>Уголь_эластика_экспорт</vt:lpstr>
      <vt:lpstr>План погрузки</vt:lpstr>
      <vt:lpstr>Уголь_эластика_внутр</vt:lpstr>
      <vt:lpstr>Уголь_коэфф</vt:lpstr>
      <vt:lpstr>Цены,перевалка,аренда</vt:lpstr>
      <vt:lpstr>Курс $</vt:lpstr>
      <vt:lpstr>Технический лист_сниж тарифа</vt:lpstr>
      <vt:lpstr>'План погрузки'!Область_печати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Emiit PowerBI</cp:lastModifiedBy>
  <cp:lastPrinted>2026-04-29T09:28:04Z</cp:lastPrinted>
  <dcterms:created xsi:type="dcterms:W3CDTF">2026-04-22T14:39:13Z</dcterms:created>
  <dcterms:modified xsi:type="dcterms:W3CDTF">2026-07-08T13:24:47Z</dcterms:modified>
</cp:coreProperties>
</file>