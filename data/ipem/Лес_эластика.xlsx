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Пользователь\Downloads\"/>
    </mc:Choice>
  </mc:AlternateContent>
  <xr:revisionPtr revIDLastSave="0" documentId="13_ncr:8001_{3010D486-9D83-4B0E-B8ED-D026BB1300F5}" xr6:coauthVersionLast="47" xr6:coauthVersionMax="47" xr10:uidLastSave="{00000000-0000-0000-0000-000000000000}"/>
  <bookViews>
    <workbookView xWindow="-103" yWindow="-103" windowWidth="22149" windowHeight="11829" xr2:uid="{00000000-000D-0000-FFFF-FFFF00000000}"/>
  </bookViews>
  <sheets>
    <sheet name="Лесные" sheetId="1" r:id="rId1"/>
    <sheet name="Технический лист" sheetId="5" r:id="rId2"/>
    <sheet name="Ставки аренды" sheetId="4" r:id="rId3"/>
    <sheet name="Ставки перевалки" sheetId="3" r:id="rId4"/>
    <sheet name="Цены" sheetId="2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Order1" hidden="1">255</definedName>
    <definedName name="_xlnm._FilterDatabase" localSheetId="0" hidden="1">Лесные!$A$3:$AR$26</definedName>
    <definedName name="AS2DocOpenMode" hidden="1">"AS2DocumentEdit"</definedName>
    <definedName name="ccc">#REF!</definedName>
    <definedName name="cmndBase">#REF!</definedName>
    <definedName name="cmndDayMonthTo">#REF!</definedName>
    <definedName name="cmndDays">#REF!</definedName>
    <definedName name="cmndDocNum">#REF!</definedName>
    <definedName name="cmndDocSer">#REF!</definedName>
    <definedName name="cmndFIO">#REF!</definedName>
    <definedName name="cmndOrdDay">#REF!</definedName>
    <definedName name="cmndOrdMonth">#REF!</definedName>
    <definedName name="cmndOrdNum">#REF!</definedName>
    <definedName name="cmndOrdYear">#REF!</definedName>
    <definedName name="cmndPoint">#REF!</definedName>
    <definedName name="cmndPoint1">#REF!</definedName>
    <definedName name="cmndPos">#REF!</definedName>
    <definedName name="cmndYearTo">#REF!</definedName>
    <definedName name="cntAddition">#REF!</definedName>
    <definedName name="cntDay">#REF!</definedName>
    <definedName name="cntMonth">#REF!</definedName>
    <definedName name="cntName">#REF!</definedName>
    <definedName name="cntNumber">#REF!</definedName>
    <definedName name="cntPayer">#REF!</definedName>
    <definedName name="cntPayer1">#REF!</definedName>
    <definedName name="cntPayerAddr1">#REF!</definedName>
    <definedName name="cntPayerAddr2">#REF!</definedName>
    <definedName name="cntPayerBank1">#REF!</definedName>
    <definedName name="cntPayerBank2">#REF!</definedName>
    <definedName name="cntPayerBank3">#REF!</definedName>
    <definedName name="cntPayerCount">#REF!</definedName>
    <definedName name="cntPayerCountCor">#REF!</definedName>
    <definedName name="cntPriceC">#REF!</definedName>
    <definedName name="cntPriceR">#REF!</definedName>
    <definedName name="cntQnt">#REF!</definedName>
    <definedName name="cntSumC">#REF!</definedName>
    <definedName name="cntSumR">#REF!</definedName>
    <definedName name="cntSuppAddr1">#REF!</definedName>
    <definedName name="cntSuppAddr2">#REF!</definedName>
    <definedName name="cntSuppBank">#REF!</definedName>
    <definedName name="cntSuppCount">#REF!</definedName>
    <definedName name="cntSuppCountCor">#REF!</definedName>
    <definedName name="cntSupplier">#REF!</definedName>
    <definedName name="cntSuppMFO1">#REF!</definedName>
    <definedName name="cntSuppMFO2">#REF!</definedName>
    <definedName name="cntSuppTlf">#REF!</definedName>
    <definedName name="cntUnit">#REF!</definedName>
    <definedName name="cntYear">#REF!</definedName>
    <definedName name="DF_GRID_2">История [1]корректировок!$C$10:$I$11</definedName>
    <definedName name="DF_NAVPANEL_13">[2]Отчет!#REF!</definedName>
    <definedName name="DF_NAVPANEL_18">[2]Отчет!#REF!</definedName>
    <definedName name="dvrCustomer">#REF!</definedName>
    <definedName name="dvrDay">#REF!</definedName>
    <definedName name="dvrDocDay">#REF!</definedName>
    <definedName name="dvrDocIss">#REF!</definedName>
    <definedName name="dvrDocMonth">#REF!</definedName>
    <definedName name="dvrDocNum">#REF!</definedName>
    <definedName name="dvrDocSer">#REF!</definedName>
    <definedName name="dvrDocYear">#REF!</definedName>
    <definedName name="dvrMonth">#REF!</definedName>
    <definedName name="dvrName">#REF!</definedName>
    <definedName name="dvrNo">#REF!</definedName>
    <definedName name="dvrNumber">#REF!</definedName>
    <definedName name="dvrOrder">#REF!</definedName>
    <definedName name="dvrPayer">#REF!</definedName>
    <definedName name="dvrPayerBank1">#REF!</definedName>
    <definedName name="dvrPayerBank2">#REF!</definedName>
    <definedName name="dvrPayerCount">#REF!</definedName>
    <definedName name="dvrQnt">#REF!</definedName>
    <definedName name="dvrReceiver">#REF!</definedName>
    <definedName name="dvrSupplier">#REF!</definedName>
    <definedName name="dvrUnit">#REF!</definedName>
    <definedName name="dvrValidDay">#REF!</definedName>
    <definedName name="dvrValidMonth">#REF!</definedName>
    <definedName name="dvrValidYear">#REF!</definedName>
    <definedName name="dvrYear">#REF!</definedName>
    <definedName name="elkAddr1">#REF!</definedName>
    <definedName name="elkAddr2">#REF!</definedName>
    <definedName name="elkCount">#REF!</definedName>
    <definedName name="elkCountFrom">#REF!</definedName>
    <definedName name="elkCountTo">#REF!</definedName>
    <definedName name="elkDateFrom">#REF!</definedName>
    <definedName name="elkDateTo">#REF!</definedName>
    <definedName name="elkDiscount">#REF!</definedName>
    <definedName name="elkKAddr1">#REF!</definedName>
    <definedName name="elkKAddr2">#REF!</definedName>
    <definedName name="elkKCount">#REF!</definedName>
    <definedName name="elkKCountFrom">#REF!</definedName>
    <definedName name="elkKCountTo">#REF!</definedName>
    <definedName name="elkKDateFrom">#REF!</definedName>
    <definedName name="elkKDateTo">#REF!</definedName>
    <definedName name="elkKDiscount">#REF!</definedName>
    <definedName name="elkKNumber">#REF!</definedName>
    <definedName name="elkKSumC">#REF!</definedName>
    <definedName name="elkKSumR">#REF!</definedName>
    <definedName name="elkKTarif">#REF!</definedName>
    <definedName name="elkNumber">#REF!</definedName>
    <definedName name="elkSumC">#REF!</definedName>
    <definedName name="elkSumR">#REF!</definedName>
    <definedName name="elkTarif">#REF!</definedName>
    <definedName name="EXCEL">#REF!</definedName>
    <definedName name="f">'[3]коэф. т. 5'!#REF!</definedName>
    <definedName name="ghjhkhjd">#REF!</definedName>
    <definedName name="HTML_CodePage" hidden="1">1252</definedName>
    <definedName name="HTML_Description" hidden="1">""</definedName>
    <definedName name="HTML_Email" hidden="1">""</definedName>
    <definedName name="HTML_Header" hidden="1">"Working Capital"</definedName>
    <definedName name="HTML_LastUpdate" hidden="1">"9/11/00"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4" hidden="1">TRUE</definedName>
    <definedName name="HTML_OS" hidden="1">1</definedName>
    <definedName name="HTML_PathFileMac" hidden="1">"Macintosh HD:Web Site “~adamodar”:pc:datasets:MyHTML.html"</definedName>
    <definedName name="HTML_Title" hidden="1">"wcdata"</definedName>
    <definedName name="nakDay">#REF!</definedName>
    <definedName name="nakFrom">#REF!</definedName>
    <definedName name="nakMonth">#REF!</definedName>
    <definedName name="nakName">#REF!</definedName>
    <definedName name="nakNo">#REF!</definedName>
    <definedName name="nakNumber">#REF!</definedName>
    <definedName name="nakPriceC">#REF!</definedName>
    <definedName name="nakPriceR">#REF!</definedName>
    <definedName name="nakQnt">#REF!</definedName>
    <definedName name="nakSumC">#REF!</definedName>
    <definedName name="nakSumR">#REF!</definedName>
    <definedName name="nakTo">#REF!</definedName>
    <definedName name="nakYear">#REF!</definedName>
    <definedName name="OUT_G142_ГНГ2001_ЕТСНГ_Список">#REF!</definedName>
    <definedName name="pmnCCode1">#REF!</definedName>
    <definedName name="pmnCCode2">#REF!</definedName>
    <definedName name="pmnDay">#REF!</definedName>
    <definedName name="pmnDCode1">#REF!</definedName>
    <definedName name="pmnDCode2">#REF!</definedName>
    <definedName name="pmnDirection">#REF!</definedName>
    <definedName name="pmnMonth">#REF!</definedName>
    <definedName name="pmnNumber">#REF!</definedName>
    <definedName name="pmnOper">#REF!</definedName>
    <definedName name="pmnPayer">#REF!</definedName>
    <definedName name="pmnPayer1">#REF!</definedName>
    <definedName name="pmnPayerBank1">#REF!</definedName>
    <definedName name="pmnPayerBank2">#REF!</definedName>
    <definedName name="pmnPayerBank3">#REF!</definedName>
    <definedName name="pmnPayerCode">#REF!</definedName>
    <definedName name="pmnPayerCount1">#REF!</definedName>
    <definedName name="pmnPayerCount2">#REF!</definedName>
    <definedName name="pmnPayerCount3">#REF!</definedName>
    <definedName name="pmnRecBank1">#REF!</definedName>
    <definedName name="pmnRecBank2">#REF!</definedName>
    <definedName name="pmnRecBank3">#REF!</definedName>
    <definedName name="pmnRecCode">#REF!</definedName>
    <definedName name="pmnRecCount1">#REF!</definedName>
    <definedName name="pmnRecCount2">#REF!</definedName>
    <definedName name="pmnRecCount3">#REF!</definedName>
    <definedName name="pmnReceiver">#REF!</definedName>
    <definedName name="pmnReceiver1">#REF!</definedName>
    <definedName name="pmnSum1">#REF!</definedName>
    <definedName name="pmnSum2">#REF!</definedName>
    <definedName name="pmnWNalog">#REF!</definedName>
    <definedName name="pmnWSum1">#REF!</definedName>
    <definedName name="pmnWSum2">#REF!</definedName>
    <definedName name="pmnWSum3">#REF!</definedName>
    <definedName name="pmnYear">#REF!</definedName>
    <definedName name="priApplication1">#REF!</definedName>
    <definedName name="priApplication2">#REF!</definedName>
    <definedName name="priDate1">#REF!</definedName>
    <definedName name="priDate2">#REF!</definedName>
    <definedName name="priKDay">#REF!</definedName>
    <definedName name="priKMonth">#REF!</definedName>
    <definedName name="priKNumber">#REF!</definedName>
    <definedName name="priKOrgn">#REF!</definedName>
    <definedName name="priKPayer1">#REF!</definedName>
    <definedName name="priKPayer2">#REF!</definedName>
    <definedName name="priKPayer3">#REF!</definedName>
    <definedName name="priKSubject1">#REF!</definedName>
    <definedName name="priKSubject2">#REF!</definedName>
    <definedName name="priKSubject3">#REF!</definedName>
    <definedName name="priKWSum1">#REF!</definedName>
    <definedName name="priKWSum2">#REF!</definedName>
    <definedName name="priKWSum3">#REF!</definedName>
    <definedName name="priKWSum4">#REF!</definedName>
    <definedName name="priKWSum5">#REF!</definedName>
    <definedName name="priKWSumC">#REF!</definedName>
    <definedName name="priKYear">#REF!</definedName>
    <definedName name="priNumber">#REF!</definedName>
    <definedName name="priOrgn">#REF!</definedName>
    <definedName name="priPayer">#REF!</definedName>
    <definedName name="priSubject1">#REF!</definedName>
    <definedName name="priSubject2">#REF!</definedName>
    <definedName name="priSum">#REF!</definedName>
    <definedName name="priWSum1">#REF!</definedName>
    <definedName name="priWSum2">#REF!</definedName>
    <definedName name="priWSumC">#REF!</definedName>
    <definedName name="rasApplication1">#REF!</definedName>
    <definedName name="rasApplication2">#REF!</definedName>
    <definedName name="rasDate1">#REF!</definedName>
    <definedName name="rasDate2">#REF!</definedName>
    <definedName name="rasDoc1">#REF!</definedName>
    <definedName name="rasDoc2">#REF!</definedName>
    <definedName name="rasNumber">#REF!</definedName>
    <definedName name="rasOrgn">#REF!</definedName>
    <definedName name="rasRecDay">#REF!</definedName>
    <definedName name="rasReceiver">#REF!</definedName>
    <definedName name="rasRecMonth">#REF!</definedName>
    <definedName name="rasRecYear">#REF!</definedName>
    <definedName name="rasSubject1">#REF!</definedName>
    <definedName name="rasSubject2">#REF!</definedName>
    <definedName name="rasSum">#REF!</definedName>
    <definedName name="rasWRecSum1">#REF!</definedName>
    <definedName name="rasWRecSum2">#REF!</definedName>
    <definedName name="rasWRecSumC">#REF!</definedName>
    <definedName name="rasWSum1">#REF!</definedName>
    <definedName name="rasWSum2">#REF!</definedName>
    <definedName name="rasWSumC">#REF!</definedName>
    <definedName name="SAPBEXhrIndnt" hidden="1">"Wide"</definedName>
    <definedName name="SAPsysID" hidden="1">"708C5W7SBKP804JT78WJ0JNKI"</definedName>
    <definedName name="SAPwbID" hidden="1">"ARS"</definedName>
    <definedName name="TextRefCopyRangeCount" hidden="1">182</definedName>
    <definedName name="tlfAprt">#REF!</definedName>
    <definedName name="tlfBank">#REF!</definedName>
    <definedName name="tlfCorp">#REF!</definedName>
    <definedName name="tlfCount">#REF!</definedName>
    <definedName name="tlfFIO">#REF!</definedName>
    <definedName name="tlfHouse">#REF!</definedName>
    <definedName name="tlfKAprt">#REF!</definedName>
    <definedName name="tlfKBank">#REF!</definedName>
    <definedName name="tlfKCorp">#REF!</definedName>
    <definedName name="tlfKCount">#REF!</definedName>
    <definedName name="tlfKFio">#REF!</definedName>
    <definedName name="tlfKHouse">#REF!</definedName>
    <definedName name="tlfKMonth">#REF!</definedName>
    <definedName name="tlfKStreet">#REF!</definedName>
    <definedName name="tlfKSum">#REF!</definedName>
    <definedName name="tlfKTarif">#REF!</definedName>
    <definedName name="tlfKTlfNum">#REF!</definedName>
    <definedName name="tlfKTotal">#REF!</definedName>
    <definedName name="tlfKYear">#REF!</definedName>
    <definedName name="tlfMonth">#REF!</definedName>
    <definedName name="tlfStreet">#REF!</definedName>
    <definedName name="tlfSum">#REF!</definedName>
    <definedName name="tlfTarif">#REF!</definedName>
    <definedName name="tlfTlfNum">#REF!</definedName>
    <definedName name="tlfTotal">#REF!</definedName>
    <definedName name="tlfYear">#REF!</definedName>
    <definedName name="XRefCopyRangeCount" hidden="1">1</definedName>
    <definedName name="аа">#REF!</definedName>
    <definedName name="_xlnm.Database">#REF!</definedName>
    <definedName name="в">'[4]коэф. т. 5'!#REF!</definedName>
    <definedName name="г">'[3]коэф. т. 5'!#REF!</definedName>
    <definedName name="исх1">#REF!</definedName>
    <definedName name="Исходная">#REF!</definedName>
    <definedName name="й">#REF!</definedName>
    <definedName name="копия">#REF!</definedName>
    <definedName name="мммм">#REF!</definedName>
    <definedName name="н">'[3]коэф. т. 5'!#REF!</definedName>
    <definedName name="напитки">#REF!</definedName>
    <definedName name="о">'[3]коэф. т. 5'!#REF!</definedName>
    <definedName name="ось">[5]коэфф!$D$4</definedName>
    <definedName name="отправка">#REF!</definedName>
    <definedName name="Повагонная_отправка">#REF!</definedName>
    <definedName name="ппп">#REF!</definedName>
    <definedName name="ппппп">#REF!</definedName>
    <definedName name="р">'[3]коэф. т. 5'!#REF!</definedName>
    <definedName name="рррр">[6]REF!$A$4:$J$1925</definedName>
    <definedName name="схемы">'[7]энерг_1 действ'!$I$3:$I$7</definedName>
    <definedName name="таб.5">#REF!</definedName>
    <definedName name="табл">#REF!</definedName>
    <definedName name="таблица">#REF!</definedName>
    <definedName name="х">'[3]коэф. т. 5'!#REF!</definedName>
    <definedName name="ы">'[3]коэф. т. 5'!#REF!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5" i="5" l="1"/>
  <c r="B76" i="5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71" i="5"/>
  <c r="B70" i="5"/>
  <c r="CS5" i="1"/>
  <c r="CT5" i="1" s="1"/>
  <c r="CU5" i="1"/>
  <c r="CV5" i="1" s="1"/>
  <c r="CW5" i="1" s="1"/>
  <c r="CX5" i="1" s="1"/>
  <c r="CY5" i="1" s="1"/>
  <c r="CZ5" i="1" s="1"/>
  <c r="DA5" i="1" s="1"/>
  <c r="DB5" i="1" s="1"/>
  <c r="DC5" i="1" s="1"/>
  <c r="DD5" i="1" s="1"/>
  <c r="DE5" i="1"/>
  <c r="DF5" i="1" s="1"/>
  <c r="DG5" i="1" s="1"/>
  <c r="DH5" i="1" s="1"/>
  <c r="DI5" i="1" s="1"/>
  <c r="DJ5" i="1" s="1"/>
  <c r="DK5" i="1" s="1"/>
  <c r="DL5" i="1" s="1"/>
  <c r="DM5" i="1" s="1"/>
  <c r="DN5" i="1"/>
  <c r="DO5" i="1" s="1"/>
  <c r="DP5" i="1" s="1"/>
  <c r="DQ5" i="1" s="1"/>
  <c r="DR5" i="1" s="1"/>
  <c r="DS5" i="1" s="1"/>
  <c r="DT5" i="1" s="1"/>
  <c r="DU5" i="1" s="1"/>
  <c r="DV5" i="1" s="1"/>
  <c r="DW5" i="1" s="1"/>
  <c r="DX5" i="1" s="1"/>
  <c r="DY5" i="1" s="1"/>
  <c r="DZ5" i="1" s="1"/>
  <c r="EA5" i="1" s="1"/>
  <c r="EB5" i="1" s="1"/>
  <c r="EC5" i="1" s="1"/>
  <c r="ED5" i="1" s="1"/>
  <c r="EE5" i="1" s="1"/>
  <c r="EF5" i="1" s="1"/>
  <c r="EG5" i="1" s="1"/>
  <c r="EH5" i="1" s="1"/>
  <c r="EI5" i="1" s="1"/>
  <c r="EJ5" i="1" s="1"/>
  <c r="EK5" i="1" s="1"/>
  <c r="EL5" i="1" s="1"/>
  <c r="EM5" i="1" s="1"/>
  <c r="EN5" i="1" s="1"/>
  <c r="EO5" i="1" s="1"/>
  <c r="EP5" i="1" s="1"/>
  <c r="EQ5" i="1" s="1"/>
  <c r="ER5" i="1" s="1"/>
  <c r="ES5" i="1" s="1"/>
  <c r="ET5" i="1" s="1"/>
  <c r="EU5" i="1" s="1"/>
  <c r="EV5" i="1" s="1"/>
  <c r="EW5" i="1" s="1"/>
  <c r="EX5" i="1" s="1"/>
  <c r="EY5" i="1" s="1"/>
  <c r="EZ5" i="1" s="1"/>
  <c r="FA5" i="1" s="1"/>
  <c r="FB5" i="1" s="1"/>
  <c r="FC5" i="1" s="1"/>
  <c r="FD5" i="1" s="1"/>
  <c r="FE5" i="1" s="1"/>
  <c r="FF5" i="1" s="1"/>
  <c r="FG5" i="1" s="1"/>
  <c r="FH5" i="1" s="1"/>
  <c r="FI5" i="1" s="1"/>
  <c r="FJ5" i="1" s="1"/>
  <c r="FK5" i="1" s="1"/>
  <c r="FL5" i="1" s="1"/>
  <c r="FM5" i="1" s="1"/>
  <c r="FN5" i="1" s="1"/>
  <c r="FO5" i="1" s="1"/>
  <c r="FP5" i="1" s="1"/>
  <c r="FQ5" i="1" s="1"/>
  <c r="FR5" i="1" s="1"/>
  <c r="FS5" i="1" s="1"/>
  <c r="FT5" i="1" s="1"/>
  <c r="FU5" i="1" s="1"/>
  <c r="FV5" i="1" s="1"/>
  <c r="FW5" i="1" s="1"/>
  <c r="FX5" i="1" s="1"/>
  <c r="FY5" i="1" s="1"/>
  <c r="FZ5" i="1" s="1"/>
  <c r="GA5" i="1" s="1"/>
  <c r="GB5" i="1" s="1"/>
  <c r="GC5" i="1" s="1"/>
  <c r="GD5" i="1" s="1"/>
  <c r="GE5" i="1" s="1"/>
  <c r="GF5" i="1" s="1"/>
  <c r="GG5" i="1" s="1"/>
  <c r="GH5" i="1" s="1"/>
  <c r="GI5" i="1" s="1"/>
  <c r="GJ5" i="1" s="1"/>
  <c r="GK5" i="1" s="1"/>
  <c r="GL5" i="1" s="1"/>
  <c r="GM5" i="1" s="1"/>
  <c r="GN5" i="1" s="1"/>
  <c r="CS6" i="1"/>
  <c r="CT6" i="1"/>
  <c r="CU6" i="1" s="1"/>
  <c r="CV6" i="1" s="1"/>
  <c r="CW6" i="1" s="1"/>
  <c r="CX6" i="1" s="1"/>
  <c r="CY6" i="1" s="1"/>
  <c r="CZ6" i="1" s="1"/>
  <c r="DA6" i="1" s="1"/>
  <c r="DB6" i="1" s="1"/>
  <c r="DC6" i="1" s="1"/>
  <c r="DD6" i="1" s="1"/>
  <c r="DE6" i="1" s="1"/>
  <c r="DF6" i="1" s="1"/>
  <c r="DG6" i="1" s="1"/>
  <c r="DH6" i="1" s="1"/>
  <c r="DI6" i="1" s="1"/>
  <c r="DJ6" i="1" s="1"/>
  <c r="DK6" i="1" s="1"/>
  <c r="DL6" i="1" s="1"/>
  <c r="DM6" i="1" s="1"/>
  <c r="DN6" i="1" s="1"/>
  <c r="DO6" i="1" s="1"/>
  <c r="DP6" i="1" s="1"/>
  <c r="DQ6" i="1" s="1"/>
  <c r="DR6" i="1" s="1"/>
  <c r="DS6" i="1" s="1"/>
  <c r="DT6" i="1" s="1"/>
  <c r="DU6" i="1" s="1"/>
  <c r="DV6" i="1" s="1"/>
  <c r="DW6" i="1" s="1"/>
  <c r="DX6" i="1" s="1"/>
  <c r="DY6" i="1" s="1"/>
  <c r="DZ6" i="1" s="1"/>
  <c r="EA6" i="1" s="1"/>
  <c r="EB6" i="1" s="1"/>
  <c r="EC6" i="1" s="1"/>
  <c r="ED6" i="1" s="1"/>
  <c r="EE6" i="1" s="1"/>
  <c r="EF6" i="1" s="1"/>
  <c r="EG6" i="1" s="1"/>
  <c r="EH6" i="1" s="1"/>
  <c r="EI6" i="1" s="1"/>
  <c r="EJ6" i="1" s="1"/>
  <c r="EK6" i="1" s="1"/>
  <c r="EL6" i="1" s="1"/>
  <c r="EM6" i="1" s="1"/>
  <c r="EN6" i="1" s="1"/>
  <c r="EO6" i="1" s="1"/>
  <c r="EP6" i="1" s="1"/>
  <c r="EQ6" i="1" s="1"/>
  <c r="ER6" i="1" s="1"/>
  <c r="ES6" i="1" s="1"/>
  <c r="ET6" i="1" s="1"/>
  <c r="EU6" i="1" s="1"/>
  <c r="EV6" i="1" s="1"/>
  <c r="EW6" i="1" s="1"/>
  <c r="EX6" i="1" s="1"/>
  <c r="EY6" i="1" s="1"/>
  <c r="EZ6" i="1" s="1"/>
  <c r="FA6" i="1" s="1"/>
  <c r="FB6" i="1" s="1"/>
  <c r="FC6" i="1" s="1"/>
  <c r="FD6" i="1" s="1"/>
  <c r="FE6" i="1" s="1"/>
  <c r="FF6" i="1" s="1"/>
  <c r="FG6" i="1" s="1"/>
  <c r="FH6" i="1" s="1"/>
  <c r="FI6" i="1" s="1"/>
  <c r="FJ6" i="1" s="1"/>
  <c r="FK6" i="1" s="1"/>
  <c r="FL6" i="1" s="1"/>
  <c r="FM6" i="1" s="1"/>
  <c r="FN6" i="1" s="1"/>
  <c r="FO6" i="1" s="1"/>
  <c r="FP6" i="1" s="1"/>
  <c r="FQ6" i="1" s="1"/>
  <c r="FR6" i="1" s="1"/>
  <c r="FS6" i="1" s="1"/>
  <c r="FT6" i="1" s="1"/>
  <c r="FU6" i="1" s="1"/>
  <c r="FV6" i="1" s="1"/>
  <c r="FW6" i="1" s="1"/>
  <c r="FX6" i="1" s="1"/>
  <c r="FY6" i="1" s="1"/>
  <c r="FZ6" i="1" s="1"/>
  <c r="GA6" i="1" s="1"/>
  <c r="GB6" i="1" s="1"/>
  <c r="GC6" i="1" s="1"/>
  <c r="GD6" i="1" s="1"/>
  <c r="GE6" i="1" s="1"/>
  <c r="GF6" i="1" s="1"/>
  <c r="GG6" i="1" s="1"/>
  <c r="GH6" i="1" s="1"/>
  <c r="GI6" i="1" s="1"/>
  <c r="GJ6" i="1" s="1"/>
  <c r="GK6" i="1" s="1"/>
  <c r="GL6" i="1" s="1"/>
  <c r="GM6" i="1" s="1"/>
  <c r="GN6" i="1" s="1"/>
  <c r="CS7" i="1"/>
  <c r="CT7" i="1"/>
  <c r="CU7" i="1"/>
  <c r="CV7" i="1" s="1"/>
  <c r="CW7" i="1" s="1"/>
  <c r="CX7" i="1" s="1"/>
  <c r="CY7" i="1" s="1"/>
  <c r="CZ7" i="1" s="1"/>
  <c r="DA7" i="1" s="1"/>
  <c r="DB7" i="1" s="1"/>
  <c r="DC7" i="1" s="1"/>
  <c r="DD7" i="1" s="1"/>
  <c r="DE7" i="1" s="1"/>
  <c r="DF7" i="1" s="1"/>
  <c r="DG7" i="1" s="1"/>
  <c r="DH7" i="1" s="1"/>
  <c r="DI7" i="1" s="1"/>
  <c r="DJ7" i="1" s="1"/>
  <c r="DK7" i="1" s="1"/>
  <c r="DL7" i="1" s="1"/>
  <c r="DM7" i="1" s="1"/>
  <c r="DN7" i="1" s="1"/>
  <c r="DO7" i="1" s="1"/>
  <c r="DP7" i="1" s="1"/>
  <c r="DQ7" i="1" s="1"/>
  <c r="DR7" i="1" s="1"/>
  <c r="DS7" i="1" s="1"/>
  <c r="DT7" i="1" s="1"/>
  <c r="DU7" i="1" s="1"/>
  <c r="DV7" i="1" s="1"/>
  <c r="DW7" i="1" s="1"/>
  <c r="DX7" i="1" s="1"/>
  <c r="DY7" i="1" s="1"/>
  <c r="DZ7" i="1" s="1"/>
  <c r="EA7" i="1" s="1"/>
  <c r="EB7" i="1" s="1"/>
  <c r="EC7" i="1" s="1"/>
  <c r="ED7" i="1" s="1"/>
  <c r="EE7" i="1" s="1"/>
  <c r="EF7" i="1" s="1"/>
  <c r="EG7" i="1" s="1"/>
  <c r="EH7" i="1" s="1"/>
  <c r="EI7" i="1" s="1"/>
  <c r="EJ7" i="1" s="1"/>
  <c r="EK7" i="1" s="1"/>
  <c r="EL7" i="1" s="1"/>
  <c r="EM7" i="1" s="1"/>
  <c r="EN7" i="1" s="1"/>
  <c r="EO7" i="1" s="1"/>
  <c r="EP7" i="1" s="1"/>
  <c r="EQ7" i="1" s="1"/>
  <c r="ER7" i="1" s="1"/>
  <c r="ES7" i="1" s="1"/>
  <c r="ET7" i="1" s="1"/>
  <c r="EU7" i="1" s="1"/>
  <c r="EV7" i="1" s="1"/>
  <c r="EW7" i="1" s="1"/>
  <c r="EX7" i="1" s="1"/>
  <c r="EY7" i="1" s="1"/>
  <c r="EZ7" i="1" s="1"/>
  <c r="FA7" i="1" s="1"/>
  <c r="FB7" i="1" s="1"/>
  <c r="FC7" i="1" s="1"/>
  <c r="FD7" i="1" s="1"/>
  <c r="FE7" i="1" s="1"/>
  <c r="FF7" i="1" s="1"/>
  <c r="FG7" i="1" s="1"/>
  <c r="FH7" i="1" s="1"/>
  <c r="FI7" i="1" s="1"/>
  <c r="FJ7" i="1" s="1"/>
  <c r="FK7" i="1" s="1"/>
  <c r="FL7" i="1" s="1"/>
  <c r="FM7" i="1" s="1"/>
  <c r="FN7" i="1" s="1"/>
  <c r="FO7" i="1" s="1"/>
  <c r="FP7" i="1" s="1"/>
  <c r="FQ7" i="1" s="1"/>
  <c r="FR7" i="1" s="1"/>
  <c r="FS7" i="1" s="1"/>
  <c r="FT7" i="1" s="1"/>
  <c r="FU7" i="1" s="1"/>
  <c r="FV7" i="1" s="1"/>
  <c r="FW7" i="1" s="1"/>
  <c r="FX7" i="1" s="1"/>
  <c r="FY7" i="1" s="1"/>
  <c r="FZ7" i="1" s="1"/>
  <c r="GA7" i="1" s="1"/>
  <c r="GB7" i="1" s="1"/>
  <c r="GC7" i="1" s="1"/>
  <c r="GD7" i="1" s="1"/>
  <c r="GE7" i="1" s="1"/>
  <c r="GF7" i="1" s="1"/>
  <c r="GG7" i="1" s="1"/>
  <c r="GH7" i="1" s="1"/>
  <c r="GI7" i="1" s="1"/>
  <c r="GJ7" i="1" s="1"/>
  <c r="GK7" i="1" s="1"/>
  <c r="GL7" i="1" s="1"/>
  <c r="GM7" i="1" s="1"/>
  <c r="GN7" i="1" s="1"/>
  <c r="CS8" i="1"/>
  <c r="CT8" i="1" s="1"/>
  <c r="CU8" i="1" s="1"/>
  <c r="CV8" i="1" s="1"/>
  <c r="CW8" i="1" s="1"/>
  <c r="CX8" i="1" s="1"/>
  <c r="CY8" i="1" s="1"/>
  <c r="CZ8" i="1" s="1"/>
  <c r="DA8" i="1" s="1"/>
  <c r="DB8" i="1" s="1"/>
  <c r="DC8" i="1" s="1"/>
  <c r="DD8" i="1" s="1"/>
  <c r="DE8" i="1" s="1"/>
  <c r="DF8" i="1" s="1"/>
  <c r="DG8" i="1" s="1"/>
  <c r="DH8" i="1" s="1"/>
  <c r="DI8" i="1" s="1"/>
  <c r="DJ8" i="1" s="1"/>
  <c r="DK8" i="1" s="1"/>
  <c r="DL8" i="1" s="1"/>
  <c r="DM8" i="1" s="1"/>
  <c r="DN8" i="1" s="1"/>
  <c r="DO8" i="1" s="1"/>
  <c r="DP8" i="1" s="1"/>
  <c r="DQ8" i="1" s="1"/>
  <c r="DR8" i="1" s="1"/>
  <c r="DS8" i="1" s="1"/>
  <c r="DT8" i="1" s="1"/>
  <c r="DU8" i="1" s="1"/>
  <c r="DV8" i="1" s="1"/>
  <c r="DW8" i="1" s="1"/>
  <c r="DX8" i="1" s="1"/>
  <c r="DY8" i="1" s="1"/>
  <c r="DZ8" i="1" s="1"/>
  <c r="EA8" i="1" s="1"/>
  <c r="EB8" i="1" s="1"/>
  <c r="EC8" i="1" s="1"/>
  <c r="ED8" i="1" s="1"/>
  <c r="EE8" i="1" s="1"/>
  <c r="EF8" i="1" s="1"/>
  <c r="EG8" i="1" s="1"/>
  <c r="EH8" i="1" s="1"/>
  <c r="EI8" i="1" s="1"/>
  <c r="EJ8" i="1" s="1"/>
  <c r="EK8" i="1" s="1"/>
  <c r="EL8" i="1" s="1"/>
  <c r="EM8" i="1" s="1"/>
  <c r="EN8" i="1" s="1"/>
  <c r="EO8" i="1" s="1"/>
  <c r="EP8" i="1" s="1"/>
  <c r="EQ8" i="1" s="1"/>
  <c r="ER8" i="1" s="1"/>
  <c r="ES8" i="1" s="1"/>
  <c r="ET8" i="1" s="1"/>
  <c r="EU8" i="1" s="1"/>
  <c r="EV8" i="1" s="1"/>
  <c r="EW8" i="1" s="1"/>
  <c r="EX8" i="1" s="1"/>
  <c r="EY8" i="1" s="1"/>
  <c r="EZ8" i="1" s="1"/>
  <c r="FA8" i="1" s="1"/>
  <c r="FB8" i="1" s="1"/>
  <c r="FC8" i="1" s="1"/>
  <c r="FD8" i="1" s="1"/>
  <c r="FE8" i="1" s="1"/>
  <c r="FF8" i="1" s="1"/>
  <c r="FG8" i="1" s="1"/>
  <c r="FH8" i="1" s="1"/>
  <c r="FI8" i="1" s="1"/>
  <c r="FJ8" i="1" s="1"/>
  <c r="FK8" i="1" s="1"/>
  <c r="FL8" i="1" s="1"/>
  <c r="FM8" i="1" s="1"/>
  <c r="FN8" i="1" s="1"/>
  <c r="FO8" i="1" s="1"/>
  <c r="FP8" i="1" s="1"/>
  <c r="FQ8" i="1" s="1"/>
  <c r="FR8" i="1" s="1"/>
  <c r="FS8" i="1" s="1"/>
  <c r="FT8" i="1" s="1"/>
  <c r="FU8" i="1" s="1"/>
  <c r="FV8" i="1" s="1"/>
  <c r="FW8" i="1" s="1"/>
  <c r="FX8" i="1" s="1"/>
  <c r="FY8" i="1" s="1"/>
  <c r="FZ8" i="1" s="1"/>
  <c r="GA8" i="1" s="1"/>
  <c r="GB8" i="1" s="1"/>
  <c r="GC8" i="1" s="1"/>
  <c r="GD8" i="1" s="1"/>
  <c r="GE8" i="1" s="1"/>
  <c r="GF8" i="1" s="1"/>
  <c r="GG8" i="1" s="1"/>
  <c r="GH8" i="1" s="1"/>
  <c r="GI8" i="1" s="1"/>
  <c r="GJ8" i="1" s="1"/>
  <c r="GK8" i="1" s="1"/>
  <c r="GL8" i="1" s="1"/>
  <c r="GM8" i="1" s="1"/>
  <c r="GN8" i="1" s="1"/>
  <c r="CS9" i="1"/>
  <c r="CT9" i="1" s="1"/>
  <c r="CU9" i="1"/>
  <c r="CV9" i="1" s="1"/>
  <c r="CW9" i="1"/>
  <c r="CX9" i="1" s="1"/>
  <c r="CY9" i="1" s="1"/>
  <c r="CZ9" i="1" s="1"/>
  <c r="DA9" i="1" s="1"/>
  <c r="DB9" i="1" s="1"/>
  <c r="DC9" i="1" s="1"/>
  <c r="DD9" i="1"/>
  <c r="DE9" i="1" s="1"/>
  <c r="DF9" i="1" s="1"/>
  <c r="DG9" i="1" s="1"/>
  <c r="DH9" i="1" s="1"/>
  <c r="DI9" i="1" s="1"/>
  <c r="DJ9" i="1" s="1"/>
  <c r="DK9" i="1" s="1"/>
  <c r="DL9" i="1" s="1"/>
  <c r="DM9" i="1" s="1"/>
  <c r="DN9" i="1" s="1"/>
  <c r="DO9" i="1" s="1"/>
  <c r="DP9" i="1" s="1"/>
  <c r="DQ9" i="1" s="1"/>
  <c r="DR9" i="1" s="1"/>
  <c r="DS9" i="1" s="1"/>
  <c r="DT9" i="1" s="1"/>
  <c r="DU9" i="1" s="1"/>
  <c r="DV9" i="1" s="1"/>
  <c r="DW9" i="1" s="1"/>
  <c r="DX9" i="1" s="1"/>
  <c r="DY9" i="1" s="1"/>
  <c r="DZ9" i="1" s="1"/>
  <c r="EA9" i="1" s="1"/>
  <c r="EB9" i="1" s="1"/>
  <c r="EC9" i="1" s="1"/>
  <c r="ED9" i="1" s="1"/>
  <c r="EE9" i="1" s="1"/>
  <c r="EF9" i="1" s="1"/>
  <c r="EG9" i="1" s="1"/>
  <c r="EH9" i="1" s="1"/>
  <c r="EI9" i="1" s="1"/>
  <c r="EJ9" i="1" s="1"/>
  <c r="EK9" i="1" s="1"/>
  <c r="EL9" i="1" s="1"/>
  <c r="EM9" i="1" s="1"/>
  <c r="EN9" i="1" s="1"/>
  <c r="EO9" i="1" s="1"/>
  <c r="EP9" i="1" s="1"/>
  <c r="EQ9" i="1" s="1"/>
  <c r="ER9" i="1" s="1"/>
  <c r="ES9" i="1" s="1"/>
  <c r="ET9" i="1" s="1"/>
  <c r="EU9" i="1" s="1"/>
  <c r="EV9" i="1" s="1"/>
  <c r="EW9" i="1" s="1"/>
  <c r="EX9" i="1" s="1"/>
  <c r="EY9" i="1" s="1"/>
  <c r="EZ9" i="1" s="1"/>
  <c r="FA9" i="1" s="1"/>
  <c r="FB9" i="1" s="1"/>
  <c r="FC9" i="1" s="1"/>
  <c r="FD9" i="1" s="1"/>
  <c r="FE9" i="1" s="1"/>
  <c r="FF9" i="1" s="1"/>
  <c r="FG9" i="1" s="1"/>
  <c r="FH9" i="1" s="1"/>
  <c r="FI9" i="1" s="1"/>
  <c r="FJ9" i="1" s="1"/>
  <c r="FK9" i="1" s="1"/>
  <c r="FL9" i="1" s="1"/>
  <c r="FM9" i="1" s="1"/>
  <c r="FN9" i="1" s="1"/>
  <c r="FO9" i="1" s="1"/>
  <c r="FP9" i="1" s="1"/>
  <c r="FQ9" i="1" s="1"/>
  <c r="FR9" i="1" s="1"/>
  <c r="FS9" i="1" s="1"/>
  <c r="FT9" i="1" s="1"/>
  <c r="FU9" i="1" s="1"/>
  <c r="FV9" i="1" s="1"/>
  <c r="FW9" i="1" s="1"/>
  <c r="FX9" i="1" s="1"/>
  <c r="FY9" i="1" s="1"/>
  <c r="FZ9" i="1" s="1"/>
  <c r="GA9" i="1" s="1"/>
  <c r="GB9" i="1" s="1"/>
  <c r="GC9" i="1" s="1"/>
  <c r="GD9" i="1" s="1"/>
  <c r="GE9" i="1" s="1"/>
  <c r="GF9" i="1" s="1"/>
  <c r="GG9" i="1" s="1"/>
  <c r="GH9" i="1" s="1"/>
  <c r="GI9" i="1" s="1"/>
  <c r="GJ9" i="1" s="1"/>
  <c r="GK9" i="1" s="1"/>
  <c r="GL9" i="1" s="1"/>
  <c r="GM9" i="1" s="1"/>
  <c r="GN9" i="1" s="1"/>
  <c r="CS10" i="1"/>
  <c r="CT10" i="1" s="1"/>
  <c r="CU10" i="1" s="1"/>
  <c r="CV10" i="1" s="1"/>
  <c r="CW10" i="1" s="1"/>
  <c r="CX10" i="1" s="1"/>
  <c r="CY10" i="1" s="1"/>
  <c r="CZ10" i="1"/>
  <c r="DA10" i="1" s="1"/>
  <c r="DB10" i="1" s="1"/>
  <c r="DC10" i="1" s="1"/>
  <c r="DD10" i="1" s="1"/>
  <c r="DE10" i="1" s="1"/>
  <c r="DF10" i="1" s="1"/>
  <c r="DG10" i="1" s="1"/>
  <c r="DH10" i="1" s="1"/>
  <c r="DI10" i="1" s="1"/>
  <c r="DJ10" i="1" s="1"/>
  <c r="DK10" i="1" s="1"/>
  <c r="DL10" i="1" s="1"/>
  <c r="DM10" i="1" s="1"/>
  <c r="DN10" i="1" s="1"/>
  <c r="DO10" i="1" s="1"/>
  <c r="DP10" i="1" s="1"/>
  <c r="DQ10" i="1" s="1"/>
  <c r="DR10" i="1" s="1"/>
  <c r="DS10" i="1" s="1"/>
  <c r="DT10" i="1" s="1"/>
  <c r="DU10" i="1" s="1"/>
  <c r="DV10" i="1" s="1"/>
  <c r="DW10" i="1" s="1"/>
  <c r="DX10" i="1" s="1"/>
  <c r="DY10" i="1" s="1"/>
  <c r="DZ10" i="1" s="1"/>
  <c r="EA10" i="1" s="1"/>
  <c r="EB10" i="1" s="1"/>
  <c r="EC10" i="1" s="1"/>
  <c r="ED10" i="1" s="1"/>
  <c r="EE10" i="1" s="1"/>
  <c r="EF10" i="1" s="1"/>
  <c r="EG10" i="1" s="1"/>
  <c r="EH10" i="1" s="1"/>
  <c r="EI10" i="1" s="1"/>
  <c r="EJ10" i="1" s="1"/>
  <c r="EK10" i="1" s="1"/>
  <c r="EL10" i="1" s="1"/>
  <c r="EM10" i="1" s="1"/>
  <c r="EN10" i="1" s="1"/>
  <c r="EO10" i="1" s="1"/>
  <c r="EP10" i="1" s="1"/>
  <c r="EQ10" i="1" s="1"/>
  <c r="ER10" i="1" s="1"/>
  <c r="ES10" i="1" s="1"/>
  <c r="ET10" i="1" s="1"/>
  <c r="EU10" i="1" s="1"/>
  <c r="EV10" i="1" s="1"/>
  <c r="EW10" i="1" s="1"/>
  <c r="EX10" i="1" s="1"/>
  <c r="EY10" i="1" s="1"/>
  <c r="EZ10" i="1" s="1"/>
  <c r="FA10" i="1" s="1"/>
  <c r="FB10" i="1" s="1"/>
  <c r="FC10" i="1" s="1"/>
  <c r="FD10" i="1" s="1"/>
  <c r="FE10" i="1" s="1"/>
  <c r="FF10" i="1" s="1"/>
  <c r="FG10" i="1" s="1"/>
  <c r="FH10" i="1" s="1"/>
  <c r="FI10" i="1" s="1"/>
  <c r="FJ10" i="1" s="1"/>
  <c r="FK10" i="1" s="1"/>
  <c r="FL10" i="1" s="1"/>
  <c r="FM10" i="1" s="1"/>
  <c r="FN10" i="1" s="1"/>
  <c r="FO10" i="1" s="1"/>
  <c r="FP10" i="1" s="1"/>
  <c r="FQ10" i="1" s="1"/>
  <c r="FR10" i="1" s="1"/>
  <c r="FS10" i="1" s="1"/>
  <c r="FT10" i="1" s="1"/>
  <c r="FU10" i="1" s="1"/>
  <c r="FV10" i="1" s="1"/>
  <c r="FW10" i="1" s="1"/>
  <c r="FX10" i="1" s="1"/>
  <c r="FY10" i="1" s="1"/>
  <c r="FZ10" i="1" s="1"/>
  <c r="GA10" i="1" s="1"/>
  <c r="GB10" i="1" s="1"/>
  <c r="GC10" i="1" s="1"/>
  <c r="GD10" i="1" s="1"/>
  <c r="GE10" i="1" s="1"/>
  <c r="GF10" i="1" s="1"/>
  <c r="GG10" i="1" s="1"/>
  <c r="GH10" i="1" s="1"/>
  <c r="GI10" i="1" s="1"/>
  <c r="GJ10" i="1" s="1"/>
  <c r="GK10" i="1" s="1"/>
  <c r="GL10" i="1" s="1"/>
  <c r="GM10" i="1" s="1"/>
  <c r="GN10" i="1" s="1"/>
  <c r="CS11" i="1"/>
  <c r="CT11" i="1" s="1"/>
  <c r="CU11" i="1"/>
  <c r="CV11" i="1"/>
  <c r="CW11" i="1"/>
  <c r="CX11" i="1" s="1"/>
  <c r="CY11" i="1"/>
  <c r="CZ11" i="1" s="1"/>
  <c r="DA11" i="1" s="1"/>
  <c r="DB11" i="1" s="1"/>
  <c r="DC11" i="1" s="1"/>
  <c r="DD11" i="1" s="1"/>
  <c r="DE11" i="1" s="1"/>
  <c r="DF11" i="1" s="1"/>
  <c r="DG11" i="1" s="1"/>
  <c r="DH11" i="1" s="1"/>
  <c r="DI11" i="1" s="1"/>
  <c r="DJ11" i="1" s="1"/>
  <c r="DK11" i="1" s="1"/>
  <c r="DL11" i="1" s="1"/>
  <c r="DM11" i="1" s="1"/>
  <c r="DN11" i="1" s="1"/>
  <c r="DO11" i="1" s="1"/>
  <c r="DP11" i="1" s="1"/>
  <c r="DQ11" i="1" s="1"/>
  <c r="DR11" i="1" s="1"/>
  <c r="DS11" i="1" s="1"/>
  <c r="DT11" i="1" s="1"/>
  <c r="DU11" i="1" s="1"/>
  <c r="DV11" i="1" s="1"/>
  <c r="DW11" i="1" s="1"/>
  <c r="DX11" i="1" s="1"/>
  <c r="DY11" i="1" s="1"/>
  <c r="DZ11" i="1" s="1"/>
  <c r="EA11" i="1" s="1"/>
  <c r="EB11" i="1" s="1"/>
  <c r="EC11" i="1" s="1"/>
  <c r="ED11" i="1" s="1"/>
  <c r="EE11" i="1" s="1"/>
  <c r="EF11" i="1" s="1"/>
  <c r="EG11" i="1" s="1"/>
  <c r="EH11" i="1" s="1"/>
  <c r="EI11" i="1" s="1"/>
  <c r="EJ11" i="1" s="1"/>
  <c r="EK11" i="1" s="1"/>
  <c r="EL11" i="1" s="1"/>
  <c r="EM11" i="1" s="1"/>
  <c r="EN11" i="1" s="1"/>
  <c r="EO11" i="1" s="1"/>
  <c r="EP11" i="1" s="1"/>
  <c r="EQ11" i="1" s="1"/>
  <c r="ER11" i="1" s="1"/>
  <c r="ES11" i="1" s="1"/>
  <c r="ET11" i="1" s="1"/>
  <c r="EU11" i="1" s="1"/>
  <c r="EV11" i="1" s="1"/>
  <c r="EW11" i="1" s="1"/>
  <c r="EX11" i="1" s="1"/>
  <c r="EY11" i="1" s="1"/>
  <c r="EZ11" i="1" s="1"/>
  <c r="FA11" i="1" s="1"/>
  <c r="FB11" i="1" s="1"/>
  <c r="FC11" i="1" s="1"/>
  <c r="FD11" i="1" s="1"/>
  <c r="FE11" i="1" s="1"/>
  <c r="FF11" i="1" s="1"/>
  <c r="FG11" i="1" s="1"/>
  <c r="FH11" i="1" s="1"/>
  <c r="FI11" i="1" s="1"/>
  <c r="FJ11" i="1" s="1"/>
  <c r="FK11" i="1" s="1"/>
  <c r="FL11" i="1" s="1"/>
  <c r="FM11" i="1" s="1"/>
  <c r="FN11" i="1" s="1"/>
  <c r="FO11" i="1" s="1"/>
  <c r="FP11" i="1" s="1"/>
  <c r="FQ11" i="1" s="1"/>
  <c r="FR11" i="1" s="1"/>
  <c r="FS11" i="1" s="1"/>
  <c r="FT11" i="1" s="1"/>
  <c r="FU11" i="1" s="1"/>
  <c r="FV11" i="1" s="1"/>
  <c r="FW11" i="1" s="1"/>
  <c r="FX11" i="1" s="1"/>
  <c r="FY11" i="1" s="1"/>
  <c r="FZ11" i="1" s="1"/>
  <c r="GA11" i="1" s="1"/>
  <c r="GB11" i="1" s="1"/>
  <c r="GC11" i="1" s="1"/>
  <c r="GD11" i="1" s="1"/>
  <c r="GE11" i="1" s="1"/>
  <c r="GF11" i="1" s="1"/>
  <c r="GG11" i="1" s="1"/>
  <c r="GH11" i="1" s="1"/>
  <c r="GI11" i="1" s="1"/>
  <c r="GJ11" i="1" s="1"/>
  <c r="GK11" i="1" s="1"/>
  <c r="GL11" i="1" s="1"/>
  <c r="GM11" i="1" s="1"/>
  <c r="GN11" i="1" s="1"/>
  <c r="CS12" i="1"/>
  <c r="CT12" i="1" s="1"/>
  <c r="CU12" i="1" s="1"/>
  <c r="CV12" i="1" s="1"/>
  <c r="CW12" i="1" s="1"/>
  <c r="CX12" i="1" s="1"/>
  <c r="CY12" i="1" s="1"/>
  <c r="CZ12" i="1" s="1"/>
  <c r="DA12" i="1" s="1"/>
  <c r="DB12" i="1" s="1"/>
  <c r="DC12" i="1" s="1"/>
  <c r="DD12" i="1" s="1"/>
  <c r="DE12" i="1" s="1"/>
  <c r="DF12" i="1" s="1"/>
  <c r="DG12" i="1" s="1"/>
  <c r="DH12" i="1" s="1"/>
  <c r="DI12" i="1" s="1"/>
  <c r="DJ12" i="1" s="1"/>
  <c r="DK12" i="1" s="1"/>
  <c r="DL12" i="1" s="1"/>
  <c r="DM12" i="1" s="1"/>
  <c r="DN12" i="1" s="1"/>
  <c r="DO12" i="1" s="1"/>
  <c r="DP12" i="1" s="1"/>
  <c r="DQ12" i="1" s="1"/>
  <c r="DR12" i="1" s="1"/>
  <c r="DS12" i="1" s="1"/>
  <c r="DT12" i="1" s="1"/>
  <c r="DU12" i="1" s="1"/>
  <c r="DV12" i="1" s="1"/>
  <c r="DW12" i="1" s="1"/>
  <c r="DX12" i="1" s="1"/>
  <c r="DY12" i="1" s="1"/>
  <c r="DZ12" i="1" s="1"/>
  <c r="EA12" i="1" s="1"/>
  <c r="EB12" i="1" s="1"/>
  <c r="EC12" i="1" s="1"/>
  <c r="ED12" i="1" s="1"/>
  <c r="EE12" i="1" s="1"/>
  <c r="EF12" i="1" s="1"/>
  <c r="EG12" i="1" s="1"/>
  <c r="EH12" i="1" s="1"/>
  <c r="EI12" i="1" s="1"/>
  <c r="EJ12" i="1" s="1"/>
  <c r="EK12" i="1" s="1"/>
  <c r="EL12" i="1" s="1"/>
  <c r="EM12" i="1" s="1"/>
  <c r="EN12" i="1" s="1"/>
  <c r="EO12" i="1" s="1"/>
  <c r="EP12" i="1" s="1"/>
  <c r="EQ12" i="1" s="1"/>
  <c r="ER12" i="1" s="1"/>
  <c r="ES12" i="1" s="1"/>
  <c r="ET12" i="1" s="1"/>
  <c r="EU12" i="1" s="1"/>
  <c r="EV12" i="1" s="1"/>
  <c r="EW12" i="1" s="1"/>
  <c r="EX12" i="1" s="1"/>
  <c r="EY12" i="1" s="1"/>
  <c r="EZ12" i="1" s="1"/>
  <c r="FA12" i="1" s="1"/>
  <c r="FB12" i="1" s="1"/>
  <c r="FC12" i="1" s="1"/>
  <c r="FD12" i="1" s="1"/>
  <c r="FE12" i="1" s="1"/>
  <c r="FF12" i="1" s="1"/>
  <c r="FG12" i="1" s="1"/>
  <c r="FH12" i="1" s="1"/>
  <c r="FI12" i="1" s="1"/>
  <c r="FJ12" i="1" s="1"/>
  <c r="FK12" i="1" s="1"/>
  <c r="FL12" i="1" s="1"/>
  <c r="FM12" i="1" s="1"/>
  <c r="FN12" i="1" s="1"/>
  <c r="FO12" i="1" s="1"/>
  <c r="FP12" i="1" s="1"/>
  <c r="FQ12" i="1" s="1"/>
  <c r="FR12" i="1" s="1"/>
  <c r="FS12" i="1" s="1"/>
  <c r="FT12" i="1" s="1"/>
  <c r="FU12" i="1" s="1"/>
  <c r="FV12" i="1" s="1"/>
  <c r="FW12" i="1" s="1"/>
  <c r="FX12" i="1" s="1"/>
  <c r="FY12" i="1" s="1"/>
  <c r="FZ12" i="1" s="1"/>
  <c r="GA12" i="1" s="1"/>
  <c r="GB12" i="1" s="1"/>
  <c r="GC12" i="1" s="1"/>
  <c r="GD12" i="1" s="1"/>
  <c r="GE12" i="1" s="1"/>
  <c r="GF12" i="1" s="1"/>
  <c r="GG12" i="1" s="1"/>
  <c r="GH12" i="1" s="1"/>
  <c r="GI12" i="1" s="1"/>
  <c r="GJ12" i="1" s="1"/>
  <c r="GK12" i="1" s="1"/>
  <c r="GL12" i="1" s="1"/>
  <c r="GM12" i="1" s="1"/>
  <c r="GN12" i="1" s="1"/>
  <c r="CS13" i="1"/>
  <c r="CT13" i="1" s="1"/>
  <c r="CU13" i="1"/>
  <c r="CV13" i="1" s="1"/>
  <c r="CW13" i="1" s="1"/>
  <c r="CX13" i="1" s="1"/>
  <c r="CY13" i="1" s="1"/>
  <c r="CZ13" i="1" s="1"/>
  <c r="DA13" i="1" s="1"/>
  <c r="DB13" i="1" s="1"/>
  <c r="DC13" i="1" s="1"/>
  <c r="DD13" i="1" s="1"/>
  <c r="DE13" i="1"/>
  <c r="DF13" i="1" s="1"/>
  <c r="DG13" i="1" s="1"/>
  <c r="DH13" i="1" s="1"/>
  <c r="DI13" i="1" s="1"/>
  <c r="DJ13" i="1" s="1"/>
  <c r="DK13" i="1" s="1"/>
  <c r="DL13" i="1" s="1"/>
  <c r="DM13" i="1" s="1"/>
  <c r="DN13" i="1" s="1"/>
  <c r="DO13" i="1" s="1"/>
  <c r="DP13" i="1" s="1"/>
  <c r="DQ13" i="1" s="1"/>
  <c r="DR13" i="1" s="1"/>
  <c r="DS13" i="1" s="1"/>
  <c r="DT13" i="1" s="1"/>
  <c r="DU13" i="1" s="1"/>
  <c r="DV13" i="1" s="1"/>
  <c r="DW13" i="1" s="1"/>
  <c r="DX13" i="1" s="1"/>
  <c r="DY13" i="1" s="1"/>
  <c r="DZ13" i="1" s="1"/>
  <c r="EA13" i="1" s="1"/>
  <c r="EB13" i="1" s="1"/>
  <c r="EC13" i="1" s="1"/>
  <c r="ED13" i="1" s="1"/>
  <c r="EE13" i="1" s="1"/>
  <c r="EF13" i="1" s="1"/>
  <c r="EG13" i="1" s="1"/>
  <c r="EH13" i="1" s="1"/>
  <c r="EI13" i="1" s="1"/>
  <c r="EJ13" i="1" s="1"/>
  <c r="EK13" i="1" s="1"/>
  <c r="EL13" i="1" s="1"/>
  <c r="EM13" i="1" s="1"/>
  <c r="EN13" i="1" s="1"/>
  <c r="EO13" i="1" s="1"/>
  <c r="EP13" i="1" s="1"/>
  <c r="EQ13" i="1" s="1"/>
  <c r="ER13" i="1" s="1"/>
  <c r="ES13" i="1" s="1"/>
  <c r="ET13" i="1" s="1"/>
  <c r="EU13" i="1" s="1"/>
  <c r="EV13" i="1" s="1"/>
  <c r="EW13" i="1" s="1"/>
  <c r="EX13" i="1" s="1"/>
  <c r="EY13" i="1" s="1"/>
  <c r="EZ13" i="1" s="1"/>
  <c r="FA13" i="1" s="1"/>
  <c r="FB13" i="1" s="1"/>
  <c r="FC13" i="1" s="1"/>
  <c r="FD13" i="1" s="1"/>
  <c r="FE13" i="1" s="1"/>
  <c r="FF13" i="1" s="1"/>
  <c r="FG13" i="1" s="1"/>
  <c r="FH13" i="1" s="1"/>
  <c r="FI13" i="1" s="1"/>
  <c r="FJ13" i="1" s="1"/>
  <c r="FK13" i="1" s="1"/>
  <c r="FL13" i="1" s="1"/>
  <c r="FM13" i="1" s="1"/>
  <c r="FN13" i="1" s="1"/>
  <c r="FO13" i="1" s="1"/>
  <c r="FP13" i="1" s="1"/>
  <c r="FQ13" i="1" s="1"/>
  <c r="FR13" i="1" s="1"/>
  <c r="FS13" i="1" s="1"/>
  <c r="FT13" i="1" s="1"/>
  <c r="FU13" i="1" s="1"/>
  <c r="FV13" i="1" s="1"/>
  <c r="FW13" i="1" s="1"/>
  <c r="FX13" i="1" s="1"/>
  <c r="FY13" i="1" s="1"/>
  <c r="FZ13" i="1" s="1"/>
  <c r="GA13" i="1" s="1"/>
  <c r="GB13" i="1" s="1"/>
  <c r="GC13" i="1" s="1"/>
  <c r="GD13" i="1" s="1"/>
  <c r="GE13" i="1" s="1"/>
  <c r="GF13" i="1" s="1"/>
  <c r="GG13" i="1" s="1"/>
  <c r="GH13" i="1" s="1"/>
  <c r="GI13" i="1" s="1"/>
  <c r="GJ13" i="1" s="1"/>
  <c r="GK13" i="1" s="1"/>
  <c r="GL13" i="1" s="1"/>
  <c r="GM13" i="1" s="1"/>
  <c r="GN13" i="1" s="1"/>
  <c r="CS14" i="1"/>
  <c r="CT14" i="1" s="1"/>
  <c r="CU14" i="1" s="1"/>
  <c r="CV14" i="1"/>
  <c r="CW14" i="1"/>
  <c r="CX14" i="1" s="1"/>
  <c r="CY14" i="1" s="1"/>
  <c r="CZ14" i="1" s="1"/>
  <c r="DA14" i="1" s="1"/>
  <c r="DB14" i="1" s="1"/>
  <c r="DC14" i="1" s="1"/>
  <c r="DD14" i="1" s="1"/>
  <c r="DE14" i="1" s="1"/>
  <c r="DF14" i="1" s="1"/>
  <c r="DG14" i="1" s="1"/>
  <c r="DH14" i="1" s="1"/>
  <c r="DI14" i="1" s="1"/>
  <c r="DJ14" i="1" s="1"/>
  <c r="DK14" i="1" s="1"/>
  <c r="DL14" i="1" s="1"/>
  <c r="DM14" i="1" s="1"/>
  <c r="DN14" i="1" s="1"/>
  <c r="DO14" i="1" s="1"/>
  <c r="DP14" i="1" s="1"/>
  <c r="DQ14" i="1" s="1"/>
  <c r="DR14" i="1" s="1"/>
  <c r="DS14" i="1" s="1"/>
  <c r="DT14" i="1" s="1"/>
  <c r="DU14" i="1" s="1"/>
  <c r="DV14" i="1" s="1"/>
  <c r="DW14" i="1" s="1"/>
  <c r="DX14" i="1" s="1"/>
  <c r="DY14" i="1" s="1"/>
  <c r="DZ14" i="1" s="1"/>
  <c r="EA14" i="1" s="1"/>
  <c r="EB14" i="1" s="1"/>
  <c r="EC14" i="1" s="1"/>
  <c r="ED14" i="1" s="1"/>
  <c r="EE14" i="1" s="1"/>
  <c r="EF14" i="1" s="1"/>
  <c r="EG14" i="1" s="1"/>
  <c r="EH14" i="1" s="1"/>
  <c r="EI14" i="1" s="1"/>
  <c r="EJ14" i="1" s="1"/>
  <c r="EK14" i="1" s="1"/>
  <c r="EL14" i="1" s="1"/>
  <c r="EM14" i="1" s="1"/>
  <c r="EN14" i="1" s="1"/>
  <c r="EO14" i="1" s="1"/>
  <c r="EP14" i="1" s="1"/>
  <c r="EQ14" i="1" s="1"/>
  <c r="ER14" i="1" s="1"/>
  <c r="ES14" i="1" s="1"/>
  <c r="ET14" i="1" s="1"/>
  <c r="EU14" i="1" s="1"/>
  <c r="EV14" i="1" s="1"/>
  <c r="EW14" i="1" s="1"/>
  <c r="EX14" i="1" s="1"/>
  <c r="EY14" i="1" s="1"/>
  <c r="EZ14" i="1" s="1"/>
  <c r="FA14" i="1" s="1"/>
  <c r="FB14" i="1" s="1"/>
  <c r="FC14" i="1" s="1"/>
  <c r="FD14" i="1" s="1"/>
  <c r="FE14" i="1" s="1"/>
  <c r="FF14" i="1" s="1"/>
  <c r="FG14" i="1" s="1"/>
  <c r="FH14" i="1" s="1"/>
  <c r="FI14" i="1" s="1"/>
  <c r="FJ14" i="1" s="1"/>
  <c r="FK14" i="1" s="1"/>
  <c r="FL14" i="1" s="1"/>
  <c r="FM14" i="1" s="1"/>
  <c r="FN14" i="1" s="1"/>
  <c r="FO14" i="1" s="1"/>
  <c r="FP14" i="1" s="1"/>
  <c r="FQ14" i="1" s="1"/>
  <c r="FR14" i="1" s="1"/>
  <c r="FS14" i="1" s="1"/>
  <c r="FT14" i="1" s="1"/>
  <c r="FU14" i="1" s="1"/>
  <c r="FV14" i="1" s="1"/>
  <c r="FW14" i="1" s="1"/>
  <c r="FX14" i="1" s="1"/>
  <c r="FY14" i="1" s="1"/>
  <c r="FZ14" i="1" s="1"/>
  <c r="GA14" i="1" s="1"/>
  <c r="GB14" i="1" s="1"/>
  <c r="GC14" i="1" s="1"/>
  <c r="GD14" i="1" s="1"/>
  <c r="GE14" i="1" s="1"/>
  <c r="GF14" i="1" s="1"/>
  <c r="GG14" i="1" s="1"/>
  <c r="GH14" i="1" s="1"/>
  <c r="GI14" i="1" s="1"/>
  <c r="GJ14" i="1" s="1"/>
  <c r="GK14" i="1" s="1"/>
  <c r="GL14" i="1" s="1"/>
  <c r="GM14" i="1" s="1"/>
  <c r="GN14" i="1" s="1"/>
  <c r="CS15" i="1"/>
  <c r="CT15" i="1" s="1"/>
  <c r="CU15" i="1" s="1"/>
  <c r="CV15" i="1" s="1"/>
  <c r="CW15" i="1"/>
  <c r="CX15" i="1"/>
  <c r="CY15" i="1" s="1"/>
  <c r="CZ15" i="1" s="1"/>
  <c r="DA15" i="1" s="1"/>
  <c r="DB15" i="1" s="1"/>
  <c r="DC15" i="1" s="1"/>
  <c r="DD15" i="1" s="1"/>
  <c r="DE15" i="1" s="1"/>
  <c r="DF15" i="1" s="1"/>
  <c r="DG15" i="1" s="1"/>
  <c r="DH15" i="1" s="1"/>
  <c r="DI15" i="1" s="1"/>
  <c r="DJ15" i="1" s="1"/>
  <c r="DK15" i="1"/>
  <c r="DL15" i="1" s="1"/>
  <c r="DM15" i="1" s="1"/>
  <c r="DN15" i="1" s="1"/>
  <c r="DO15" i="1" s="1"/>
  <c r="DP15" i="1" s="1"/>
  <c r="DQ15" i="1" s="1"/>
  <c r="DR15" i="1" s="1"/>
  <c r="DS15" i="1" s="1"/>
  <c r="DT15" i="1" s="1"/>
  <c r="DU15" i="1" s="1"/>
  <c r="DV15" i="1" s="1"/>
  <c r="DW15" i="1" s="1"/>
  <c r="DX15" i="1" s="1"/>
  <c r="DY15" i="1" s="1"/>
  <c r="DZ15" i="1" s="1"/>
  <c r="EA15" i="1" s="1"/>
  <c r="EB15" i="1" s="1"/>
  <c r="EC15" i="1" s="1"/>
  <c r="ED15" i="1" s="1"/>
  <c r="EE15" i="1" s="1"/>
  <c r="EF15" i="1" s="1"/>
  <c r="EG15" i="1" s="1"/>
  <c r="EH15" i="1" s="1"/>
  <c r="EI15" i="1" s="1"/>
  <c r="EJ15" i="1" s="1"/>
  <c r="EK15" i="1" s="1"/>
  <c r="EL15" i="1" s="1"/>
  <c r="EM15" i="1" s="1"/>
  <c r="EN15" i="1" s="1"/>
  <c r="EO15" i="1" s="1"/>
  <c r="EP15" i="1" s="1"/>
  <c r="EQ15" i="1" s="1"/>
  <c r="ER15" i="1" s="1"/>
  <c r="ES15" i="1" s="1"/>
  <c r="ET15" i="1" s="1"/>
  <c r="EU15" i="1" s="1"/>
  <c r="EV15" i="1" s="1"/>
  <c r="EW15" i="1" s="1"/>
  <c r="EX15" i="1" s="1"/>
  <c r="EY15" i="1" s="1"/>
  <c r="EZ15" i="1" s="1"/>
  <c r="FA15" i="1" s="1"/>
  <c r="FB15" i="1" s="1"/>
  <c r="FC15" i="1" s="1"/>
  <c r="FD15" i="1" s="1"/>
  <c r="FE15" i="1" s="1"/>
  <c r="FF15" i="1" s="1"/>
  <c r="FG15" i="1" s="1"/>
  <c r="FH15" i="1" s="1"/>
  <c r="FI15" i="1" s="1"/>
  <c r="FJ15" i="1" s="1"/>
  <c r="FK15" i="1" s="1"/>
  <c r="FL15" i="1" s="1"/>
  <c r="FM15" i="1" s="1"/>
  <c r="FN15" i="1" s="1"/>
  <c r="FO15" i="1" s="1"/>
  <c r="FP15" i="1" s="1"/>
  <c r="FQ15" i="1" s="1"/>
  <c r="FR15" i="1" s="1"/>
  <c r="FS15" i="1" s="1"/>
  <c r="FT15" i="1" s="1"/>
  <c r="FU15" i="1" s="1"/>
  <c r="FV15" i="1" s="1"/>
  <c r="FW15" i="1" s="1"/>
  <c r="FX15" i="1" s="1"/>
  <c r="FY15" i="1" s="1"/>
  <c r="FZ15" i="1" s="1"/>
  <c r="GA15" i="1" s="1"/>
  <c r="GB15" i="1" s="1"/>
  <c r="GC15" i="1" s="1"/>
  <c r="GD15" i="1" s="1"/>
  <c r="GE15" i="1" s="1"/>
  <c r="GF15" i="1" s="1"/>
  <c r="GG15" i="1" s="1"/>
  <c r="GH15" i="1" s="1"/>
  <c r="GI15" i="1" s="1"/>
  <c r="GJ15" i="1" s="1"/>
  <c r="GK15" i="1" s="1"/>
  <c r="GL15" i="1" s="1"/>
  <c r="GM15" i="1" s="1"/>
  <c r="GN15" i="1" s="1"/>
  <c r="CS16" i="1"/>
  <c r="CT16" i="1" s="1"/>
  <c r="CU16" i="1" s="1"/>
  <c r="CV16" i="1" s="1"/>
  <c r="CW16" i="1" s="1"/>
  <c r="CX16" i="1" s="1"/>
  <c r="CY16" i="1" s="1"/>
  <c r="CZ16" i="1" s="1"/>
  <c r="DA16" i="1" s="1"/>
  <c r="DB16" i="1" s="1"/>
  <c r="DC16" i="1" s="1"/>
  <c r="DD16" i="1" s="1"/>
  <c r="DE16" i="1" s="1"/>
  <c r="DF16" i="1" s="1"/>
  <c r="DG16" i="1" s="1"/>
  <c r="DH16" i="1" s="1"/>
  <c r="DI16" i="1" s="1"/>
  <c r="DJ16" i="1" s="1"/>
  <c r="DK16" i="1" s="1"/>
  <c r="DL16" i="1" s="1"/>
  <c r="DM16" i="1" s="1"/>
  <c r="DN16" i="1" s="1"/>
  <c r="DO16" i="1" s="1"/>
  <c r="DP16" i="1" s="1"/>
  <c r="DQ16" i="1" s="1"/>
  <c r="DR16" i="1" s="1"/>
  <c r="DS16" i="1" s="1"/>
  <c r="DT16" i="1" s="1"/>
  <c r="DU16" i="1" s="1"/>
  <c r="DV16" i="1" s="1"/>
  <c r="DW16" i="1" s="1"/>
  <c r="DX16" i="1" s="1"/>
  <c r="DY16" i="1" s="1"/>
  <c r="DZ16" i="1" s="1"/>
  <c r="EA16" i="1" s="1"/>
  <c r="EB16" i="1" s="1"/>
  <c r="EC16" i="1" s="1"/>
  <c r="ED16" i="1" s="1"/>
  <c r="EE16" i="1" s="1"/>
  <c r="EF16" i="1" s="1"/>
  <c r="EG16" i="1" s="1"/>
  <c r="EH16" i="1" s="1"/>
  <c r="EI16" i="1" s="1"/>
  <c r="EJ16" i="1" s="1"/>
  <c r="EK16" i="1" s="1"/>
  <c r="EL16" i="1" s="1"/>
  <c r="EM16" i="1" s="1"/>
  <c r="EN16" i="1" s="1"/>
  <c r="EO16" i="1" s="1"/>
  <c r="EP16" i="1" s="1"/>
  <c r="EQ16" i="1" s="1"/>
  <c r="ER16" i="1" s="1"/>
  <c r="ES16" i="1" s="1"/>
  <c r="ET16" i="1" s="1"/>
  <c r="EU16" i="1" s="1"/>
  <c r="EV16" i="1" s="1"/>
  <c r="EW16" i="1" s="1"/>
  <c r="EX16" i="1" s="1"/>
  <c r="EY16" i="1" s="1"/>
  <c r="EZ16" i="1" s="1"/>
  <c r="FA16" i="1" s="1"/>
  <c r="FB16" i="1" s="1"/>
  <c r="FC16" i="1" s="1"/>
  <c r="FD16" i="1" s="1"/>
  <c r="FE16" i="1" s="1"/>
  <c r="FF16" i="1" s="1"/>
  <c r="FG16" i="1" s="1"/>
  <c r="FH16" i="1" s="1"/>
  <c r="FI16" i="1" s="1"/>
  <c r="FJ16" i="1" s="1"/>
  <c r="FK16" i="1" s="1"/>
  <c r="FL16" i="1" s="1"/>
  <c r="FM16" i="1" s="1"/>
  <c r="FN16" i="1" s="1"/>
  <c r="FO16" i="1" s="1"/>
  <c r="FP16" i="1" s="1"/>
  <c r="FQ16" i="1" s="1"/>
  <c r="FR16" i="1" s="1"/>
  <c r="FS16" i="1" s="1"/>
  <c r="FT16" i="1" s="1"/>
  <c r="FU16" i="1" s="1"/>
  <c r="FV16" i="1" s="1"/>
  <c r="FW16" i="1" s="1"/>
  <c r="FX16" i="1" s="1"/>
  <c r="FY16" i="1" s="1"/>
  <c r="FZ16" i="1" s="1"/>
  <c r="GA16" i="1" s="1"/>
  <c r="GB16" i="1" s="1"/>
  <c r="GC16" i="1" s="1"/>
  <c r="GD16" i="1" s="1"/>
  <c r="GE16" i="1" s="1"/>
  <c r="GF16" i="1" s="1"/>
  <c r="GG16" i="1" s="1"/>
  <c r="GH16" i="1" s="1"/>
  <c r="GI16" i="1" s="1"/>
  <c r="GJ16" i="1" s="1"/>
  <c r="GK16" i="1" s="1"/>
  <c r="GL16" i="1" s="1"/>
  <c r="GM16" i="1" s="1"/>
  <c r="GN16" i="1" s="1"/>
  <c r="CS17" i="1"/>
  <c r="CT17" i="1" s="1"/>
  <c r="CU17" i="1" s="1"/>
  <c r="CV17" i="1" s="1"/>
  <c r="CW17" i="1" s="1"/>
  <c r="CX17" i="1" s="1"/>
  <c r="CY17" i="1" s="1"/>
  <c r="CZ17" i="1" s="1"/>
  <c r="DA17" i="1" s="1"/>
  <c r="DB17" i="1"/>
  <c r="DC17" i="1" s="1"/>
  <c r="DD17" i="1" s="1"/>
  <c r="DE17" i="1" s="1"/>
  <c r="DF17" i="1" s="1"/>
  <c r="DG17" i="1" s="1"/>
  <c r="DH17" i="1" s="1"/>
  <c r="DI17" i="1" s="1"/>
  <c r="DJ17" i="1" s="1"/>
  <c r="DK17" i="1" s="1"/>
  <c r="DL17" i="1" s="1"/>
  <c r="DM17" i="1" s="1"/>
  <c r="DN17" i="1" s="1"/>
  <c r="DO17" i="1" s="1"/>
  <c r="DP17" i="1" s="1"/>
  <c r="DQ17" i="1" s="1"/>
  <c r="DR17" i="1" s="1"/>
  <c r="DS17" i="1" s="1"/>
  <c r="DT17" i="1" s="1"/>
  <c r="DU17" i="1" s="1"/>
  <c r="DV17" i="1" s="1"/>
  <c r="DW17" i="1" s="1"/>
  <c r="DX17" i="1" s="1"/>
  <c r="DY17" i="1" s="1"/>
  <c r="DZ17" i="1" s="1"/>
  <c r="EA17" i="1" s="1"/>
  <c r="EB17" i="1" s="1"/>
  <c r="EC17" i="1" s="1"/>
  <c r="ED17" i="1" s="1"/>
  <c r="EE17" i="1" s="1"/>
  <c r="EF17" i="1" s="1"/>
  <c r="EG17" i="1" s="1"/>
  <c r="EH17" i="1" s="1"/>
  <c r="EI17" i="1" s="1"/>
  <c r="EJ17" i="1" s="1"/>
  <c r="EK17" i="1" s="1"/>
  <c r="EL17" i="1" s="1"/>
  <c r="EM17" i="1" s="1"/>
  <c r="EN17" i="1" s="1"/>
  <c r="EO17" i="1" s="1"/>
  <c r="EP17" i="1" s="1"/>
  <c r="EQ17" i="1" s="1"/>
  <c r="ER17" i="1" s="1"/>
  <c r="ES17" i="1" s="1"/>
  <c r="ET17" i="1" s="1"/>
  <c r="EU17" i="1" s="1"/>
  <c r="EV17" i="1" s="1"/>
  <c r="EW17" i="1" s="1"/>
  <c r="EX17" i="1" s="1"/>
  <c r="EY17" i="1" s="1"/>
  <c r="EZ17" i="1" s="1"/>
  <c r="FA17" i="1" s="1"/>
  <c r="FB17" i="1" s="1"/>
  <c r="FC17" i="1" s="1"/>
  <c r="FD17" i="1" s="1"/>
  <c r="FE17" i="1" s="1"/>
  <c r="FF17" i="1" s="1"/>
  <c r="FG17" i="1" s="1"/>
  <c r="FH17" i="1" s="1"/>
  <c r="FI17" i="1" s="1"/>
  <c r="FJ17" i="1" s="1"/>
  <c r="FK17" i="1" s="1"/>
  <c r="FL17" i="1" s="1"/>
  <c r="FM17" i="1" s="1"/>
  <c r="FN17" i="1" s="1"/>
  <c r="FO17" i="1" s="1"/>
  <c r="FP17" i="1" s="1"/>
  <c r="FQ17" i="1" s="1"/>
  <c r="FR17" i="1" s="1"/>
  <c r="FS17" i="1" s="1"/>
  <c r="FT17" i="1" s="1"/>
  <c r="FU17" i="1" s="1"/>
  <c r="FV17" i="1" s="1"/>
  <c r="FW17" i="1" s="1"/>
  <c r="FX17" i="1" s="1"/>
  <c r="FY17" i="1" s="1"/>
  <c r="FZ17" i="1" s="1"/>
  <c r="GA17" i="1" s="1"/>
  <c r="GB17" i="1" s="1"/>
  <c r="GC17" i="1" s="1"/>
  <c r="GD17" i="1" s="1"/>
  <c r="GE17" i="1" s="1"/>
  <c r="GF17" i="1" s="1"/>
  <c r="GG17" i="1" s="1"/>
  <c r="GH17" i="1" s="1"/>
  <c r="GI17" i="1" s="1"/>
  <c r="GJ17" i="1" s="1"/>
  <c r="GK17" i="1" s="1"/>
  <c r="GL17" i="1" s="1"/>
  <c r="GM17" i="1" s="1"/>
  <c r="GN17" i="1" s="1"/>
  <c r="CS18" i="1"/>
  <c r="CT18" i="1" s="1"/>
  <c r="CU18" i="1"/>
  <c r="CV18" i="1" s="1"/>
  <c r="CW18" i="1" s="1"/>
  <c r="CX18" i="1"/>
  <c r="CY18" i="1" s="1"/>
  <c r="CZ18" i="1" s="1"/>
  <c r="DA18" i="1" s="1"/>
  <c r="DB18" i="1" s="1"/>
  <c r="DC18" i="1" s="1"/>
  <c r="DD18" i="1" s="1"/>
  <c r="DE18" i="1" s="1"/>
  <c r="DF18" i="1" s="1"/>
  <c r="DG18" i="1" s="1"/>
  <c r="DH18" i="1" s="1"/>
  <c r="DI18" i="1" s="1"/>
  <c r="DJ18" i="1" s="1"/>
  <c r="DK18" i="1" s="1"/>
  <c r="DL18" i="1" s="1"/>
  <c r="DM18" i="1" s="1"/>
  <c r="DN18" i="1" s="1"/>
  <c r="DO18" i="1" s="1"/>
  <c r="DP18" i="1" s="1"/>
  <c r="DQ18" i="1" s="1"/>
  <c r="DR18" i="1" s="1"/>
  <c r="DS18" i="1" s="1"/>
  <c r="DT18" i="1" s="1"/>
  <c r="DU18" i="1" s="1"/>
  <c r="DV18" i="1" s="1"/>
  <c r="DW18" i="1" s="1"/>
  <c r="DX18" i="1" s="1"/>
  <c r="DY18" i="1" s="1"/>
  <c r="DZ18" i="1" s="1"/>
  <c r="EA18" i="1" s="1"/>
  <c r="EB18" i="1" s="1"/>
  <c r="EC18" i="1" s="1"/>
  <c r="ED18" i="1" s="1"/>
  <c r="EE18" i="1" s="1"/>
  <c r="EF18" i="1" s="1"/>
  <c r="EG18" i="1" s="1"/>
  <c r="EH18" i="1" s="1"/>
  <c r="EI18" i="1" s="1"/>
  <c r="EJ18" i="1" s="1"/>
  <c r="EK18" i="1" s="1"/>
  <c r="EL18" i="1" s="1"/>
  <c r="EM18" i="1" s="1"/>
  <c r="EN18" i="1" s="1"/>
  <c r="EO18" i="1" s="1"/>
  <c r="EP18" i="1" s="1"/>
  <c r="EQ18" i="1" s="1"/>
  <c r="ER18" i="1" s="1"/>
  <c r="ES18" i="1" s="1"/>
  <c r="ET18" i="1" s="1"/>
  <c r="EU18" i="1" s="1"/>
  <c r="EV18" i="1" s="1"/>
  <c r="EW18" i="1" s="1"/>
  <c r="EX18" i="1" s="1"/>
  <c r="EY18" i="1" s="1"/>
  <c r="EZ18" i="1" s="1"/>
  <c r="FA18" i="1" s="1"/>
  <c r="FB18" i="1" s="1"/>
  <c r="FC18" i="1" s="1"/>
  <c r="FD18" i="1" s="1"/>
  <c r="FE18" i="1" s="1"/>
  <c r="FF18" i="1" s="1"/>
  <c r="FG18" i="1" s="1"/>
  <c r="FH18" i="1" s="1"/>
  <c r="FI18" i="1" s="1"/>
  <c r="FJ18" i="1" s="1"/>
  <c r="FK18" i="1" s="1"/>
  <c r="FL18" i="1" s="1"/>
  <c r="FM18" i="1" s="1"/>
  <c r="FN18" i="1" s="1"/>
  <c r="FO18" i="1" s="1"/>
  <c r="FP18" i="1" s="1"/>
  <c r="FQ18" i="1" s="1"/>
  <c r="FR18" i="1" s="1"/>
  <c r="FS18" i="1" s="1"/>
  <c r="FT18" i="1" s="1"/>
  <c r="FU18" i="1" s="1"/>
  <c r="FV18" i="1" s="1"/>
  <c r="FW18" i="1" s="1"/>
  <c r="FX18" i="1" s="1"/>
  <c r="FY18" i="1" s="1"/>
  <c r="FZ18" i="1" s="1"/>
  <c r="GA18" i="1" s="1"/>
  <c r="GB18" i="1" s="1"/>
  <c r="GC18" i="1" s="1"/>
  <c r="GD18" i="1" s="1"/>
  <c r="GE18" i="1" s="1"/>
  <c r="GF18" i="1" s="1"/>
  <c r="GG18" i="1" s="1"/>
  <c r="GH18" i="1" s="1"/>
  <c r="GI18" i="1" s="1"/>
  <c r="GJ18" i="1" s="1"/>
  <c r="GK18" i="1" s="1"/>
  <c r="GL18" i="1" s="1"/>
  <c r="GM18" i="1" s="1"/>
  <c r="GN18" i="1" s="1"/>
  <c r="CS19" i="1"/>
  <c r="CT19" i="1"/>
  <c r="CU19" i="1"/>
  <c r="CV19" i="1"/>
  <c r="CW19" i="1"/>
  <c r="CX19" i="1" s="1"/>
  <c r="CY19" i="1" s="1"/>
  <c r="CZ19" i="1" s="1"/>
  <c r="DA19" i="1" s="1"/>
  <c r="DB19" i="1" s="1"/>
  <c r="DC19" i="1"/>
  <c r="DD19" i="1" s="1"/>
  <c r="DE19" i="1" s="1"/>
  <c r="DF19" i="1" s="1"/>
  <c r="DG19" i="1" s="1"/>
  <c r="DH19" i="1" s="1"/>
  <c r="DI19" i="1" s="1"/>
  <c r="DJ19" i="1" s="1"/>
  <c r="DK19" i="1" s="1"/>
  <c r="DL19" i="1" s="1"/>
  <c r="DM19" i="1" s="1"/>
  <c r="DN19" i="1" s="1"/>
  <c r="DO19" i="1" s="1"/>
  <c r="DP19" i="1" s="1"/>
  <c r="DQ19" i="1" s="1"/>
  <c r="DR19" i="1" s="1"/>
  <c r="DS19" i="1" s="1"/>
  <c r="DT19" i="1" s="1"/>
  <c r="DU19" i="1" s="1"/>
  <c r="DV19" i="1" s="1"/>
  <c r="DW19" i="1" s="1"/>
  <c r="DX19" i="1" s="1"/>
  <c r="DY19" i="1" s="1"/>
  <c r="DZ19" i="1" s="1"/>
  <c r="EA19" i="1" s="1"/>
  <c r="EB19" i="1" s="1"/>
  <c r="EC19" i="1" s="1"/>
  <c r="ED19" i="1" s="1"/>
  <c r="EE19" i="1" s="1"/>
  <c r="EF19" i="1" s="1"/>
  <c r="EG19" i="1" s="1"/>
  <c r="EH19" i="1" s="1"/>
  <c r="EI19" i="1" s="1"/>
  <c r="EJ19" i="1" s="1"/>
  <c r="EK19" i="1" s="1"/>
  <c r="EL19" i="1" s="1"/>
  <c r="EM19" i="1" s="1"/>
  <c r="EN19" i="1" s="1"/>
  <c r="EO19" i="1" s="1"/>
  <c r="EP19" i="1" s="1"/>
  <c r="EQ19" i="1" s="1"/>
  <c r="ER19" i="1" s="1"/>
  <c r="ES19" i="1" s="1"/>
  <c r="ET19" i="1" s="1"/>
  <c r="EU19" i="1" s="1"/>
  <c r="EV19" i="1" s="1"/>
  <c r="EW19" i="1" s="1"/>
  <c r="EX19" i="1" s="1"/>
  <c r="EY19" i="1" s="1"/>
  <c r="EZ19" i="1" s="1"/>
  <c r="FA19" i="1" s="1"/>
  <c r="FB19" i="1" s="1"/>
  <c r="FC19" i="1" s="1"/>
  <c r="FD19" i="1" s="1"/>
  <c r="FE19" i="1" s="1"/>
  <c r="FF19" i="1" s="1"/>
  <c r="FG19" i="1" s="1"/>
  <c r="FH19" i="1" s="1"/>
  <c r="FI19" i="1" s="1"/>
  <c r="FJ19" i="1" s="1"/>
  <c r="FK19" i="1" s="1"/>
  <c r="FL19" i="1" s="1"/>
  <c r="FM19" i="1" s="1"/>
  <c r="FN19" i="1" s="1"/>
  <c r="FO19" i="1" s="1"/>
  <c r="FP19" i="1" s="1"/>
  <c r="FQ19" i="1" s="1"/>
  <c r="FR19" i="1" s="1"/>
  <c r="FS19" i="1" s="1"/>
  <c r="FT19" i="1" s="1"/>
  <c r="FU19" i="1" s="1"/>
  <c r="FV19" i="1" s="1"/>
  <c r="FW19" i="1" s="1"/>
  <c r="FX19" i="1" s="1"/>
  <c r="FY19" i="1" s="1"/>
  <c r="FZ19" i="1" s="1"/>
  <c r="GA19" i="1" s="1"/>
  <c r="GB19" i="1" s="1"/>
  <c r="GC19" i="1" s="1"/>
  <c r="GD19" i="1" s="1"/>
  <c r="GE19" i="1" s="1"/>
  <c r="GF19" i="1" s="1"/>
  <c r="GG19" i="1" s="1"/>
  <c r="GH19" i="1" s="1"/>
  <c r="GI19" i="1" s="1"/>
  <c r="GJ19" i="1" s="1"/>
  <c r="GK19" i="1" s="1"/>
  <c r="GL19" i="1" s="1"/>
  <c r="GM19" i="1" s="1"/>
  <c r="GN19" i="1" s="1"/>
  <c r="CS20" i="1"/>
  <c r="CT20" i="1"/>
  <c r="CU20" i="1" s="1"/>
  <c r="CV20" i="1" s="1"/>
  <c r="CW20" i="1" s="1"/>
  <c r="CX20" i="1" s="1"/>
  <c r="CY20" i="1" s="1"/>
  <c r="CZ20" i="1" s="1"/>
  <c r="DA20" i="1" s="1"/>
  <c r="DB20" i="1" s="1"/>
  <c r="DC20" i="1" s="1"/>
  <c r="DD20" i="1" s="1"/>
  <c r="DE20" i="1" s="1"/>
  <c r="DF20" i="1" s="1"/>
  <c r="DG20" i="1" s="1"/>
  <c r="DH20" i="1" s="1"/>
  <c r="DI20" i="1" s="1"/>
  <c r="DJ20" i="1" s="1"/>
  <c r="DK20" i="1" s="1"/>
  <c r="DL20" i="1" s="1"/>
  <c r="DM20" i="1" s="1"/>
  <c r="DN20" i="1" s="1"/>
  <c r="DO20" i="1" s="1"/>
  <c r="DP20" i="1" s="1"/>
  <c r="DQ20" i="1" s="1"/>
  <c r="DR20" i="1" s="1"/>
  <c r="DS20" i="1" s="1"/>
  <c r="DT20" i="1" s="1"/>
  <c r="DU20" i="1" s="1"/>
  <c r="DV20" i="1" s="1"/>
  <c r="DW20" i="1" s="1"/>
  <c r="DX20" i="1" s="1"/>
  <c r="DY20" i="1" s="1"/>
  <c r="DZ20" i="1" s="1"/>
  <c r="EA20" i="1" s="1"/>
  <c r="EB20" i="1" s="1"/>
  <c r="EC20" i="1" s="1"/>
  <c r="ED20" i="1" s="1"/>
  <c r="EE20" i="1" s="1"/>
  <c r="EF20" i="1" s="1"/>
  <c r="EG20" i="1" s="1"/>
  <c r="EH20" i="1" s="1"/>
  <c r="EI20" i="1" s="1"/>
  <c r="EJ20" i="1" s="1"/>
  <c r="EK20" i="1" s="1"/>
  <c r="EL20" i="1" s="1"/>
  <c r="EM20" i="1" s="1"/>
  <c r="EN20" i="1" s="1"/>
  <c r="EO20" i="1" s="1"/>
  <c r="EP20" i="1" s="1"/>
  <c r="EQ20" i="1" s="1"/>
  <c r="ER20" i="1" s="1"/>
  <c r="ES20" i="1" s="1"/>
  <c r="ET20" i="1" s="1"/>
  <c r="EU20" i="1" s="1"/>
  <c r="EV20" i="1" s="1"/>
  <c r="EW20" i="1" s="1"/>
  <c r="EX20" i="1" s="1"/>
  <c r="EY20" i="1" s="1"/>
  <c r="EZ20" i="1" s="1"/>
  <c r="FA20" i="1" s="1"/>
  <c r="FB20" i="1" s="1"/>
  <c r="FC20" i="1" s="1"/>
  <c r="FD20" i="1" s="1"/>
  <c r="FE20" i="1" s="1"/>
  <c r="FF20" i="1" s="1"/>
  <c r="FG20" i="1" s="1"/>
  <c r="FH20" i="1" s="1"/>
  <c r="FI20" i="1" s="1"/>
  <c r="FJ20" i="1" s="1"/>
  <c r="FK20" i="1" s="1"/>
  <c r="FL20" i="1" s="1"/>
  <c r="FM20" i="1" s="1"/>
  <c r="FN20" i="1" s="1"/>
  <c r="FO20" i="1" s="1"/>
  <c r="FP20" i="1" s="1"/>
  <c r="FQ20" i="1" s="1"/>
  <c r="FR20" i="1" s="1"/>
  <c r="FS20" i="1" s="1"/>
  <c r="FT20" i="1" s="1"/>
  <c r="FU20" i="1" s="1"/>
  <c r="FV20" i="1" s="1"/>
  <c r="FW20" i="1" s="1"/>
  <c r="FX20" i="1" s="1"/>
  <c r="FY20" i="1" s="1"/>
  <c r="FZ20" i="1" s="1"/>
  <c r="GA20" i="1" s="1"/>
  <c r="GB20" i="1" s="1"/>
  <c r="GC20" i="1" s="1"/>
  <c r="GD20" i="1" s="1"/>
  <c r="GE20" i="1" s="1"/>
  <c r="GF20" i="1" s="1"/>
  <c r="GG20" i="1" s="1"/>
  <c r="GH20" i="1" s="1"/>
  <c r="GI20" i="1" s="1"/>
  <c r="GJ20" i="1" s="1"/>
  <c r="GK20" i="1" s="1"/>
  <c r="GL20" i="1" s="1"/>
  <c r="GM20" i="1" s="1"/>
  <c r="GN20" i="1" s="1"/>
  <c r="CS21" i="1"/>
  <c r="CT21" i="1" s="1"/>
  <c r="CU21" i="1" s="1"/>
  <c r="CV21" i="1" s="1"/>
  <c r="CW21" i="1" s="1"/>
  <c r="CX21" i="1" s="1"/>
  <c r="CY21" i="1" s="1"/>
  <c r="CZ21" i="1" s="1"/>
  <c r="DA21" i="1"/>
  <c r="DB21" i="1" s="1"/>
  <c r="DC21" i="1" s="1"/>
  <c r="DD21" i="1" s="1"/>
  <c r="DE21" i="1" s="1"/>
  <c r="DF21" i="1" s="1"/>
  <c r="DG21" i="1" s="1"/>
  <c r="DH21" i="1" s="1"/>
  <c r="DI21" i="1" s="1"/>
  <c r="DJ21" i="1" s="1"/>
  <c r="DK21" i="1" s="1"/>
  <c r="DL21" i="1" s="1"/>
  <c r="DM21" i="1" s="1"/>
  <c r="DN21" i="1" s="1"/>
  <c r="DO21" i="1" s="1"/>
  <c r="DP21" i="1" s="1"/>
  <c r="DQ21" i="1" s="1"/>
  <c r="DR21" i="1" s="1"/>
  <c r="DS21" i="1" s="1"/>
  <c r="DT21" i="1" s="1"/>
  <c r="DU21" i="1" s="1"/>
  <c r="DV21" i="1" s="1"/>
  <c r="DW21" i="1" s="1"/>
  <c r="DX21" i="1" s="1"/>
  <c r="DY21" i="1" s="1"/>
  <c r="DZ21" i="1" s="1"/>
  <c r="EA21" i="1" s="1"/>
  <c r="EB21" i="1" s="1"/>
  <c r="EC21" i="1" s="1"/>
  <c r="ED21" i="1" s="1"/>
  <c r="EE21" i="1" s="1"/>
  <c r="EF21" i="1" s="1"/>
  <c r="EG21" i="1" s="1"/>
  <c r="EH21" i="1" s="1"/>
  <c r="EI21" i="1" s="1"/>
  <c r="EJ21" i="1" s="1"/>
  <c r="EK21" i="1" s="1"/>
  <c r="EL21" i="1" s="1"/>
  <c r="EM21" i="1" s="1"/>
  <c r="EN21" i="1" s="1"/>
  <c r="EO21" i="1" s="1"/>
  <c r="EP21" i="1" s="1"/>
  <c r="EQ21" i="1" s="1"/>
  <c r="ER21" i="1" s="1"/>
  <c r="ES21" i="1" s="1"/>
  <c r="ET21" i="1" s="1"/>
  <c r="EU21" i="1" s="1"/>
  <c r="EV21" i="1" s="1"/>
  <c r="EW21" i="1" s="1"/>
  <c r="EX21" i="1" s="1"/>
  <c r="EY21" i="1" s="1"/>
  <c r="EZ21" i="1" s="1"/>
  <c r="FA21" i="1" s="1"/>
  <c r="FB21" i="1" s="1"/>
  <c r="FC21" i="1" s="1"/>
  <c r="FD21" i="1" s="1"/>
  <c r="FE21" i="1" s="1"/>
  <c r="FF21" i="1" s="1"/>
  <c r="FG21" i="1" s="1"/>
  <c r="FH21" i="1" s="1"/>
  <c r="FI21" i="1" s="1"/>
  <c r="FJ21" i="1" s="1"/>
  <c r="FK21" i="1" s="1"/>
  <c r="FL21" i="1" s="1"/>
  <c r="FM21" i="1" s="1"/>
  <c r="FN21" i="1" s="1"/>
  <c r="FO21" i="1" s="1"/>
  <c r="FP21" i="1" s="1"/>
  <c r="FQ21" i="1" s="1"/>
  <c r="FR21" i="1" s="1"/>
  <c r="FS21" i="1" s="1"/>
  <c r="FT21" i="1" s="1"/>
  <c r="FU21" i="1" s="1"/>
  <c r="FV21" i="1" s="1"/>
  <c r="FW21" i="1" s="1"/>
  <c r="FX21" i="1" s="1"/>
  <c r="FY21" i="1" s="1"/>
  <c r="FZ21" i="1" s="1"/>
  <c r="GA21" i="1" s="1"/>
  <c r="GB21" i="1" s="1"/>
  <c r="GC21" i="1" s="1"/>
  <c r="GD21" i="1" s="1"/>
  <c r="GE21" i="1" s="1"/>
  <c r="GF21" i="1" s="1"/>
  <c r="GG21" i="1" s="1"/>
  <c r="GH21" i="1" s="1"/>
  <c r="GI21" i="1" s="1"/>
  <c r="GJ21" i="1" s="1"/>
  <c r="GK21" i="1" s="1"/>
  <c r="GL21" i="1" s="1"/>
  <c r="GM21" i="1" s="1"/>
  <c r="GN21" i="1" s="1"/>
  <c r="CS22" i="1"/>
  <c r="CT22" i="1"/>
  <c r="CU22" i="1"/>
  <c r="CV22" i="1" s="1"/>
  <c r="CW22" i="1" s="1"/>
  <c r="CX22" i="1" s="1"/>
  <c r="CY22" i="1" s="1"/>
  <c r="CZ22" i="1" s="1"/>
  <c r="DA22" i="1" s="1"/>
  <c r="DB22" i="1" s="1"/>
  <c r="DC22" i="1" s="1"/>
  <c r="DD22" i="1" s="1"/>
  <c r="DE22" i="1" s="1"/>
  <c r="DF22" i="1" s="1"/>
  <c r="DG22" i="1" s="1"/>
  <c r="DH22" i="1" s="1"/>
  <c r="DI22" i="1" s="1"/>
  <c r="DJ22" i="1" s="1"/>
  <c r="DK22" i="1" s="1"/>
  <c r="DL22" i="1" s="1"/>
  <c r="DM22" i="1" s="1"/>
  <c r="DN22" i="1" s="1"/>
  <c r="DO22" i="1" s="1"/>
  <c r="DP22" i="1" s="1"/>
  <c r="DQ22" i="1" s="1"/>
  <c r="DR22" i="1" s="1"/>
  <c r="DS22" i="1" s="1"/>
  <c r="DT22" i="1" s="1"/>
  <c r="DU22" i="1" s="1"/>
  <c r="DV22" i="1" s="1"/>
  <c r="DW22" i="1" s="1"/>
  <c r="DX22" i="1" s="1"/>
  <c r="DY22" i="1" s="1"/>
  <c r="DZ22" i="1" s="1"/>
  <c r="EA22" i="1" s="1"/>
  <c r="EB22" i="1" s="1"/>
  <c r="EC22" i="1" s="1"/>
  <c r="ED22" i="1" s="1"/>
  <c r="EE22" i="1" s="1"/>
  <c r="EF22" i="1" s="1"/>
  <c r="EG22" i="1" s="1"/>
  <c r="EH22" i="1" s="1"/>
  <c r="EI22" i="1" s="1"/>
  <c r="EJ22" i="1" s="1"/>
  <c r="EK22" i="1" s="1"/>
  <c r="EL22" i="1" s="1"/>
  <c r="EM22" i="1" s="1"/>
  <c r="EN22" i="1" s="1"/>
  <c r="EO22" i="1" s="1"/>
  <c r="EP22" i="1" s="1"/>
  <c r="EQ22" i="1" s="1"/>
  <c r="ER22" i="1" s="1"/>
  <c r="ES22" i="1" s="1"/>
  <c r="ET22" i="1" s="1"/>
  <c r="EU22" i="1" s="1"/>
  <c r="EV22" i="1" s="1"/>
  <c r="EW22" i="1" s="1"/>
  <c r="EX22" i="1" s="1"/>
  <c r="EY22" i="1" s="1"/>
  <c r="EZ22" i="1" s="1"/>
  <c r="FA22" i="1" s="1"/>
  <c r="FB22" i="1" s="1"/>
  <c r="FC22" i="1" s="1"/>
  <c r="FD22" i="1" s="1"/>
  <c r="FE22" i="1" s="1"/>
  <c r="FF22" i="1" s="1"/>
  <c r="FG22" i="1" s="1"/>
  <c r="FH22" i="1" s="1"/>
  <c r="FI22" i="1" s="1"/>
  <c r="FJ22" i="1" s="1"/>
  <c r="FK22" i="1" s="1"/>
  <c r="FL22" i="1" s="1"/>
  <c r="FM22" i="1" s="1"/>
  <c r="FN22" i="1" s="1"/>
  <c r="FO22" i="1" s="1"/>
  <c r="FP22" i="1" s="1"/>
  <c r="FQ22" i="1" s="1"/>
  <c r="FR22" i="1" s="1"/>
  <c r="FS22" i="1" s="1"/>
  <c r="FT22" i="1" s="1"/>
  <c r="FU22" i="1" s="1"/>
  <c r="FV22" i="1" s="1"/>
  <c r="FW22" i="1" s="1"/>
  <c r="FX22" i="1" s="1"/>
  <c r="FY22" i="1" s="1"/>
  <c r="FZ22" i="1" s="1"/>
  <c r="GA22" i="1" s="1"/>
  <c r="GB22" i="1" s="1"/>
  <c r="GC22" i="1" s="1"/>
  <c r="GD22" i="1" s="1"/>
  <c r="GE22" i="1" s="1"/>
  <c r="GF22" i="1" s="1"/>
  <c r="GG22" i="1" s="1"/>
  <c r="GH22" i="1" s="1"/>
  <c r="GI22" i="1" s="1"/>
  <c r="GJ22" i="1" s="1"/>
  <c r="GK22" i="1" s="1"/>
  <c r="GL22" i="1" s="1"/>
  <c r="GM22" i="1" s="1"/>
  <c r="GN22" i="1" s="1"/>
  <c r="CS23" i="1"/>
  <c r="CT23" i="1"/>
  <c r="CU23" i="1"/>
  <c r="CV23" i="1"/>
  <c r="CW23" i="1" s="1"/>
  <c r="CX23" i="1" s="1"/>
  <c r="CY23" i="1"/>
  <c r="CZ23" i="1" s="1"/>
  <c r="DA23" i="1" s="1"/>
  <c r="DB23" i="1" s="1"/>
  <c r="DC23" i="1" s="1"/>
  <c r="DD23" i="1" s="1"/>
  <c r="DE23" i="1" s="1"/>
  <c r="DF23" i="1" s="1"/>
  <c r="DG23" i="1" s="1"/>
  <c r="DH23" i="1" s="1"/>
  <c r="DI23" i="1" s="1"/>
  <c r="DJ23" i="1" s="1"/>
  <c r="DK23" i="1" s="1"/>
  <c r="DL23" i="1" s="1"/>
  <c r="DM23" i="1" s="1"/>
  <c r="DN23" i="1" s="1"/>
  <c r="DO23" i="1" s="1"/>
  <c r="DP23" i="1" s="1"/>
  <c r="DQ23" i="1" s="1"/>
  <c r="DR23" i="1" s="1"/>
  <c r="DS23" i="1" s="1"/>
  <c r="DT23" i="1" s="1"/>
  <c r="DU23" i="1" s="1"/>
  <c r="DV23" i="1" s="1"/>
  <c r="DW23" i="1" s="1"/>
  <c r="DX23" i="1" s="1"/>
  <c r="DY23" i="1" s="1"/>
  <c r="DZ23" i="1" s="1"/>
  <c r="EA23" i="1" s="1"/>
  <c r="EB23" i="1" s="1"/>
  <c r="EC23" i="1" s="1"/>
  <c r="ED23" i="1" s="1"/>
  <c r="EE23" i="1" s="1"/>
  <c r="EF23" i="1" s="1"/>
  <c r="EG23" i="1" s="1"/>
  <c r="EH23" i="1" s="1"/>
  <c r="EI23" i="1" s="1"/>
  <c r="EJ23" i="1" s="1"/>
  <c r="EK23" i="1" s="1"/>
  <c r="EL23" i="1" s="1"/>
  <c r="EM23" i="1" s="1"/>
  <c r="EN23" i="1" s="1"/>
  <c r="EO23" i="1" s="1"/>
  <c r="EP23" i="1" s="1"/>
  <c r="EQ23" i="1" s="1"/>
  <c r="ER23" i="1" s="1"/>
  <c r="ES23" i="1" s="1"/>
  <c r="ET23" i="1" s="1"/>
  <c r="EU23" i="1" s="1"/>
  <c r="EV23" i="1" s="1"/>
  <c r="EW23" i="1" s="1"/>
  <c r="EX23" i="1" s="1"/>
  <c r="EY23" i="1" s="1"/>
  <c r="EZ23" i="1" s="1"/>
  <c r="FA23" i="1" s="1"/>
  <c r="FB23" i="1" s="1"/>
  <c r="FC23" i="1" s="1"/>
  <c r="FD23" i="1" s="1"/>
  <c r="FE23" i="1" s="1"/>
  <c r="FF23" i="1" s="1"/>
  <c r="FG23" i="1" s="1"/>
  <c r="FH23" i="1" s="1"/>
  <c r="FI23" i="1" s="1"/>
  <c r="FJ23" i="1" s="1"/>
  <c r="FK23" i="1" s="1"/>
  <c r="FL23" i="1" s="1"/>
  <c r="FM23" i="1" s="1"/>
  <c r="FN23" i="1" s="1"/>
  <c r="FO23" i="1" s="1"/>
  <c r="FP23" i="1" s="1"/>
  <c r="FQ23" i="1" s="1"/>
  <c r="FR23" i="1" s="1"/>
  <c r="FS23" i="1" s="1"/>
  <c r="FT23" i="1" s="1"/>
  <c r="FU23" i="1" s="1"/>
  <c r="FV23" i="1" s="1"/>
  <c r="FW23" i="1" s="1"/>
  <c r="FX23" i="1" s="1"/>
  <c r="FY23" i="1" s="1"/>
  <c r="FZ23" i="1" s="1"/>
  <c r="GA23" i="1" s="1"/>
  <c r="GB23" i="1" s="1"/>
  <c r="GC23" i="1" s="1"/>
  <c r="GD23" i="1" s="1"/>
  <c r="GE23" i="1" s="1"/>
  <c r="GF23" i="1" s="1"/>
  <c r="GG23" i="1" s="1"/>
  <c r="GH23" i="1" s="1"/>
  <c r="GI23" i="1" s="1"/>
  <c r="GJ23" i="1" s="1"/>
  <c r="GK23" i="1" s="1"/>
  <c r="GL23" i="1" s="1"/>
  <c r="GM23" i="1" s="1"/>
  <c r="GN23" i="1" s="1"/>
  <c r="CS24" i="1"/>
  <c r="CT24" i="1"/>
  <c r="CU24" i="1"/>
  <c r="CV24" i="1"/>
  <c r="CW24" i="1"/>
  <c r="CX24" i="1" s="1"/>
  <c r="CY24" i="1" s="1"/>
  <c r="CZ24" i="1" s="1"/>
  <c r="DA24" i="1" s="1"/>
  <c r="DB24" i="1" s="1"/>
  <c r="DC24" i="1" s="1"/>
  <c r="DD24" i="1" s="1"/>
  <c r="DE24" i="1" s="1"/>
  <c r="DF24" i="1" s="1"/>
  <c r="DG24" i="1" s="1"/>
  <c r="DH24" i="1" s="1"/>
  <c r="DI24" i="1" s="1"/>
  <c r="DJ24" i="1" s="1"/>
  <c r="DK24" i="1" s="1"/>
  <c r="DL24" i="1" s="1"/>
  <c r="DM24" i="1" s="1"/>
  <c r="DN24" i="1" s="1"/>
  <c r="DO24" i="1" s="1"/>
  <c r="DP24" i="1" s="1"/>
  <c r="DQ24" i="1" s="1"/>
  <c r="DR24" i="1" s="1"/>
  <c r="DS24" i="1" s="1"/>
  <c r="DT24" i="1" s="1"/>
  <c r="DU24" i="1" s="1"/>
  <c r="DV24" i="1" s="1"/>
  <c r="DW24" i="1" s="1"/>
  <c r="DX24" i="1" s="1"/>
  <c r="DY24" i="1" s="1"/>
  <c r="DZ24" i="1" s="1"/>
  <c r="EA24" i="1" s="1"/>
  <c r="EB24" i="1" s="1"/>
  <c r="EC24" i="1" s="1"/>
  <c r="ED24" i="1" s="1"/>
  <c r="EE24" i="1" s="1"/>
  <c r="EF24" i="1" s="1"/>
  <c r="EG24" i="1" s="1"/>
  <c r="EH24" i="1" s="1"/>
  <c r="EI24" i="1" s="1"/>
  <c r="EJ24" i="1" s="1"/>
  <c r="EK24" i="1" s="1"/>
  <c r="EL24" i="1" s="1"/>
  <c r="EM24" i="1" s="1"/>
  <c r="EN24" i="1" s="1"/>
  <c r="EO24" i="1" s="1"/>
  <c r="EP24" i="1" s="1"/>
  <c r="EQ24" i="1" s="1"/>
  <c r="ER24" i="1" s="1"/>
  <c r="ES24" i="1" s="1"/>
  <c r="ET24" i="1" s="1"/>
  <c r="EU24" i="1" s="1"/>
  <c r="EV24" i="1" s="1"/>
  <c r="EW24" i="1" s="1"/>
  <c r="EX24" i="1" s="1"/>
  <c r="EY24" i="1" s="1"/>
  <c r="EZ24" i="1" s="1"/>
  <c r="FA24" i="1" s="1"/>
  <c r="FB24" i="1" s="1"/>
  <c r="FC24" i="1" s="1"/>
  <c r="FD24" i="1" s="1"/>
  <c r="FE24" i="1" s="1"/>
  <c r="FF24" i="1" s="1"/>
  <c r="FG24" i="1" s="1"/>
  <c r="FH24" i="1" s="1"/>
  <c r="FI24" i="1" s="1"/>
  <c r="FJ24" i="1" s="1"/>
  <c r="FK24" i="1" s="1"/>
  <c r="FL24" i="1" s="1"/>
  <c r="FM24" i="1" s="1"/>
  <c r="FN24" i="1" s="1"/>
  <c r="FO24" i="1" s="1"/>
  <c r="FP24" i="1" s="1"/>
  <c r="FQ24" i="1" s="1"/>
  <c r="FR24" i="1" s="1"/>
  <c r="FS24" i="1" s="1"/>
  <c r="FT24" i="1" s="1"/>
  <c r="FU24" i="1" s="1"/>
  <c r="FV24" i="1" s="1"/>
  <c r="FW24" i="1" s="1"/>
  <c r="FX24" i="1" s="1"/>
  <c r="FY24" i="1" s="1"/>
  <c r="FZ24" i="1" s="1"/>
  <c r="GA24" i="1" s="1"/>
  <c r="GB24" i="1" s="1"/>
  <c r="GC24" i="1" s="1"/>
  <c r="GD24" i="1" s="1"/>
  <c r="GE24" i="1" s="1"/>
  <c r="GF24" i="1" s="1"/>
  <c r="GG24" i="1" s="1"/>
  <c r="GH24" i="1" s="1"/>
  <c r="GI24" i="1" s="1"/>
  <c r="GJ24" i="1" s="1"/>
  <c r="GK24" i="1" s="1"/>
  <c r="GL24" i="1" s="1"/>
  <c r="GM24" i="1" s="1"/>
  <c r="GN24" i="1" s="1"/>
  <c r="CS25" i="1"/>
  <c r="CT25" i="1"/>
  <c r="CU25" i="1" s="1"/>
  <c r="CV25" i="1" s="1"/>
  <c r="CW25" i="1"/>
  <c r="CX25" i="1"/>
  <c r="CY25" i="1" s="1"/>
  <c r="CZ25" i="1" s="1"/>
  <c r="DA25" i="1"/>
  <c r="DB25" i="1" s="1"/>
  <c r="DC25" i="1" s="1"/>
  <c r="DD25" i="1" s="1"/>
  <c r="DE25" i="1" s="1"/>
  <c r="DF25" i="1" s="1"/>
  <c r="DG25" i="1" s="1"/>
  <c r="DH25" i="1" s="1"/>
  <c r="DI25" i="1" s="1"/>
  <c r="DJ25" i="1" s="1"/>
  <c r="DK25" i="1" s="1"/>
  <c r="DL25" i="1" s="1"/>
  <c r="DM25" i="1" s="1"/>
  <c r="DN25" i="1" s="1"/>
  <c r="DO25" i="1" s="1"/>
  <c r="DP25" i="1" s="1"/>
  <c r="DQ25" i="1" s="1"/>
  <c r="DR25" i="1" s="1"/>
  <c r="DS25" i="1" s="1"/>
  <c r="DT25" i="1" s="1"/>
  <c r="DU25" i="1" s="1"/>
  <c r="DV25" i="1" s="1"/>
  <c r="DW25" i="1" s="1"/>
  <c r="DX25" i="1" s="1"/>
  <c r="DY25" i="1" s="1"/>
  <c r="DZ25" i="1" s="1"/>
  <c r="EA25" i="1" s="1"/>
  <c r="EB25" i="1" s="1"/>
  <c r="EC25" i="1" s="1"/>
  <c r="ED25" i="1" s="1"/>
  <c r="EE25" i="1" s="1"/>
  <c r="EF25" i="1" s="1"/>
  <c r="EG25" i="1" s="1"/>
  <c r="EH25" i="1" s="1"/>
  <c r="EI25" i="1" s="1"/>
  <c r="EJ25" i="1" s="1"/>
  <c r="EK25" i="1" s="1"/>
  <c r="EL25" i="1" s="1"/>
  <c r="EM25" i="1" s="1"/>
  <c r="EN25" i="1" s="1"/>
  <c r="EO25" i="1" s="1"/>
  <c r="EP25" i="1" s="1"/>
  <c r="EQ25" i="1" s="1"/>
  <c r="ER25" i="1" s="1"/>
  <c r="ES25" i="1" s="1"/>
  <c r="ET25" i="1" s="1"/>
  <c r="EU25" i="1" s="1"/>
  <c r="EV25" i="1" s="1"/>
  <c r="EW25" i="1" s="1"/>
  <c r="EX25" i="1" s="1"/>
  <c r="EY25" i="1" s="1"/>
  <c r="EZ25" i="1" s="1"/>
  <c r="FA25" i="1" s="1"/>
  <c r="FB25" i="1" s="1"/>
  <c r="FC25" i="1" s="1"/>
  <c r="FD25" i="1" s="1"/>
  <c r="FE25" i="1" s="1"/>
  <c r="FF25" i="1" s="1"/>
  <c r="FG25" i="1" s="1"/>
  <c r="FH25" i="1" s="1"/>
  <c r="FI25" i="1" s="1"/>
  <c r="FJ25" i="1" s="1"/>
  <c r="FK25" i="1" s="1"/>
  <c r="FL25" i="1" s="1"/>
  <c r="FM25" i="1" s="1"/>
  <c r="FN25" i="1" s="1"/>
  <c r="FO25" i="1" s="1"/>
  <c r="FP25" i="1" s="1"/>
  <c r="FQ25" i="1" s="1"/>
  <c r="FR25" i="1" s="1"/>
  <c r="FS25" i="1" s="1"/>
  <c r="FT25" i="1" s="1"/>
  <c r="FU25" i="1" s="1"/>
  <c r="FV25" i="1" s="1"/>
  <c r="FW25" i="1" s="1"/>
  <c r="FX25" i="1" s="1"/>
  <c r="FY25" i="1" s="1"/>
  <c r="FZ25" i="1" s="1"/>
  <c r="GA25" i="1" s="1"/>
  <c r="GB25" i="1" s="1"/>
  <c r="GC25" i="1" s="1"/>
  <c r="GD25" i="1" s="1"/>
  <c r="GE25" i="1" s="1"/>
  <c r="GF25" i="1" s="1"/>
  <c r="GG25" i="1" s="1"/>
  <c r="GH25" i="1" s="1"/>
  <c r="GI25" i="1" s="1"/>
  <c r="GJ25" i="1" s="1"/>
  <c r="GK25" i="1" s="1"/>
  <c r="GL25" i="1" s="1"/>
  <c r="GM25" i="1" s="1"/>
  <c r="GN25" i="1" s="1"/>
  <c r="CT4" i="1"/>
  <c r="CU4" i="1" s="1"/>
  <c r="CV4" i="1" s="1"/>
  <c r="CW4" i="1" s="1"/>
  <c r="CX4" i="1" s="1"/>
  <c r="CY4" i="1" s="1"/>
  <c r="CZ4" i="1" s="1"/>
  <c r="DA4" i="1" s="1"/>
  <c r="DB4" i="1" s="1"/>
  <c r="DC4" i="1" s="1"/>
  <c r="DD4" i="1" s="1"/>
  <c r="DE4" i="1" s="1"/>
  <c r="DF4" i="1" s="1"/>
  <c r="DG4" i="1" s="1"/>
  <c r="DH4" i="1" s="1"/>
  <c r="DI4" i="1" s="1"/>
  <c r="DJ4" i="1" s="1"/>
  <c r="DK4" i="1" s="1"/>
  <c r="DL4" i="1" s="1"/>
  <c r="DM4" i="1" s="1"/>
  <c r="DN4" i="1" s="1"/>
  <c r="DO4" i="1" s="1"/>
  <c r="DP4" i="1" s="1"/>
  <c r="DQ4" i="1" s="1"/>
  <c r="DR4" i="1" s="1"/>
  <c r="DS4" i="1" s="1"/>
  <c r="DT4" i="1" s="1"/>
  <c r="DU4" i="1" s="1"/>
  <c r="DV4" i="1" s="1"/>
  <c r="DW4" i="1" s="1"/>
  <c r="DX4" i="1" s="1"/>
  <c r="DY4" i="1" s="1"/>
  <c r="DZ4" i="1" s="1"/>
  <c r="EA4" i="1" s="1"/>
  <c r="EB4" i="1" s="1"/>
  <c r="EC4" i="1" s="1"/>
  <c r="ED4" i="1" s="1"/>
  <c r="EE4" i="1" s="1"/>
  <c r="EF4" i="1" s="1"/>
  <c r="EG4" i="1" s="1"/>
  <c r="EH4" i="1" s="1"/>
  <c r="EI4" i="1" s="1"/>
  <c r="EJ4" i="1" s="1"/>
  <c r="EK4" i="1" s="1"/>
  <c r="EL4" i="1" s="1"/>
  <c r="EM4" i="1" s="1"/>
  <c r="EN4" i="1" s="1"/>
  <c r="EO4" i="1" s="1"/>
  <c r="EP4" i="1" s="1"/>
  <c r="EQ4" i="1" s="1"/>
  <c r="ER4" i="1" s="1"/>
  <c r="ES4" i="1" s="1"/>
  <c r="ET4" i="1" s="1"/>
  <c r="EU4" i="1" s="1"/>
  <c r="EV4" i="1" s="1"/>
  <c r="EW4" i="1" s="1"/>
  <c r="EX4" i="1" s="1"/>
  <c r="EY4" i="1" s="1"/>
  <c r="EZ4" i="1" s="1"/>
  <c r="FA4" i="1" s="1"/>
  <c r="FB4" i="1" s="1"/>
  <c r="FC4" i="1" s="1"/>
  <c r="FD4" i="1" s="1"/>
  <c r="FE4" i="1" s="1"/>
  <c r="FF4" i="1" s="1"/>
  <c r="FG4" i="1" s="1"/>
  <c r="FH4" i="1" s="1"/>
  <c r="FI4" i="1" s="1"/>
  <c r="FJ4" i="1" s="1"/>
  <c r="FK4" i="1" s="1"/>
  <c r="FL4" i="1" s="1"/>
  <c r="FM4" i="1" s="1"/>
  <c r="FN4" i="1" s="1"/>
  <c r="FO4" i="1" s="1"/>
  <c r="FP4" i="1" s="1"/>
  <c r="FQ4" i="1" s="1"/>
  <c r="FR4" i="1" s="1"/>
  <c r="FS4" i="1" s="1"/>
  <c r="FT4" i="1" s="1"/>
  <c r="FU4" i="1" s="1"/>
  <c r="FV4" i="1" s="1"/>
  <c r="FW4" i="1" s="1"/>
  <c r="FX4" i="1" s="1"/>
  <c r="FY4" i="1" s="1"/>
  <c r="FZ4" i="1" s="1"/>
  <c r="GA4" i="1" s="1"/>
  <c r="GB4" i="1" s="1"/>
  <c r="GC4" i="1" s="1"/>
  <c r="GD4" i="1" s="1"/>
  <c r="GE4" i="1" s="1"/>
  <c r="GF4" i="1" s="1"/>
  <c r="GG4" i="1" s="1"/>
  <c r="GH4" i="1" s="1"/>
  <c r="GI4" i="1" s="1"/>
  <c r="GJ4" i="1" s="1"/>
  <c r="GK4" i="1" s="1"/>
  <c r="GL4" i="1" s="1"/>
  <c r="GM4" i="1" s="1"/>
  <c r="GN4" i="1" s="1"/>
  <c r="CS4" i="1"/>
  <c r="AT5" i="1"/>
  <c r="AU5" i="1"/>
  <c r="AV5" i="1"/>
  <c r="AW5" i="1"/>
  <c r="AX5" i="1"/>
  <c r="AY5" i="1"/>
  <c r="AZ5" i="1"/>
  <c r="BA5" i="1"/>
  <c r="BB5" i="1"/>
  <c r="BC5" i="1"/>
  <c r="BD5" i="1"/>
  <c r="BE5" i="1"/>
  <c r="BF5" i="1"/>
  <c r="BG5" i="1"/>
  <c r="BH5" i="1"/>
  <c r="BI5" i="1"/>
  <c r="BJ5" i="1"/>
  <c r="BK5" i="1"/>
  <c r="BL5" i="1"/>
  <c r="BM5" i="1"/>
  <c r="BN5" i="1"/>
  <c r="BO5" i="1"/>
  <c r="BP5" i="1"/>
  <c r="BQ5" i="1"/>
  <c r="BR5" i="1"/>
  <c r="BS5" i="1"/>
  <c r="BT5" i="1"/>
  <c r="BU5" i="1"/>
  <c r="BV5" i="1"/>
  <c r="BW5" i="1"/>
  <c r="BX5" i="1"/>
  <c r="BY5" i="1"/>
  <c r="BZ5" i="1"/>
  <c r="CA5" i="1"/>
  <c r="CB5" i="1"/>
  <c r="CC5" i="1"/>
  <c r="CD5" i="1"/>
  <c r="CE5" i="1"/>
  <c r="CF5" i="1"/>
  <c r="CG5" i="1"/>
  <c r="CH5" i="1"/>
  <c r="CI5" i="1"/>
  <c r="CJ5" i="1"/>
  <c r="CK5" i="1"/>
  <c r="CL5" i="1"/>
  <c r="CM5" i="1"/>
  <c r="CN5" i="1"/>
  <c r="CO5" i="1"/>
  <c r="CP5" i="1"/>
  <c r="CQ5" i="1"/>
  <c r="AT6" i="1"/>
  <c r="AU6" i="1"/>
  <c r="AV6" i="1"/>
  <c r="AW6" i="1"/>
  <c r="AX6" i="1"/>
  <c r="AY6" i="1"/>
  <c r="AZ6" i="1"/>
  <c r="BA6" i="1"/>
  <c r="BB6" i="1"/>
  <c r="BC6" i="1"/>
  <c r="BD6" i="1"/>
  <c r="BE6" i="1"/>
  <c r="BF6" i="1"/>
  <c r="BG6" i="1"/>
  <c r="BH6" i="1"/>
  <c r="BI6" i="1"/>
  <c r="BJ6" i="1"/>
  <c r="BK6" i="1"/>
  <c r="BL6" i="1"/>
  <c r="BM6" i="1"/>
  <c r="BN6" i="1"/>
  <c r="BO6" i="1"/>
  <c r="BP6" i="1"/>
  <c r="BQ6" i="1"/>
  <c r="BR6" i="1"/>
  <c r="BS6" i="1"/>
  <c r="BT6" i="1"/>
  <c r="BU6" i="1"/>
  <c r="BV6" i="1"/>
  <c r="BW6" i="1"/>
  <c r="BX6" i="1"/>
  <c r="BY6" i="1"/>
  <c r="BZ6" i="1"/>
  <c r="CA6" i="1"/>
  <c r="CB6" i="1"/>
  <c r="CC6" i="1"/>
  <c r="CD6" i="1"/>
  <c r="CE6" i="1"/>
  <c r="CF6" i="1"/>
  <c r="CG6" i="1"/>
  <c r="CH6" i="1"/>
  <c r="CI6" i="1"/>
  <c r="CJ6" i="1"/>
  <c r="CK6" i="1"/>
  <c r="CL6" i="1"/>
  <c r="CM6" i="1"/>
  <c r="CN6" i="1"/>
  <c r="CO6" i="1"/>
  <c r="CP6" i="1"/>
  <c r="CQ6" i="1"/>
  <c r="AT9" i="1"/>
  <c r="AU9" i="1"/>
  <c r="AV9" i="1"/>
  <c r="AW9" i="1"/>
  <c r="AX9" i="1"/>
  <c r="AY9" i="1"/>
  <c r="AZ9" i="1"/>
  <c r="BA9" i="1"/>
  <c r="BB9" i="1"/>
  <c r="BC9" i="1"/>
  <c r="BD9" i="1"/>
  <c r="BE9" i="1"/>
  <c r="BF9" i="1"/>
  <c r="BG9" i="1"/>
  <c r="BH9" i="1"/>
  <c r="BI9" i="1"/>
  <c r="BJ9" i="1"/>
  <c r="BK9" i="1"/>
  <c r="BL9" i="1"/>
  <c r="BM9" i="1"/>
  <c r="BN9" i="1"/>
  <c r="BO9" i="1"/>
  <c r="BP9" i="1"/>
  <c r="BQ9" i="1"/>
  <c r="BR9" i="1"/>
  <c r="BS9" i="1"/>
  <c r="BT9" i="1"/>
  <c r="BU9" i="1"/>
  <c r="BV9" i="1"/>
  <c r="BW9" i="1"/>
  <c r="BX9" i="1"/>
  <c r="BY9" i="1"/>
  <c r="BZ9" i="1"/>
  <c r="CA9" i="1"/>
  <c r="CB9" i="1"/>
  <c r="CC9" i="1"/>
  <c r="CD9" i="1"/>
  <c r="CE9" i="1"/>
  <c r="CF9" i="1"/>
  <c r="CG9" i="1"/>
  <c r="CH9" i="1"/>
  <c r="CI9" i="1"/>
  <c r="CJ9" i="1"/>
  <c r="CK9" i="1"/>
  <c r="CL9" i="1"/>
  <c r="CM9" i="1"/>
  <c r="CN9" i="1"/>
  <c r="CO9" i="1"/>
  <c r="CP9" i="1"/>
  <c r="CQ9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BH14" i="1"/>
  <c r="BI14" i="1"/>
  <c r="BJ14" i="1"/>
  <c r="BK14" i="1"/>
  <c r="BL14" i="1"/>
  <c r="BM14" i="1"/>
  <c r="BN14" i="1"/>
  <c r="BO14" i="1"/>
  <c r="BP14" i="1"/>
  <c r="BQ14" i="1"/>
  <c r="BR14" i="1"/>
  <c r="BS14" i="1"/>
  <c r="BT14" i="1"/>
  <c r="BU14" i="1"/>
  <c r="BV14" i="1"/>
  <c r="BW14" i="1"/>
  <c r="BX14" i="1"/>
  <c r="BY14" i="1"/>
  <c r="BZ14" i="1"/>
  <c r="CA14" i="1"/>
  <c r="CB14" i="1"/>
  <c r="CC14" i="1"/>
  <c r="CD14" i="1"/>
  <c r="CE14" i="1"/>
  <c r="CF14" i="1"/>
  <c r="CG14" i="1"/>
  <c r="CH14" i="1"/>
  <c r="CI14" i="1"/>
  <c r="CJ14" i="1"/>
  <c r="CK14" i="1"/>
  <c r="CL14" i="1"/>
  <c r="CM14" i="1"/>
  <c r="CN14" i="1"/>
  <c r="CO14" i="1"/>
  <c r="CP14" i="1"/>
  <c r="CQ14" i="1"/>
  <c r="AT15" i="1"/>
  <c r="AU15" i="1"/>
  <c r="AV15" i="1"/>
  <c r="AW15" i="1"/>
  <c r="AX15" i="1"/>
  <c r="AY15" i="1"/>
  <c r="AZ15" i="1"/>
  <c r="BA15" i="1"/>
  <c r="BB15" i="1"/>
  <c r="BC15" i="1"/>
  <c r="BD15" i="1"/>
  <c r="BE15" i="1"/>
  <c r="BF15" i="1"/>
  <c r="BG15" i="1"/>
  <c r="BH15" i="1"/>
  <c r="BI15" i="1"/>
  <c r="BJ15" i="1"/>
  <c r="BK15" i="1"/>
  <c r="BL15" i="1"/>
  <c r="BM15" i="1"/>
  <c r="BN15" i="1"/>
  <c r="BO15" i="1"/>
  <c r="BP15" i="1"/>
  <c r="BQ15" i="1"/>
  <c r="BR15" i="1"/>
  <c r="BS15" i="1"/>
  <c r="BT15" i="1"/>
  <c r="BU15" i="1"/>
  <c r="BV15" i="1"/>
  <c r="BW15" i="1"/>
  <c r="BX15" i="1"/>
  <c r="BY15" i="1"/>
  <c r="BZ15" i="1"/>
  <c r="CA15" i="1"/>
  <c r="CB15" i="1"/>
  <c r="CC15" i="1"/>
  <c r="CD15" i="1"/>
  <c r="CE15" i="1"/>
  <c r="CF15" i="1"/>
  <c r="CG15" i="1"/>
  <c r="CH15" i="1"/>
  <c r="CI15" i="1"/>
  <c r="CJ15" i="1"/>
  <c r="CK15" i="1"/>
  <c r="CL15" i="1"/>
  <c r="CM15" i="1"/>
  <c r="CN15" i="1"/>
  <c r="CO15" i="1"/>
  <c r="CP15" i="1"/>
  <c r="CQ15" i="1"/>
  <c r="AT18" i="1"/>
  <c r="AU18" i="1"/>
  <c r="AV18" i="1"/>
  <c r="AW18" i="1"/>
  <c r="AX18" i="1"/>
  <c r="AY18" i="1"/>
  <c r="AZ18" i="1"/>
  <c r="BA18" i="1"/>
  <c r="BB18" i="1"/>
  <c r="BC18" i="1"/>
  <c r="BD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AT19" i="1"/>
  <c r="AU19" i="1"/>
  <c r="AV19" i="1"/>
  <c r="AW19" i="1"/>
  <c r="AX19" i="1"/>
  <c r="AY19" i="1"/>
  <c r="AZ19" i="1"/>
  <c r="BA19" i="1"/>
  <c r="BB19" i="1"/>
  <c r="BC19" i="1"/>
  <c r="BD19" i="1"/>
  <c r="BE19" i="1"/>
  <c r="BF19" i="1"/>
  <c r="BG19" i="1"/>
  <c r="BH19" i="1"/>
  <c r="BI19" i="1"/>
  <c r="BJ19" i="1"/>
  <c r="BK19" i="1"/>
  <c r="BL19" i="1"/>
  <c r="BM19" i="1"/>
  <c r="BN19" i="1"/>
  <c r="BO19" i="1"/>
  <c r="BP19" i="1"/>
  <c r="BQ19" i="1"/>
  <c r="BR19" i="1"/>
  <c r="BS19" i="1"/>
  <c r="BT19" i="1"/>
  <c r="BU19" i="1"/>
  <c r="BV19" i="1"/>
  <c r="BW19" i="1"/>
  <c r="BX19" i="1"/>
  <c r="BY19" i="1"/>
  <c r="BZ19" i="1"/>
  <c r="CA19" i="1"/>
  <c r="CB19" i="1"/>
  <c r="CC19" i="1"/>
  <c r="CD19" i="1"/>
  <c r="CE19" i="1"/>
  <c r="CF19" i="1"/>
  <c r="CG19" i="1"/>
  <c r="CH19" i="1"/>
  <c r="CI19" i="1"/>
  <c r="CJ19" i="1"/>
  <c r="CK19" i="1"/>
  <c r="CL19" i="1"/>
  <c r="CM19" i="1"/>
  <c r="CN19" i="1"/>
  <c r="CO19" i="1"/>
  <c r="CP19" i="1"/>
  <c r="CQ19" i="1"/>
  <c r="AT20" i="1"/>
  <c r="AU20" i="1"/>
  <c r="AV20" i="1"/>
  <c r="AW20" i="1"/>
  <c r="AX20" i="1"/>
  <c r="AY20" i="1"/>
  <c r="AZ20" i="1"/>
  <c r="BA20" i="1"/>
  <c r="BB20" i="1"/>
  <c r="BC20" i="1"/>
  <c r="BD20" i="1"/>
  <c r="BE20" i="1"/>
  <c r="BF20" i="1"/>
  <c r="BG20" i="1"/>
  <c r="BH20" i="1"/>
  <c r="BI20" i="1"/>
  <c r="BJ20" i="1"/>
  <c r="BK20" i="1"/>
  <c r="BL20" i="1"/>
  <c r="BM20" i="1"/>
  <c r="BN20" i="1"/>
  <c r="BO20" i="1"/>
  <c r="BP20" i="1"/>
  <c r="BQ20" i="1"/>
  <c r="BR20" i="1"/>
  <c r="BS20" i="1"/>
  <c r="BT20" i="1"/>
  <c r="BU20" i="1"/>
  <c r="BV20" i="1"/>
  <c r="BW20" i="1"/>
  <c r="BX20" i="1"/>
  <c r="BY20" i="1"/>
  <c r="BZ20" i="1"/>
  <c r="CA20" i="1"/>
  <c r="CB20" i="1"/>
  <c r="CC20" i="1"/>
  <c r="CD20" i="1"/>
  <c r="CE20" i="1"/>
  <c r="CF20" i="1"/>
  <c r="CG20" i="1"/>
  <c r="CH20" i="1"/>
  <c r="CI20" i="1"/>
  <c r="CJ20" i="1"/>
  <c r="CK20" i="1"/>
  <c r="CL20" i="1"/>
  <c r="CM20" i="1"/>
  <c r="CN20" i="1"/>
  <c r="CO20" i="1"/>
  <c r="CP20" i="1"/>
  <c r="CQ20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BH21" i="1"/>
  <c r="BI21" i="1"/>
  <c r="BJ21" i="1"/>
  <c r="BK21" i="1"/>
  <c r="BL21" i="1"/>
  <c r="BM21" i="1"/>
  <c r="BN21" i="1"/>
  <c r="BO21" i="1"/>
  <c r="BP21" i="1"/>
  <c r="BQ21" i="1"/>
  <c r="BR21" i="1"/>
  <c r="BS21" i="1"/>
  <c r="BT21" i="1"/>
  <c r="BU21" i="1"/>
  <c r="BV21" i="1"/>
  <c r="BW21" i="1"/>
  <c r="BX21" i="1"/>
  <c r="BY21" i="1"/>
  <c r="BZ21" i="1"/>
  <c r="CA21" i="1"/>
  <c r="CB21" i="1"/>
  <c r="CC21" i="1"/>
  <c r="CD21" i="1"/>
  <c r="CE21" i="1"/>
  <c r="CF21" i="1"/>
  <c r="CG21" i="1"/>
  <c r="CH21" i="1"/>
  <c r="CI21" i="1"/>
  <c r="CJ21" i="1"/>
  <c r="CK21" i="1"/>
  <c r="CL21" i="1"/>
  <c r="CM21" i="1"/>
  <c r="CN21" i="1"/>
  <c r="CO21" i="1"/>
  <c r="CP21" i="1"/>
  <c r="CQ21" i="1"/>
  <c r="AT22" i="1"/>
  <c r="AU22" i="1"/>
  <c r="AV22" i="1"/>
  <c r="AW22" i="1"/>
  <c r="AX22" i="1"/>
  <c r="AY22" i="1"/>
  <c r="AZ22" i="1"/>
  <c r="BA22" i="1"/>
  <c r="BB22" i="1"/>
  <c r="BC22" i="1"/>
  <c r="BD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AT23" i="1"/>
  <c r="AU23" i="1"/>
  <c r="AV23" i="1"/>
  <c r="AW23" i="1"/>
  <c r="AX23" i="1"/>
  <c r="AY23" i="1"/>
  <c r="AZ23" i="1"/>
  <c r="BA23" i="1"/>
  <c r="BB23" i="1"/>
  <c r="BC23" i="1"/>
  <c r="BD23" i="1"/>
  <c r="BE23" i="1"/>
  <c r="BF23" i="1"/>
  <c r="BG23" i="1"/>
  <c r="BH23" i="1"/>
  <c r="BI23" i="1"/>
  <c r="BJ23" i="1"/>
  <c r="BK23" i="1"/>
  <c r="BL23" i="1"/>
  <c r="BM23" i="1"/>
  <c r="BN23" i="1"/>
  <c r="BO23" i="1"/>
  <c r="BP23" i="1"/>
  <c r="BQ23" i="1"/>
  <c r="BR23" i="1"/>
  <c r="BS23" i="1"/>
  <c r="BT23" i="1"/>
  <c r="BU23" i="1"/>
  <c r="BV23" i="1"/>
  <c r="BW23" i="1"/>
  <c r="BX23" i="1"/>
  <c r="BY23" i="1"/>
  <c r="BZ23" i="1"/>
  <c r="CA23" i="1"/>
  <c r="CB23" i="1"/>
  <c r="CC23" i="1"/>
  <c r="CD23" i="1"/>
  <c r="CE23" i="1"/>
  <c r="CF23" i="1"/>
  <c r="CG23" i="1"/>
  <c r="CH23" i="1"/>
  <c r="CI23" i="1"/>
  <c r="CJ23" i="1"/>
  <c r="CK23" i="1"/>
  <c r="CL23" i="1"/>
  <c r="CM23" i="1"/>
  <c r="CN23" i="1"/>
  <c r="CO23" i="1"/>
  <c r="CP23" i="1"/>
  <c r="CQ23" i="1"/>
  <c r="AT24" i="1"/>
  <c r="AU24" i="1"/>
  <c r="AV24" i="1"/>
  <c r="AW24" i="1"/>
  <c r="AX24" i="1"/>
  <c r="AY24" i="1"/>
  <c r="AZ24" i="1"/>
  <c r="BA24" i="1"/>
  <c r="BB24" i="1"/>
  <c r="BC24" i="1"/>
  <c r="BD24" i="1"/>
  <c r="BE24" i="1"/>
  <c r="BF24" i="1"/>
  <c r="BG24" i="1"/>
  <c r="BH24" i="1"/>
  <c r="BI24" i="1"/>
  <c r="BJ24" i="1"/>
  <c r="BK24" i="1"/>
  <c r="BL24" i="1"/>
  <c r="BM24" i="1"/>
  <c r="BN24" i="1"/>
  <c r="BO24" i="1"/>
  <c r="BP24" i="1"/>
  <c r="BQ24" i="1"/>
  <c r="BR24" i="1"/>
  <c r="BS24" i="1"/>
  <c r="BT24" i="1"/>
  <c r="BU24" i="1"/>
  <c r="BV24" i="1"/>
  <c r="BW24" i="1"/>
  <c r="BX24" i="1"/>
  <c r="BY24" i="1"/>
  <c r="BZ24" i="1"/>
  <c r="CA24" i="1"/>
  <c r="CB24" i="1"/>
  <c r="CC24" i="1"/>
  <c r="CD24" i="1"/>
  <c r="CE24" i="1"/>
  <c r="CF24" i="1"/>
  <c r="CG24" i="1"/>
  <c r="CH24" i="1"/>
  <c r="CI24" i="1"/>
  <c r="CJ24" i="1"/>
  <c r="CK24" i="1"/>
  <c r="CL24" i="1"/>
  <c r="CM24" i="1"/>
  <c r="CN24" i="1"/>
  <c r="CO24" i="1"/>
  <c r="CP24" i="1"/>
  <c r="CQ24" i="1"/>
  <c r="AT25" i="1"/>
  <c r="AU25" i="1"/>
  <c r="AV25" i="1"/>
  <c r="AW25" i="1"/>
  <c r="AX25" i="1"/>
  <c r="AY25" i="1"/>
  <c r="AZ25" i="1"/>
  <c r="BA25" i="1"/>
  <c r="BB25" i="1"/>
  <c r="BC25" i="1"/>
  <c r="BD25" i="1"/>
  <c r="BE25" i="1"/>
  <c r="BF25" i="1"/>
  <c r="BG25" i="1"/>
  <c r="BH25" i="1"/>
  <c r="BI25" i="1"/>
  <c r="BJ25" i="1"/>
  <c r="BK25" i="1"/>
  <c r="BL25" i="1"/>
  <c r="BM25" i="1"/>
  <c r="BN25" i="1"/>
  <c r="BO25" i="1"/>
  <c r="BP25" i="1"/>
  <c r="BQ25" i="1"/>
  <c r="BR25" i="1"/>
  <c r="BS25" i="1"/>
  <c r="BT25" i="1"/>
  <c r="BU25" i="1"/>
  <c r="BV25" i="1"/>
  <c r="BW25" i="1"/>
  <c r="BX25" i="1"/>
  <c r="BY25" i="1"/>
  <c r="BZ25" i="1"/>
  <c r="CA25" i="1"/>
  <c r="CB25" i="1"/>
  <c r="CC25" i="1"/>
  <c r="CD25" i="1"/>
  <c r="CE25" i="1"/>
  <c r="CF25" i="1"/>
  <c r="CG25" i="1"/>
  <c r="CH25" i="1"/>
  <c r="CI25" i="1"/>
  <c r="CJ25" i="1"/>
  <c r="CK25" i="1"/>
  <c r="CL25" i="1"/>
  <c r="CM25" i="1"/>
  <c r="CN25" i="1"/>
  <c r="CO25" i="1"/>
  <c r="CP25" i="1"/>
  <c r="CQ25" i="1"/>
  <c r="CN4" i="1"/>
  <c r="CO4" i="1"/>
  <c r="CP4" i="1"/>
  <c r="CQ4" i="1"/>
  <c r="BW4" i="1"/>
  <c r="BX4" i="1"/>
  <c r="BY4" i="1"/>
  <c r="BZ4" i="1"/>
  <c r="CA4" i="1"/>
  <c r="CB4" i="1"/>
  <c r="CC4" i="1"/>
  <c r="CD4" i="1"/>
  <c r="CE4" i="1"/>
  <c r="CF4" i="1"/>
  <c r="CG4" i="1"/>
  <c r="CH4" i="1"/>
  <c r="CI4" i="1"/>
  <c r="CJ4" i="1"/>
  <c r="CK4" i="1"/>
  <c r="CL4" i="1"/>
  <c r="CM4" i="1"/>
  <c r="BE4" i="1"/>
  <c r="BF4" i="1"/>
  <c r="BG4" i="1"/>
  <c r="BH4" i="1"/>
  <c r="BI4" i="1"/>
  <c r="BJ4" i="1"/>
  <c r="BK4" i="1"/>
  <c r="BL4" i="1"/>
  <c r="BM4" i="1"/>
  <c r="BN4" i="1"/>
  <c r="BO4" i="1"/>
  <c r="BP4" i="1"/>
  <c r="BQ4" i="1"/>
  <c r="BR4" i="1"/>
  <c r="BS4" i="1"/>
  <c r="BT4" i="1"/>
  <c r="BU4" i="1"/>
  <c r="BV4" i="1"/>
  <c r="AU4" i="1"/>
  <c r="AV4" i="1"/>
  <c r="AW4" i="1"/>
  <c r="AX4" i="1"/>
  <c r="AY4" i="1"/>
  <c r="AZ4" i="1"/>
  <c r="BA4" i="1"/>
  <c r="BB4" i="1"/>
  <c r="BC4" i="1"/>
  <c r="BD4" i="1"/>
  <c r="AT4" i="1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AE18" i="1" l="1"/>
  <c r="AE17" i="1"/>
  <c r="AE16" i="1"/>
  <c r="AE15" i="1"/>
  <c r="AE13" i="1"/>
  <c r="AE11" i="1"/>
  <c r="AE10" i="1"/>
  <c r="AE9" i="1"/>
  <c r="AE7" i="1"/>
  <c r="AE5" i="1"/>
  <c r="AE4" i="1"/>
  <c r="AE24" i="1"/>
  <c r="AE21" i="1"/>
  <c r="AE14" i="1"/>
  <c r="AE6" i="1"/>
  <c r="AE8" i="1"/>
  <c r="AE12" i="1"/>
  <c r="AE25" i="1"/>
  <c r="AE22" i="1"/>
  <c r="AE20" i="1"/>
  <c r="B4" i="4"/>
  <c r="AI25" i="1" l="1"/>
  <c r="AI22" i="1"/>
  <c r="AI20" i="1"/>
  <c r="AF14" i="1"/>
  <c r="B5" i="3"/>
  <c r="AF18" i="1"/>
  <c r="AF10" i="1"/>
  <c r="AF5" i="1"/>
  <c r="AF4" i="1"/>
  <c r="Y17" i="1"/>
  <c r="AA17" i="1" s="1"/>
  <c r="Y15" i="1"/>
  <c r="AA15" i="1" s="1"/>
  <c r="Y18" i="1"/>
  <c r="AA18" i="1" s="1"/>
  <c r="Y9" i="1"/>
  <c r="Y13" i="1"/>
  <c r="AA13" i="1" s="1"/>
  <c r="Y7" i="1"/>
  <c r="AA7" i="1" s="1"/>
  <c r="Y10" i="1"/>
  <c r="AA10" i="1" s="1"/>
  <c r="Y5" i="1"/>
  <c r="AA5" i="1" s="1"/>
  <c r="Y4" i="1"/>
  <c r="AA4" i="1" s="1"/>
  <c r="Y16" i="1"/>
  <c r="AA16" i="1" s="1"/>
  <c r="Y11" i="1"/>
  <c r="AA11" i="1" s="1"/>
  <c r="Z14" i="1"/>
  <c r="Z25" i="1"/>
  <c r="Z22" i="1"/>
  <c r="Z20" i="1"/>
  <c r="Z12" i="1"/>
  <c r="Z8" i="1"/>
  <c r="Z6" i="1"/>
  <c r="Z23" i="1"/>
  <c r="Z24" i="1"/>
  <c r="Z21" i="1"/>
  <c r="Z19" i="1"/>
  <c r="AI18" i="1"/>
  <c r="AI17" i="1"/>
  <c r="AI15" i="1"/>
  <c r="AI14" i="1"/>
  <c r="AH14" i="1" s="1"/>
  <c r="AN14" i="1" s="1"/>
  <c r="AI13" i="1"/>
  <c r="AH13" i="1" s="1"/>
  <c r="AI10" i="1"/>
  <c r="AH10" i="1" s="1"/>
  <c r="AI9" i="1"/>
  <c r="AH9" i="1" s="1"/>
  <c r="AI7" i="1"/>
  <c r="AH7" i="1" s="1"/>
  <c r="AI5" i="1"/>
  <c r="AH5" i="1" s="1"/>
  <c r="AI4" i="1"/>
  <c r="AH4" i="1" s="1"/>
  <c r="C3" i="2"/>
  <c r="AH25" i="1"/>
  <c r="AN25" i="1" s="1"/>
  <c r="C11" i="2"/>
  <c r="AI23" i="1"/>
  <c r="C9" i="2"/>
  <c r="AI19" i="1" s="1"/>
  <c r="AH19" i="1" s="1"/>
  <c r="AN19" i="1" s="1"/>
  <c r="C7" i="2"/>
  <c r="AI16" i="1" s="1"/>
  <c r="AH16" i="1" s="1"/>
  <c r="C5" i="2"/>
  <c r="AI12" i="1" s="1"/>
  <c r="AH12" i="1" s="1"/>
  <c r="AN12" i="1" s="1"/>
  <c r="AH23" i="1"/>
  <c r="AN23" i="1" s="1"/>
  <c r="AH20" i="1"/>
  <c r="AN20" i="1" s="1"/>
  <c r="AH18" i="1"/>
  <c r="AH15" i="1"/>
  <c r="AH22" i="1"/>
  <c r="AN22" i="1" s="1"/>
  <c r="AH17" i="1"/>
  <c r="AN17" i="1" l="1"/>
  <c r="AN4" i="1"/>
  <c r="AN7" i="1"/>
  <c r="AN13" i="1"/>
  <c r="AN5" i="1"/>
  <c r="AN15" i="1"/>
  <c r="AN18" i="1"/>
  <c r="AN16" i="1"/>
  <c r="AN10" i="1"/>
  <c r="AI24" i="1"/>
  <c r="AH24" i="1" s="1"/>
  <c r="AN24" i="1" s="1"/>
  <c r="AI21" i="1"/>
  <c r="AH21" i="1" s="1"/>
  <c r="AN21" i="1" s="1"/>
  <c r="AI11" i="1"/>
  <c r="AH11" i="1" s="1"/>
  <c r="AN11" i="1" s="1"/>
  <c r="AI6" i="1"/>
  <c r="AH6" i="1" s="1"/>
  <c r="AN6" i="1" s="1"/>
  <c r="AI8" i="1"/>
  <c r="AH8" i="1" s="1"/>
  <c r="AN8" i="1" s="1"/>
  <c r="AA9" i="1" l="1"/>
  <c r="AN9" i="1" s="1"/>
  <c r="CQ13" i="1"/>
  <c r="CP13" i="1"/>
  <c r="CO13" i="1"/>
  <c r="B72" i="5"/>
  <c r="B73" i="5" s="1"/>
  <c r="CN13" i="1" l="1"/>
  <c r="CM13" i="1"/>
  <c r="CL13" i="1"/>
  <c r="CK13" i="1"/>
  <c r="B74" i="5"/>
  <c r="CG13" i="1" l="1"/>
  <c r="CP7" i="1"/>
  <c r="CI13" i="1"/>
  <c r="CO7" i="1"/>
  <c r="CJ13" i="1"/>
  <c r="CH13" i="1"/>
  <c r="CQ7" i="1"/>
  <c r="CC13" i="1" l="1"/>
  <c r="CP11" i="1"/>
  <c r="CL7" i="1"/>
  <c r="CK11" i="1"/>
  <c r="CJ7" i="1"/>
  <c r="CK7" i="1"/>
  <c r="CN11" i="1"/>
  <c r="CF13" i="1"/>
  <c r="CJ11" i="1"/>
  <c r="CI11" i="1"/>
  <c r="CO11" i="1"/>
  <c r="CQ11" i="1"/>
  <c r="CM11" i="1"/>
  <c r="CM7" i="1"/>
  <c r="CN7" i="1"/>
  <c r="CB13" i="1"/>
  <c r="CD13" i="1"/>
  <c r="CL11" i="1"/>
  <c r="CE13" i="1"/>
  <c r="CH11" i="1" l="1"/>
  <c r="BY11" i="1"/>
  <c r="BY13" i="1"/>
  <c r="CG7" i="1"/>
  <c r="CH7" i="1"/>
  <c r="CE7" i="1"/>
  <c r="CF7" i="1"/>
  <c r="CD11" i="1"/>
  <c r="BZ11" i="1"/>
  <c r="CE11" i="1"/>
  <c r="BZ13" i="1"/>
  <c r="CF11" i="1"/>
  <c r="CI7" i="1"/>
  <c r="CA13" i="1"/>
  <c r="CB11" i="1"/>
  <c r="CG11" i="1"/>
  <c r="CA11" i="1"/>
  <c r="CC11" i="1"/>
  <c r="BX13" i="1"/>
  <c r="BW11" i="1" l="1"/>
  <c r="CQ17" i="1"/>
  <c r="BX11" i="1"/>
  <c r="CJ17" i="1"/>
  <c r="BT13" i="1"/>
  <c r="BT11" i="1"/>
  <c r="CN17" i="1"/>
  <c r="CB7" i="1"/>
  <c r="CL17" i="1"/>
  <c r="BV13" i="1"/>
  <c r="CD7" i="1"/>
  <c r="CM17" i="1"/>
  <c r="BU11" i="1"/>
  <c r="CK17" i="1"/>
  <c r="BU13" i="1"/>
  <c r="BV11" i="1"/>
  <c r="BQ11" i="1"/>
  <c r="BO11" i="1"/>
  <c r="BS11" i="1"/>
  <c r="BP11" i="1"/>
  <c r="CO17" i="1"/>
  <c r="CP17" i="1"/>
  <c r="CA7" i="1"/>
  <c r="BR11" i="1"/>
  <c r="BW13" i="1"/>
  <c r="CC7" i="1"/>
  <c r="BN11" i="1" l="1"/>
  <c r="CB17" i="1"/>
  <c r="CP16" i="1"/>
  <c r="BQ13" i="1"/>
  <c r="BP13" i="1"/>
  <c r="BV7" i="1"/>
  <c r="CE17" i="1"/>
  <c r="BL11" i="1"/>
  <c r="BY17" i="1"/>
  <c r="BS13" i="1"/>
  <c r="BY7" i="1"/>
  <c r="CG17" i="1"/>
  <c r="BO13" i="1"/>
  <c r="BX7" i="1"/>
  <c r="BF11" i="1"/>
  <c r="BE11" i="1"/>
  <c r="CO16" i="1"/>
  <c r="BH11" i="1"/>
  <c r="CI17" i="1"/>
  <c r="CF17" i="1"/>
  <c r="CD17" i="1"/>
  <c r="BG11" i="1"/>
  <c r="CA17" i="1"/>
  <c r="CC17" i="1"/>
  <c r="BZ7" i="1"/>
  <c r="BW7" i="1"/>
  <c r="CQ16" i="1"/>
  <c r="CH17" i="1"/>
  <c r="BR13" i="1"/>
  <c r="BZ17" i="1"/>
  <c r="BM11" i="1"/>
  <c r="BK11" i="1"/>
  <c r="BX17" i="1"/>
  <c r="BI11" i="1"/>
  <c r="BJ11" i="1"/>
  <c r="AW11" i="1" l="1"/>
  <c r="CK16" i="1"/>
  <c r="BM13" i="1"/>
  <c r="AV11" i="1"/>
  <c r="BP17" i="1"/>
  <c r="CM16" i="1"/>
  <c r="AU11" i="1"/>
  <c r="BK13" i="1"/>
  <c r="BO17" i="1"/>
  <c r="CF16" i="1"/>
  <c r="BR7" i="1"/>
  <c r="BN13" i="1"/>
  <c r="CL16" i="1"/>
  <c r="CG16" i="1"/>
  <c r="CJ16" i="1"/>
  <c r="BR17" i="1"/>
  <c r="CN16" i="1"/>
  <c r="BT7" i="1"/>
  <c r="AY11" i="1"/>
  <c r="BC11" i="1"/>
  <c r="BA11" i="1"/>
  <c r="BN17" i="1"/>
  <c r="CH16" i="1"/>
  <c r="BL13" i="1"/>
  <c r="CE16" i="1"/>
  <c r="BU7" i="1"/>
  <c r="BQ17" i="1"/>
  <c r="BB11" i="1"/>
  <c r="BS7" i="1"/>
  <c r="BQ7" i="1"/>
  <c r="BU17" i="1"/>
  <c r="CD16" i="1"/>
  <c r="CI16" i="1"/>
  <c r="BW17" i="1"/>
  <c r="BT17" i="1"/>
  <c r="BD11" i="1"/>
  <c r="BV17" i="1"/>
  <c r="BS17" i="1"/>
  <c r="BM17" i="1"/>
  <c r="AX11" i="1"/>
  <c r="CC16" i="1"/>
  <c r="AZ11" i="1"/>
  <c r="BN7" i="1" l="1"/>
  <c r="BV16" i="1"/>
  <c r="BH13" i="1"/>
  <c r="CB16" i="1"/>
  <c r="BG17" i="1"/>
  <c r="BL17" i="1"/>
  <c r="BH17" i="1"/>
  <c r="BB17" i="1"/>
  <c r="BI17" i="1"/>
  <c r="BP7" i="1"/>
  <c r="BX16" i="1"/>
  <c r="BU16" i="1"/>
  <c r="BC17" i="1"/>
  <c r="BT16" i="1"/>
  <c r="BI13" i="1"/>
  <c r="BR16" i="1"/>
  <c r="BJ17" i="1"/>
  <c r="BW16" i="1"/>
  <c r="BG13" i="1"/>
  <c r="BJ13" i="1"/>
  <c r="AT11" i="1"/>
  <c r="CA16" i="1"/>
  <c r="BD17" i="1"/>
  <c r="BY16" i="1"/>
  <c r="BO7" i="1"/>
  <c r="BZ16" i="1"/>
  <c r="BQ16" i="1"/>
  <c r="BF17" i="1"/>
  <c r="BE17" i="1"/>
  <c r="BA17" i="1"/>
  <c r="BM7" i="1"/>
  <c r="BK17" i="1"/>
  <c r="BS16" i="1"/>
  <c r="BH16" i="1" l="1"/>
  <c r="BF13" i="1"/>
  <c r="BC13" i="1"/>
  <c r="CQ10" i="1"/>
  <c r="BJ16" i="1"/>
  <c r="BE16" i="1"/>
  <c r="BN16" i="1"/>
  <c r="BG16" i="1"/>
  <c r="AU17" i="1"/>
  <c r="BL16" i="1"/>
  <c r="BE13" i="1"/>
  <c r="AZ17" i="1"/>
  <c r="AT17" i="1"/>
  <c r="BI7" i="1"/>
  <c r="BF16" i="1"/>
  <c r="AX17" i="1"/>
  <c r="BP16" i="1"/>
  <c r="BK16" i="1"/>
  <c r="AW17" i="1"/>
  <c r="BL7" i="1"/>
  <c r="BI16" i="1"/>
  <c r="BH7" i="1"/>
  <c r="BO16" i="1"/>
  <c r="AV17" i="1"/>
  <c r="BJ7" i="1"/>
  <c r="AY17" i="1"/>
  <c r="BM16" i="1"/>
  <c r="BD13" i="1"/>
  <c r="BK7" i="1"/>
  <c r="AY13" i="1" l="1"/>
  <c r="BG7" i="1"/>
  <c r="CP10" i="1"/>
  <c r="BB16" i="1"/>
  <c r="CL10" i="1"/>
  <c r="BC16" i="1"/>
  <c r="CO10" i="1"/>
  <c r="AX13" i="1"/>
  <c r="AV16" i="1"/>
  <c r="BD16" i="1"/>
  <c r="BB13" i="1"/>
  <c r="BE7" i="1"/>
  <c r="AX16" i="1"/>
  <c r="BF7" i="1"/>
  <c r="AZ16" i="1"/>
  <c r="BA13" i="1"/>
  <c r="CN10" i="1"/>
  <c r="AT16" i="1"/>
  <c r="AY16" i="1"/>
  <c r="AW16" i="1"/>
  <c r="AU16" i="1"/>
  <c r="AZ13" i="1"/>
  <c r="BA16" i="1"/>
  <c r="BC7" i="1"/>
  <c r="CM10" i="1"/>
  <c r="BD7" i="1"/>
  <c r="AY7" i="1" l="1"/>
  <c r="CL12" i="1"/>
  <c r="AV13" i="1"/>
  <c r="CF10" i="1"/>
  <c r="CO12" i="1"/>
  <c r="AW13" i="1"/>
  <c r="CJ12" i="1"/>
  <c r="AT13" i="1"/>
  <c r="CP12" i="1"/>
  <c r="AU13" i="1"/>
  <c r="CK10" i="1"/>
  <c r="CI12" i="1"/>
  <c r="CM12" i="1"/>
  <c r="CN12" i="1"/>
  <c r="CJ10" i="1"/>
  <c r="CI10" i="1"/>
  <c r="AZ7" i="1"/>
  <c r="CG10" i="1"/>
  <c r="BB7" i="1"/>
  <c r="BA7" i="1"/>
  <c r="CQ12" i="1"/>
  <c r="CH10" i="1"/>
  <c r="CK12" i="1"/>
  <c r="CB12" i="1" l="1"/>
  <c r="CD10" i="1"/>
  <c r="BX12" i="1"/>
  <c r="CC12" i="1"/>
  <c r="CD12" i="1"/>
  <c r="CE10" i="1"/>
  <c r="CA10" i="1"/>
  <c r="AV7" i="1"/>
  <c r="CF12" i="1"/>
  <c r="BZ12" i="1"/>
  <c r="BW12" i="1"/>
  <c r="CA12" i="1"/>
  <c r="AX7" i="1"/>
  <c r="AU7" i="1"/>
  <c r="CG12" i="1"/>
  <c r="CH12" i="1"/>
  <c r="CE12" i="1"/>
  <c r="AT7" i="1"/>
  <c r="BY12" i="1"/>
  <c r="CC10" i="1"/>
  <c r="AW7" i="1"/>
  <c r="CB10" i="1"/>
  <c r="BV12" i="1" l="1"/>
  <c r="BU12" i="1"/>
  <c r="BO12" i="1"/>
  <c r="BN12" i="1"/>
  <c r="BK12" i="1"/>
  <c r="BM12" i="1"/>
  <c r="BU10" i="1"/>
  <c r="BT12" i="1"/>
  <c r="BL12" i="1"/>
  <c r="BR12" i="1"/>
  <c r="BV10" i="1"/>
  <c r="BZ10" i="1"/>
  <c r="BY10" i="1"/>
  <c r="BJ12" i="1"/>
  <c r="BX10" i="1"/>
  <c r="BS12" i="1"/>
  <c r="BP12" i="1"/>
  <c r="BW10" i="1"/>
  <c r="BQ12" i="1"/>
  <c r="BH12" i="1" l="1"/>
  <c r="BB12" i="1"/>
  <c r="BI12" i="1"/>
  <c r="BF12" i="1"/>
  <c r="BA12" i="1"/>
  <c r="BT10" i="1"/>
  <c r="BG12" i="1"/>
  <c r="BE12" i="1"/>
  <c r="BR10" i="1"/>
  <c r="AZ12" i="1"/>
  <c r="BD12" i="1"/>
  <c r="BS10" i="1"/>
  <c r="BC12" i="1"/>
  <c r="AX12" i="1"/>
  <c r="BP10" i="1"/>
  <c r="BQ10" i="1"/>
  <c r="AY12" i="1"/>
  <c r="AW12" i="1" l="1"/>
  <c r="BL10" i="1"/>
  <c r="AV12" i="1"/>
  <c r="AU12" i="1"/>
  <c r="BM10" i="1"/>
  <c r="BO10" i="1"/>
  <c r="AT12" i="1"/>
  <c r="BN10" i="1"/>
  <c r="BK10" i="1"/>
  <c r="BG10" i="1" l="1"/>
  <c r="BH10" i="1"/>
  <c r="BJ10" i="1"/>
  <c r="BF10" i="1"/>
  <c r="BI10" i="1"/>
  <c r="BE10" i="1"/>
  <c r="BC10" i="1" l="1"/>
  <c r="AZ10" i="1"/>
  <c r="BA10" i="1"/>
  <c r="BB10" i="1"/>
  <c r="BD10" i="1"/>
  <c r="AV10" i="1" l="1"/>
  <c r="CQ8" i="1"/>
  <c r="CM8" i="1"/>
  <c r="AT10" i="1"/>
  <c r="AY10" i="1"/>
  <c r="AU10" i="1"/>
  <c r="CP8" i="1"/>
  <c r="CO8" i="1"/>
  <c r="AW10" i="1"/>
  <c r="CN8" i="1"/>
  <c r="AX10" i="1"/>
  <c r="CG8" i="1" l="1"/>
  <c r="CI8" i="1"/>
  <c r="CL8" i="1"/>
  <c r="CH8" i="1"/>
  <c r="CK8" i="1"/>
  <c r="CJ8" i="1"/>
  <c r="CE8" i="1" l="1"/>
  <c r="CC8" i="1"/>
  <c r="CB8" i="1"/>
  <c r="CF8" i="1"/>
  <c r="CD8" i="1"/>
  <c r="CA8" i="1"/>
  <c r="BY8" i="1" l="1"/>
  <c r="BZ8" i="1"/>
  <c r="BX8" i="1"/>
  <c r="BV8" i="1"/>
  <c r="BW8" i="1"/>
  <c r="BS8" i="1" l="1"/>
  <c r="BQ8" i="1"/>
  <c r="BT8" i="1"/>
  <c r="BP8" i="1"/>
  <c r="BR8" i="1"/>
  <c r="BU8" i="1"/>
  <c r="BL8" i="1" l="1"/>
  <c r="BM8" i="1"/>
  <c r="BN8" i="1"/>
  <c r="BK8" i="1"/>
  <c r="BO8" i="1"/>
  <c r="BE8" i="1" l="1"/>
  <c r="BI8" i="1"/>
  <c r="BJ8" i="1"/>
  <c r="BF8" i="1"/>
  <c r="BH8" i="1"/>
  <c r="BG8" i="1"/>
  <c r="AZ8" i="1" l="1"/>
  <c r="BC8" i="1"/>
  <c r="BA8" i="1"/>
  <c r="BB8" i="1"/>
  <c r="BD8" i="1"/>
  <c r="AV8" i="1" l="1"/>
  <c r="AU8" i="1"/>
  <c r="AY8" i="1"/>
  <c r="AX8" i="1"/>
  <c r="AW8" i="1"/>
  <c r="AT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evteev</author>
  </authors>
  <commentList>
    <comment ref="W4" authorId="0" shapeId="0" xr:uid="{2F2EB79C-DAE7-4CEF-8DCA-98F06AC10F76}">
      <text>
        <r>
          <rPr>
            <b/>
            <sz val="9"/>
            <color indexed="81"/>
            <rFont val="Tahoma"/>
            <family val="2"/>
            <charset val="204"/>
          </rPr>
          <t>evteev:</t>
        </r>
        <r>
          <rPr>
            <sz val="9"/>
            <color indexed="81"/>
            <rFont val="Tahoma"/>
            <family val="2"/>
            <charset val="204"/>
          </rPr>
          <t xml:space="preserve">
2 контейнера 40 фт
</t>
        </r>
      </text>
    </comment>
    <comment ref="W5" authorId="0" shapeId="0" xr:uid="{4B71406C-2D09-48BA-AC39-D7555237120D}">
      <text>
        <r>
          <rPr>
            <b/>
            <sz val="9"/>
            <color indexed="81"/>
            <rFont val="Tahoma"/>
            <family val="2"/>
            <charset val="204"/>
          </rPr>
          <t>evteev:</t>
        </r>
        <r>
          <rPr>
            <sz val="9"/>
            <color indexed="81"/>
            <rFont val="Tahoma"/>
            <family val="2"/>
            <charset val="204"/>
          </rPr>
          <t xml:space="preserve">
2 контейнера 40 фт</t>
        </r>
      </text>
    </comment>
    <comment ref="AH6" authorId="0" shapeId="0" xr:uid="{4B693DFF-DA40-4231-B9E1-E2BDC2C6AB05}">
      <text>
        <r>
          <rPr>
            <b/>
            <sz val="9"/>
            <color indexed="81"/>
            <rFont val="Tahoma"/>
            <family val="2"/>
            <charset val="204"/>
          </rPr>
          <t>evteev:</t>
        </r>
        <r>
          <rPr>
            <sz val="9"/>
            <color indexed="81"/>
            <rFont val="Tahoma"/>
            <family val="2"/>
            <charset val="204"/>
          </rPr>
          <t xml:space="preserve">
Себестоимость для ООО "Томлесдрев"
</t>
        </r>
      </text>
    </comment>
    <comment ref="W7" authorId="0" shapeId="0" xr:uid="{C8BD9C87-1225-4D59-A4F0-2D780A52A9B8}">
      <text>
        <r>
          <rPr>
            <b/>
            <sz val="9"/>
            <color indexed="81"/>
            <rFont val="Tahoma"/>
            <family val="2"/>
            <charset val="204"/>
          </rPr>
          <t>evteev:</t>
        </r>
        <r>
          <rPr>
            <sz val="9"/>
            <color indexed="81"/>
            <rFont val="Tahoma"/>
            <family val="2"/>
            <charset val="204"/>
          </rPr>
          <t xml:space="preserve">
2 контейнера 40 фт</t>
        </r>
      </text>
    </comment>
    <comment ref="W9" authorId="0" shapeId="0" xr:uid="{E5F75B68-3083-4A9A-BFAE-0CE887F2B5BB}">
      <text>
        <r>
          <rPr>
            <b/>
            <sz val="9"/>
            <color indexed="81"/>
            <rFont val="Tahoma"/>
            <family val="2"/>
            <charset val="204"/>
          </rPr>
          <t>evteev:</t>
        </r>
        <r>
          <rPr>
            <sz val="9"/>
            <color indexed="81"/>
            <rFont val="Tahoma"/>
            <family val="2"/>
            <charset val="204"/>
          </rPr>
          <t xml:space="preserve">
2 контейнера 40 фт</t>
        </r>
      </text>
    </comment>
    <comment ref="W11" authorId="0" shapeId="0" xr:uid="{8D0AE0C5-4B55-45AF-86E5-F157125120D5}">
      <text>
        <r>
          <rPr>
            <b/>
            <sz val="9"/>
            <color indexed="81"/>
            <rFont val="Tahoma"/>
            <family val="2"/>
            <charset val="204"/>
          </rPr>
          <t>evteev:</t>
        </r>
        <r>
          <rPr>
            <sz val="9"/>
            <color indexed="81"/>
            <rFont val="Tahoma"/>
            <family val="2"/>
            <charset val="204"/>
          </rPr>
          <t xml:space="preserve">
2 контейнера 40 фт</t>
        </r>
      </text>
    </comment>
    <comment ref="W13" authorId="0" shapeId="0" xr:uid="{6B852B0D-0124-4F3C-B43B-ECE5C48A4E86}">
      <text>
        <r>
          <rPr>
            <b/>
            <sz val="9"/>
            <color indexed="81"/>
            <rFont val="Tahoma"/>
            <family val="2"/>
            <charset val="204"/>
          </rPr>
          <t>evteev:</t>
        </r>
        <r>
          <rPr>
            <sz val="9"/>
            <color indexed="81"/>
            <rFont val="Tahoma"/>
            <family val="2"/>
            <charset val="204"/>
          </rPr>
          <t xml:space="preserve">
2 контейнера 40 фт</t>
        </r>
      </text>
    </comment>
    <comment ref="W15" authorId="0" shapeId="0" xr:uid="{9687469B-864A-41D0-BDD8-87188CDDDC60}">
      <text>
        <r>
          <rPr>
            <b/>
            <sz val="9"/>
            <color indexed="81"/>
            <rFont val="Tahoma"/>
            <family val="2"/>
            <charset val="204"/>
          </rPr>
          <t>evteev:</t>
        </r>
        <r>
          <rPr>
            <sz val="9"/>
            <color indexed="81"/>
            <rFont val="Tahoma"/>
            <family val="2"/>
            <charset val="204"/>
          </rPr>
          <t xml:space="preserve">
2 контейнера 40 фт</t>
        </r>
      </text>
    </comment>
    <comment ref="W16" authorId="0" shapeId="0" xr:uid="{49746B15-58CE-4659-9830-7B129C1DB556}">
      <text>
        <r>
          <rPr>
            <b/>
            <sz val="9"/>
            <color indexed="81"/>
            <rFont val="Tahoma"/>
            <family val="2"/>
            <charset val="204"/>
          </rPr>
          <t>evteev:</t>
        </r>
        <r>
          <rPr>
            <sz val="9"/>
            <color indexed="81"/>
            <rFont val="Tahoma"/>
            <family val="2"/>
            <charset val="204"/>
          </rPr>
          <t xml:space="preserve">
2 контейнера 40 фт</t>
        </r>
      </text>
    </comment>
    <comment ref="W17" authorId="0" shapeId="0" xr:uid="{3B6563B3-60F0-4983-9BCA-BE09E7068377}">
      <text>
        <r>
          <rPr>
            <b/>
            <sz val="9"/>
            <color indexed="81"/>
            <rFont val="Tahoma"/>
            <family val="2"/>
            <charset val="204"/>
          </rPr>
          <t>evteev:</t>
        </r>
        <r>
          <rPr>
            <sz val="9"/>
            <color indexed="81"/>
            <rFont val="Tahoma"/>
            <family val="2"/>
            <charset val="204"/>
          </rPr>
          <t xml:space="preserve">
2 контейнера 40 фт</t>
        </r>
      </text>
    </comment>
    <comment ref="W18" authorId="0" shapeId="0" xr:uid="{340CA7EA-CCAE-47F1-B984-8FADF234BA99}">
      <text>
        <r>
          <rPr>
            <b/>
            <sz val="9"/>
            <color indexed="81"/>
            <rFont val="Tahoma"/>
            <family val="2"/>
            <charset val="204"/>
          </rPr>
          <t>evteev:</t>
        </r>
        <r>
          <rPr>
            <sz val="9"/>
            <color indexed="81"/>
            <rFont val="Tahoma"/>
            <family val="2"/>
            <charset val="204"/>
          </rPr>
          <t xml:space="preserve">
2 контейнера 40 фт</t>
        </r>
      </text>
    </comment>
  </commentList>
</comments>
</file>

<file path=xl/sharedStrings.xml><?xml version="1.0" encoding="utf-8"?>
<sst xmlns="http://schemas.openxmlformats.org/spreadsheetml/2006/main" count="466" uniqueCount="199">
  <si>
    <t>Код группы груза</t>
  </si>
  <si>
    <t>Группа груза</t>
  </si>
  <si>
    <t>Код груза</t>
  </si>
  <si>
    <t>Наим груза</t>
  </si>
  <si>
    <t>Вид груза</t>
  </si>
  <si>
    <t>Дор отпр</t>
  </si>
  <si>
    <t>Дор наз</t>
  </si>
  <si>
    <t>Станц отпр РФ</t>
  </si>
  <si>
    <t>Станц назн РФ</t>
  </si>
  <si>
    <t>Род вагона</t>
  </si>
  <si>
    <t>Вид перевозки</t>
  </si>
  <si>
    <t>Признак контейнерной отправки</t>
  </si>
  <si>
    <t>Направление</t>
  </si>
  <si>
    <t>ОКПО компании</t>
  </si>
  <si>
    <t>Компания отправителя</t>
  </si>
  <si>
    <t>Холдинг отправителя</t>
  </si>
  <si>
    <t>ДВС</t>
  </si>
  <si>
    <t>Экспорт</t>
  </si>
  <si>
    <t>КРС</t>
  </si>
  <si>
    <t>ОКТ</t>
  </si>
  <si>
    <t>СКВ</t>
  </si>
  <si>
    <t>Внутр. перевозки</t>
  </si>
  <si>
    <t>СЕВ</t>
  </si>
  <si>
    <t>ЗСБ</t>
  </si>
  <si>
    <t>МСК</t>
  </si>
  <si>
    <t>ВСБ</t>
  </si>
  <si>
    <t>ЮУР</t>
  </si>
  <si>
    <t>Средняя дальность(км)</t>
  </si>
  <si>
    <t>Расходы по оплате услуг ОАО 'РЖД', руб. за тонну гружёный рейс</t>
  </si>
  <si>
    <t>Расходы по оплате услуг ОАО 'РЖД', руб. за тонну порожний рейс</t>
  </si>
  <si>
    <t>Расходы по оплате услуг ОАО 'РЖД', руб. за тонну общая стоимость</t>
  </si>
  <si>
    <t>Расходы по оплате услуг операторов, руб. за тонну</t>
  </si>
  <si>
    <t>Расходы на перевалку, руб. за тонну</t>
  </si>
  <si>
    <t>Акциз/пошлина</t>
  </si>
  <si>
    <t>Себестоимость добычи/производства, руб. т.</t>
  </si>
  <si>
    <t>Стоимость 1 тонны на рынке, руб./т.</t>
  </si>
  <si>
    <t>Стоимость 1 тонны на рынке, $/т.</t>
  </si>
  <si>
    <t xml:space="preserve">Общие транспортные расходы, руб. за тонну </t>
  </si>
  <si>
    <t xml:space="preserve">Нетбэк, руб. за тонну </t>
  </si>
  <si>
    <t>Общие расходы, руб. за тонну</t>
  </si>
  <si>
    <t>Маржинальность</t>
  </si>
  <si>
    <t>Транспортная составляющая в цене %</t>
  </si>
  <si>
    <t>Инфраструктурная составляющая в цене %</t>
  </si>
  <si>
    <t>Инфраструктурная составляющая в транспортных затратах</t>
  </si>
  <si>
    <t>Коэффициент сохранения грузовой базы ИПЕМ</t>
  </si>
  <si>
    <t>действующие тарифные условия</t>
  </si>
  <si>
    <t>параметры перевозок</t>
  </si>
  <si>
    <t>КБШ</t>
  </si>
  <si>
    <t>Объем перевозок (тн)</t>
  </si>
  <si>
    <t>Кол-во вагонов</t>
  </si>
  <si>
    <t>Кол-во контейнеров</t>
  </si>
  <si>
    <t>Прочие</t>
  </si>
  <si>
    <t>Грузооборот, ткм</t>
  </si>
  <si>
    <t>Провозная плата, руб</t>
  </si>
  <si>
    <t>Северо-Западное</t>
  </si>
  <si>
    <t>Южное</t>
  </si>
  <si>
    <t>Восточное</t>
  </si>
  <si>
    <t>ГОР</t>
  </si>
  <si>
    <t>СВР</t>
  </si>
  <si>
    <t>САМУР-ЭКСП</t>
  </si>
  <si>
    <t>ПРВ</t>
  </si>
  <si>
    <t>Лесные грузы</t>
  </si>
  <si>
    <t>000010359009</t>
  </si>
  <si>
    <t>09111</t>
  </si>
  <si>
    <t>ПИЛМАТ ПР</t>
  </si>
  <si>
    <t>ПИЛОМАТЕРИАЛЫ</t>
  </si>
  <si>
    <t>ЛЕСОСИБИРСК</t>
  </si>
  <si>
    <t>НАХОДКА-В-ЭК</t>
  </si>
  <si>
    <t>806</t>
  </si>
  <si>
    <t>000005029043</t>
  </si>
  <si>
    <t>АО "ЛЕСОСИБИРСКИЙ ЛДК № 1"</t>
  </si>
  <si>
    <t>ГК "Сегежа"</t>
  </si>
  <si>
    <t>ИГИРМА</t>
  </si>
  <si>
    <t>668</t>
  </si>
  <si>
    <t>000093565189</t>
  </si>
  <si>
    <t>ООО "ТАЙРИКУ-ИГИРМА ГРУПП"</t>
  </si>
  <si>
    <t>ГК "Русская лесная группа"</t>
  </si>
  <si>
    <t>12202</t>
  </si>
  <si>
    <t>ПЛИТЫ ДСП</t>
  </si>
  <si>
    <t>ПЛИТЫ ДРЕВЕСНОСТРУЖЕЧНЫЕ</t>
  </si>
  <si>
    <t>ТОМСК-ГРУЗ.</t>
  </si>
  <si>
    <t>КУЛУНДА-ЭК-Р</t>
  </si>
  <si>
    <t>09</t>
  </si>
  <si>
    <t>Крытые</t>
  </si>
  <si>
    <t>00036308593</t>
  </si>
  <si>
    <t>ООО  "ГРЕЙС"</t>
  </si>
  <si>
    <t>ЗАБ</t>
  </si>
  <si>
    <t>АЛЯБЬЕВО</t>
  </si>
  <si>
    <t>ЗАБАЙКАЛ ЭК</t>
  </si>
  <si>
    <t>524</t>
  </si>
  <si>
    <t>00072309814</t>
  </si>
  <si>
    <t>АО "ЮГОРСКИЙ ЛЕСОПРОМЫШЛЕННЫЙ ХОЛДИНГ"</t>
  </si>
  <si>
    <t>О "Югорский ЛПХ"</t>
  </si>
  <si>
    <t>ЭЛЕКТРОГОРСК</t>
  </si>
  <si>
    <t>303</t>
  </si>
  <si>
    <t>000058242280</t>
  </si>
  <si>
    <t>ООО "УЛЬТРАДЕКОР"</t>
  </si>
  <si>
    <t>ГК "Кроношпан"</t>
  </si>
  <si>
    <t>ОНЕГА</t>
  </si>
  <si>
    <t>991</t>
  </si>
  <si>
    <t>000000255987</t>
  </si>
  <si>
    <t>АО "ОНЕЖСКИЙ ЛДК"</t>
  </si>
  <si>
    <t>ВЛАДИВОСТ-ЭК</t>
  </si>
  <si>
    <t>609</t>
  </si>
  <si>
    <t>000080279097</t>
  </si>
  <si>
    <t>ООО "ЛЕСРЕСУРС"</t>
  </si>
  <si>
    <t>ГК "Лесресурс"</t>
  </si>
  <si>
    <t>09407</t>
  </si>
  <si>
    <t>ФАНЕРА КЛЕЕНАЯ</t>
  </si>
  <si>
    <t>ФАНЕРА И ШПОН</t>
  </si>
  <si>
    <t>ИФР</t>
  </si>
  <si>
    <t>ПОЛОЙ</t>
  </si>
  <si>
    <t>МИХ-СЕМ-Э</t>
  </si>
  <si>
    <t>604</t>
  </si>
  <si>
    <t>000093222532</t>
  </si>
  <si>
    <t>ООО "ВЯТСКИЙ ФАНЕРНЫЙ КОМБИНАТ"</t>
  </si>
  <si>
    <t>ШАКША</t>
  </si>
  <si>
    <t>ОРСК-НВГР-ЭК</t>
  </si>
  <si>
    <t>24</t>
  </si>
  <si>
    <t>000038502891</t>
  </si>
  <si>
    <t>ООО "УЛЬТРАДИЗАЙН"</t>
  </si>
  <si>
    <t>ХАРОВСКАЯ</t>
  </si>
  <si>
    <t>428</t>
  </si>
  <si>
    <t>000057114611</t>
  </si>
  <si>
    <t>ООО "ХАРОВСКЛЕСПРОМ"</t>
  </si>
  <si>
    <t>ГК "Вологодские лесопромышленники"</t>
  </si>
  <si>
    <t>НОВОРОСС-ЭКС</t>
  </si>
  <si>
    <t>084</t>
  </si>
  <si>
    <t>КОСТЫЛЕВО</t>
  </si>
  <si>
    <t>ОЗИНКИ-Э-РОС</t>
  </si>
  <si>
    <t>147</t>
  </si>
  <si>
    <t>000090255910</t>
  </si>
  <si>
    <t>ООО "ГК "УЛК"</t>
  </si>
  <si>
    <t>ГК "УЛК"</t>
  </si>
  <si>
    <t>693</t>
  </si>
  <si>
    <t>СУХОНА</t>
  </si>
  <si>
    <t>777</t>
  </si>
  <si>
    <t>000052036415</t>
  </si>
  <si>
    <t>АО "С-ДОК"</t>
  </si>
  <si>
    <t>НОВ.ПОРТ-ЭКС</t>
  </si>
  <si>
    <t>017</t>
  </si>
  <si>
    <t>08103</t>
  </si>
  <si>
    <t>БАЛАНСЫ СВ 1,5М</t>
  </si>
  <si>
    <t>ЛЕСОМАТЕРИАЛЫ КРУГЛЫЕ, КР</t>
  </si>
  <si>
    <t>ТИХВИН</t>
  </si>
  <si>
    <t>СВЕТОГОРСК</t>
  </si>
  <si>
    <t>03</t>
  </si>
  <si>
    <t>Платформы</t>
  </si>
  <si>
    <t>00000250791</t>
  </si>
  <si>
    <t>ЗАО "ТИХВИНСКИЙ КЛПХ"</t>
  </si>
  <si>
    <t>10307</t>
  </si>
  <si>
    <t>ЩЕПА КР КРОВЕЛ</t>
  </si>
  <si>
    <t>ДРЕВЕСИНА ИЗМЕЛЬЧЕННАЯ</t>
  </si>
  <si>
    <t>ПРАВДИНСК</t>
  </si>
  <si>
    <t>063</t>
  </si>
  <si>
    <t>ВАГА</t>
  </si>
  <si>
    <t>ИСАКОГОРКА</t>
  </si>
  <si>
    <t>23</t>
  </si>
  <si>
    <t>ООО ПКП "ТИТАН"</t>
  </si>
  <si>
    <t>СЕГЕЖА</t>
  </si>
  <si>
    <t>76</t>
  </si>
  <si>
    <t>КИЗЕМА</t>
  </si>
  <si>
    <t>71</t>
  </si>
  <si>
    <t>00010359009</t>
  </si>
  <si>
    <t>УСТЬ-ИЛИМСК</t>
  </si>
  <si>
    <t>46</t>
  </si>
  <si>
    <t>контейнерная</t>
  </si>
  <si>
    <t>неконтейнерная</t>
  </si>
  <si>
    <t>Платформы для лесоматериалов</t>
  </si>
  <si>
    <t>Щеповозы</t>
  </si>
  <si>
    <t>Груз</t>
  </si>
  <si>
    <t>Рынок</t>
  </si>
  <si>
    <t>Цена</t>
  </si>
  <si>
    <t>руб./куб.м</t>
  </si>
  <si>
    <t>Плотность</t>
  </si>
  <si>
    <t>руб./т</t>
  </si>
  <si>
    <t>Внутренний</t>
  </si>
  <si>
    <t>руб./плотный куб.м</t>
  </si>
  <si>
    <t>Категория отправки</t>
  </si>
  <si>
    <t>Загрузка вагона</t>
  </si>
  <si>
    <t>групповая</t>
  </si>
  <si>
    <t>Груженый рейс, суток</t>
  </si>
  <si>
    <t>Порожний рейс, суток</t>
  </si>
  <si>
    <t>ПРР</t>
  </si>
  <si>
    <t>повагонная</t>
  </si>
  <si>
    <t>Коэффициент порожнего пробега для крытых 0,2</t>
  </si>
  <si>
    <t>Порт</t>
  </si>
  <si>
    <t>Все порты</t>
  </si>
  <si>
    <t>Ставка перевалки контейнера, руб./конт.</t>
  </si>
  <si>
    <t>Пиломатериалы</t>
  </si>
  <si>
    <t>Ставка за вагон, руб./сутки</t>
  </si>
  <si>
    <t>Щеповоз</t>
  </si>
  <si>
    <t>Тип подвижного состава</t>
  </si>
  <si>
    <t>Платформа 80 фт + 2 контейнера 40 фт</t>
  </si>
  <si>
    <t>Платформа лесовозная</t>
  </si>
  <si>
    <t>Изменение тарифа ОАО "РЖД"</t>
  </si>
  <si>
    <t>Кэффициент загрузки предприятяи</t>
  </si>
  <si>
    <t>Значение</t>
  </si>
  <si>
    <t>Коэффициент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</si>
</sst>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.00\ _₽_-;\-* #,##0.00\ _₽_-;_-* &quot;-&quot;??\ _₽_-;_-@_-"/>
    <numFmt numFmtId="165" formatCode="_-* #,##0\ _F_-;\-* #,##0\ _F_-;_-* &quot;-&quot;\ _F_-;_-@_-"/>
    <numFmt numFmtId="166" formatCode="_-* #,##0.00\ _F_-;\-* #,##0.00\ _F_-;_-* &quot;-&quot;??\ _F_-;_-@_-"/>
    <numFmt numFmtId="167" formatCode="_-* #,##0.00_р_._-;\-* #,##0.00_р_._-;_-* &quot;-&quot;??_р_._-;_-@_-"/>
    <numFmt numFmtId="168" formatCode="_(* #,##0.00_);_(* \(#,##0.00\);_(* &quot;-&quot;??_);_(@_)"/>
    <numFmt numFmtId="169" formatCode="0.0"/>
    <numFmt numFmtId="170" formatCode="0.0%"/>
    <numFmt numFmtId="171" formatCode="0.000"/>
    <numFmt numFmtId="172" formatCode="0.0000"/>
  </numFmts>
  <fonts count="54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7"/>
      <color indexed="0"/>
      <name val="Arial"/>
      <family val="2"/>
      <charset val="204"/>
    </font>
    <font>
      <b/>
      <sz val="10"/>
      <color indexed="0"/>
      <name val="Arial"/>
      <family val="2"/>
      <charset val="204"/>
    </font>
    <font>
      <sz val="10"/>
      <color indexed="0"/>
      <name val="Arial"/>
      <family val="2"/>
      <charset val="204"/>
    </font>
    <font>
      <i/>
      <sz val="12"/>
      <color indexed="0"/>
      <name val="Arial"/>
      <family val="2"/>
      <charset val="204"/>
    </font>
    <font>
      <sz val="12"/>
      <name val="Times New Roman CYR"/>
      <charset val="204"/>
    </font>
    <font>
      <b/>
      <sz val="11"/>
      <color indexed="8"/>
      <name val="Calibri"/>
      <family val="2"/>
    </font>
    <font>
      <b/>
      <sz val="10"/>
      <name val="Times New Roman CYR"/>
      <charset val="204"/>
    </font>
    <font>
      <b/>
      <sz val="7"/>
      <color indexed="0"/>
      <name val="MS Sans Serif"/>
      <family val="2"/>
      <charset val="204"/>
    </font>
    <font>
      <b/>
      <sz val="8"/>
      <name val="Arial"/>
      <family val="2"/>
    </font>
    <font>
      <sz val="8"/>
      <color indexed="62"/>
      <name val="Arial"/>
      <family val="2"/>
    </font>
    <font>
      <b/>
      <sz val="8"/>
      <color indexed="8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  <charset val="204"/>
    </font>
    <font>
      <sz val="8"/>
      <color indexed="8"/>
      <name val="Arial"/>
      <family val="2"/>
    </font>
    <font>
      <sz val="19"/>
      <name val="Arial"/>
      <family val="2"/>
    </font>
    <font>
      <sz val="8"/>
      <color indexed="14"/>
      <name val="Arial"/>
      <family val="2"/>
    </font>
    <font>
      <b/>
      <sz val="18"/>
      <color indexed="62"/>
      <name val="Cambria"/>
      <family val="2"/>
    </font>
    <font>
      <b/>
      <sz val="12"/>
      <name val="Times New Roman CYR"/>
      <charset val="204"/>
    </font>
    <font>
      <sz val="11"/>
      <color indexed="48"/>
      <name val="Calibri"/>
      <family val="2"/>
    </font>
    <font>
      <b/>
      <sz val="11"/>
      <color indexed="63"/>
      <name val="Calibri"/>
      <family val="2"/>
    </font>
    <font>
      <b/>
      <sz val="11"/>
      <color indexed="17"/>
      <name val="Calibri"/>
      <family val="2"/>
    </font>
    <font>
      <u/>
      <sz val="10"/>
      <color indexed="12"/>
      <name val="Arial Cyr"/>
      <charset val="204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1"/>
      <color indexed="9"/>
      <name val="Calibri"/>
      <family val="2"/>
    </font>
    <font>
      <sz val="11"/>
      <color indexed="17"/>
      <name val="Calibri"/>
      <family val="2"/>
    </font>
    <font>
      <sz val="10"/>
      <name val="Times New Roman"/>
      <family val="1"/>
      <charset val="204"/>
    </font>
    <font>
      <sz val="12"/>
      <name val="Arial Cyr"/>
      <charset val="204"/>
    </font>
    <font>
      <sz val="14"/>
      <color theme="1"/>
      <name val="Times New Roman"/>
      <family val="2"/>
      <charset val="204"/>
    </font>
    <font>
      <sz val="10"/>
      <name val="MS Sans Serif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0"/>
      <name val="Times New Roman Cyr"/>
      <charset val="204"/>
    </font>
    <font>
      <sz val="10"/>
      <color indexed="8"/>
      <name val="Arial"/>
      <family val="2"/>
      <charset val="204"/>
    </font>
    <font>
      <sz val="10"/>
      <color indexed="8"/>
      <name val="Arial"/>
      <family val="2"/>
    </font>
    <font>
      <sz val="11"/>
      <color indexed="37"/>
      <name val="Calibri"/>
      <family val="2"/>
    </font>
    <font>
      <sz val="10"/>
      <name val="Helv"/>
      <charset val="204"/>
    </font>
    <font>
      <sz val="11"/>
      <color indexed="14"/>
      <name val="Calibri"/>
      <family val="2"/>
    </font>
    <font>
      <sz val="8"/>
      <name val="Helvetica-Narrow"/>
      <family val="2"/>
    </font>
    <font>
      <sz val="11"/>
      <name val="Arial"/>
      <family val="2"/>
      <charset val="204"/>
    </font>
    <font>
      <b/>
      <sz val="12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2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1"/>
      <color theme="1"/>
      <name val="Cambria"/>
      <family val="1"/>
      <charset val="204"/>
    </font>
  </fonts>
  <fills count="65">
    <fill>
      <patternFill patternType="none"/>
    </fill>
    <fill>
      <patternFill patternType="gray125"/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55"/>
        <b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1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rgb="FFECF1F8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45"/>
      </patternFill>
    </fill>
    <fill>
      <patternFill patternType="solid">
        <fgColor indexed="12"/>
      </patternFill>
    </fill>
    <fill>
      <patternFill patternType="solid">
        <fgColor indexed="10"/>
      </patternFill>
    </fill>
    <fill>
      <patternFill patternType="solid">
        <fgColor indexed="51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57"/>
      </patternFill>
    </fill>
    <fill>
      <patternFill patternType="solid">
        <fgColor indexed="50"/>
      </patternFill>
    </fill>
    <fill>
      <patternFill patternType="solid">
        <fgColor indexed="11"/>
      </patternFill>
    </fill>
    <fill>
      <patternFill patternType="lightUp">
        <fgColor indexed="48"/>
        <bgColor indexed="41"/>
      </patternFill>
    </fill>
    <fill>
      <patternFill patternType="solid">
        <fgColor indexed="54"/>
      </patternFill>
    </fill>
    <fill>
      <patternFill patternType="solid">
        <fgColor indexed="40"/>
      </patternFill>
    </fill>
    <fill>
      <patternFill patternType="solid">
        <fgColor indexed="41"/>
      </patternFill>
    </fill>
    <fill>
      <patternFill patternType="solid">
        <fgColor rgb="FF90BBF0"/>
        <bgColor indexed="64"/>
      </patternFill>
    </fill>
    <fill>
      <patternFill patternType="solid">
        <fgColor indexed="22"/>
      </patternFill>
    </fill>
    <fill>
      <patternFill patternType="solid">
        <fgColor rgb="FFB2D0F4"/>
        <bgColor indexed="64"/>
      </patternFill>
    </fill>
    <fill>
      <patternFill patternType="solid">
        <fgColor indexed="23"/>
      </patternFill>
    </fill>
    <fill>
      <patternFill patternType="solid">
        <fgColor rgb="FFC5DCF7"/>
        <bgColor indexed="64"/>
      </patternFill>
    </fill>
    <fill>
      <patternFill patternType="solid">
        <fgColor indexed="44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15"/>
      </patternFill>
    </fill>
    <fill>
      <patternFill patternType="solid">
        <fgColor indexed="20"/>
      </patternFill>
    </fill>
    <fill>
      <patternFill patternType="solid">
        <fgColor indexed="48"/>
        <bgColor indexed="48"/>
      </patternFill>
    </fill>
    <fill>
      <patternFill patternType="solid">
        <fgColor indexed="25"/>
        <bgColor indexed="25"/>
      </patternFill>
    </fill>
    <fill>
      <patternFill patternType="solid">
        <fgColor indexed="57"/>
        <bgColor indexed="57"/>
      </patternFill>
    </fill>
    <fill>
      <patternFill patternType="solid">
        <fgColor indexed="18"/>
        <bgColor indexed="18"/>
      </patternFill>
    </fill>
    <fill>
      <patternFill patternType="solid">
        <fgColor indexed="53"/>
        <bgColor indexed="53"/>
      </patternFill>
    </fill>
    <fill>
      <patternFill patternType="solid">
        <fgColor indexed="35"/>
        <bgColor indexed="35"/>
      </patternFill>
    </fill>
    <fill>
      <patternFill patternType="solid">
        <fgColor indexed="60"/>
      </patternFill>
    </fill>
    <fill>
      <patternFill patternType="solid">
        <fgColor rgb="FFEAF1F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 style="thin">
        <color indexed="64"/>
      </diagonal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5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17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78">
    <xf numFmtId="0" fontId="0" fillId="0" borderId="0"/>
    <xf numFmtId="164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3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3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0" applyNumberFormat="0" applyBorder="0" applyAlignment="0" applyProtection="0"/>
    <xf numFmtId="0" fontId="3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3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3" fillId="16" borderId="0" applyNumberFormat="0" applyBorder="0" applyAlignment="0" applyProtection="0"/>
    <xf numFmtId="49" fontId="4" fillId="17" borderId="1">
      <alignment horizontal="left" vertical="top" wrapText="1"/>
      <protection locked="0"/>
    </xf>
    <xf numFmtId="49" fontId="5" fillId="17" borderId="1">
      <alignment horizontal="center" vertical="top" wrapText="1"/>
      <protection locked="0"/>
    </xf>
    <xf numFmtId="49" fontId="6" fillId="17" borderId="0">
      <alignment horizontal="right" vertical="top" wrapText="1"/>
      <protection locked="0"/>
    </xf>
    <xf numFmtId="49" fontId="6" fillId="17" borderId="0">
      <alignment horizontal="center" vertical="top" wrapText="1"/>
      <protection locked="0"/>
    </xf>
    <xf numFmtId="49" fontId="7" fillId="17" borderId="0">
      <alignment horizontal="left" vertical="top" wrapText="1"/>
      <protection locked="0"/>
    </xf>
    <xf numFmtId="0" fontId="8" fillId="0" borderId="2">
      <alignment horizontal="left" vertical="top"/>
      <protection locked="0"/>
    </xf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10" fillId="0" borderId="2">
      <alignment horizontal="center" vertical="top"/>
      <protection locked="0"/>
    </xf>
    <xf numFmtId="49" fontId="11" fillId="17" borderId="1">
      <alignment horizontal="center" vertical="top" wrapText="1"/>
      <protection locked="0"/>
    </xf>
    <xf numFmtId="4" fontId="12" fillId="21" borderId="3" applyNumberFormat="0" applyProtection="0">
      <alignment vertical="center"/>
    </xf>
    <xf numFmtId="4" fontId="12" fillId="21" borderId="3" applyNumberFormat="0" applyProtection="0">
      <alignment vertical="center"/>
    </xf>
    <xf numFmtId="4" fontId="12" fillId="21" borderId="3" applyNumberFormat="0" applyProtection="0">
      <alignment vertical="center"/>
    </xf>
    <xf numFmtId="4" fontId="12" fillId="21" borderId="3" applyNumberFormat="0" applyProtection="0">
      <alignment vertical="center"/>
    </xf>
    <xf numFmtId="4" fontId="13" fillId="22" borderId="3" applyNumberFormat="0" applyProtection="0">
      <alignment vertical="center"/>
    </xf>
    <xf numFmtId="4" fontId="13" fillId="22" borderId="3" applyNumberFormat="0" applyProtection="0">
      <alignment vertical="center"/>
    </xf>
    <xf numFmtId="4" fontId="13" fillId="22" borderId="3" applyNumberFormat="0" applyProtection="0">
      <alignment vertical="center"/>
    </xf>
    <xf numFmtId="4" fontId="13" fillId="22" borderId="3" applyNumberFormat="0" applyProtection="0">
      <alignment vertical="center"/>
    </xf>
    <xf numFmtId="4" fontId="12" fillId="21" borderId="3" applyNumberFormat="0" applyProtection="0">
      <alignment horizontal="left" vertical="center" indent="1"/>
    </xf>
    <xf numFmtId="4" fontId="12" fillId="21" borderId="3" applyNumberFormat="0" applyProtection="0">
      <alignment horizontal="left" vertical="center" indent="1"/>
    </xf>
    <xf numFmtId="4" fontId="12" fillId="21" borderId="3" applyNumberFormat="0" applyProtection="0">
      <alignment horizontal="left" vertical="center" indent="1"/>
    </xf>
    <xf numFmtId="4" fontId="12" fillId="21" borderId="3" applyNumberFormat="0" applyProtection="0">
      <alignment horizontal="left" vertical="center" indent="1"/>
    </xf>
    <xf numFmtId="0" fontId="14" fillId="23" borderId="4" applyNumberFormat="0" applyProtection="0">
      <alignment horizontal="left" vertical="top" indent="1"/>
    </xf>
    <xf numFmtId="0" fontId="14" fillId="23" borderId="4" applyNumberFormat="0" applyProtection="0">
      <alignment horizontal="left" vertical="top" indent="1"/>
    </xf>
    <xf numFmtId="0" fontId="14" fillId="23" borderId="4" applyNumberFormat="0" applyProtection="0">
      <alignment horizontal="left" vertical="top" indent="1"/>
    </xf>
    <xf numFmtId="0" fontId="14" fillId="23" borderId="4" applyNumberFormat="0" applyProtection="0">
      <alignment horizontal="left" vertical="top" indent="1"/>
    </xf>
    <xf numFmtId="4" fontId="15" fillId="24" borderId="3" applyNumberFormat="0" applyProtection="0">
      <alignment horizontal="left" vertical="center" indent="1"/>
    </xf>
    <xf numFmtId="4" fontId="15" fillId="24" borderId="3" applyNumberFormat="0" applyProtection="0">
      <alignment horizontal="left" vertical="center" indent="1"/>
    </xf>
    <xf numFmtId="4" fontId="15" fillId="24" borderId="3" applyNumberFormat="0" applyProtection="0">
      <alignment horizontal="left" vertical="center" indent="1"/>
    </xf>
    <xf numFmtId="4" fontId="15" fillId="24" borderId="3" applyNumberFormat="0" applyProtection="0">
      <alignment horizontal="left" vertical="center" indent="1"/>
    </xf>
    <xf numFmtId="4" fontId="15" fillId="24" borderId="3" applyNumberFormat="0" applyProtection="0">
      <alignment horizontal="left" vertical="center" indent="1"/>
    </xf>
    <xf numFmtId="4" fontId="15" fillId="24" borderId="3" applyNumberFormat="0" applyProtection="0">
      <alignment horizontal="left" vertical="center" indent="1"/>
    </xf>
    <xf numFmtId="4" fontId="15" fillId="24" borderId="3" applyNumberFormat="0" applyProtection="0">
      <alignment horizontal="left" vertical="center" indent="1"/>
    </xf>
    <xf numFmtId="4" fontId="15" fillId="24" borderId="3" applyNumberFormat="0" applyProtection="0">
      <alignment horizontal="left" vertical="center" indent="1"/>
    </xf>
    <xf numFmtId="4" fontId="15" fillId="24" borderId="3" applyNumberFormat="0" applyProtection="0">
      <alignment horizontal="left" vertical="center" indent="1"/>
    </xf>
    <xf numFmtId="4" fontId="15" fillId="25" borderId="3" applyNumberFormat="0" applyProtection="0">
      <alignment horizontal="right" vertical="center"/>
    </xf>
    <xf numFmtId="4" fontId="15" fillId="25" borderId="3" applyNumberFormat="0" applyProtection="0">
      <alignment horizontal="right" vertical="center"/>
    </xf>
    <xf numFmtId="4" fontId="15" fillId="25" borderId="3" applyNumberFormat="0" applyProtection="0">
      <alignment horizontal="right" vertical="center"/>
    </xf>
    <xf numFmtId="4" fontId="15" fillId="25" borderId="3" applyNumberFormat="0" applyProtection="0">
      <alignment horizontal="right" vertical="center"/>
    </xf>
    <xf numFmtId="4" fontId="15" fillId="25" borderId="3" applyNumberFormat="0" applyProtection="0">
      <alignment horizontal="right" vertical="center"/>
    </xf>
    <xf numFmtId="4" fontId="15" fillId="25" borderId="3" applyNumberFormat="0" applyProtection="0">
      <alignment horizontal="right" vertical="center"/>
    </xf>
    <xf numFmtId="4" fontId="15" fillId="25" borderId="3" applyNumberFormat="0" applyProtection="0">
      <alignment horizontal="right" vertical="center"/>
    </xf>
    <xf numFmtId="4" fontId="15" fillId="25" borderId="3" applyNumberFormat="0" applyProtection="0">
      <alignment horizontal="right" vertical="center"/>
    </xf>
    <xf numFmtId="4" fontId="15" fillId="26" borderId="3" applyNumberFormat="0" applyProtection="0">
      <alignment horizontal="right" vertical="center"/>
    </xf>
    <xf numFmtId="4" fontId="15" fillId="26" borderId="3" applyNumberFormat="0" applyProtection="0">
      <alignment horizontal="right" vertical="center"/>
    </xf>
    <xf numFmtId="4" fontId="15" fillId="26" borderId="3" applyNumberFormat="0" applyProtection="0">
      <alignment horizontal="right" vertical="center"/>
    </xf>
    <xf numFmtId="4" fontId="15" fillId="26" borderId="3" applyNumberFormat="0" applyProtection="0">
      <alignment horizontal="right" vertical="center"/>
    </xf>
    <xf numFmtId="4" fontId="15" fillId="26" borderId="3" applyNumberFormat="0" applyProtection="0">
      <alignment horizontal="right" vertical="center"/>
    </xf>
    <xf numFmtId="4" fontId="15" fillId="26" borderId="3" applyNumberFormat="0" applyProtection="0">
      <alignment horizontal="right" vertical="center"/>
    </xf>
    <xf numFmtId="4" fontId="15" fillId="26" borderId="3" applyNumberFormat="0" applyProtection="0">
      <alignment horizontal="right" vertical="center"/>
    </xf>
    <xf numFmtId="4" fontId="15" fillId="26" borderId="3" applyNumberFormat="0" applyProtection="0">
      <alignment horizontal="right" vertical="center"/>
    </xf>
    <xf numFmtId="4" fontId="15" fillId="27" borderId="5" applyNumberFormat="0" applyProtection="0">
      <alignment horizontal="right" vertical="center"/>
    </xf>
    <xf numFmtId="4" fontId="15" fillId="27" borderId="5" applyNumberFormat="0" applyProtection="0">
      <alignment horizontal="right" vertical="center"/>
    </xf>
    <xf numFmtId="4" fontId="15" fillId="27" borderId="5" applyNumberFormat="0" applyProtection="0">
      <alignment horizontal="right" vertical="center"/>
    </xf>
    <xf numFmtId="4" fontId="15" fillId="27" borderId="5" applyNumberFormat="0" applyProtection="0">
      <alignment horizontal="right" vertical="center"/>
    </xf>
    <xf numFmtId="4" fontId="15" fillId="27" borderId="5" applyNumberFormat="0" applyProtection="0">
      <alignment horizontal="right" vertical="center"/>
    </xf>
    <xf numFmtId="4" fontId="15" fillId="27" borderId="5" applyNumberFormat="0" applyProtection="0">
      <alignment horizontal="right" vertical="center"/>
    </xf>
    <xf numFmtId="4" fontId="15" fillId="27" borderId="5" applyNumberFormat="0" applyProtection="0">
      <alignment horizontal="right" vertical="center"/>
    </xf>
    <xf numFmtId="4" fontId="15" fillId="27" borderId="5" applyNumberFormat="0" applyProtection="0">
      <alignment horizontal="right" vertical="center"/>
    </xf>
    <xf numFmtId="4" fontId="15" fillId="28" borderId="3" applyNumberFormat="0" applyProtection="0">
      <alignment horizontal="right" vertical="center"/>
    </xf>
    <xf numFmtId="4" fontId="15" fillId="28" borderId="3" applyNumberFormat="0" applyProtection="0">
      <alignment horizontal="right" vertical="center"/>
    </xf>
    <xf numFmtId="4" fontId="15" fillId="28" borderId="3" applyNumberFormat="0" applyProtection="0">
      <alignment horizontal="right" vertical="center"/>
    </xf>
    <xf numFmtId="4" fontId="15" fillId="28" borderId="3" applyNumberFormat="0" applyProtection="0">
      <alignment horizontal="right" vertical="center"/>
    </xf>
    <xf numFmtId="4" fontId="15" fillId="28" borderId="3" applyNumberFormat="0" applyProtection="0">
      <alignment horizontal="right" vertical="center"/>
    </xf>
    <xf numFmtId="4" fontId="15" fillId="28" borderId="3" applyNumberFormat="0" applyProtection="0">
      <alignment horizontal="right" vertical="center"/>
    </xf>
    <xf numFmtId="4" fontId="15" fillId="28" borderId="3" applyNumberFormat="0" applyProtection="0">
      <alignment horizontal="right" vertical="center"/>
    </xf>
    <xf numFmtId="4" fontId="15" fillId="28" borderId="3" applyNumberFormat="0" applyProtection="0">
      <alignment horizontal="right" vertical="center"/>
    </xf>
    <xf numFmtId="4" fontId="15" fillId="29" borderId="3" applyNumberFormat="0" applyProtection="0">
      <alignment horizontal="right" vertical="center"/>
    </xf>
    <xf numFmtId="4" fontId="15" fillId="29" borderId="3" applyNumberFormat="0" applyProtection="0">
      <alignment horizontal="right" vertical="center"/>
    </xf>
    <xf numFmtId="4" fontId="15" fillId="29" borderId="3" applyNumberFormat="0" applyProtection="0">
      <alignment horizontal="right" vertical="center"/>
    </xf>
    <xf numFmtId="4" fontId="15" fillId="29" borderId="3" applyNumberFormat="0" applyProtection="0">
      <alignment horizontal="right" vertical="center"/>
    </xf>
    <xf numFmtId="4" fontId="15" fillId="29" borderId="3" applyNumberFormat="0" applyProtection="0">
      <alignment horizontal="right" vertical="center"/>
    </xf>
    <xf numFmtId="4" fontId="15" fillId="29" borderId="3" applyNumberFormat="0" applyProtection="0">
      <alignment horizontal="right" vertical="center"/>
    </xf>
    <xf numFmtId="4" fontId="15" fillId="29" borderId="3" applyNumberFormat="0" applyProtection="0">
      <alignment horizontal="right" vertical="center"/>
    </xf>
    <xf numFmtId="4" fontId="15" fillId="29" borderId="3" applyNumberFormat="0" applyProtection="0">
      <alignment horizontal="right" vertical="center"/>
    </xf>
    <xf numFmtId="4" fontId="15" fillId="30" borderId="3" applyNumberFormat="0" applyProtection="0">
      <alignment horizontal="right" vertical="center"/>
    </xf>
    <xf numFmtId="4" fontId="15" fillId="30" borderId="3" applyNumberFormat="0" applyProtection="0">
      <alignment horizontal="right" vertical="center"/>
    </xf>
    <xf numFmtId="4" fontId="15" fillId="30" borderId="3" applyNumberFormat="0" applyProtection="0">
      <alignment horizontal="right" vertical="center"/>
    </xf>
    <xf numFmtId="4" fontId="15" fillId="30" borderId="3" applyNumberFormat="0" applyProtection="0">
      <alignment horizontal="right" vertical="center"/>
    </xf>
    <xf numFmtId="4" fontId="15" fillId="30" borderId="3" applyNumberFormat="0" applyProtection="0">
      <alignment horizontal="right" vertical="center"/>
    </xf>
    <xf numFmtId="4" fontId="15" fillId="30" borderId="3" applyNumberFormat="0" applyProtection="0">
      <alignment horizontal="right" vertical="center"/>
    </xf>
    <xf numFmtId="4" fontId="15" fillId="30" borderId="3" applyNumberFormat="0" applyProtection="0">
      <alignment horizontal="right" vertical="center"/>
    </xf>
    <xf numFmtId="4" fontId="15" fillId="30" borderId="3" applyNumberFormat="0" applyProtection="0">
      <alignment horizontal="right" vertical="center"/>
    </xf>
    <xf numFmtId="4" fontId="15" fillId="31" borderId="3" applyNumberFormat="0" applyProtection="0">
      <alignment horizontal="right" vertical="center"/>
    </xf>
    <xf numFmtId="4" fontId="15" fillId="31" borderId="3" applyNumberFormat="0" applyProtection="0">
      <alignment horizontal="right" vertical="center"/>
    </xf>
    <xf numFmtId="4" fontId="15" fillId="31" borderId="3" applyNumberFormat="0" applyProtection="0">
      <alignment horizontal="right" vertical="center"/>
    </xf>
    <xf numFmtId="4" fontId="15" fillId="31" borderId="3" applyNumberFormat="0" applyProtection="0">
      <alignment horizontal="right" vertical="center"/>
    </xf>
    <xf numFmtId="4" fontId="15" fillId="31" borderId="3" applyNumberFormat="0" applyProtection="0">
      <alignment horizontal="right" vertical="center"/>
    </xf>
    <xf numFmtId="4" fontId="15" fillId="31" borderId="3" applyNumberFormat="0" applyProtection="0">
      <alignment horizontal="right" vertical="center"/>
    </xf>
    <xf numFmtId="4" fontId="15" fillId="31" borderId="3" applyNumberFormat="0" applyProtection="0">
      <alignment horizontal="right" vertical="center"/>
    </xf>
    <xf numFmtId="4" fontId="15" fillId="31" borderId="3" applyNumberFormat="0" applyProtection="0">
      <alignment horizontal="right" vertical="center"/>
    </xf>
    <xf numFmtId="4" fontId="15" fillId="32" borderId="3" applyNumberFormat="0" applyProtection="0">
      <alignment horizontal="right" vertical="center"/>
    </xf>
    <xf numFmtId="4" fontId="15" fillId="32" borderId="3" applyNumberFormat="0" applyProtection="0">
      <alignment horizontal="right" vertical="center"/>
    </xf>
    <xf numFmtId="4" fontId="15" fillId="32" borderId="3" applyNumberFormat="0" applyProtection="0">
      <alignment horizontal="right" vertical="center"/>
    </xf>
    <xf numFmtId="4" fontId="15" fillId="32" borderId="3" applyNumberFormat="0" applyProtection="0">
      <alignment horizontal="right" vertical="center"/>
    </xf>
    <xf numFmtId="4" fontId="15" fillId="32" borderId="3" applyNumberFormat="0" applyProtection="0">
      <alignment horizontal="right" vertical="center"/>
    </xf>
    <xf numFmtId="4" fontId="15" fillId="32" borderId="3" applyNumberFormat="0" applyProtection="0">
      <alignment horizontal="right" vertical="center"/>
    </xf>
    <xf numFmtId="4" fontId="15" fillId="32" borderId="3" applyNumberFormat="0" applyProtection="0">
      <alignment horizontal="right" vertical="center"/>
    </xf>
    <xf numFmtId="4" fontId="15" fillId="32" borderId="3" applyNumberFormat="0" applyProtection="0">
      <alignment horizontal="right" vertical="center"/>
    </xf>
    <xf numFmtId="4" fontId="15" fillId="33" borderId="3" applyNumberFormat="0" applyProtection="0">
      <alignment horizontal="right" vertical="center"/>
    </xf>
    <xf numFmtId="4" fontId="15" fillId="33" borderId="3" applyNumberFormat="0" applyProtection="0">
      <alignment horizontal="right" vertical="center"/>
    </xf>
    <xf numFmtId="4" fontId="15" fillId="33" borderId="3" applyNumberFormat="0" applyProtection="0">
      <alignment horizontal="right" vertical="center"/>
    </xf>
    <xf numFmtId="4" fontId="15" fillId="33" borderId="3" applyNumberFormat="0" applyProtection="0">
      <alignment horizontal="right" vertical="center"/>
    </xf>
    <xf numFmtId="4" fontId="15" fillId="33" borderId="3" applyNumberFormat="0" applyProtection="0">
      <alignment horizontal="right" vertical="center"/>
    </xf>
    <xf numFmtId="4" fontId="15" fillId="33" borderId="3" applyNumberFormat="0" applyProtection="0">
      <alignment horizontal="right" vertical="center"/>
    </xf>
    <xf numFmtId="4" fontId="15" fillId="33" borderId="3" applyNumberFormat="0" applyProtection="0">
      <alignment horizontal="right" vertical="center"/>
    </xf>
    <xf numFmtId="4" fontId="15" fillId="33" borderId="3" applyNumberFormat="0" applyProtection="0">
      <alignment horizontal="right" vertical="center"/>
    </xf>
    <xf numFmtId="4" fontId="15" fillId="34" borderId="5" applyNumberFormat="0" applyProtection="0">
      <alignment horizontal="left" vertical="center" indent="1"/>
    </xf>
    <xf numFmtId="4" fontId="15" fillId="34" borderId="5" applyNumberFormat="0" applyProtection="0">
      <alignment horizontal="left" vertical="center" indent="1"/>
    </xf>
    <xf numFmtId="4" fontId="15" fillId="34" borderId="5" applyNumberFormat="0" applyProtection="0">
      <alignment horizontal="left" vertical="center" indent="1"/>
    </xf>
    <xf numFmtId="4" fontId="15" fillId="34" borderId="5" applyNumberFormat="0" applyProtection="0">
      <alignment horizontal="left" vertical="center" indent="1"/>
    </xf>
    <xf numFmtId="4" fontId="15" fillId="34" borderId="5" applyNumberFormat="0" applyProtection="0">
      <alignment horizontal="left" vertical="center" indent="1"/>
    </xf>
    <xf numFmtId="4" fontId="15" fillId="34" borderId="5" applyNumberFormat="0" applyProtection="0">
      <alignment horizontal="left" vertical="center" indent="1"/>
    </xf>
    <xf numFmtId="4" fontId="15" fillId="34" borderId="5" applyNumberFormat="0" applyProtection="0">
      <alignment horizontal="left" vertical="center" indent="1"/>
    </xf>
    <xf numFmtId="4" fontId="15" fillId="34" borderId="5" applyNumberFormat="0" applyProtection="0">
      <alignment horizontal="left" vertical="center" indent="1"/>
    </xf>
    <xf numFmtId="4" fontId="16" fillId="35" borderId="5" applyNumberFormat="0" applyProtection="0">
      <alignment horizontal="left" vertical="center" indent="1"/>
    </xf>
    <xf numFmtId="4" fontId="16" fillId="35" borderId="5" applyNumberFormat="0" applyProtection="0">
      <alignment horizontal="left" vertical="center" indent="1"/>
    </xf>
    <xf numFmtId="4" fontId="16" fillId="35" borderId="5" applyNumberFormat="0" applyProtection="0">
      <alignment horizontal="left" vertical="center" indent="1"/>
    </xf>
    <xf numFmtId="4" fontId="16" fillId="35" borderId="5" applyNumberFormat="0" applyProtection="0">
      <alignment horizontal="left" vertical="center" indent="1"/>
    </xf>
    <xf numFmtId="4" fontId="16" fillId="35" borderId="5" applyNumberFormat="0" applyProtection="0">
      <alignment horizontal="left" vertical="center" indent="1"/>
    </xf>
    <xf numFmtId="4" fontId="16" fillId="35" borderId="5" applyNumberFormat="0" applyProtection="0">
      <alignment horizontal="left" vertical="center" indent="1"/>
    </xf>
    <xf numFmtId="4" fontId="16" fillId="35" borderId="5" applyNumberFormat="0" applyProtection="0">
      <alignment horizontal="left" vertical="center" indent="1"/>
    </xf>
    <xf numFmtId="4" fontId="16" fillId="35" borderId="5" applyNumberFormat="0" applyProtection="0">
      <alignment horizontal="left" vertical="center" indent="1"/>
    </xf>
    <xf numFmtId="4" fontId="15" fillId="36" borderId="3" applyNumberFormat="0" applyProtection="0">
      <alignment horizontal="right" vertical="center"/>
    </xf>
    <xf numFmtId="4" fontId="15" fillId="36" borderId="3" applyNumberFormat="0" applyProtection="0">
      <alignment horizontal="right" vertical="center"/>
    </xf>
    <xf numFmtId="4" fontId="15" fillId="36" borderId="3" applyNumberFormat="0" applyProtection="0">
      <alignment horizontal="right" vertical="center"/>
    </xf>
    <xf numFmtId="4" fontId="15" fillId="36" borderId="3" applyNumberFormat="0" applyProtection="0">
      <alignment horizontal="right" vertical="center"/>
    </xf>
    <xf numFmtId="4" fontId="15" fillId="36" borderId="3" applyNumberFormat="0" applyProtection="0">
      <alignment horizontal="right" vertical="center"/>
    </xf>
    <xf numFmtId="4" fontId="15" fillId="36" borderId="3" applyNumberFormat="0" applyProtection="0">
      <alignment horizontal="right" vertical="center"/>
    </xf>
    <xf numFmtId="4" fontId="15" fillId="36" borderId="3" applyNumberFormat="0" applyProtection="0">
      <alignment horizontal="right" vertical="center"/>
    </xf>
    <xf numFmtId="4" fontId="15" fillId="36" borderId="3" applyNumberFormat="0" applyProtection="0">
      <alignment horizontal="right" vertical="center"/>
    </xf>
    <xf numFmtId="4" fontId="15" fillId="37" borderId="5" applyNumberFormat="0" applyProtection="0">
      <alignment horizontal="left" vertical="center" indent="1"/>
    </xf>
    <xf numFmtId="4" fontId="15" fillId="37" borderId="5" applyNumberFormat="0" applyProtection="0">
      <alignment horizontal="left" vertical="center" indent="1"/>
    </xf>
    <xf numFmtId="4" fontId="15" fillId="37" borderId="5" applyNumberFormat="0" applyProtection="0">
      <alignment horizontal="left" vertical="center" indent="1"/>
    </xf>
    <xf numFmtId="4" fontId="15" fillId="37" borderId="5" applyNumberFormat="0" applyProtection="0">
      <alignment horizontal="left" vertical="center" indent="1"/>
    </xf>
    <xf numFmtId="4" fontId="15" fillId="37" borderId="5" applyNumberFormat="0" applyProtection="0">
      <alignment horizontal="left" vertical="center" indent="1"/>
    </xf>
    <xf numFmtId="4" fontId="15" fillId="37" borderId="5" applyNumberFormat="0" applyProtection="0">
      <alignment horizontal="left" vertical="center" indent="1"/>
    </xf>
    <xf numFmtId="4" fontId="15" fillId="37" borderId="5" applyNumberFormat="0" applyProtection="0">
      <alignment horizontal="left" vertical="center" indent="1"/>
    </xf>
    <xf numFmtId="4" fontId="15" fillId="37" borderId="5" applyNumberFormat="0" applyProtection="0">
      <alignment horizontal="left" vertical="center" indent="1"/>
    </xf>
    <xf numFmtId="4" fontId="15" fillId="36" borderId="5" applyNumberFormat="0" applyProtection="0">
      <alignment horizontal="left" vertical="center" indent="1"/>
    </xf>
    <xf numFmtId="4" fontId="15" fillId="36" borderId="5" applyNumberFormat="0" applyProtection="0">
      <alignment horizontal="left" vertical="center" indent="1"/>
    </xf>
    <xf numFmtId="4" fontId="15" fillId="36" borderId="5" applyNumberFormat="0" applyProtection="0">
      <alignment horizontal="left" vertical="center" indent="1"/>
    </xf>
    <xf numFmtId="4" fontId="15" fillId="36" borderId="5" applyNumberFormat="0" applyProtection="0">
      <alignment horizontal="left" vertical="center" indent="1"/>
    </xf>
    <xf numFmtId="4" fontId="15" fillId="36" borderId="5" applyNumberFormat="0" applyProtection="0">
      <alignment horizontal="left" vertical="center" indent="1"/>
    </xf>
    <xf numFmtId="4" fontId="15" fillId="36" borderId="5" applyNumberFormat="0" applyProtection="0">
      <alignment horizontal="left" vertical="center" indent="1"/>
    </xf>
    <xf numFmtId="4" fontId="15" fillId="36" borderId="5" applyNumberFormat="0" applyProtection="0">
      <alignment horizontal="left" vertical="center" indent="1"/>
    </xf>
    <xf numFmtId="4" fontId="15" fillId="36" borderId="5" applyNumberFormat="0" applyProtection="0">
      <alignment horizontal="left" vertical="center" indent="1"/>
    </xf>
    <xf numFmtId="0" fontId="12" fillId="38" borderId="3" applyNumberFormat="0" applyProtection="0">
      <alignment horizontal="left" vertical="center" indent="1"/>
    </xf>
    <xf numFmtId="0" fontId="15" fillId="39" borderId="3" applyNumberFormat="0" applyProtection="0">
      <alignment horizontal="left" vertical="center" indent="1"/>
    </xf>
    <xf numFmtId="0" fontId="15" fillId="39" borderId="3" applyNumberFormat="0" applyProtection="0">
      <alignment horizontal="left" vertical="center" indent="1"/>
    </xf>
    <xf numFmtId="0" fontId="15" fillId="39" borderId="3" applyNumberFormat="0" applyProtection="0">
      <alignment horizontal="left" vertical="center" indent="1"/>
    </xf>
    <xf numFmtId="0" fontId="15" fillId="39" borderId="3" applyNumberFormat="0" applyProtection="0">
      <alignment horizontal="left" vertical="center" indent="1"/>
    </xf>
    <xf numFmtId="0" fontId="12" fillId="38" borderId="3" applyNumberFormat="0" applyProtection="0">
      <alignment horizontal="left" vertical="center" indent="1"/>
    </xf>
    <xf numFmtId="0" fontId="12" fillId="38" borderId="3" applyNumberFormat="0" applyProtection="0">
      <alignment horizontal="left" vertical="center" indent="1"/>
    </xf>
    <xf numFmtId="0" fontId="12" fillId="38" borderId="3" applyNumberFormat="0" applyProtection="0">
      <alignment horizontal="left" vertical="center" indent="1"/>
    </xf>
    <xf numFmtId="0" fontId="15" fillId="35" borderId="4" applyNumberFormat="0" applyProtection="0">
      <alignment horizontal="left" vertical="top" indent="1"/>
    </xf>
    <xf numFmtId="0" fontId="17" fillId="35" borderId="4" applyNumberFormat="0" applyProtection="0">
      <alignment horizontal="left" vertical="top" indent="1"/>
    </xf>
    <xf numFmtId="0" fontId="17" fillId="35" borderId="4" applyNumberFormat="0" applyProtection="0">
      <alignment horizontal="left" vertical="top" indent="1"/>
    </xf>
    <xf numFmtId="0" fontId="17" fillId="35" borderId="4" applyNumberFormat="0" applyProtection="0">
      <alignment horizontal="left" vertical="top" indent="1"/>
    </xf>
    <xf numFmtId="0" fontId="17" fillId="35" borderId="4" applyNumberFormat="0" applyProtection="0">
      <alignment horizontal="left" vertical="top" indent="1"/>
    </xf>
    <xf numFmtId="0" fontId="17" fillId="35" borderId="4" applyNumberFormat="0" applyProtection="0">
      <alignment horizontal="left" vertical="top" indent="1"/>
    </xf>
    <xf numFmtId="0" fontId="15" fillId="35" borderId="4" applyNumberFormat="0" applyProtection="0">
      <alignment horizontal="left" vertical="top" indent="1"/>
    </xf>
    <xf numFmtId="0" fontId="15" fillId="35" borderId="4" applyNumberFormat="0" applyProtection="0">
      <alignment horizontal="left" vertical="top" indent="1"/>
    </xf>
    <xf numFmtId="0" fontId="15" fillId="35" borderId="4" applyNumberFormat="0" applyProtection="0">
      <alignment horizontal="left" vertical="top" indent="1"/>
    </xf>
    <xf numFmtId="0" fontId="12" fillId="40" borderId="3" applyNumberFormat="0" applyProtection="0">
      <alignment horizontal="left" vertical="center" indent="1"/>
    </xf>
    <xf numFmtId="0" fontId="15" fillId="41" borderId="3" applyNumberFormat="0" applyProtection="0">
      <alignment horizontal="left" vertical="center" indent="1"/>
    </xf>
    <xf numFmtId="0" fontId="15" fillId="41" borderId="3" applyNumberFormat="0" applyProtection="0">
      <alignment horizontal="left" vertical="center" indent="1"/>
    </xf>
    <xf numFmtId="0" fontId="15" fillId="41" borderId="3" applyNumberFormat="0" applyProtection="0">
      <alignment horizontal="left" vertical="center" indent="1"/>
    </xf>
    <xf numFmtId="0" fontId="15" fillId="41" borderId="3" applyNumberFormat="0" applyProtection="0">
      <alignment horizontal="left" vertical="center" indent="1"/>
    </xf>
    <xf numFmtId="0" fontId="12" fillId="40" borderId="3" applyNumberFormat="0" applyProtection="0">
      <alignment horizontal="left" vertical="center" indent="1"/>
    </xf>
    <xf numFmtId="0" fontId="12" fillId="40" borderId="3" applyNumberFormat="0" applyProtection="0">
      <alignment horizontal="left" vertical="center" indent="1"/>
    </xf>
    <xf numFmtId="0" fontId="12" fillId="40" borderId="3" applyNumberFormat="0" applyProtection="0">
      <alignment horizontal="left" vertical="center" indent="1"/>
    </xf>
    <xf numFmtId="0" fontId="15" fillId="36" borderId="4" applyNumberFormat="0" applyProtection="0">
      <alignment horizontal="left" vertical="top" indent="1"/>
    </xf>
    <xf numFmtId="0" fontId="17" fillId="36" borderId="4" applyNumberFormat="0" applyProtection="0">
      <alignment horizontal="left" vertical="top" indent="1"/>
    </xf>
    <xf numFmtId="0" fontId="17" fillId="36" borderId="4" applyNumberFormat="0" applyProtection="0">
      <alignment horizontal="left" vertical="top" indent="1"/>
    </xf>
    <xf numFmtId="0" fontId="17" fillId="36" borderId="4" applyNumberFormat="0" applyProtection="0">
      <alignment horizontal="left" vertical="top" indent="1"/>
    </xf>
    <xf numFmtId="0" fontId="17" fillId="36" borderId="4" applyNumberFormat="0" applyProtection="0">
      <alignment horizontal="left" vertical="top" indent="1"/>
    </xf>
    <xf numFmtId="0" fontId="17" fillId="36" borderId="4" applyNumberFormat="0" applyProtection="0">
      <alignment horizontal="left" vertical="top" indent="1"/>
    </xf>
    <xf numFmtId="0" fontId="15" fillId="36" borderId="4" applyNumberFormat="0" applyProtection="0">
      <alignment horizontal="left" vertical="top" indent="1"/>
    </xf>
    <xf numFmtId="0" fontId="15" fillId="36" borderId="4" applyNumberFormat="0" applyProtection="0">
      <alignment horizontal="left" vertical="top" indent="1"/>
    </xf>
    <xf numFmtId="0" fontId="15" fillId="36" borderId="4" applyNumberFormat="0" applyProtection="0">
      <alignment horizontal="left" vertical="top" indent="1"/>
    </xf>
    <xf numFmtId="0" fontId="12" fillId="42" borderId="3" applyNumberFormat="0" applyProtection="0">
      <alignment horizontal="left" vertical="center" indent="1"/>
    </xf>
    <xf numFmtId="0" fontId="15" fillId="43" borderId="3" applyNumberFormat="0" applyProtection="0">
      <alignment horizontal="left" vertical="center" indent="1"/>
    </xf>
    <xf numFmtId="0" fontId="15" fillId="43" borderId="3" applyNumberFormat="0" applyProtection="0">
      <alignment horizontal="left" vertical="center" indent="1"/>
    </xf>
    <xf numFmtId="0" fontId="15" fillId="43" borderId="3" applyNumberFormat="0" applyProtection="0">
      <alignment horizontal="left" vertical="center" indent="1"/>
    </xf>
    <xf numFmtId="0" fontId="15" fillId="43" borderId="3" applyNumberFormat="0" applyProtection="0">
      <alignment horizontal="left" vertical="center" indent="1"/>
    </xf>
    <xf numFmtId="0" fontId="12" fillId="42" borderId="3" applyNumberFormat="0" applyProtection="0">
      <alignment horizontal="left" vertical="center" indent="1"/>
    </xf>
    <xf numFmtId="0" fontId="12" fillId="42" borderId="3" applyNumberFormat="0" applyProtection="0">
      <alignment horizontal="left" vertical="center" indent="1"/>
    </xf>
    <xf numFmtId="0" fontId="12" fillId="42" borderId="3" applyNumberFormat="0" applyProtection="0">
      <alignment horizontal="left" vertical="center" indent="1"/>
    </xf>
    <xf numFmtId="0" fontId="15" fillId="43" borderId="4" applyNumberFormat="0" applyProtection="0">
      <alignment horizontal="left" vertical="top" indent="1"/>
    </xf>
    <xf numFmtId="0" fontId="17" fillId="43" borderId="4" applyNumberFormat="0" applyProtection="0">
      <alignment horizontal="left" vertical="top" indent="1"/>
    </xf>
    <xf numFmtId="0" fontId="17" fillId="43" borderId="4" applyNumberFormat="0" applyProtection="0">
      <alignment horizontal="left" vertical="top" indent="1"/>
    </xf>
    <xf numFmtId="0" fontId="17" fillId="43" borderId="4" applyNumberFormat="0" applyProtection="0">
      <alignment horizontal="left" vertical="top" indent="1"/>
    </xf>
    <xf numFmtId="0" fontId="17" fillId="43" borderId="4" applyNumberFormat="0" applyProtection="0">
      <alignment horizontal="left" vertical="top" indent="1"/>
    </xf>
    <xf numFmtId="0" fontId="17" fillId="43" borderId="4" applyNumberFormat="0" applyProtection="0">
      <alignment horizontal="left" vertical="top" indent="1"/>
    </xf>
    <xf numFmtId="0" fontId="15" fillId="43" borderId="4" applyNumberFormat="0" applyProtection="0">
      <alignment horizontal="left" vertical="top" indent="1"/>
    </xf>
    <xf numFmtId="0" fontId="15" fillId="43" borderId="4" applyNumberFormat="0" applyProtection="0">
      <alignment horizontal="left" vertical="top" indent="1"/>
    </xf>
    <xf numFmtId="0" fontId="15" fillId="43" borderId="4" applyNumberFormat="0" applyProtection="0">
      <alignment horizontal="left" vertical="top" indent="1"/>
    </xf>
    <xf numFmtId="0" fontId="15" fillId="0" borderId="3" applyNumberFormat="0" applyProtection="0">
      <alignment horizontal="left" vertical="center" indent="1"/>
    </xf>
    <xf numFmtId="0" fontId="15" fillId="37" borderId="3" applyNumberFormat="0" applyProtection="0">
      <alignment horizontal="left" vertical="center" indent="1"/>
    </xf>
    <xf numFmtId="0" fontId="15" fillId="37" borderId="3" applyNumberFormat="0" applyProtection="0">
      <alignment horizontal="left" vertical="center" indent="1"/>
    </xf>
    <xf numFmtId="0" fontId="15" fillId="37" borderId="3" applyNumberFormat="0" applyProtection="0">
      <alignment horizontal="left" vertical="center" indent="1"/>
    </xf>
    <xf numFmtId="0" fontId="15" fillId="37" borderId="3" applyNumberFormat="0" applyProtection="0">
      <alignment horizontal="left" vertical="center" indent="1"/>
    </xf>
    <xf numFmtId="0" fontId="15" fillId="0" borderId="3" applyNumberFormat="0" applyProtection="0">
      <alignment horizontal="left" vertical="center" indent="1"/>
    </xf>
    <xf numFmtId="0" fontId="15" fillId="0" borderId="3" applyNumberFormat="0" applyProtection="0">
      <alignment horizontal="left" vertical="center" indent="1"/>
    </xf>
    <xf numFmtId="0" fontId="15" fillId="0" borderId="3" applyNumberFormat="0" applyProtection="0">
      <alignment horizontal="left" vertical="center" indent="1"/>
    </xf>
    <xf numFmtId="0" fontId="15" fillId="37" borderId="4" applyNumberFormat="0" applyProtection="0">
      <alignment horizontal="left" vertical="top" indent="1"/>
    </xf>
    <xf numFmtId="0" fontId="17" fillId="37" borderId="4" applyNumberFormat="0" applyProtection="0">
      <alignment horizontal="left" vertical="top" indent="1"/>
    </xf>
    <xf numFmtId="0" fontId="17" fillId="37" borderId="4" applyNumberFormat="0" applyProtection="0">
      <alignment horizontal="left" vertical="top" indent="1"/>
    </xf>
    <xf numFmtId="0" fontId="17" fillId="37" borderId="4" applyNumberFormat="0" applyProtection="0">
      <alignment horizontal="left" vertical="top" indent="1"/>
    </xf>
    <xf numFmtId="0" fontId="17" fillId="37" borderId="4" applyNumberFormat="0" applyProtection="0">
      <alignment horizontal="left" vertical="top" indent="1"/>
    </xf>
    <xf numFmtId="0" fontId="17" fillId="37" borderId="4" applyNumberFormat="0" applyProtection="0">
      <alignment horizontal="left" vertical="top" indent="1"/>
    </xf>
    <xf numFmtId="0" fontId="15" fillId="37" borderId="4" applyNumberFormat="0" applyProtection="0">
      <alignment horizontal="left" vertical="top" indent="1"/>
    </xf>
    <xf numFmtId="0" fontId="15" fillId="37" borderId="4" applyNumberFormat="0" applyProtection="0">
      <alignment horizontal="left" vertical="top" indent="1"/>
    </xf>
    <xf numFmtId="0" fontId="15" fillId="37" borderId="4" applyNumberFormat="0" applyProtection="0">
      <alignment horizontal="left" vertical="top" indent="1"/>
    </xf>
    <xf numFmtId="0" fontId="15" fillId="44" borderId="6" applyNumberFormat="0">
      <protection locked="0"/>
    </xf>
    <xf numFmtId="0" fontId="17" fillId="44" borderId="6" applyNumberFormat="0">
      <protection locked="0"/>
    </xf>
    <xf numFmtId="0" fontId="17" fillId="44" borderId="6" applyNumberFormat="0">
      <protection locked="0"/>
    </xf>
    <xf numFmtId="0" fontId="12" fillId="35" borderId="7" applyBorder="0"/>
    <xf numFmtId="0" fontId="12" fillId="35" borderId="7" applyBorder="0"/>
    <xf numFmtId="0" fontId="12" fillId="35" borderId="7" applyBorder="0"/>
    <xf numFmtId="0" fontId="12" fillId="35" borderId="7" applyBorder="0"/>
    <xf numFmtId="4" fontId="18" fillId="45" borderId="4" applyNumberFormat="0" applyProtection="0">
      <alignment vertical="center"/>
    </xf>
    <xf numFmtId="4" fontId="18" fillId="45" borderId="4" applyNumberFormat="0" applyProtection="0">
      <alignment vertical="center"/>
    </xf>
    <xf numFmtId="4" fontId="18" fillId="45" borderId="4" applyNumberFormat="0" applyProtection="0">
      <alignment vertical="center"/>
    </xf>
    <xf numFmtId="4" fontId="18" fillId="45" borderId="4" applyNumberFormat="0" applyProtection="0">
      <alignment vertical="center"/>
    </xf>
    <xf numFmtId="4" fontId="13" fillId="46" borderId="1" applyNumberFormat="0" applyProtection="0">
      <alignment vertical="center"/>
    </xf>
    <xf numFmtId="4" fontId="13" fillId="46" borderId="1" applyNumberFormat="0" applyProtection="0">
      <alignment vertical="center"/>
    </xf>
    <xf numFmtId="4" fontId="13" fillId="46" borderId="1" applyNumberFormat="0" applyProtection="0">
      <alignment vertical="center"/>
    </xf>
    <xf numFmtId="4" fontId="13" fillId="46" borderId="1" applyNumberFormat="0" applyProtection="0">
      <alignment vertical="center"/>
    </xf>
    <xf numFmtId="4" fontId="18" fillId="39" borderId="4" applyNumberFormat="0" applyProtection="0">
      <alignment horizontal="left" vertical="center" indent="1"/>
    </xf>
    <xf numFmtId="4" fontId="18" fillId="39" borderId="4" applyNumberFormat="0" applyProtection="0">
      <alignment horizontal="left" vertical="center" indent="1"/>
    </xf>
    <xf numFmtId="4" fontId="18" fillId="39" borderId="4" applyNumberFormat="0" applyProtection="0">
      <alignment horizontal="left" vertical="center" indent="1"/>
    </xf>
    <xf numFmtId="4" fontId="18" fillId="39" borderId="4" applyNumberFormat="0" applyProtection="0">
      <alignment horizontal="left" vertical="center" indent="1"/>
    </xf>
    <xf numFmtId="0" fontId="18" fillId="45" borderId="4" applyNumberFormat="0" applyProtection="0">
      <alignment horizontal="left" vertical="top" indent="1"/>
    </xf>
    <xf numFmtId="0" fontId="18" fillId="45" borderId="4" applyNumberFormat="0" applyProtection="0">
      <alignment horizontal="left" vertical="top" indent="1"/>
    </xf>
    <xf numFmtId="0" fontId="18" fillId="45" borderId="4" applyNumberFormat="0" applyProtection="0">
      <alignment horizontal="left" vertical="top" indent="1"/>
    </xf>
    <xf numFmtId="0" fontId="18" fillId="45" borderId="4" applyNumberFormat="0" applyProtection="0">
      <alignment horizontal="left" vertical="top" indent="1"/>
    </xf>
    <xf numFmtId="4" fontId="15" fillId="0" borderId="3" applyNumberFormat="0" applyProtection="0">
      <alignment horizontal="right" vertical="center"/>
    </xf>
    <xf numFmtId="4" fontId="15" fillId="0" borderId="3" applyNumberFormat="0" applyProtection="0">
      <alignment horizontal="right" vertical="center"/>
    </xf>
    <xf numFmtId="4" fontId="15" fillId="0" borderId="3" applyNumberFormat="0" applyProtection="0">
      <alignment horizontal="right" vertical="center"/>
    </xf>
    <xf numFmtId="4" fontId="15" fillId="0" borderId="3" applyNumberFormat="0" applyProtection="0">
      <alignment horizontal="right" vertical="center"/>
    </xf>
    <xf numFmtId="4" fontId="15" fillId="0" borderId="3" applyNumberFormat="0" applyProtection="0">
      <alignment horizontal="right" vertical="center"/>
    </xf>
    <xf numFmtId="4" fontId="15" fillId="0" borderId="3" applyNumberFormat="0" applyProtection="0">
      <alignment horizontal="right" vertical="center"/>
    </xf>
    <xf numFmtId="4" fontId="15" fillId="0" borderId="3" applyNumberFormat="0" applyProtection="0">
      <alignment horizontal="right" vertical="center"/>
    </xf>
    <xf numFmtId="4" fontId="15" fillId="0" borderId="3" applyNumberFormat="0" applyProtection="0">
      <alignment horizontal="right" vertical="center"/>
    </xf>
    <xf numFmtId="4" fontId="13" fillId="47" borderId="3" applyNumberFormat="0" applyProtection="0">
      <alignment horizontal="right" vertical="center"/>
    </xf>
    <xf numFmtId="4" fontId="13" fillId="47" borderId="3" applyNumberFormat="0" applyProtection="0">
      <alignment horizontal="right" vertical="center"/>
    </xf>
    <xf numFmtId="4" fontId="13" fillId="47" borderId="3" applyNumberFormat="0" applyProtection="0">
      <alignment horizontal="right" vertical="center"/>
    </xf>
    <xf numFmtId="4" fontId="13" fillId="47" borderId="3" applyNumberFormat="0" applyProtection="0">
      <alignment horizontal="right" vertical="center"/>
    </xf>
    <xf numFmtId="4" fontId="15" fillId="48" borderId="3" applyNumberFormat="0" applyProtection="0">
      <alignment horizontal="left" vertical="center" indent="1"/>
    </xf>
    <xf numFmtId="4" fontId="15" fillId="49" borderId="3" applyNumberFormat="0" applyProtection="0">
      <alignment horizontal="left" vertical="center" indent="1"/>
    </xf>
    <xf numFmtId="4" fontId="15" fillId="49" borderId="3" applyNumberFormat="0" applyProtection="0">
      <alignment horizontal="left" vertical="center" indent="1"/>
    </xf>
    <xf numFmtId="4" fontId="15" fillId="49" borderId="3" applyNumberFormat="0" applyProtection="0">
      <alignment horizontal="left" vertical="center" indent="1"/>
    </xf>
    <xf numFmtId="4" fontId="15" fillId="49" borderId="3" applyNumberFormat="0" applyProtection="0">
      <alignment horizontal="left" vertical="center" indent="1"/>
    </xf>
    <xf numFmtId="4" fontId="15" fillId="48" borderId="3" applyNumberFormat="0" applyProtection="0">
      <alignment horizontal="left" vertical="center" indent="1"/>
    </xf>
    <xf numFmtId="4" fontId="15" fillId="48" borderId="3" applyNumberFormat="0" applyProtection="0">
      <alignment horizontal="left" vertical="center" indent="1"/>
    </xf>
    <xf numFmtId="4" fontId="15" fillId="48" borderId="3" applyNumberFormat="0" applyProtection="0">
      <alignment horizontal="left" vertical="center" indent="1"/>
    </xf>
    <xf numFmtId="4" fontId="15" fillId="48" borderId="3" applyNumberFormat="0" applyProtection="0">
      <alignment horizontal="left" vertical="center" indent="1"/>
    </xf>
    <xf numFmtId="0" fontId="18" fillId="36" borderId="4" applyNumberFormat="0" applyProtection="0">
      <alignment horizontal="left" vertical="top" indent="1"/>
    </xf>
    <xf numFmtId="0" fontId="18" fillId="36" borderId="4" applyNumberFormat="0" applyProtection="0">
      <alignment horizontal="left" vertical="top" indent="1"/>
    </xf>
    <xf numFmtId="0" fontId="18" fillId="36" borderId="4" applyNumberFormat="0" applyProtection="0">
      <alignment horizontal="left" vertical="top" indent="1"/>
    </xf>
    <xf numFmtId="0" fontId="18" fillId="36" borderId="4" applyNumberFormat="0" applyProtection="0">
      <alignment horizontal="left" vertical="top" indent="1"/>
    </xf>
    <xf numFmtId="4" fontId="19" fillId="50" borderId="5" applyNumberFormat="0" applyProtection="0">
      <alignment horizontal="left" vertical="center" indent="1"/>
    </xf>
    <xf numFmtId="4" fontId="19" fillId="50" borderId="5" applyNumberFormat="0" applyProtection="0">
      <alignment horizontal="left" vertical="center" indent="1"/>
    </xf>
    <xf numFmtId="4" fontId="19" fillId="50" borderId="5" applyNumberFormat="0" applyProtection="0">
      <alignment horizontal="left" vertical="center" indent="1"/>
    </xf>
    <xf numFmtId="4" fontId="19" fillId="50" borderId="5" applyNumberFormat="0" applyProtection="0">
      <alignment horizontal="left" vertical="center" indent="1"/>
    </xf>
    <xf numFmtId="0" fontId="15" fillId="51" borderId="1"/>
    <xf numFmtId="0" fontId="15" fillId="51" borderId="1"/>
    <xf numFmtId="0" fontId="15" fillId="51" borderId="1"/>
    <xf numFmtId="0" fontId="15" fillId="51" borderId="1"/>
    <xf numFmtId="0" fontId="15" fillId="51" borderId="1"/>
    <xf numFmtId="0" fontId="15" fillId="51" borderId="1"/>
    <xf numFmtId="0" fontId="15" fillId="51" borderId="1"/>
    <xf numFmtId="0" fontId="15" fillId="51" borderId="1"/>
    <xf numFmtId="4" fontId="20" fillId="44" borderId="3" applyNumberFormat="0" applyProtection="0">
      <alignment horizontal="right" vertical="center"/>
    </xf>
    <xf numFmtId="4" fontId="20" fillId="44" borderId="3" applyNumberFormat="0" applyProtection="0">
      <alignment horizontal="right" vertical="center"/>
    </xf>
    <xf numFmtId="4" fontId="20" fillId="44" borderId="3" applyNumberFormat="0" applyProtection="0">
      <alignment horizontal="right" vertical="center"/>
    </xf>
    <xf numFmtId="4" fontId="20" fillId="44" borderId="3" applyNumberFormat="0" applyProtection="0">
      <alignment horizontal="right" vertical="center"/>
    </xf>
    <xf numFmtId="0" fontId="21" fillId="0" borderId="0" applyNumberFormat="0" applyFill="0" applyBorder="0" applyAlignment="0" applyProtection="0"/>
    <xf numFmtId="0" fontId="22" fillId="0" borderId="8">
      <alignment horizontal="right" vertical="top"/>
      <protection locked="0"/>
    </xf>
    <xf numFmtId="0" fontId="3" fillId="52" borderId="0" applyNumberFormat="0" applyBorder="0" applyAlignment="0" applyProtection="0"/>
    <xf numFmtId="0" fontId="3" fillId="53" borderId="0" applyNumberFormat="0" applyBorder="0" applyAlignment="0" applyProtection="0"/>
    <xf numFmtId="0" fontId="3" fillId="54" borderId="0" applyNumberFormat="0" applyBorder="0" applyAlignment="0" applyProtection="0"/>
    <xf numFmtId="0" fontId="3" fillId="55" borderId="0" applyNumberFormat="0" applyBorder="0" applyAlignment="0" applyProtection="0"/>
    <xf numFmtId="0" fontId="3" fillId="4" borderId="0" applyNumberFormat="0" applyBorder="0" applyAlignment="0" applyProtection="0"/>
    <xf numFmtId="0" fontId="3" fillId="56" borderId="0" applyNumberFormat="0" applyBorder="0" applyAlignment="0" applyProtection="0"/>
    <xf numFmtId="0" fontId="23" fillId="15" borderId="3" applyNumberFormat="0" applyAlignment="0" applyProtection="0"/>
    <xf numFmtId="0" fontId="23" fillId="15" borderId="3" applyNumberFormat="0" applyAlignment="0" applyProtection="0"/>
    <xf numFmtId="0" fontId="23" fillId="15" borderId="3" applyNumberFormat="0" applyAlignment="0" applyProtection="0"/>
    <xf numFmtId="0" fontId="23" fillId="15" borderId="3" applyNumberFormat="0" applyAlignment="0" applyProtection="0"/>
    <xf numFmtId="0" fontId="24" fillId="57" borderId="9" applyNumberFormat="0" applyAlignment="0" applyProtection="0"/>
    <xf numFmtId="0" fontId="24" fillId="57" borderId="9" applyNumberFormat="0" applyAlignment="0" applyProtection="0"/>
    <xf numFmtId="0" fontId="24" fillId="57" borderId="9" applyNumberFormat="0" applyAlignment="0" applyProtection="0"/>
    <xf numFmtId="0" fontId="24" fillId="57" borderId="9" applyNumberFormat="0" applyAlignment="0" applyProtection="0"/>
    <xf numFmtId="0" fontId="25" fillId="57" borderId="3" applyNumberFormat="0" applyAlignment="0" applyProtection="0"/>
    <xf numFmtId="0" fontId="25" fillId="57" borderId="3" applyNumberFormat="0" applyAlignment="0" applyProtection="0"/>
    <xf numFmtId="0" fontId="25" fillId="57" borderId="3" applyNumberFormat="0" applyAlignment="0" applyProtection="0"/>
    <xf numFmtId="0" fontId="25" fillId="57" borderId="3" applyNumberFormat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0" fontId="27" fillId="0" borderId="10" applyNumberFormat="0" applyFill="0" applyAlignment="0" applyProtection="0"/>
    <xf numFmtId="0" fontId="28" fillId="0" borderId="11" applyNumberFormat="0" applyFill="0" applyAlignment="0" applyProtection="0"/>
    <xf numFmtId="0" fontId="29" fillId="0" borderId="12" applyNumberFormat="0" applyFill="0" applyAlignment="0" applyProtection="0"/>
    <xf numFmtId="0" fontId="29" fillId="0" borderId="0" applyNumberFormat="0" applyFill="0" applyBorder="0" applyAlignment="0" applyProtection="0"/>
    <xf numFmtId="0" fontId="9" fillId="0" borderId="13" applyNumberFormat="0" applyFill="0" applyAlignment="0" applyProtection="0"/>
    <xf numFmtId="0" fontId="9" fillId="0" borderId="13" applyNumberFormat="0" applyFill="0" applyAlignment="0" applyProtection="0"/>
    <xf numFmtId="0" fontId="9" fillId="0" borderId="13" applyNumberFormat="0" applyFill="0" applyAlignment="0" applyProtection="0"/>
    <xf numFmtId="0" fontId="9" fillId="0" borderId="13" applyNumberFormat="0" applyFill="0" applyAlignment="0" applyProtection="0"/>
    <xf numFmtId="0" fontId="30" fillId="55" borderId="14" applyNumberFormat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3" fillId="0" borderId="0"/>
    <xf numFmtId="0" fontId="34" fillId="0" borderId="0"/>
    <xf numFmtId="0" fontId="8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58" borderId="0"/>
    <xf numFmtId="0" fontId="17" fillId="58" borderId="0"/>
    <xf numFmtId="0" fontId="1" fillId="0" borderId="0"/>
    <xf numFmtId="0" fontId="1" fillId="0" borderId="0"/>
    <xf numFmtId="0" fontId="1" fillId="0" borderId="0"/>
    <xf numFmtId="0" fontId="1" fillId="0" borderId="0"/>
    <xf numFmtId="0" fontId="36" fillId="0" borderId="0">
      <alignment vertical="top"/>
      <protection locked="0"/>
    </xf>
    <xf numFmtId="0" fontId="37" fillId="0" borderId="0"/>
    <xf numFmtId="0" fontId="37" fillId="0" borderId="0"/>
    <xf numFmtId="0" fontId="36" fillId="0" borderId="0">
      <alignment vertical="top"/>
      <protection locked="0"/>
    </xf>
    <xf numFmtId="0" fontId="37" fillId="0" borderId="0"/>
    <xf numFmtId="0" fontId="37" fillId="0" borderId="0"/>
    <xf numFmtId="0" fontId="17" fillId="58" borderId="0"/>
    <xf numFmtId="0" fontId="33" fillId="0" borderId="0"/>
    <xf numFmtId="0" fontId="38" fillId="0" borderId="0"/>
    <xf numFmtId="0" fontId="17" fillId="59" borderId="0"/>
    <xf numFmtId="0" fontId="17" fillId="59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37" fillId="0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39" fillId="0" borderId="0"/>
    <xf numFmtId="0" fontId="1" fillId="0" borderId="0"/>
    <xf numFmtId="0" fontId="1" fillId="0" borderId="0"/>
    <xf numFmtId="0" fontId="33" fillId="0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1" fillId="0" borderId="0"/>
    <xf numFmtId="0" fontId="40" fillId="0" borderId="0"/>
    <xf numFmtId="0" fontId="1" fillId="0" borderId="0"/>
    <xf numFmtId="0" fontId="17" fillId="59" borderId="0"/>
    <xf numFmtId="0" fontId="1" fillId="0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36" fillId="0" borderId="0" applyNumberFormat="0" applyFont="0" applyFill="0" applyBorder="0" applyAlignment="0" applyProtection="0">
      <alignment vertical="top"/>
    </xf>
    <xf numFmtId="0" fontId="41" fillId="0" borderId="0"/>
    <xf numFmtId="0" fontId="36" fillId="0" borderId="0" applyNumberFormat="0" applyFont="0" applyFill="0" applyBorder="0" applyAlignment="0" applyProtection="0">
      <alignment vertical="top"/>
    </xf>
    <xf numFmtId="0" fontId="17" fillId="59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36" fillId="0" borderId="0">
      <alignment vertical="top"/>
      <protection locked="0"/>
    </xf>
    <xf numFmtId="0" fontId="36" fillId="0" borderId="0">
      <alignment vertical="top"/>
      <protection locked="0"/>
    </xf>
    <xf numFmtId="0" fontId="36" fillId="0" borderId="0">
      <alignment vertical="top"/>
      <protection locked="0"/>
    </xf>
    <xf numFmtId="0" fontId="36" fillId="0" borderId="0" applyNumberFormat="0" applyFont="0" applyFill="0" applyBorder="0" applyAlignment="0" applyProtection="0">
      <alignment vertical="top"/>
    </xf>
    <xf numFmtId="0" fontId="36" fillId="0" borderId="0" applyNumberFormat="0" applyFont="0" applyFill="0" applyBorder="0" applyAlignment="0" applyProtection="0">
      <alignment vertical="top"/>
    </xf>
    <xf numFmtId="0" fontId="36" fillId="0" borderId="0" applyNumberFormat="0" applyFont="0" applyFill="0" applyBorder="0" applyAlignment="0" applyProtection="0">
      <alignment vertical="top"/>
    </xf>
    <xf numFmtId="0" fontId="37" fillId="0" borderId="0"/>
    <xf numFmtId="0" fontId="37" fillId="0" borderId="0"/>
    <xf numFmtId="0" fontId="41" fillId="0" borderId="0"/>
    <xf numFmtId="0" fontId="36" fillId="0" borderId="0">
      <alignment vertical="top"/>
      <protection locked="0"/>
    </xf>
    <xf numFmtId="0" fontId="42" fillId="14" borderId="0" applyNumberFormat="0" applyBorder="0" applyAlignment="0" applyProtection="0"/>
    <xf numFmtId="0" fontId="17" fillId="14" borderId="3" applyNumberFormat="0" applyFont="0" applyAlignment="0" applyProtection="0"/>
    <xf numFmtId="0" fontId="17" fillId="14" borderId="3" applyNumberFormat="0" applyFont="0" applyAlignment="0" applyProtection="0"/>
    <xf numFmtId="0" fontId="17" fillId="14" borderId="3" applyNumberFormat="0" applyFont="0" applyAlignment="0" applyProtection="0"/>
    <xf numFmtId="0" fontId="17" fillId="14" borderId="3" applyNumberFormat="0" applyFont="0" applyAlignment="0" applyProtection="0"/>
    <xf numFmtId="0" fontId="17" fillId="14" borderId="3" applyNumberFormat="0" applyFont="0" applyAlignment="0" applyProtection="0"/>
    <xf numFmtId="0" fontId="15" fillId="14" borderId="3" applyNumberFormat="0" applyFont="0" applyAlignment="0" applyProtection="0"/>
    <xf numFmtId="0" fontId="15" fillId="14" borderId="3" applyNumberFormat="0" applyFont="0" applyAlignment="0" applyProtection="0"/>
    <xf numFmtId="0" fontId="15" fillId="14" borderId="3" applyNumberFormat="0" applyFont="0" applyAlignment="0" applyProtection="0"/>
    <xf numFmtId="0" fontId="15" fillId="14" borderId="3" applyNumberFormat="0" applyFont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31" fillId="0" borderId="15" applyNumberFormat="0" applyFill="0" applyAlignment="0" applyProtection="0"/>
    <xf numFmtId="0" fontId="43" fillId="0" borderId="0"/>
    <xf numFmtId="0" fontId="44" fillId="0" borderId="0" applyNumberFormat="0" applyFill="0" applyBorder="0" applyAlignment="0" applyProtection="0"/>
    <xf numFmtId="165" fontId="45" fillId="0" borderId="0" applyFont="0" applyFill="0" applyBorder="0" applyAlignment="0" applyProtection="0"/>
    <xf numFmtId="166" fontId="45" fillId="0" borderId="0" applyFont="0" applyFill="0" applyBorder="0" applyAlignment="0" applyProtection="0"/>
    <xf numFmtId="167" fontId="37" fillId="0" borderId="0" applyFont="0" applyFill="0" applyBorder="0" applyAlignment="0" applyProtection="0"/>
    <xf numFmtId="167" fontId="37" fillId="0" borderId="0" applyFont="0" applyFill="0" applyBorder="0" applyAlignment="0" applyProtection="0"/>
    <xf numFmtId="167" fontId="38" fillId="0" borderId="0" applyFont="0" applyFill="0" applyBorder="0" applyAlignment="0" applyProtection="0"/>
    <xf numFmtId="167" fontId="38" fillId="0" borderId="0" applyFont="0" applyFill="0" applyBorder="0" applyAlignment="0" applyProtection="0"/>
    <xf numFmtId="167" fontId="38" fillId="0" borderId="0" applyFont="0" applyFill="0" applyBorder="0" applyAlignment="0" applyProtection="0"/>
    <xf numFmtId="167" fontId="38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1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0" fillId="0" borderId="0" xfId="0" applyAlignment="1">
      <alignment horizontal="center" vertical="center"/>
    </xf>
    <xf numFmtId="0" fontId="0" fillId="0" borderId="20" xfId="0" applyBorder="1"/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left" vertical="center" wrapText="1"/>
    </xf>
    <xf numFmtId="164" fontId="47" fillId="0" borderId="21" xfId="1" applyFont="1" applyFill="1" applyBorder="1" applyAlignment="1">
      <alignment horizontal="center" vertical="center" wrapText="1"/>
    </xf>
    <xf numFmtId="164" fontId="47" fillId="0" borderId="22" xfId="1" applyFont="1" applyFill="1" applyBorder="1" applyAlignment="1">
      <alignment horizontal="center" vertical="center" wrapText="1"/>
    </xf>
    <xf numFmtId="0" fontId="47" fillId="0" borderId="22" xfId="0" applyFont="1" applyBorder="1" applyAlignment="1">
      <alignment horizontal="center" vertical="center" wrapText="1"/>
    </xf>
    <xf numFmtId="164" fontId="47" fillId="0" borderId="23" xfId="1" applyFont="1" applyFill="1" applyBorder="1" applyAlignment="1">
      <alignment horizontal="center" vertical="center" wrapText="1"/>
    </xf>
    <xf numFmtId="0" fontId="48" fillId="0" borderId="21" xfId="0" applyFont="1" applyBorder="1" applyAlignment="1">
      <alignment vertical="center" wrapText="1"/>
    </xf>
    <xf numFmtId="0" fontId="48" fillId="0" borderId="22" xfId="0" applyFont="1" applyBorder="1" applyAlignment="1">
      <alignment horizontal="center" vertical="center" wrapText="1"/>
    </xf>
    <xf numFmtId="0" fontId="48" fillId="0" borderId="23" xfId="0" applyFont="1" applyBorder="1" applyAlignment="1">
      <alignment horizontal="center" vertical="center" wrapText="1"/>
    </xf>
    <xf numFmtId="0" fontId="48" fillId="0" borderId="32" xfId="0" applyFont="1" applyBorder="1" applyAlignment="1">
      <alignment horizontal="center" vertical="center" wrapText="1"/>
    </xf>
    <xf numFmtId="0" fontId="49" fillId="63" borderId="17" xfId="0" applyFont="1" applyFill="1" applyBorder="1" applyAlignment="1">
      <alignment horizontal="center" vertical="center"/>
    </xf>
    <xf numFmtId="0" fontId="48" fillId="0" borderId="33" xfId="0" applyFont="1" applyBorder="1" applyAlignment="1">
      <alignment horizontal="center" vertical="center" wrapText="1"/>
    </xf>
    <xf numFmtId="0" fontId="0" fillId="0" borderId="34" xfId="0" applyBorder="1" applyAlignment="1">
      <alignment vertical="center"/>
    </xf>
    <xf numFmtId="3" fontId="0" fillId="0" borderId="30" xfId="0" applyNumberFormat="1" applyBorder="1" applyAlignment="1">
      <alignment horizontal="center" vertical="center"/>
    </xf>
    <xf numFmtId="3" fontId="0" fillId="0" borderId="31" xfId="0" applyNumberFormat="1" applyBorder="1" applyAlignment="1">
      <alignment horizontal="center" vertical="center"/>
    </xf>
    <xf numFmtId="3" fontId="0" fillId="0" borderId="31" xfId="0" applyNumberFormat="1" applyBorder="1" applyAlignment="1">
      <alignment horizontal="center" vertical="center" wrapText="1"/>
    </xf>
    <xf numFmtId="0" fontId="0" fillId="0" borderId="28" xfId="0" applyBorder="1"/>
    <xf numFmtId="0" fontId="0" fillId="0" borderId="34" xfId="0" applyBorder="1"/>
    <xf numFmtId="0" fontId="0" fillId="0" borderId="34" xfId="0" applyBorder="1" applyAlignment="1">
      <alignment horizontal="left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4" fontId="0" fillId="0" borderId="19" xfId="0" applyNumberFormat="1" applyBorder="1" applyAlignment="1">
      <alignment horizontal="center" vertical="center"/>
    </xf>
    <xf numFmtId="0" fontId="0" fillId="0" borderId="34" xfId="0" applyBorder="1" applyAlignment="1">
      <alignment horizontal="left" vertical="center" wrapText="1"/>
    </xf>
    <xf numFmtId="3" fontId="0" fillId="0" borderId="35" xfId="0" applyNumberFormat="1" applyBorder="1" applyAlignment="1">
      <alignment horizontal="center" vertical="center"/>
    </xf>
    <xf numFmtId="4" fontId="0" fillId="0" borderId="34" xfId="0" applyNumberFormat="1" applyBorder="1"/>
    <xf numFmtId="169" fontId="0" fillId="0" borderId="0" xfId="0" applyNumberFormat="1"/>
    <xf numFmtId="170" fontId="0" fillId="0" borderId="34" xfId="477" applyNumberFormat="1" applyFont="1" applyFill="1" applyBorder="1"/>
    <xf numFmtId="0" fontId="48" fillId="60" borderId="36" xfId="0" applyFont="1" applyFill="1" applyBorder="1" applyAlignment="1">
      <alignment horizontal="center" vertical="center" wrapText="1"/>
    </xf>
    <xf numFmtId="0" fontId="48" fillId="60" borderId="37" xfId="0" applyFont="1" applyFill="1" applyBorder="1" applyAlignment="1">
      <alignment horizontal="center" vertical="center" wrapText="1"/>
    </xf>
    <xf numFmtId="170" fontId="50" fillId="0" borderId="38" xfId="0" applyNumberFormat="1" applyFont="1" applyBorder="1" applyAlignment="1">
      <alignment horizontal="center" vertical="center"/>
    </xf>
    <xf numFmtId="170" fontId="50" fillId="64" borderId="38" xfId="0" applyNumberFormat="1" applyFont="1" applyFill="1" applyBorder="1" applyAlignment="1">
      <alignment horizontal="center" vertical="center"/>
    </xf>
    <xf numFmtId="0" fontId="53" fillId="0" borderId="0" xfId="0" applyFont="1"/>
    <xf numFmtId="170" fontId="53" fillId="0" borderId="34" xfId="477" applyNumberFormat="1" applyFont="1" applyBorder="1" applyAlignment="1">
      <alignment horizontal="center" vertical="center"/>
    </xf>
    <xf numFmtId="10" fontId="53" fillId="0" borderId="0" xfId="0" applyNumberFormat="1" applyFont="1"/>
    <xf numFmtId="2" fontId="53" fillId="0" borderId="0" xfId="0" applyNumberFormat="1" applyFont="1"/>
    <xf numFmtId="171" fontId="53" fillId="0" borderId="0" xfId="0" applyNumberFormat="1" applyFont="1"/>
    <xf numFmtId="170" fontId="53" fillId="0" borderId="39" xfId="477" applyNumberFormat="1" applyFont="1" applyFill="1" applyBorder="1" applyAlignment="1">
      <alignment horizontal="center" vertical="center"/>
    </xf>
    <xf numFmtId="169" fontId="53" fillId="0" borderId="0" xfId="0" applyNumberFormat="1" applyFont="1"/>
    <xf numFmtId="172" fontId="0" fillId="0" borderId="34" xfId="0" applyNumberFormat="1" applyBorder="1"/>
    <xf numFmtId="9" fontId="0" fillId="0" borderId="0" xfId="0" applyNumberFormat="1"/>
    <xf numFmtId="171" fontId="0" fillId="0" borderId="0" xfId="0" applyNumberFormat="1"/>
    <xf numFmtId="0" fontId="49" fillId="62" borderId="16" xfId="0" applyFont="1" applyFill="1" applyBorder="1" applyAlignment="1">
      <alignment horizontal="center" vertical="center"/>
    </xf>
    <xf numFmtId="0" fontId="49" fillId="62" borderId="17" xfId="0" applyFont="1" applyFill="1" applyBorder="1" applyAlignment="1">
      <alignment horizontal="center" vertical="center"/>
    </xf>
    <xf numFmtId="0" fontId="49" fillId="62" borderId="18" xfId="0" applyFont="1" applyFill="1" applyBorder="1" applyAlignment="1">
      <alignment horizontal="center" vertical="center"/>
    </xf>
    <xf numFmtId="0" fontId="48" fillId="60" borderId="27" xfId="0" applyFont="1" applyFill="1" applyBorder="1" applyAlignment="1">
      <alignment horizontal="center" vertical="center" wrapText="1"/>
    </xf>
    <xf numFmtId="0" fontId="48" fillId="60" borderId="29" xfId="0" applyFont="1" applyFill="1" applyBorder="1" applyAlignment="1">
      <alignment horizontal="center" vertical="center" wrapText="1"/>
    </xf>
    <xf numFmtId="0" fontId="49" fillId="61" borderId="24" xfId="0" applyFont="1" applyFill="1" applyBorder="1" applyAlignment="1">
      <alignment horizontal="center" vertical="center"/>
    </xf>
    <xf numFmtId="0" fontId="49" fillId="61" borderId="25" xfId="0" applyFont="1" applyFill="1" applyBorder="1" applyAlignment="1">
      <alignment horizontal="center" vertical="center"/>
    </xf>
    <xf numFmtId="0" fontId="49" fillId="61" borderId="26" xfId="0" applyFont="1" applyFill="1" applyBorder="1" applyAlignment="1">
      <alignment horizontal="center" vertical="center"/>
    </xf>
    <xf numFmtId="0" fontId="50" fillId="0" borderId="34" xfId="0" applyFont="1" applyBorder="1" applyAlignment="1">
      <alignment horizontal="center"/>
    </xf>
  </cellXfs>
  <cellStyles count="478">
    <cellStyle name="Accent1 - 20%" xfId="2" xr:uid="{00000000-0005-0000-0000-000000000000}"/>
    <cellStyle name="Accent1 - 40%" xfId="3" xr:uid="{00000000-0005-0000-0000-000001000000}"/>
    <cellStyle name="Accent1 - 60%" xfId="4" xr:uid="{00000000-0005-0000-0000-000002000000}"/>
    <cellStyle name="Accent2 - 20%" xfId="5" xr:uid="{00000000-0005-0000-0000-000003000000}"/>
    <cellStyle name="Accent2 - 40%" xfId="6" xr:uid="{00000000-0005-0000-0000-000004000000}"/>
    <cellStyle name="Accent2 - 60%" xfId="7" xr:uid="{00000000-0005-0000-0000-000005000000}"/>
    <cellStyle name="Accent3 - 20%" xfId="8" xr:uid="{00000000-0005-0000-0000-000006000000}"/>
    <cellStyle name="Accent3 - 40%" xfId="9" xr:uid="{00000000-0005-0000-0000-000007000000}"/>
    <cellStyle name="Accent3 - 60%" xfId="10" xr:uid="{00000000-0005-0000-0000-000008000000}"/>
    <cellStyle name="Accent4 - 20%" xfId="11" xr:uid="{00000000-0005-0000-0000-000009000000}"/>
    <cellStyle name="Accent4 - 40%" xfId="12" xr:uid="{00000000-0005-0000-0000-00000A000000}"/>
    <cellStyle name="Accent4 - 60%" xfId="13" xr:uid="{00000000-0005-0000-0000-00000B000000}"/>
    <cellStyle name="Accent5 - 20%" xfId="14" xr:uid="{00000000-0005-0000-0000-00000C000000}"/>
    <cellStyle name="Accent5 - 40%" xfId="15" xr:uid="{00000000-0005-0000-0000-00000D000000}"/>
    <cellStyle name="Accent5 - 60%" xfId="16" xr:uid="{00000000-0005-0000-0000-00000E000000}"/>
    <cellStyle name="Accent6 - 20%" xfId="17" xr:uid="{00000000-0005-0000-0000-00000F000000}"/>
    <cellStyle name="Accent6 - 40%" xfId="18" xr:uid="{00000000-0005-0000-0000-000010000000}"/>
    <cellStyle name="Accent6 - 60%" xfId="19" xr:uid="{00000000-0005-0000-0000-000011000000}"/>
    <cellStyle name="Arial017000001516777215" xfId="20" xr:uid="{00000000-0005-0000-0000-000012000000}"/>
    <cellStyle name="Arial10110100001516777215" xfId="21" xr:uid="{00000000-0005-0000-0000-000013000000}"/>
    <cellStyle name="Arial11100000-2147483640016777215" xfId="22" xr:uid="{00000000-0005-0000-0000-000014000000}"/>
    <cellStyle name="Arial21100000-2147483640016777215" xfId="23" xr:uid="{00000000-0005-0000-0000-000015000000}"/>
    <cellStyle name="Arial81120100-2147483640016777215" xfId="24" xr:uid="{00000000-0005-0000-0000-000016000000}"/>
    <cellStyle name="Data style" xfId="25" xr:uid="{00000000-0005-0000-0000-000017000000}"/>
    <cellStyle name="Emphasis 1" xfId="26" xr:uid="{00000000-0005-0000-0000-000018000000}"/>
    <cellStyle name="Emphasis 2" xfId="27" xr:uid="{00000000-0005-0000-0000-000019000000}"/>
    <cellStyle name="Emphasis 3" xfId="28" xr:uid="{00000000-0005-0000-0000-00001A000000}"/>
    <cellStyle name="Header style" xfId="29" xr:uid="{00000000-0005-0000-0000-00001B000000}"/>
    <cellStyle name="MS Sans Serif1017100001516777215" xfId="30" xr:uid="{00000000-0005-0000-0000-00001C000000}"/>
    <cellStyle name="SAPBEXaggData" xfId="31" xr:uid="{00000000-0005-0000-0000-00001D000000}"/>
    <cellStyle name="SAPBEXaggData 2" xfId="32" xr:uid="{00000000-0005-0000-0000-00001E000000}"/>
    <cellStyle name="SAPBEXaggData 3" xfId="33" xr:uid="{00000000-0005-0000-0000-00001F000000}"/>
    <cellStyle name="SAPBEXaggData 4" xfId="34" xr:uid="{00000000-0005-0000-0000-000020000000}"/>
    <cellStyle name="SAPBEXaggDataEmph" xfId="35" xr:uid="{00000000-0005-0000-0000-000021000000}"/>
    <cellStyle name="SAPBEXaggDataEmph 2" xfId="36" xr:uid="{00000000-0005-0000-0000-000022000000}"/>
    <cellStyle name="SAPBEXaggDataEmph 3" xfId="37" xr:uid="{00000000-0005-0000-0000-000023000000}"/>
    <cellStyle name="SAPBEXaggDataEmph 4" xfId="38" xr:uid="{00000000-0005-0000-0000-000024000000}"/>
    <cellStyle name="SAPBEXaggItem" xfId="39" xr:uid="{00000000-0005-0000-0000-000025000000}"/>
    <cellStyle name="SAPBEXaggItem 2" xfId="40" xr:uid="{00000000-0005-0000-0000-000026000000}"/>
    <cellStyle name="SAPBEXaggItem 3" xfId="41" xr:uid="{00000000-0005-0000-0000-000027000000}"/>
    <cellStyle name="SAPBEXaggItem 4" xfId="42" xr:uid="{00000000-0005-0000-0000-000028000000}"/>
    <cellStyle name="SAPBEXaggItemX" xfId="43" xr:uid="{00000000-0005-0000-0000-000029000000}"/>
    <cellStyle name="SAPBEXaggItemX 2" xfId="44" xr:uid="{00000000-0005-0000-0000-00002A000000}"/>
    <cellStyle name="SAPBEXaggItemX 3" xfId="45" xr:uid="{00000000-0005-0000-0000-00002B000000}"/>
    <cellStyle name="SAPBEXaggItemX 4" xfId="46" xr:uid="{00000000-0005-0000-0000-00002C000000}"/>
    <cellStyle name="SAPBEXchaText" xfId="47" xr:uid="{00000000-0005-0000-0000-00002D000000}"/>
    <cellStyle name="SAPBEXchaText 2" xfId="48" xr:uid="{00000000-0005-0000-0000-00002E000000}"/>
    <cellStyle name="SAPBEXchaText 2 2" xfId="49" xr:uid="{00000000-0005-0000-0000-00002F000000}"/>
    <cellStyle name="SAPBEXchaText 2 2 2" xfId="50" xr:uid="{00000000-0005-0000-0000-000030000000}"/>
    <cellStyle name="SAPBEXchaText 2 3" xfId="51" xr:uid="{00000000-0005-0000-0000-000031000000}"/>
    <cellStyle name="SAPBEXchaText 2 4" xfId="52" xr:uid="{00000000-0005-0000-0000-000032000000}"/>
    <cellStyle name="SAPBEXchaText 3" xfId="53" xr:uid="{00000000-0005-0000-0000-000033000000}"/>
    <cellStyle name="SAPBEXchaText 4" xfId="54" xr:uid="{00000000-0005-0000-0000-000034000000}"/>
    <cellStyle name="SAPBEXchaText 5" xfId="55" xr:uid="{00000000-0005-0000-0000-000035000000}"/>
    <cellStyle name="SAPBEXexcBad7" xfId="56" xr:uid="{00000000-0005-0000-0000-000036000000}"/>
    <cellStyle name="SAPBEXexcBad7 2" xfId="57" xr:uid="{00000000-0005-0000-0000-000037000000}"/>
    <cellStyle name="SAPBEXexcBad7 2 2" xfId="58" xr:uid="{00000000-0005-0000-0000-000038000000}"/>
    <cellStyle name="SAPBEXexcBad7 2 3" xfId="59" xr:uid="{00000000-0005-0000-0000-000039000000}"/>
    <cellStyle name="SAPBEXexcBad7 2 4" xfId="60" xr:uid="{00000000-0005-0000-0000-00003A000000}"/>
    <cellStyle name="SAPBEXexcBad7 3" xfId="61" xr:uid="{00000000-0005-0000-0000-00003B000000}"/>
    <cellStyle name="SAPBEXexcBad7 4" xfId="62" xr:uid="{00000000-0005-0000-0000-00003C000000}"/>
    <cellStyle name="SAPBEXexcBad7 5" xfId="63" xr:uid="{00000000-0005-0000-0000-00003D000000}"/>
    <cellStyle name="SAPBEXexcBad8" xfId="64" xr:uid="{00000000-0005-0000-0000-00003E000000}"/>
    <cellStyle name="SAPBEXexcBad8 2" xfId="65" xr:uid="{00000000-0005-0000-0000-00003F000000}"/>
    <cellStyle name="SAPBEXexcBad8 2 2" xfId="66" xr:uid="{00000000-0005-0000-0000-000040000000}"/>
    <cellStyle name="SAPBEXexcBad8 2 3" xfId="67" xr:uid="{00000000-0005-0000-0000-000041000000}"/>
    <cellStyle name="SAPBEXexcBad8 2 4" xfId="68" xr:uid="{00000000-0005-0000-0000-000042000000}"/>
    <cellStyle name="SAPBEXexcBad8 3" xfId="69" xr:uid="{00000000-0005-0000-0000-000043000000}"/>
    <cellStyle name="SAPBEXexcBad8 4" xfId="70" xr:uid="{00000000-0005-0000-0000-000044000000}"/>
    <cellStyle name="SAPBEXexcBad8 5" xfId="71" xr:uid="{00000000-0005-0000-0000-000045000000}"/>
    <cellStyle name="SAPBEXexcBad9" xfId="72" xr:uid="{00000000-0005-0000-0000-000046000000}"/>
    <cellStyle name="SAPBEXexcBad9 2" xfId="73" xr:uid="{00000000-0005-0000-0000-000047000000}"/>
    <cellStyle name="SAPBEXexcBad9 2 2" xfId="74" xr:uid="{00000000-0005-0000-0000-000048000000}"/>
    <cellStyle name="SAPBEXexcBad9 2 3" xfId="75" xr:uid="{00000000-0005-0000-0000-000049000000}"/>
    <cellStyle name="SAPBEXexcBad9 2 4" xfId="76" xr:uid="{00000000-0005-0000-0000-00004A000000}"/>
    <cellStyle name="SAPBEXexcBad9 3" xfId="77" xr:uid="{00000000-0005-0000-0000-00004B000000}"/>
    <cellStyle name="SAPBEXexcBad9 4" xfId="78" xr:uid="{00000000-0005-0000-0000-00004C000000}"/>
    <cellStyle name="SAPBEXexcBad9 5" xfId="79" xr:uid="{00000000-0005-0000-0000-00004D000000}"/>
    <cellStyle name="SAPBEXexcCritical4" xfId="80" xr:uid="{00000000-0005-0000-0000-00004E000000}"/>
    <cellStyle name="SAPBEXexcCritical4 2" xfId="81" xr:uid="{00000000-0005-0000-0000-00004F000000}"/>
    <cellStyle name="SAPBEXexcCritical4 2 2" xfId="82" xr:uid="{00000000-0005-0000-0000-000050000000}"/>
    <cellStyle name="SAPBEXexcCritical4 2 3" xfId="83" xr:uid="{00000000-0005-0000-0000-000051000000}"/>
    <cellStyle name="SAPBEXexcCritical4 2 4" xfId="84" xr:uid="{00000000-0005-0000-0000-000052000000}"/>
    <cellStyle name="SAPBEXexcCritical4 3" xfId="85" xr:uid="{00000000-0005-0000-0000-000053000000}"/>
    <cellStyle name="SAPBEXexcCritical4 4" xfId="86" xr:uid="{00000000-0005-0000-0000-000054000000}"/>
    <cellStyle name="SAPBEXexcCritical4 5" xfId="87" xr:uid="{00000000-0005-0000-0000-000055000000}"/>
    <cellStyle name="SAPBEXexcCritical5" xfId="88" xr:uid="{00000000-0005-0000-0000-000056000000}"/>
    <cellStyle name="SAPBEXexcCritical5 2" xfId="89" xr:uid="{00000000-0005-0000-0000-000057000000}"/>
    <cellStyle name="SAPBEXexcCritical5 2 2" xfId="90" xr:uid="{00000000-0005-0000-0000-000058000000}"/>
    <cellStyle name="SAPBEXexcCritical5 2 3" xfId="91" xr:uid="{00000000-0005-0000-0000-000059000000}"/>
    <cellStyle name="SAPBEXexcCritical5 2 4" xfId="92" xr:uid="{00000000-0005-0000-0000-00005A000000}"/>
    <cellStyle name="SAPBEXexcCritical5 3" xfId="93" xr:uid="{00000000-0005-0000-0000-00005B000000}"/>
    <cellStyle name="SAPBEXexcCritical5 4" xfId="94" xr:uid="{00000000-0005-0000-0000-00005C000000}"/>
    <cellStyle name="SAPBEXexcCritical5 5" xfId="95" xr:uid="{00000000-0005-0000-0000-00005D000000}"/>
    <cellStyle name="SAPBEXexcCritical6" xfId="96" xr:uid="{00000000-0005-0000-0000-00005E000000}"/>
    <cellStyle name="SAPBEXexcCritical6 2" xfId="97" xr:uid="{00000000-0005-0000-0000-00005F000000}"/>
    <cellStyle name="SAPBEXexcCritical6 2 2" xfId="98" xr:uid="{00000000-0005-0000-0000-000060000000}"/>
    <cellStyle name="SAPBEXexcCritical6 2 3" xfId="99" xr:uid="{00000000-0005-0000-0000-000061000000}"/>
    <cellStyle name="SAPBEXexcCritical6 2 4" xfId="100" xr:uid="{00000000-0005-0000-0000-000062000000}"/>
    <cellStyle name="SAPBEXexcCritical6 3" xfId="101" xr:uid="{00000000-0005-0000-0000-000063000000}"/>
    <cellStyle name="SAPBEXexcCritical6 4" xfId="102" xr:uid="{00000000-0005-0000-0000-000064000000}"/>
    <cellStyle name="SAPBEXexcCritical6 5" xfId="103" xr:uid="{00000000-0005-0000-0000-000065000000}"/>
    <cellStyle name="SAPBEXexcGood1" xfId="104" xr:uid="{00000000-0005-0000-0000-000066000000}"/>
    <cellStyle name="SAPBEXexcGood1 2" xfId="105" xr:uid="{00000000-0005-0000-0000-000067000000}"/>
    <cellStyle name="SAPBEXexcGood1 2 2" xfId="106" xr:uid="{00000000-0005-0000-0000-000068000000}"/>
    <cellStyle name="SAPBEXexcGood1 2 3" xfId="107" xr:uid="{00000000-0005-0000-0000-000069000000}"/>
    <cellStyle name="SAPBEXexcGood1 2 4" xfId="108" xr:uid="{00000000-0005-0000-0000-00006A000000}"/>
    <cellStyle name="SAPBEXexcGood1 3" xfId="109" xr:uid="{00000000-0005-0000-0000-00006B000000}"/>
    <cellStyle name="SAPBEXexcGood1 4" xfId="110" xr:uid="{00000000-0005-0000-0000-00006C000000}"/>
    <cellStyle name="SAPBEXexcGood1 5" xfId="111" xr:uid="{00000000-0005-0000-0000-00006D000000}"/>
    <cellStyle name="SAPBEXexcGood2" xfId="112" xr:uid="{00000000-0005-0000-0000-00006E000000}"/>
    <cellStyle name="SAPBEXexcGood2 2" xfId="113" xr:uid="{00000000-0005-0000-0000-00006F000000}"/>
    <cellStyle name="SAPBEXexcGood2 2 2" xfId="114" xr:uid="{00000000-0005-0000-0000-000070000000}"/>
    <cellStyle name="SAPBEXexcGood2 2 3" xfId="115" xr:uid="{00000000-0005-0000-0000-000071000000}"/>
    <cellStyle name="SAPBEXexcGood2 2 4" xfId="116" xr:uid="{00000000-0005-0000-0000-000072000000}"/>
    <cellStyle name="SAPBEXexcGood2 3" xfId="117" xr:uid="{00000000-0005-0000-0000-000073000000}"/>
    <cellStyle name="SAPBEXexcGood2 4" xfId="118" xr:uid="{00000000-0005-0000-0000-000074000000}"/>
    <cellStyle name="SAPBEXexcGood2 5" xfId="119" xr:uid="{00000000-0005-0000-0000-000075000000}"/>
    <cellStyle name="SAPBEXexcGood3" xfId="120" xr:uid="{00000000-0005-0000-0000-000076000000}"/>
    <cellStyle name="SAPBEXexcGood3 2" xfId="121" xr:uid="{00000000-0005-0000-0000-000077000000}"/>
    <cellStyle name="SAPBEXexcGood3 2 2" xfId="122" xr:uid="{00000000-0005-0000-0000-000078000000}"/>
    <cellStyle name="SAPBEXexcGood3 2 3" xfId="123" xr:uid="{00000000-0005-0000-0000-000079000000}"/>
    <cellStyle name="SAPBEXexcGood3 2 4" xfId="124" xr:uid="{00000000-0005-0000-0000-00007A000000}"/>
    <cellStyle name="SAPBEXexcGood3 3" xfId="125" xr:uid="{00000000-0005-0000-0000-00007B000000}"/>
    <cellStyle name="SAPBEXexcGood3 4" xfId="126" xr:uid="{00000000-0005-0000-0000-00007C000000}"/>
    <cellStyle name="SAPBEXexcGood3 5" xfId="127" xr:uid="{00000000-0005-0000-0000-00007D000000}"/>
    <cellStyle name="SAPBEXfilterDrill" xfId="128" xr:uid="{00000000-0005-0000-0000-00007E000000}"/>
    <cellStyle name="SAPBEXfilterDrill 2" xfId="129" xr:uid="{00000000-0005-0000-0000-00007F000000}"/>
    <cellStyle name="SAPBEXfilterDrill 2 2" xfId="130" xr:uid="{00000000-0005-0000-0000-000080000000}"/>
    <cellStyle name="SAPBEXfilterDrill 2 3" xfId="131" xr:uid="{00000000-0005-0000-0000-000081000000}"/>
    <cellStyle name="SAPBEXfilterDrill 2 4" xfId="132" xr:uid="{00000000-0005-0000-0000-000082000000}"/>
    <cellStyle name="SAPBEXfilterDrill 3" xfId="133" xr:uid="{00000000-0005-0000-0000-000083000000}"/>
    <cellStyle name="SAPBEXfilterDrill 4" xfId="134" xr:uid="{00000000-0005-0000-0000-000084000000}"/>
    <cellStyle name="SAPBEXfilterDrill 5" xfId="135" xr:uid="{00000000-0005-0000-0000-000085000000}"/>
    <cellStyle name="SAPBEXfilterItem" xfId="136" xr:uid="{00000000-0005-0000-0000-000086000000}"/>
    <cellStyle name="SAPBEXfilterItem 2" xfId="137" xr:uid="{00000000-0005-0000-0000-000087000000}"/>
    <cellStyle name="SAPBEXfilterItem 3" xfId="138" xr:uid="{00000000-0005-0000-0000-000088000000}"/>
    <cellStyle name="SAPBEXfilterItem 4" xfId="139" xr:uid="{00000000-0005-0000-0000-000089000000}"/>
    <cellStyle name="SAPBEXfilterText" xfId="140" xr:uid="{00000000-0005-0000-0000-00008A000000}"/>
    <cellStyle name="SAPBEXfilterText 2" xfId="141" xr:uid="{00000000-0005-0000-0000-00008B000000}"/>
    <cellStyle name="SAPBEXfilterText 3" xfId="142" xr:uid="{00000000-0005-0000-0000-00008C000000}"/>
    <cellStyle name="SAPBEXfilterText 4" xfId="143" xr:uid="{00000000-0005-0000-0000-00008D000000}"/>
    <cellStyle name="SAPBEXformats" xfId="144" xr:uid="{00000000-0005-0000-0000-00008E000000}"/>
    <cellStyle name="SAPBEXformats 2" xfId="145" xr:uid="{00000000-0005-0000-0000-00008F000000}"/>
    <cellStyle name="SAPBEXformats 2 2" xfId="146" xr:uid="{00000000-0005-0000-0000-000090000000}"/>
    <cellStyle name="SAPBEXformats 2 3" xfId="147" xr:uid="{00000000-0005-0000-0000-000091000000}"/>
    <cellStyle name="SAPBEXformats 2 4" xfId="148" xr:uid="{00000000-0005-0000-0000-000092000000}"/>
    <cellStyle name="SAPBEXformats 3" xfId="149" xr:uid="{00000000-0005-0000-0000-000093000000}"/>
    <cellStyle name="SAPBEXformats 4" xfId="150" xr:uid="{00000000-0005-0000-0000-000094000000}"/>
    <cellStyle name="SAPBEXformats 5" xfId="151" xr:uid="{00000000-0005-0000-0000-000095000000}"/>
    <cellStyle name="SAPBEXheaderItem" xfId="152" xr:uid="{00000000-0005-0000-0000-000096000000}"/>
    <cellStyle name="SAPBEXheaderItem 2" xfId="153" xr:uid="{00000000-0005-0000-0000-000097000000}"/>
    <cellStyle name="SAPBEXheaderItem 2 2" xfId="154" xr:uid="{00000000-0005-0000-0000-000098000000}"/>
    <cellStyle name="SAPBEXheaderItem 2 3" xfId="155" xr:uid="{00000000-0005-0000-0000-000099000000}"/>
    <cellStyle name="SAPBEXheaderItem 2 4" xfId="156" xr:uid="{00000000-0005-0000-0000-00009A000000}"/>
    <cellStyle name="SAPBEXheaderItem 3" xfId="157" xr:uid="{00000000-0005-0000-0000-00009B000000}"/>
    <cellStyle name="SAPBEXheaderItem 4" xfId="158" xr:uid="{00000000-0005-0000-0000-00009C000000}"/>
    <cellStyle name="SAPBEXheaderItem 5" xfId="159" xr:uid="{00000000-0005-0000-0000-00009D000000}"/>
    <cellStyle name="SAPBEXheaderText" xfId="160" xr:uid="{00000000-0005-0000-0000-00009E000000}"/>
    <cellStyle name="SAPBEXheaderText 2" xfId="161" xr:uid="{00000000-0005-0000-0000-00009F000000}"/>
    <cellStyle name="SAPBEXheaderText 2 2" xfId="162" xr:uid="{00000000-0005-0000-0000-0000A0000000}"/>
    <cellStyle name="SAPBEXheaderText 2 3" xfId="163" xr:uid="{00000000-0005-0000-0000-0000A1000000}"/>
    <cellStyle name="SAPBEXheaderText 2 4" xfId="164" xr:uid="{00000000-0005-0000-0000-0000A2000000}"/>
    <cellStyle name="SAPBEXheaderText 3" xfId="165" xr:uid="{00000000-0005-0000-0000-0000A3000000}"/>
    <cellStyle name="SAPBEXheaderText 4" xfId="166" xr:uid="{00000000-0005-0000-0000-0000A4000000}"/>
    <cellStyle name="SAPBEXheaderText 5" xfId="167" xr:uid="{00000000-0005-0000-0000-0000A5000000}"/>
    <cellStyle name="SAPBEXHLevel0" xfId="168" xr:uid="{00000000-0005-0000-0000-0000A6000000}"/>
    <cellStyle name="SAPBEXHLevel0 2" xfId="169" xr:uid="{00000000-0005-0000-0000-0000A7000000}"/>
    <cellStyle name="SAPBEXHLevel0 2 2" xfId="170" xr:uid="{00000000-0005-0000-0000-0000A8000000}"/>
    <cellStyle name="SAPBEXHLevel0 2 3" xfId="171" xr:uid="{00000000-0005-0000-0000-0000A9000000}"/>
    <cellStyle name="SAPBEXHLevel0 2 4" xfId="172" xr:uid="{00000000-0005-0000-0000-0000AA000000}"/>
    <cellStyle name="SAPBEXHLevel0 3" xfId="173" xr:uid="{00000000-0005-0000-0000-0000AB000000}"/>
    <cellStyle name="SAPBEXHLevel0 4" xfId="174" xr:uid="{00000000-0005-0000-0000-0000AC000000}"/>
    <cellStyle name="SAPBEXHLevel0 5" xfId="175" xr:uid="{00000000-0005-0000-0000-0000AD000000}"/>
    <cellStyle name="SAPBEXHLevel0X" xfId="176" xr:uid="{00000000-0005-0000-0000-0000AE000000}"/>
    <cellStyle name="SAPBEXHLevel0X 2" xfId="177" xr:uid="{00000000-0005-0000-0000-0000AF000000}"/>
    <cellStyle name="SAPBEXHLevel0X 2 2" xfId="178" xr:uid="{00000000-0005-0000-0000-0000B0000000}"/>
    <cellStyle name="SAPBEXHLevel0X 2 3" xfId="179" xr:uid="{00000000-0005-0000-0000-0000B1000000}"/>
    <cellStyle name="SAPBEXHLevel0X 2 4" xfId="180" xr:uid="{00000000-0005-0000-0000-0000B2000000}"/>
    <cellStyle name="SAPBEXHLevel0X 2 5" xfId="181" xr:uid="{00000000-0005-0000-0000-0000B3000000}"/>
    <cellStyle name="SAPBEXHLevel0X 3" xfId="182" xr:uid="{00000000-0005-0000-0000-0000B4000000}"/>
    <cellStyle name="SAPBEXHLevel0X 4" xfId="183" xr:uid="{00000000-0005-0000-0000-0000B5000000}"/>
    <cellStyle name="SAPBEXHLevel0X 5" xfId="184" xr:uid="{00000000-0005-0000-0000-0000B6000000}"/>
    <cellStyle name="SAPBEXHLevel1" xfId="185" xr:uid="{00000000-0005-0000-0000-0000B7000000}"/>
    <cellStyle name="SAPBEXHLevel1 2" xfId="186" xr:uid="{00000000-0005-0000-0000-0000B8000000}"/>
    <cellStyle name="SAPBEXHLevel1 2 2" xfId="187" xr:uid="{00000000-0005-0000-0000-0000B9000000}"/>
    <cellStyle name="SAPBEXHLevel1 2 3" xfId="188" xr:uid="{00000000-0005-0000-0000-0000BA000000}"/>
    <cellStyle name="SAPBEXHLevel1 2 4" xfId="189" xr:uid="{00000000-0005-0000-0000-0000BB000000}"/>
    <cellStyle name="SAPBEXHLevel1 3" xfId="190" xr:uid="{00000000-0005-0000-0000-0000BC000000}"/>
    <cellStyle name="SAPBEXHLevel1 4" xfId="191" xr:uid="{00000000-0005-0000-0000-0000BD000000}"/>
    <cellStyle name="SAPBEXHLevel1 5" xfId="192" xr:uid="{00000000-0005-0000-0000-0000BE000000}"/>
    <cellStyle name="SAPBEXHLevel1X" xfId="193" xr:uid="{00000000-0005-0000-0000-0000BF000000}"/>
    <cellStyle name="SAPBEXHLevel1X 2" xfId="194" xr:uid="{00000000-0005-0000-0000-0000C0000000}"/>
    <cellStyle name="SAPBEXHLevel1X 2 2" xfId="195" xr:uid="{00000000-0005-0000-0000-0000C1000000}"/>
    <cellStyle name="SAPBEXHLevel1X 2 3" xfId="196" xr:uid="{00000000-0005-0000-0000-0000C2000000}"/>
    <cellStyle name="SAPBEXHLevel1X 2 4" xfId="197" xr:uid="{00000000-0005-0000-0000-0000C3000000}"/>
    <cellStyle name="SAPBEXHLevel1X 2 5" xfId="198" xr:uid="{00000000-0005-0000-0000-0000C4000000}"/>
    <cellStyle name="SAPBEXHLevel1X 3" xfId="199" xr:uid="{00000000-0005-0000-0000-0000C5000000}"/>
    <cellStyle name="SAPBEXHLevel1X 4" xfId="200" xr:uid="{00000000-0005-0000-0000-0000C6000000}"/>
    <cellStyle name="SAPBEXHLevel1X 5" xfId="201" xr:uid="{00000000-0005-0000-0000-0000C7000000}"/>
    <cellStyle name="SAPBEXHLevel2" xfId="202" xr:uid="{00000000-0005-0000-0000-0000C8000000}"/>
    <cellStyle name="SAPBEXHLevel2 2" xfId="203" xr:uid="{00000000-0005-0000-0000-0000C9000000}"/>
    <cellStyle name="SAPBEXHLevel2 2 2" xfId="204" xr:uid="{00000000-0005-0000-0000-0000CA000000}"/>
    <cellStyle name="SAPBEXHLevel2 2 3" xfId="205" xr:uid="{00000000-0005-0000-0000-0000CB000000}"/>
    <cellStyle name="SAPBEXHLevel2 2 4" xfId="206" xr:uid="{00000000-0005-0000-0000-0000CC000000}"/>
    <cellStyle name="SAPBEXHLevel2 3" xfId="207" xr:uid="{00000000-0005-0000-0000-0000CD000000}"/>
    <cellStyle name="SAPBEXHLevel2 4" xfId="208" xr:uid="{00000000-0005-0000-0000-0000CE000000}"/>
    <cellStyle name="SAPBEXHLevel2 5" xfId="209" xr:uid="{00000000-0005-0000-0000-0000CF000000}"/>
    <cellStyle name="SAPBEXHLevel2X" xfId="210" xr:uid="{00000000-0005-0000-0000-0000D0000000}"/>
    <cellStyle name="SAPBEXHLevel2X 2" xfId="211" xr:uid="{00000000-0005-0000-0000-0000D1000000}"/>
    <cellStyle name="SAPBEXHLevel2X 2 2" xfId="212" xr:uid="{00000000-0005-0000-0000-0000D2000000}"/>
    <cellStyle name="SAPBEXHLevel2X 2 3" xfId="213" xr:uid="{00000000-0005-0000-0000-0000D3000000}"/>
    <cellStyle name="SAPBEXHLevel2X 2 4" xfId="214" xr:uid="{00000000-0005-0000-0000-0000D4000000}"/>
    <cellStyle name="SAPBEXHLevel2X 2 5" xfId="215" xr:uid="{00000000-0005-0000-0000-0000D5000000}"/>
    <cellStyle name="SAPBEXHLevel2X 3" xfId="216" xr:uid="{00000000-0005-0000-0000-0000D6000000}"/>
    <cellStyle name="SAPBEXHLevel2X 4" xfId="217" xr:uid="{00000000-0005-0000-0000-0000D7000000}"/>
    <cellStyle name="SAPBEXHLevel2X 5" xfId="218" xr:uid="{00000000-0005-0000-0000-0000D8000000}"/>
    <cellStyle name="SAPBEXHLevel3" xfId="219" xr:uid="{00000000-0005-0000-0000-0000D9000000}"/>
    <cellStyle name="SAPBEXHLevel3 2" xfId="220" xr:uid="{00000000-0005-0000-0000-0000DA000000}"/>
    <cellStyle name="SAPBEXHLevel3 2 2" xfId="221" xr:uid="{00000000-0005-0000-0000-0000DB000000}"/>
    <cellStyle name="SAPBEXHLevel3 2 3" xfId="222" xr:uid="{00000000-0005-0000-0000-0000DC000000}"/>
    <cellStyle name="SAPBEXHLevel3 2 4" xfId="223" xr:uid="{00000000-0005-0000-0000-0000DD000000}"/>
    <cellStyle name="SAPBEXHLevel3 3" xfId="224" xr:uid="{00000000-0005-0000-0000-0000DE000000}"/>
    <cellStyle name="SAPBEXHLevel3 4" xfId="225" xr:uid="{00000000-0005-0000-0000-0000DF000000}"/>
    <cellStyle name="SAPBEXHLevel3 5" xfId="226" xr:uid="{00000000-0005-0000-0000-0000E0000000}"/>
    <cellStyle name="SAPBEXHLevel3X" xfId="227" xr:uid="{00000000-0005-0000-0000-0000E1000000}"/>
    <cellStyle name="SAPBEXHLevel3X 2" xfId="228" xr:uid="{00000000-0005-0000-0000-0000E2000000}"/>
    <cellStyle name="SAPBEXHLevel3X 2 2" xfId="229" xr:uid="{00000000-0005-0000-0000-0000E3000000}"/>
    <cellStyle name="SAPBEXHLevel3X 2 3" xfId="230" xr:uid="{00000000-0005-0000-0000-0000E4000000}"/>
    <cellStyle name="SAPBEXHLevel3X 2 4" xfId="231" xr:uid="{00000000-0005-0000-0000-0000E5000000}"/>
    <cellStyle name="SAPBEXHLevel3X 2 5" xfId="232" xr:uid="{00000000-0005-0000-0000-0000E6000000}"/>
    <cellStyle name="SAPBEXHLevel3X 3" xfId="233" xr:uid="{00000000-0005-0000-0000-0000E7000000}"/>
    <cellStyle name="SAPBEXHLevel3X 4" xfId="234" xr:uid="{00000000-0005-0000-0000-0000E8000000}"/>
    <cellStyle name="SAPBEXHLevel3X 5" xfId="235" xr:uid="{00000000-0005-0000-0000-0000E9000000}"/>
    <cellStyle name="SAPBEXinputData" xfId="236" xr:uid="{00000000-0005-0000-0000-0000EA000000}"/>
    <cellStyle name="SAPBEXinputData 2" xfId="237" xr:uid="{00000000-0005-0000-0000-0000EB000000}"/>
    <cellStyle name="SAPBEXinputData 2 2" xfId="238" xr:uid="{00000000-0005-0000-0000-0000EC000000}"/>
    <cellStyle name="SAPBEXItemHeader" xfId="239" xr:uid="{00000000-0005-0000-0000-0000ED000000}"/>
    <cellStyle name="SAPBEXItemHeader 2" xfId="240" xr:uid="{00000000-0005-0000-0000-0000EE000000}"/>
    <cellStyle name="SAPBEXItemHeader 3" xfId="241" xr:uid="{00000000-0005-0000-0000-0000EF000000}"/>
    <cellStyle name="SAPBEXItemHeader 4" xfId="242" xr:uid="{00000000-0005-0000-0000-0000F0000000}"/>
    <cellStyle name="SAPBEXresData" xfId="243" xr:uid="{00000000-0005-0000-0000-0000F1000000}"/>
    <cellStyle name="SAPBEXresData 2" xfId="244" xr:uid="{00000000-0005-0000-0000-0000F2000000}"/>
    <cellStyle name="SAPBEXresData 3" xfId="245" xr:uid="{00000000-0005-0000-0000-0000F3000000}"/>
    <cellStyle name="SAPBEXresData 4" xfId="246" xr:uid="{00000000-0005-0000-0000-0000F4000000}"/>
    <cellStyle name="SAPBEXresDataEmph" xfId="247" xr:uid="{00000000-0005-0000-0000-0000F5000000}"/>
    <cellStyle name="SAPBEXresDataEmph 2" xfId="248" xr:uid="{00000000-0005-0000-0000-0000F6000000}"/>
    <cellStyle name="SAPBEXresDataEmph 3" xfId="249" xr:uid="{00000000-0005-0000-0000-0000F7000000}"/>
    <cellStyle name="SAPBEXresDataEmph 4" xfId="250" xr:uid="{00000000-0005-0000-0000-0000F8000000}"/>
    <cellStyle name="SAPBEXresItem" xfId="251" xr:uid="{00000000-0005-0000-0000-0000F9000000}"/>
    <cellStyle name="SAPBEXresItem 2" xfId="252" xr:uid="{00000000-0005-0000-0000-0000FA000000}"/>
    <cellStyle name="SAPBEXresItem 3" xfId="253" xr:uid="{00000000-0005-0000-0000-0000FB000000}"/>
    <cellStyle name="SAPBEXresItem 4" xfId="254" xr:uid="{00000000-0005-0000-0000-0000FC000000}"/>
    <cellStyle name="SAPBEXresItemX" xfId="255" xr:uid="{00000000-0005-0000-0000-0000FD000000}"/>
    <cellStyle name="SAPBEXresItemX 2" xfId="256" xr:uid="{00000000-0005-0000-0000-0000FE000000}"/>
    <cellStyle name="SAPBEXresItemX 3" xfId="257" xr:uid="{00000000-0005-0000-0000-0000FF000000}"/>
    <cellStyle name="SAPBEXresItemX 4" xfId="258" xr:uid="{00000000-0005-0000-0000-000000010000}"/>
    <cellStyle name="SAPBEXstdData" xfId="259" xr:uid="{00000000-0005-0000-0000-000001010000}"/>
    <cellStyle name="SAPBEXstdData 2" xfId="260" xr:uid="{00000000-0005-0000-0000-000002010000}"/>
    <cellStyle name="SAPBEXstdData 2 2" xfId="261" xr:uid="{00000000-0005-0000-0000-000003010000}"/>
    <cellStyle name="SAPBEXstdData 2 3" xfId="262" xr:uid="{00000000-0005-0000-0000-000004010000}"/>
    <cellStyle name="SAPBEXstdData 2 4" xfId="263" xr:uid="{00000000-0005-0000-0000-000005010000}"/>
    <cellStyle name="SAPBEXstdData 3" xfId="264" xr:uid="{00000000-0005-0000-0000-000006010000}"/>
    <cellStyle name="SAPBEXstdData 4" xfId="265" xr:uid="{00000000-0005-0000-0000-000007010000}"/>
    <cellStyle name="SAPBEXstdData 5" xfId="266" xr:uid="{00000000-0005-0000-0000-000008010000}"/>
    <cellStyle name="SAPBEXstdDataEmph" xfId="267" xr:uid="{00000000-0005-0000-0000-000009010000}"/>
    <cellStyle name="SAPBEXstdDataEmph 2" xfId="268" xr:uid="{00000000-0005-0000-0000-00000A010000}"/>
    <cellStyle name="SAPBEXstdDataEmph 3" xfId="269" xr:uid="{00000000-0005-0000-0000-00000B010000}"/>
    <cellStyle name="SAPBEXstdDataEmph 4" xfId="270" xr:uid="{00000000-0005-0000-0000-00000C010000}"/>
    <cellStyle name="SAPBEXstdItem" xfId="271" xr:uid="{00000000-0005-0000-0000-00000D010000}"/>
    <cellStyle name="SAPBEXstdItem 2" xfId="272" xr:uid="{00000000-0005-0000-0000-00000E010000}"/>
    <cellStyle name="SAPBEXstdItem 2 2" xfId="273" xr:uid="{00000000-0005-0000-0000-00000F010000}"/>
    <cellStyle name="SAPBEXstdItem 2 3" xfId="274" xr:uid="{00000000-0005-0000-0000-000010010000}"/>
    <cellStyle name="SAPBEXstdItem 2 4" xfId="275" xr:uid="{00000000-0005-0000-0000-000011010000}"/>
    <cellStyle name="SAPBEXstdItem 3" xfId="276" xr:uid="{00000000-0005-0000-0000-000012010000}"/>
    <cellStyle name="SAPBEXstdItem 3 2" xfId="277" xr:uid="{00000000-0005-0000-0000-000013010000}"/>
    <cellStyle name="SAPBEXstdItem 4" xfId="278" xr:uid="{00000000-0005-0000-0000-000014010000}"/>
    <cellStyle name="SAPBEXstdItem 5" xfId="279" xr:uid="{00000000-0005-0000-0000-000015010000}"/>
    <cellStyle name="SAPBEXstdItemX" xfId="280" xr:uid="{00000000-0005-0000-0000-000016010000}"/>
    <cellStyle name="SAPBEXstdItemX 2" xfId="281" xr:uid="{00000000-0005-0000-0000-000017010000}"/>
    <cellStyle name="SAPBEXstdItemX 3" xfId="282" xr:uid="{00000000-0005-0000-0000-000018010000}"/>
    <cellStyle name="SAPBEXstdItemX 4" xfId="283" xr:uid="{00000000-0005-0000-0000-000019010000}"/>
    <cellStyle name="SAPBEXtitle" xfId="284" xr:uid="{00000000-0005-0000-0000-00001A010000}"/>
    <cellStyle name="SAPBEXtitle 2" xfId="285" xr:uid="{00000000-0005-0000-0000-00001B010000}"/>
    <cellStyle name="SAPBEXtitle 3" xfId="286" xr:uid="{00000000-0005-0000-0000-00001C010000}"/>
    <cellStyle name="SAPBEXtitle 4" xfId="287" xr:uid="{00000000-0005-0000-0000-00001D010000}"/>
    <cellStyle name="SAPBEXunassignedItem" xfId="288" xr:uid="{00000000-0005-0000-0000-00001E010000}"/>
    <cellStyle name="SAPBEXunassignedItem 2" xfId="289" xr:uid="{00000000-0005-0000-0000-00001F010000}"/>
    <cellStyle name="SAPBEXunassignedItem 2 2" xfId="290" xr:uid="{00000000-0005-0000-0000-000020010000}"/>
    <cellStyle name="SAPBEXunassignedItem 2 3" xfId="291" xr:uid="{00000000-0005-0000-0000-000021010000}"/>
    <cellStyle name="SAPBEXunassignedItem 2 4" xfId="292" xr:uid="{00000000-0005-0000-0000-000022010000}"/>
    <cellStyle name="SAPBEXunassignedItem 3" xfId="293" xr:uid="{00000000-0005-0000-0000-000023010000}"/>
    <cellStyle name="SAPBEXunassignedItem 4" xfId="294" xr:uid="{00000000-0005-0000-0000-000024010000}"/>
    <cellStyle name="SAPBEXunassignedItem 5" xfId="295" xr:uid="{00000000-0005-0000-0000-000025010000}"/>
    <cellStyle name="SAPBEXundefined" xfId="296" xr:uid="{00000000-0005-0000-0000-000026010000}"/>
    <cellStyle name="SAPBEXundefined 2" xfId="297" xr:uid="{00000000-0005-0000-0000-000027010000}"/>
    <cellStyle name="SAPBEXundefined 3" xfId="298" xr:uid="{00000000-0005-0000-0000-000028010000}"/>
    <cellStyle name="SAPBEXundefined 4" xfId="299" xr:uid="{00000000-0005-0000-0000-000029010000}"/>
    <cellStyle name="Sheet Title" xfId="300" xr:uid="{00000000-0005-0000-0000-00002A010000}"/>
    <cellStyle name="Summary style" xfId="301" xr:uid="{00000000-0005-0000-0000-00002B010000}"/>
    <cellStyle name="Акцент1 2" xfId="302" xr:uid="{00000000-0005-0000-0000-00002C010000}"/>
    <cellStyle name="Акцент2 2" xfId="303" xr:uid="{00000000-0005-0000-0000-00002D010000}"/>
    <cellStyle name="Акцент3 2" xfId="304" xr:uid="{00000000-0005-0000-0000-00002E010000}"/>
    <cellStyle name="Акцент4 2" xfId="305" xr:uid="{00000000-0005-0000-0000-00002F010000}"/>
    <cellStyle name="Акцент5 2" xfId="306" xr:uid="{00000000-0005-0000-0000-000030010000}"/>
    <cellStyle name="Акцент6 2" xfId="307" xr:uid="{00000000-0005-0000-0000-000031010000}"/>
    <cellStyle name="Ввод  2" xfId="308" xr:uid="{00000000-0005-0000-0000-000032010000}"/>
    <cellStyle name="Ввод  3" xfId="309" xr:uid="{00000000-0005-0000-0000-000033010000}"/>
    <cellStyle name="Ввод  4" xfId="310" xr:uid="{00000000-0005-0000-0000-000034010000}"/>
    <cellStyle name="Ввод  5" xfId="311" xr:uid="{00000000-0005-0000-0000-000035010000}"/>
    <cellStyle name="Вывод 2" xfId="312" xr:uid="{00000000-0005-0000-0000-000036010000}"/>
    <cellStyle name="Вывод 3" xfId="313" xr:uid="{00000000-0005-0000-0000-000037010000}"/>
    <cellStyle name="Вывод 4" xfId="314" xr:uid="{00000000-0005-0000-0000-000038010000}"/>
    <cellStyle name="Вывод 5" xfId="315" xr:uid="{00000000-0005-0000-0000-000039010000}"/>
    <cellStyle name="Вычисление 2" xfId="316" xr:uid="{00000000-0005-0000-0000-00003A010000}"/>
    <cellStyle name="Вычисление 3" xfId="317" xr:uid="{00000000-0005-0000-0000-00003B010000}"/>
    <cellStyle name="Вычисление 4" xfId="318" xr:uid="{00000000-0005-0000-0000-00003C010000}"/>
    <cellStyle name="Вычисление 5" xfId="319" xr:uid="{00000000-0005-0000-0000-00003D010000}"/>
    <cellStyle name="Гиперссылка 2" xfId="320" xr:uid="{00000000-0005-0000-0000-00003E010000}"/>
    <cellStyle name="Заголовок 1 2" xfId="321" xr:uid="{00000000-0005-0000-0000-00003F010000}"/>
    <cellStyle name="Заголовок 2 2" xfId="322" xr:uid="{00000000-0005-0000-0000-000040010000}"/>
    <cellStyle name="Заголовок 3 2" xfId="323" xr:uid="{00000000-0005-0000-0000-000041010000}"/>
    <cellStyle name="Заголовок 4 2" xfId="324" xr:uid="{00000000-0005-0000-0000-000042010000}"/>
    <cellStyle name="Итог 2" xfId="325" xr:uid="{00000000-0005-0000-0000-000043010000}"/>
    <cellStyle name="Итог 3" xfId="326" xr:uid="{00000000-0005-0000-0000-000044010000}"/>
    <cellStyle name="Итог 4" xfId="327" xr:uid="{00000000-0005-0000-0000-000045010000}"/>
    <cellStyle name="Итог 5" xfId="328" xr:uid="{00000000-0005-0000-0000-000046010000}"/>
    <cellStyle name="Контрольная ячейка 2" xfId="329" xr:uid="{00000000-0005-0000-0000-000047010000}"/>
    <cellStyle name="Нейтральный 2" xfId="330" xr:uid="{00000000-0005-0000-0000-000048010000}"/>
    <cellStyle name="Нейтральный 3" xfId="331" xr:uid="{00000000-0005-0000-0000-000049010000}"/>
    <cellStyle name="Обычный" xfId="0" builtinId="0"/>
    <cellStyle name="Обычный 10" xfId="332" xr:uid="{00000000-0005-0000-0000-00004B010000}"/>
    <cellStyle name="Обычный 10 2" xfId="333" xr:uid="{00000000-0005-0000-0000-00004C010000}"/>
    <cellStyle name="Обычный 10 3" xfId="334" xr:uid="{00000000-0005-0000-0000-00004D010000}"/>
    <cellStyle name="Обычный 10 3 2" xfId="335" xr:uid="{00000000-0005-0000-0000-00004E010000}"/>
    <cellStyle name="Обычный 10 3 2 2" xfId="336" xr:uid="{00000000-0005-0000-0000-00004F010000}"/>
    <cellStyle name="Обычный 10 3 2 3" xfId="337" xr:uid="{00000000-0005-0000-0000-000050010000}"/>
    <cellStyle name="Обычный 11" xfId="338" xr:uid="{00000000-0005-0000-0000-000051010000}"/>
    <cellStyle name="Обычный 12" xfId="339" xr:uid="{00000000-0005-0000-0000-000052010000}"/>
    <cellStyle name="Обычный 13" xfId="340" xr:uid="{00000000-0005-0000-0000-000053010000}"/>
    <cellStyle name="Обычный 14" xfId="341" xr:uid="{00000000-0005-0000-0000-000054010000}"/>
    <cellStyle name="Обычный 15" xfId="342" xr:uid="{00000000-0005-0000-0000-000055010000}"/>
    <cellStyle name="Обычный 16" xfId="343" xr:uid="{00000000-0005-0000-0000-000056010000}"/>
    <cellStyle name="Обычный 17" xfId="344" xr:uid="{00000000-0005-0000-0000-000057010000}"/>
    <cellStyle name="Обычный 18" xfId="345" xr:uid="{00000000-0005-0000-0000-000058010000}"/>
    <cellStyle name="Обычный 19" xfId="346" xr:uid="{00000000-0005-0000-0000-000059010000}"/>
    <cellStyle name="Обычный 2" xfId="347" xr:uid="{00000000-0005-0000-0000-00005A010000}"/>
    <cellStyle name="Обычный 2 2" xfId="348" xr:uid="{00000000-0005-0000-0000-00005B010000}"/>
    <cellStyle name="Обычный 2 2 2" xfId="349" xr:uid="{00000000-0005-0000-0000-00005C010000}"/>
    <cellStyle name="Обычный 2 2 2 2" xfId="350" xr:uid="{00000000-0005-0000-0000-00005D010000}"/>
    <cellStyle name="Обычный 2 2 3" xfId="351" xr:uid="{00000000-0005-0000-0000-00005E010000}"/>
    <cellStyle name="Обычный 2 2 4" xfId="352" xr:uid="{00000000-0005-0000-0000-00005F010000}"/>
    <cellStyle name="Обычный 2 3" xfId="353" xr:uid="{00000000-0005-0000-0000-000060010000}"/>
    <cellStyle name="Обычный 2 3 2" xfId="354" xr:uid="{00000000-0005-0000-0000-000061010000}"/>
    <cellStyle name="Обычный 2 3 2 2" xfId="355" xr:uid="{00000000-0005-0000-0000-000062010000}"/>
    <cellStyle name="Обычный 2 3 3" xfId="356" xr:uid="{00000000-0005-0000-0000-000063010000}"/>
    <cellStyle name="Обычный 2 4" xfId="357" xr:uid="{00000000-0005-0000-0000-000064010000}"/>
    <cellStyle name="Обычный 2 4 2" xfId="358" xr:uid="{00000000-0005-0000-0000-000065010000}"/>
    <cellStyle name="Обычный 2 5" xfId="359" xr:uid="{00000000-0005-0000-0000-000066010000}"/>
    <cellStyle name="Обычный 2 5 2" xfId="360" xr:uid="{00000000-0005-0000-0000-000067010000}"/>
    <cellStyle name="Обычный 2_итого по доходам" xfId="361" xr:uid="{00000000-0005-0000-0000-000068010000}"/>
    <cellStyle name="Обычный 20" xfId="362" xr:uid="{00000000-0005-0000-0000-000069010000}"/>
    <cellStyle name="Обычный 21" xfId="363" xr:uid="{00000000-0005-0000-0000-00006A010000}"/>
    <cellStyle name="Обычный 22" xfId="364" xr:uid="{00000000-0005-0000-0000-00006B010000}"/>
    <cellStyle name="Обычный 23" xfId="365" xr:uid="{00000000-0005-0000-0000-00006C010000}"/>
    <cellStyle name="Обычный 24" xfId="366" xr:uid="{00000000-0005-0000-0000-00006D010000}"/>
    <cellStyle name="Обычный 25" xfId="367" xr:uid="{00000000-0005-0000-0000-00006E010000}"/>
    <cellStyle name="Обычный 25 2" xfId="368" xr:uid="{00000000-0005-0000-0000-00006F010000}"/>
    <cellStyle name="Обычный 26" xfId="369" xr:uid="{00000000-0005-0000-0000-000070010000}"/>
    <cellStyle name="Обычный 26 2" xfId="370" xr:uid="{00000000-0005-0000-0000-000071010000}"/>
    <cellStyle name="Обычный 27" xfId="371" xr:uid="{00000000-0005-0000-0000-000072010000}"/>
    <cellStyle name="Обычный 28" xfId="372" xr:uid="{00000000-0005-0000-0000-000073010000}"/>
    <cellStyle name="Обычный 29" xfId="373" xr:uid="{00000000-0005-0000-0000-000074010000}"/>
    <cellStyle name="Обычный 3" xfId="374" xr:uid="{00000000-0005-0000-0000-000075010000}"/>
    <cellStyle name="Обычный 3 2" xfId="375" xr:uid="{00000000-0005-0000-0000-000076010000}"/>
    <cellStyle name="Обычный 3 2 2" xfId="376" xr:uid="{00000000-0005-0000-0000-000077010000}"/>
    <cellStyle name="Обычный 3 2 2 2" xfId="377" xr:uid="{00000000-0005-0000-0000-000078010000}"/>
    <cellStyle name="Обычный 3 2 2 2 2" xfId="378" xr:uid="{00000000-0005-0000-0000-000079010000}"/>
    <cellStyle name="Обычный 3 2 2 2 2 2" xfId="379" xr:uid="{00000000-0005-0000-0000-00007A010000}"/>
    <cellStyle name="Обычный 3 2 2 2 2 2 2" xfId="380" xr:uid="{00000000-0005-0000-0000-00007B010000}"/>
    <cellStyle name="Обычный 3 2 3" xfId="381" xr:uid="{00000000-0005-0000-0000-00007C010000}"/>
    <cellStyle name="Обычный 3 3" xfId="382" xr:uid="{00000000-0005-0000-0000-00007D010000}"/>
    <cellStyle name="Обычный 3 3 2" xfId="383" xr:uid="{00000000-0005-0000-0000-00007E010000}"/>
    <cellStyle name="Обычный 3 4" xfId="384" xr:uid="{00000000-0005-0000-0000-00007F010000}"/>
    <cellStyle name="Обычный 3 5" xfId="385" xr:uid="{00000000-0005-0000-0000-000080010000}"/>
    <cellStyle name="Обычный 30" xfId="386" xr:uid="{00000000-0005-0000-0000-000081010000}"/>
    <cellStyle name="Обычный 31" xfId="387" xr:uid="{00000000-0005-0000-0000-000082010000}"/>
    <cellStyle name="Обычный 32" xfId="388" xr:uid="{00000000-0005-0000-0000-000083010000}"/>
    <cellStyle name="Обычный 33" xfId="389" xr:uid="{00000000-0005-0000-0000-000084010000}"/>
    <cellStyle name="Обычный 34" xfId="390" xr:uid="{00000000-0005-0000-0000-000085010000}"/>
    <cellStyle name="Обычный 35" xfId="391" xr:uid="{00000000-0005-0000-0000-000086010000}"/>
    <cellStyle name="Обычный 36" xfId="392" xr:uid="{00000000-0005-0000-0000-000087010000}"/>
    <cellStyle name="Обычный 37" xfId="393" xr:uid="{00000000-0005-0000-0000-000088010000}"/>
    <cellStyle name="Обычный 38" xfId="394" xr:uid="{00000000-0005-0000-0000-000089010000}"/>
    <cellStyle name="Обычный 39" xfId="395" xr:uid="{00000000-0005-0000-0000-00008A010000}"/>
    <cellStyle name="Обычный 4" xfId="396" xr:uid="{00000000-0005-0000-0000-00008B010000}"/>
    <cellStyle name="Обычный 4 2" xfId="397" xr:uid="{00000000-0005-0000-0000-00008C010000}"/>
    <cellStyle name="Обычный 4 2 2" xfId="398" xr:uid="{00000000-0005-0000-0000-00008D010000}"/>
    <cellStyle name="Обычный 4 2 3" xfId="399" xr:uid="{00000000-0005-0000-0000-00008E010000}"/>
    <cellStyle name="Обычный 4 3" xfId="400" xr:uid="{00000000-0005-0000-0000-00008F010000}"/>
    <cellStyle name="Обычный 4 4" xfId="401" xr:uid="{00000000-0005-0000-0000-000090010000}"/>
    <cellStyle name="Обычный 4 5" xfId="402" xr:uid="{00000000-0005-0000-0000-000091010000}"/>
    <cellStyle name="Обычный 4 6" xfId="403" xr:uid="{00000000-0005-0000-0000-000092010000}"/>
    <cellStyle name="Обычный 4 7" xfId="404" xr:uid="{00000000-0005-0000-0000-000093010000}"/>
    <cellStyle name="Обычный 4 8" xfId="405" xr:uid="{00000000-0005-0000-0000-000094010000}"/>
    <cellStyle name="Обычный 40" xfId="406" xr:uid="{00000000-0005-0000-0000-000095010000}"/>
    <cellStyle name="Обычный 41" xfId="407" xr:uid="{00000000-0005-0000-0000-000096010000}"/>
    <cellStyle name="Обычный 42" xfId="408" xr:uid="{00000000-0005-0000-0000-000097010000}"/>
    <cellStyle name="Обычный 43" xfId="409" xr:uid="{00000000-0005-0000-0000-000098010000}"/>
    <cellStyle name="Обычный 44" xfId="410" xr:uid="{00000000-0005-0000-0000-000099010000}"/>
    <cellStyle name="Обычный 45" xfId="411" xr:uid="{00000000-0005-0000-0000-00009A010000}"/>
    <cellStyle name="Обычный 46" xfId="412" xr:uid="{00000000-0005-0000-0000-00009B010000}"/>
    <cellStyle name="Обычный 47" xfId="413" xr:uid="{00000000-0005-0000-0000-00009C010000}"/>
    <cellStyle name="Обычный 48" xfId="414" xr:uid="{00000000-0005-0000-0000-00009D010000}"/>
    <cellStyle name="Обычный 49" xfId="415" xr:uid="{00000000-0005-0000-0000-00009E010000}"/>
    <cellStyle name="Обычный 5" xfId="416" xr:uid="{00000000-0005-0000-0000-00009F010000}"/>
    <cellStyle name="Обычный 5 2" xfId="417" xr:uid="{00000000-0005-0000-0000-0000A0010000}"/>
    <cellStyle name="Обычный 5 3" xfId="418" xr:uid="{00000000-0005-0000-0000-0000A1010000}"/>
    <cellStyle name="Обычный 50" xfId="419" xr:uid="{00000000-0005-0000-0000-0000A2010000}"/>
    <cellStyle name="Обычный 51" xfId="420" xr:uid="{00000000-0005-0000-0000-0000A3010000}"/>
    <cellStyle name="Обычный 52" xfId="421" xr:uid="{00000000-0005-0000-0000-0000A4010000}"/>
    <cellStyle name="Обычный 53" xfId="422" xr:uid="{00000000-0005-0000-0000-0000A5010000}"/>
    <cellStyle name="Обычный 54" xfId="423" xr:uid="{00000000-0005-0000-0000-0000A6010000}"/>
    <cellStyle name="Обычный 55" xfId="424" xr:uid="{00000000-0005-0000-0000-0000A7010000}"/>
    <cellStyle name="Обычный 56" xfId="425" xr:uid="{00000000-0005-0000-0000-0000A8010000}"/>
    <cellStyle name="Обычный 57" xfId="426" xr:uid="{00000000-0005-0000-0000-0000A9010000}"/>
    <cellStyle name="Обычный 6" xfId="427" xr:uid="{00000000-0005-0000-0000-0000AA010000}"/>
    <cellStyle name="Обычный 6 2" xfId="428" xr:uid="{00000000-0005-0000-0000-0000AB010000}"/>
    <cellStyle name="Обычный 6 3" xfId="429" xr:uid="{00000000-0005-0000-0000-0000AC010000}"/>
    <cellStyle name="Обычный 7" xfId="430" xr:uid="{00000000-0005-0000-0000-0000AD010000}"/>
    <cellStyle name="Обычный 7 2" xfId="431" xr:uid="{00000000-0005-0000-0000-0000AE010000}"/>
    <cellStyle name="Обычный 7 3" xfId="432" xr:uid="{00000000-0005-0000-0000-0000AF010000}"/>
    <cellStyle name="Обычный 8" xfId="433" xr:uid="{00000000-0005-0000-0000-0000B0010000}"/>
    <cellStyle name="Обычный 8 2" xfId="434" xr:uid="{00000000-0005-0000-0000-0000B1010000}"/>
    <cellStyle name="Обычный 9" xfId="435" xr:uid="{00000000-0005-0000-0000-0000B2010000}"/>
    <cellStyle name="Обычный 9 2" xfId="436" xr:uid="{00000000-0005-0000-0000-0000B3010000}"/>
    <cellStyle name="Плохой 2" xfId="437" xr:uid="{00000000-0005-0000-0000-0000B4010000}"/>
    <cellStyle name="Примечание 2" xfId="438" xr:uid="{00000000-0005-0000-0000-0000B5010000}"/>
    <cellStyle name="Примечание 2 2" xfId="439" xr:uid="{00000000-0005-0000-0000-0000B6010000}"/>
    <cellStyle name="Примечание 2 3" xfId="440" xr:uid="{00000000-0005-0000-0000-0000B7010000}"/>
    <cellStyle name="Примечание 2 4" xfId="441" xr:uid="{00000000-0005-0000-0000-0000B8010000}"/>
    <cellStyle name="Примечание 2 5" xfId="442" xr:uid="{00000000-0005-0000-0000-0000B9010000}"/>
    <cellStyle name="Примечание 3" xfId="443" xr:uid="{00000000-0005-0000-0000-0000BA010000}"/>
    <cellStyle name="Примечание 4" xfId="444" xr:uid="{00000000-0005-0000-0000-0000BB010000}"/>
    <cellStyle name="Примечание 5" xfId="445" xr:uid="{00000000-0005-0000-0000-0000BC010000}"/>
    <cellStyle name="Примечание 6" xfId="446" xr:uid="{00000000-0005-0000-0000-0000BD010000}"/>
    <cellStyle name="Процентный" xfId="477" builtinId="5"/>
    <cellStyle name="Процентный 2" xfId="447" xr:uid="{00000000-0005-0000-0000-0000BE010000}"/>
    <cellStyle name="Процентный 2 2" xfId="448" xr:uid="{00000000-0005-0000-0000-0000BF010000}"/>
    <cellStyle name="Процентный 2 2 2" xfId="449" xr:uid="{00000000-0005-0000-0000-0000C0010000}"/>
    <cellStyle name="Процентный 2 3" xfId="450" xr:uid="{00000000-0005-0000-0000-0000C1010000}"/>
    <cellStyle name="Процентный 3" xfId="451" xr:uid="{00000000-0005-0000-0000-0000C2010000}"/>
    <cellStyle name="Процентный 3 2" xfId="452" xr:uid="{00000000-0005-0000-0000-0000C3010000}"/>
    <cellStyle name="Процентный 3 2 2" xfId="453" xr:uid="{00000000-0005-0000-0000-0000C4010000}"/>
    <cellStyle name="Процентный 3 3" xfId="454" xr:uid="{00000000-0005-0000-0000-0000C5010000}"/>
    <cellStyle name="Процентный 4" xfId="455" xr:uid="{00000000-0005-0000-0000-0000C6010000}"/>
    <cellStyle name="Процентный 4 2" xfId="456" xr:uid="{00000000-0005-0000-0000-0000C7010000}"/>
    <cellStyle name="Процентный 5" xfId="457" xr:uid="{00000000-0005-0000-0000-0000C8010000}"/>
    <cellStyle name="Процентный 6" xfId="458" xr:uid="{00000000-0005-0000-0000-0000C9010000}"/>
    <cellStyle name="Связанная ячейка 2" xfId="459" xr:uid="{00000000-0005-0000-0000-0000CA010000}"/>
    <cellStyle name="Стиль 1" xfId="460" xr:uid="{00000000-0005-0000-0000-0000CB010000}"/>
    <cellStyle name="Текст предупреждения 2" xfId="461" xr:uid="{00000000-0005-0000-0000-0000CC010000}"/>
    <cellStyle name="Тысячи [0]_Example " xfId="462" xr:uid="{00000000-0005-0000-0000-0000CD010000}"/>
    <cellStyle name="Тысячи_Example " xfId="463" xr:uid="{00000000-0005-0000-0000-0000CE010000}"/>
    <cellStyle name="Финансовый" xfId="1" builtinId="3"/>
    <cellStyle name="Финансовый 2" xfId="464" xr:uid="{00000000-0005-0000-0000-0000D0010000}"/>
    <cellStyle name="Финансовый 2 2" xfId="465" xr:uid="{00000000-0005-0000-0000-0000D1010000}"/>
    <cellStyle name="Финансовый 3" xfId="466" xr:uid="{00000000-0005-0000-0000-0000D2010000}"/>
    <cellStyle name="Финансовый 3 2" xfId="467" xr:uid="{00000000-0005-0000-0000-0000D3010000}"/>
    <cellStyle name="Финансовый 3 3" xfId="468" xr:uid="{00000000-0005-0000-0000-0000D4010000}"/>
    <cellStyle name="Финансовый 3 3 2" xfId="469" xr:uid="{00000000-0005-0000-0000-0000D5010000}"/>
    <cellStyle name="Финансовый 3 3 3" xfId="470" xr:uid="{00000000-0005-0000-0000-0000D6010000}"/>
    <cellStyle name="Финансовый 4" xfId="471" xr:uid="{00000000-0005-0000-0000-0000D7010000}"/>
    <cellStyle name="Финансовый 5" xfId="472" xr:uid="{00000000-0005-0000-0000-0000D8010000}"/>
    <cellStyle name="Финансовый 6" xfId="473" xr:uid="{00000000-0005-0000-0000-0000D9010000}"/>
    <cellStyle name="Финансовый 7" xfId="474" xr:uid="{00000000-0005-0000-0000-0000DA010000}"/>
    <cellStyle name="Хороший 2" xfId="475" xr:uid="{00000000-0005-0000-0000-0000DB010000}"/>
    <cellStyle name="Хороший 3" xfId="476" xr:uid="{00000000-0005-0000-0000-0000DC010000}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82;&#1086;&#1088;&#1088;&#1077;&#1082;&#1090;&#1080;&#1088;&#1086;&#1074;&#1086;&#1082;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pemshare\RAIL\Users\MAKARO~1\AppData\Local\Temp\BW\Analyzer\Workbooks\2.&#1056;&#1077;&#1085;&#1090;&#1072;&#1073;&#1077;&#1083;&#1100;&#1085;&#1086;&#1089;&#1090;&#1100;%20&#1087;&#1086;%20&#1085;&#1072;&#1087;&#1088;&#1072;&#1074;&#1083;&#1077;&#1085;&#1080;&#1103;&#1084;(&#1087;&#1086;&#1083;&#1100;&#1079;.&#1086;&#1090;&#1095;&#1077;&#1090;-&#1082;&#1086;&#1085;&#1089;&#1090;&#1088;&#1091;&#1082;&#1090;&#1086;&#1088;)(AWRLB8LF7PARTB7TSUECCLMDY)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pemshare\RAIL\&#1056;&#1040;&#1057;&#1063;&#1045;&#1058;&#1067;\&#1073;&#1083;&#1086;&#1082;&#1080;%20&#1088;&#1072;&#1089;&#1095;&#1077;&#1090;&#1086;&#1074;\&#1089;&#1093;&#1077;&#1084;&#1099;%20&#1076;&#1083;&#1103;%20&#1088;&#1072;&#1089;&#1095;&#1077;&#1090;&#1072;%20&#1090;&#1072;&#1088;&#1080;&#1092;&#1072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1-&#1056;&#1040;&#1057;&#1063;&#1045;&#1058;&#1067;\&#1090;&#1072;&#1088;&#1080;&#1092;&#1085;&#1099;&#1077;%20&#1090;&#1072;&#1073;&#1083;&#1080;&#1094;&#1099;\&#1058;&#1072;&#1088;&#1080;&#1092;&#1085;&#1099;&#1077;-2014&#1075;\&#1089;&#1093;&#1077;&#1084;&#1099;%20&#1076;&#1083;&#1103;%20&#1088;&#1072;&#1089;&#1095;&#1077;&#1090;&#1072;%20&#1090;&#1072;&#1088;&#1080;&#1092;&#1072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1044;&#1086;&#1082;&#1091;&#1084;&#1077;&#1085;&#1090;&#1099;\&#1087;&#1086;&#1088;&#1086;&#1078;&#1085;&#1103;&#1082;%20&#1040;&#1078;\&#1087;&#1086;&#1088;&#1086;&#1078;&#1085;&#1103;&#1082;%202012\!%20_2012%20&#1087;&#1086;&#1088;&#1086;&#1078;&#1085;%20&#1085;&#1072;%20&#1073;&#1072;&#1079;&#1077;%202011-2&#1084;&#1077;&#1089;2012%20&#1074;&#1089;&#1077;%20&#1089;&#1086;&#1073;\1%20&#1082;&#1083;&#1072;&#1089;&#1089;%20&#1089;%20&#1090;&#1072;&#1088;&#1080;&#1092;&#1072;&#1084;&#1080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fservice-iwt\&#1055;&#1072;&#1087;&#1082;&#1080;%20&#1087;&#1086;&#1083;&#1100;&#1079;&#1086;&#1074;&#1072;&#1090;&#1077;&#1083;&#1077;&#1081;\&#1054;&#1090;&#1076;&#1077;&#1083;%20&#1052;&#1072;&#1088;&#1082;&#1077;&#1090;&#1080;&#1085;&#1075;&#1072;%20&#1080;%20&#1088;&#1077;&#1082;&#1083;&#1072;&#1084;&#1099;\RM\&#1054;&#1083;&#1077;&#1075;\&#1052;&#1072;&#1088;&#1082;&#1077;&#1090;&#1080;&#1085;&#1075;&#1086;&#1074;&#1099;&#1077;%20&#1086;&#1090;&#1095;&#1105;&#1090;&#1099;\&#1050;&#1086;&#1085;&#1082;&#1091;&#1088;&#1077;&#1085;&#1090;&#1099;\&#1063;&#1072;&#1089;&#1090;&#1085;&#1080;&#1082;\&#1057;&#1087;&#1088;&#1072;&#1074;&#1082;&#1072;%20&#1089;&#1086;&#1073;&#1089;&#1090;_10_02_04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pemshare\RAIL\&#1089;%20&#1076;&#1080;&#1089;&#1082;&#1072;%20D\2_&#1042;&#1057;&#1045;%20&#1043;&#1056;&#1059;&#1047;&#1067;\2020_&#1074;&#1089;&#1077;%20&#1075;&#1088;&#1091;&#1079;&#1099;%20&#1062;&#1052;&#1058;&#1055;\3_&#1059;&#1043;&#1054;&#1051;&#1068;%202020\3_&#1041;&#1072;&#1083;&#1072;&#1085;&#1089;&#1080;&#1088;&#1086;&#1074;&#1082;&#1072;%20&#1090;&#1072;&#1088;&#1080;&#1092;&#1086;&#1074;\1_&#1041;&#1072;&#1083;&#1072;&#1085;&#1089;&#1080;&#1088;&#1086;&#1074;&#1082;&#1072;%20%20&#1047;&#1057;&#1041;%20&#1082;%20&#1070;&#1075;&#1091;\17_1_&#1086;&#1090;&#1084;&#1077;&#1085;&#1072;%200,4_&#1085;&#1072;%20&#1074;&#1077;&#1089;&#1100;%20&#1042;&#1086;&#1089;&#1090;&#1086;&#1082;_&#1064;&#1040;&#1043;&#1048;%20&#1090;&#1072;&#1088;&#1080;&#1092;%202020\1_&#1057;&#1095;&#1080;&#1090;&#1072;&#1083;&#1082;&#1072;_&#1091;&#1075;&#1086;&#1083;&#1100;%200,4%20&#1085;&#1072;%200,6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2;&#1080;&#1085;&#1089;&#1090;&#1088;&#1086;&#1081;_&#1084;&#1072;&#1088;&#1096;&#1088;&#1091;&#1090;&#1099;_&#1089;%20&#1086;&#1073;&#1098;&#1077;&#1084;&#1072;&#1084;&#108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корректировок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xRepositorySheet"/>
      <sheetName val="Отчет"/>
      <sheetName val="Graph"/>
      <sheetName val="История корректировок"/>
      <sheetName val="Лист1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общий свод"/>
      <sheetName val="итоги гр-2р."/>
      <sheetName val="Лист1"/>
      <sheetName val="Прил5,т.10"/>
      <sheetName val="Прил5,т.12"/>
      <sheetName val="Прил5,т.14"/>
      <sheetName val="Прил5,т.16"/>
      <sheetName val="Прил2,т.1-ЕТСНГ"/>
      <sheetName val="расчет т.5"/>
      <sheetName val="коэф. т. 5"/>
      <sheetName val="Прил3,т.2"/>
      <sheetName val="Прил3,п,2"/>
      <sheetName val="Прил3,т.3"/>
      <sheetName val="Прил3,т.4"/>
      <sheetName val="вагоны"/>
      <sheetName val="универсальные"/>
      <sheetName val="специализированные"/>
      <sheetName val="изотермические"/>
      <sheetName val="цистерны"/>
      <sheetName val="Прил5,т.8"/>
      <sheetName val="сх И 1"/>
      <sheetName val="сх И2-И7"/>
      <sheetName val="сх 8"/>
      <sheetName val="сх9-13"/>
      <sheetName val="схИ14-И18"/>
      <sheetName val="сх19-24"/>
      <sheetName val="сх25-29"/>
      <sheetName val="схВ1-В15"/>
      <sheetName val="сх30-31"/>
      <sheetName val="сх32"/>
      <sheetName val="сх34-38"/>
      <sheetName val="сх39-43"/>
      <sheetName val="сх44-48"/>
      <sheetName val="сх49-53"/>
      <sheetName val="сх54-58"/>
      <sheetName val="сх59-63"/>
      <sheetName val="сх64-68"/>
      <sheetName val="сх69-73"/>
      <sheetName val="сх74-78"/>
      <sheetName val="сх79-83"/>
      <sheetName val="сх84"/>
      <sheetName val="сх85-89"/>
      <sheetName val="сх90-94"/>
      <sheetName val="сх95-99"/>
      <sheetName val="сх100"/>
      <sheetName val="сх101"/>
      <sheetName val="сх102-105"/>
      <sheetName val="сх106-109"/>
      <sheetName val="сх110-115"/>
      <sheetName val="сх116"/>
      <sheetName val="сх117-118"/>
      <sheetName val="сх119-123"/>
      <sheetName val="сх124-125"/>
      <sheetName val="сх126-128"/>
      <sheetName val="сх129"/>
      <sheetName val="сх130"/>
      <sheetName val="сх131"/>
      <sheetName val="сх132"/>
      <sheetName val="сх133"/>
      <sheetName val="Прил10,т.34"/>
      <sheetName val="Прил9,т.31"/>
      <sheetName val="Прил8,т.30"/>
      <sheetName val="табл. №2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общий свод"/>
      <sheetName val="итоги гр-2р."/>
      <sheetName val="Лист1"/>
      <sheetName val="Прил5,т.10"/>
      <sheetName val="Прил5,т.12"/>
      <sheetName val="Прил5,т.14"/>
      <sheetName val="Прил5,т.16"/>
      <sheetName val="Прил2,т.1-ЕТСНГ"/>
      <sheetName val="расчет т.5"/>
      <sheetName val="коэф. т. 5"/>
      <sheetName val="Прил3,т.2"/>
      <sheetName val="Прил3,п,2"/>
      <sheetName val="Прил3,т.3"/>
      <sheetName val="Прил3,т.4"/>
      <sheetName val="вагоны"/>
      <sheetName val="универсальные"/>
      <sheetName val="специализированные"/>
      <sheetName val="изотермические"/>
      <sheetName val="цистерны"/>
      <sheetName val="Прил5,т.8"/>
      <sheetName val="сх И 1"/>
      <sheetName val="сх И2-И7"/>
      <sheetName val="сх 8"/>
      <sheetName val="сх9-13"/>
      <sheetName val="схИ14-И18"/>
      <sheetName val="сх19-24"/>
      <sheetName val="сх25-29"/>
      <sheetName val="схВ1-В15"/>
      <sheetName val="сх30-31"/>
      <sheetName val="сх32"/>
      <sheetName val="сх34-38"/>
      <sheetName val="сх39-43"/>
      <sheetName val="сх44-48"/>
      <sheetName val="сх49-53"/>
      <sheetName val="сх54-58"/>
      <sheetName val="сх59-63"/>
      <sheetName val="сх64-68"/>
      <sheetName val="сх69-73"/>
      <sheetName val="сх74-78"/>
      <sheetName val="сх79-83"/>
      <sheetName val="сх84"/>
      <sheetName val="сх85-89"/>
      <sheetName val="сх90-94"/>
      <sheetName val="сх95-99"/>
      <sheetName val="сх100"/>
      <sheetName val="сх101"/>
      <sheetName val="сх102-105"/>
      <sheetName val="сх106-109"/>
      <sheetName val="сх110-115"/>
      <sheetName val="сх116"/>
      <sheetName val="сх117-118"/>
      <sheetName val="сх119-123"/>
      <sheetName val="сх124-125"/>
      <sheetName val="сх126-128"/>
      <sheetName val="сх129"/>
      <sheetName val="сх130"/>
      <sheetName val="сх131"/>
      <sheetName val="сх132"/>
      <sheetName val="сх133"/>
      <sheetName val="Прил10,т.34"/>
      <sheetName val="Прил9,т.31"/>
      <sheetName val="Прил8,т.30"/>
      <sheetName val="табл. №2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пис дальн"/>
      <sheetName val="свод общ"/>
      <sheetName val="разл варианты"/>
      <sheetName val="свод 1кл"/>
      <sheetName val="коэфф"/>
      <sheetName val="табл 4"/>
      <sheetName val="за расст"/>
      <sheetName val="график"/>
      <sheetName val="уголь"/>
      <sheetName val="уголь кокс"/>
      <sheetName val="мин-стр"/>
      <sheetName val="кокс"/>
      <sheetName val="291"/>
      <sheetName val="271,301,304"/>
      <sheetName val="341"/>
      <sheetName val="141"/>
      <sheetName val="142"/>
      <sheetName val="ост 151"/>
      <sheetName val="глинозем"/>
      <sheetName val="руды нефел"/>
      <sheetName val="81 пв"/>
      <sheetName val="91пв"/>
      <sheetName val="сера"/>
      <sheetName val="ост 1кл"/>
      <sheetName val="сх 25"/>
      <sheetName val="Лист1"/>
      <sheetName val="дальн"/>
      <sheetName val="униф 25 сх"/>
      <sheetName val="база пв соб гр"/>
      <sheetName val="база пв соб пор"/>
      <sheetName val="база пв инв"/>
      <sheetName val="В привл"/>
      <sheetName val="Лист2"/>
    </sheetNames>
    <sheetDataSet>
      <sheetData sheetId="0" refreshError="1"/>
      <sheetData sheetId="1" refreshError="1"/>
      <sheetData sheetId="2" refreshError="1"/>
      <sheetData sheetId="3" refreshError="1"/>
      <sheetData sheetId="4">
        <row r="4">
          <cell r="D4">
            <v>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F"/>
      <sheetName val="REF (2)"/>
      <sheetName val="Лист2"/>
    </sheetNames>
    <sheetDataSet>
      <sheetData sheetId="0">
        <row r="4">
          <cell r="A4" t="str">
            <v>по состоянию АБД ПВ ГВЦ на 10.02.2004 г.</v>
          </cell>
        </row>
        <row r="6">
          <cell r="A6" t="str">
            <v>Список отсортирован по предприятиям-собственникам</v>
          </cell>
          <cell r="E6" t="str">
            <v>Общее кол-во вагонов - 1734</v>
          </cell>
        </row>
        <row r="7">
          <cell r="A7" t="str">
            <v>Номер</v>
          </cell>
          <cell r="B7" t="str">
            <v>Наименование</v>
          </cell>
          <cell r="C7" t="str">
            <v>Станция (дорога)</v>
          </cell>
          <cell r="D7" t="str">
            <v>Дата</v>
          </cell>
          <cell r="E7" t="str">
            <v>Последн.деп. рем.</v>
          </cell>
          <cell r="G7" t="str">
            <v>Последний кап. ремонт</v>
          </cell>
          <cell r="I7" t="str">
            <v>Вид план.</v>
          </cell>
          <cell r="J7" t="str">
            <v>Дата план.</v>
          </cell>
        </row>
        <row r="8">
          <cell r="A8" t="str">
            <v>вагона</v>
          </cell>
          <cell r="B8" t="str">
            <v>предприятия</v>
          </cell>
          <cell r="C8" t="str">
            <v>приписки</v>
          </cell>
          <cell r="D8" t="str">
            <v>постр.</v>
          </cell>
          <cell r="E8" t="str">
            <v>Дата</v>
          </cell>
          <cell r="F8" t="str">
            <v>Депо</v>
          </cell>
          <cell r="G8" t="str">
            <v>Дата</v>
          </cell>
          <cell r="H8" t="str">
            <v>Депо</v>
          </cell>
          <cell r="I8" t="str">
            <v>ремонта</v>
          </cell>
          <cell r="J8" t="str">
            <v>ремонта</v>
          </cell>
        </row>
        <row r="9">
          <cell r="A9">
            <v>58742420</v>
          </cell>
          <cell r="B9" t="str">
            <v>4К КОМПАНИЯ ЖТЭ</v>
          </cell>
          <cell r="C9" t="str">
            <v>ВОЛОКОЛАМСК  (МСK)</v>
          </cell>
          <cell r="D9">
            <v>32509</v>
          </cell>
          <cell r="F9">
            <v>0</v>
          </cell>
          <cell r="G9">
            <v>37959</v>
          </cell>
          <cell r="H9">
            <v>886</v>
          </cell>
          <cell r="I9" t="str">
            <v>деп</v>
          </cell>
          <cell r="J9">
            <v>38507</v>
          </cell>
        </row>
        <row r="10">
          <cell r="A10">
            <v>58742438</v>
          </cell>
          <cell r="B10" t="str">
            <v>4К КОМПАНИЯ ЖТЭ</v>
          </cell>
          <cell r="C10" t="str">
            <v>ВОЛОКОЛАМСК  (МСK)</v>
          </cell>
          <cell r="D10">
            <v>32509</v>
          </cell>
          <cell r="F10">
            <v>0</v>
          </cell>
          <cell r="G10">
            <v>37959</v>
          </cell>
          <cell r="H10">
            <v>886</v>
          </cell>
          <cell r="I10" t="str">
            <v>деп</v>
          </cell>
          <cell r="J10">
            <v>38507</v>
          </cell>
        </row>
        <row r="11">
          <cell r="A11">
            <v>58742446</v>
          </cell>
          <cell r="B11" t="str">
            <v>4К КОМПАНИЯ ЖТЭ</v>
          </cell>
          <cell r="C11" t="str">
            <v>ВОЛОКОЛАМСК  (МСK)</v>
          </cell>
          <cell r="D11">
            <v>32509</v>
          </cell>
          <cell r="F11">
            <v>0</v>
          </cell>
          <cell r="G11">
            <v>37959</v>
          </cell>
          <cell r="H11">
            <v>886</v>
          </cell>
          <cell r="I11" t="str">
            <v>деп</v>
          </cell>
          <cell r="J11">
            <v>38507</v>
          </cell>
        </row>
        <row r="12">
          <cell r="B12" t="str">
            <v>4К КОМПАНИЯ ЖТЭ Количество</v>
          </cell>
          <cell r="D12">
            <v>3</v>
          </cell>
        </row>
        <row r="13">
          <cell r="A13">
            <v>53400552</v>
          </cell>
          <cell r="B13" t="str">
            <v>АВАНГАРД-ЛИЗИНГ</v>
          </cell>
          <cell r="C13" t="str">
            <v>ХОВРИНО      (ОКТ)</v>
          </cell>
          <cell r="D13">
            <v>32660</v>
          </cell>
          <cell r="E13">
            <v>37905</v>
          </cell>
          <cell r="F13">
            <v>492</v>
          </cell>
          <cell r="H13">
            <v>0</v>
          </cell>
          <cell r="I13" t="str">
            <v>деп</v>
          </cell>
          <cell r="J13">
            <v>38453</v>
          </cell>
        </row>
        <row r="14">
          <cell r="A14">
            <v>53400560</v>
          </cell>
          <cell r="B14" t="str">
            <v>АВАНГАРД-ЛИЗИНГ</v>
          </cell>
          <cell r="C14" t="str">
            <v>ХОВРИНО      (ОКТ)</v>
          </cell>
          <cell r="D14">
            <v>32660</v>
          </cell>
          <cell r="E14">
            <v>37809</v>
          </cell>
          <cell r="F14">
            <v>492</v>
          </cell>
          <cell r="H14">
            <v>0</v>
          </cell>
          <cell r="I14" t="str">
            <v>деп</v>
          </cell>
          <cell r="J14">
            <v>38359</v>
          </cell>
        </row>
        <row r="15">
          <cell r="A15">
            <v>53400578</v>
          </cell>
          <cell r="B15" t="str">
            <v>АВАНГАРД-ЛИЗИНГ</v>
          </cell>
          <cell r="C15" t="str">
            <v>ХОВРИНО      (ОКТ)</v>
          </cell>
          <cell r="D15">
            <v>32660</v>
          </cell>
          <cell r="E15">
            <v>37753</v>
          </cell>
          <cell r="F15">
            <v>492</v>
          </cell>
          <cell r="H15">
            <v>0</v>
          </cell>
          <cell r="I15" t="str">
            <v>деп</v>
          </cell>
          <cell r="J15">
            <v>38303</v>
          </cell>
        </row>
        <row r="16">
          <cell r="A16">
            <v>53400602</v>
          </cell>
          <cell r="B16" t="str">
            <v>АВАНГАРД-ЛИЗИНГ</v>
          </cell>
          <cell r="C16" t="str">
            <v>ХОВРИНО      (ОКТ)</v>
          </cell>
          <cell r="D16">
            <v>32660</v>
          </cell>
          <cell r="E16">
            <v>37848</v>
          </cell>
          <cell r="F16">
            <v>492</v>
          </cell>
          <cell r="H16">
            <v>0</v>
          </cell>
          <cell r="I16" t="str">
            <v>деп</v>
          </cell>
          <cell r="J16">
            <v>38398</v>
          </cell>
        </row>
        <row r="17">
          <cell r="A17">
            <v>53400610</v>
          </cell>
          <cell r="B17" t="str">
            <v>АВАНГАРД-ЛИЗИНГ</v>
          </cell>
          <cell r="C17" t="str">
            <v>ХОВРИНО      (ОКТ)</v>
          </cell>
          <cell r="D17">
            <v>32660</v>
          </cell>
          <cell r="E17">
            <v>37965</v>
          </cell>
          <cell r="F17">
            <v>492</v>
          </cell>
          <cell r="H17">
            <v>0</v>
          </cell>
          <cell r="I17" t="str">
            <v>кап</v>
          </cell>
          <cell r="J17">
            <v>38513</v>
          </cell>
        </row>
        <row r="18">
          <cell r="A18">
            <v>53400669</v>
          </cell>
          <cell r="B18" t="str">
            <v>АВАНГАРД-ЛИЗИНГ</v>
          </cell>
          <cell r="C18" t="str">
            <v>ХОВРИНО      (ОКТ)</v>
          </cell>
          <cell r="D18">
            <v>32629</v>
          </cell>
          <cell r="E18">
            <v>37885</v>
          </cell>
          <cell r="F18">
            <v>492</v>
          </cell>
          <cell r="H18">
            <v>0</v>
          </cell>
          <cell r="I18" t="str">
            <v>деп</v>
          </cell>
          <cell r="J18">
            <v>38432</v>
          </cell>
        </row>
        <row r="19">
          <cell r="A19">
            <v>53400677</v>
          </cell>
          <cell r="B19" t="str">
            <v>АВАНГАРД-ЛИЗИНГ</v>
          </cell>
          <cell r="C19" t="str">
            <v>ХОВРИНО      (ОКТ)</v>
          </cell>
          <cell r="D19">
            <v>32660</v>
          </cell>
          <cell r="E19">
            <v>37982</v>
          </cell>
          <cell r="F19">
            <v>557</v>
          </cell>
          <cell r="H19">
            <v>0</v>
          </cell>
          <cell r="I19" t="str">
            <v>кап</v>
          </cell>
          <cell r="J19">
            <v>38530</v>
          </cell>
        </row>
        <row r="20">
          <cell r="A20">
            <v>53400685</v>
          </cell>
          <cell r="B20" t="str">
            <v>АВАНГАРД-ЛИЗИНГ</v>
          </cell>
          <cell r="C20" t="str">
            <v>ХОВРИНО      (ОКТ)</v>
          </cell>
          <cell r="D20">
            <v>32660</v>
          </cell>
          <cell r="E20">
            <v>37864</v>
          </cell>
          <cell r="F20">
            <v>492</v>
          </cell>
          <cell r="H20">
            <v>0</v>
          </cell>
          <cell r="I20" t="str">
            <v>деп</v>
          </cell>
          <cell r="J20">
            <v>38411</v>
          </cell>
        </row>
        <row r="21">
          <cell r="A21">
            <v>53400727</v>
          </cell>
          <cell r="B21" t="str">
            <v>АВАНГАРД-ЛИЗИНГ</v>
          </cell>
          <cell r="C21" t="str">
            <v>ХОВРИНО      (ОКТ)</v>
          </cell>
          <cell r="D21">
            <v>32690</v>
          </cell>
          <cell r="E21">
            <v>37819</v>
          </cell>
          <cell r="F21">
            <v>492</v>
          </cell>
          <cell r="H21">
            <v>0</v>
          </cell>
          <cell r="I21" t="str">
            <v>деп</v>
          </cell>
          <cell r="J21">
            <v>38369</v>
          </cell>
        </row>
        <row r="22">
          <cell r="A22">
            <v>53400735</v>
          </cell>
          <cell r="B22" t="str">
            <v>АВАНГАРД-ЛИЗИНГ</v>
          </cell>
          <cell r="C22" t="str">
            <v>ХОВРИНО      (ОКТ)</v>
          </cell>
          <cell r="D22">
            <v>32660</v>
          </cell>
          <cell r="E22">
            <v>37928</v>
          </cell>
          <cell r="F22">
            <v>492</v>
          </cell>
          <cell r="H22">
            <v>0</v>
          </cell>
          <cell r="I22" t="str">
            <v>деп</v>
          </cell>
          <cell r="J22">
            <v>38475</v>
          </cell>
        </row>
        <row r="23">
          <cell r="A23">
            <v>53705943</v>
          </cell>
          <cell r="B23" t="str">
            <v>АВАНГАРД-ЛИЗИНГ</v>
          </cell>
          <cell r="C23" t="str">
            <v>ХОВРИНО      (ОКТ)</v>
          </cell>
          <cell r="D23">
            <v>32540</v>
          </cell>
          <cell r="E23">
            <v>37839</v>
          </cell>
          <cell r="F23">
            <v>886</v>
          </cell>
          <cell r="H23">
            <v>0</v>
          </cell>
          <cell r="I23" t="str">
            <v>кап</v>
          </cell>
          <cell r="J23">
            <v>38389</v>
          </cell>
        </row>
        <row r="24">
          <cell r="A24">
            <v>53705950</v>
          </cell>
          <cell r="B24" t="str">
            <v>АВАНГАРД-ЛИЗИНГ</v>
          </cell>
          <cell r="C24" t="str">
            <v>ХОВРИНО      (ОКТ)</v>
          </cell>
          <cell r="D24">
            <v>32629</v>
          </cell>
          <cell r="E24">
            <v>37809</v>
          </cell>
          <cell r="F24">
            <v>163</v>
          </cell>
          <cell r="H24">
            <v>0</v>
          </cell>
          <cell r="I24" t="str">
            <v>деп</v>
          </cell>
          <cell r="J24">
            <v>38359</v>
          </cell>
        </row>
        <row r="25">
          <cell r="A25">
            <v>53706081</v>
          </cell>
          <cell r="B25" t="str">
            <v>АВАНГАРД-ЛИЗИНГ</v>
          </cell>
          <cell r="C25" t="str">
            <v>ХОВРИНО      (ОКТ)</v>
          </cell>
          <cell r="D25">
            <v>32721</v>
          </cell>
          <cell r="E25">
            <v>38013</v>
          </cell>
          <cell r="F25">
            <v>163</v>
          </cell>
          <cell r="H25">
            <v>0</v>
          </cell>
          <cell r="I25" t="str">
            <v>деп</v>
          </cell>
          <cell r="J25">
            <v>38560</v>
          </cell>
        </row>
        <row r="26">
          <cell r="A26">
            <v>53706123</v>
          </cell>
          <cell r="B26" t="str">
            <v>АВАНГАРД-ЛИЗИНГ</v>
          </cell>
          <cell r="C26" t="str">
            <v>ХОВРИНО      (ОКТ)</v>
          </cell>
          <cell r="D26">
            <v>32721</v>
          </cell>
          <cell r="E26">
            <v>37887</v>
          </cell>
          <cell r="F26">
            <v>557</v>
          </cell>
          <cell r="H26">
            <v>0</v>
          </cell>
          <cell r="I26" t="str">
            <v>деп</v>
          </cell>
          <cell r="J26">
            <v>38434</v>
          </cell>
        </row>
        <row r="27">
          <cell r="A27">
            <v>53706149</v>
          </cell>
          <cell r="B27" t="str">
            <v>АВАНГАРД-ЛИЗИНГ</v>
          </cell>
          <cell r="C27" t="str">
            <v>ХОВРИНО      (ОКТ)</v>
          </cell>
          <cell r="D27">
            <v>32721</v>
          </cell>
          <cell r="E27">
            <v>37927</v>
          </cell>
          <cell r="F27">
            <v>886</v>
          </cell>
          <cell r="H27">
            <v>0</v>
          </cell>
          <cell r="I27" t="str">
            <v>деп</v>
          </cell>
          <cell r="J27">
            <v>38474</v>
          </cell>
        </row>
        <row r="28">
          <cell r="A28">
            <v>58721499</v>
          </cell>
          <cell r="B28" t="str">
            <v>АВАНГАРД-ЛИЗИНГ</v>
          </cell>
          <cell r="C28" t="str">
            <v>ХОВРИНО      (ОКТ)</v>
          </cell>
          <cell r="D28">
            <v>32721</v>
          </cell>
          <cell r="E28">
            <v>37927</v>
          </cell>
          <cell r="F28">
            <v>557</v>
          </cell>
          <cell r="H28">
            <v>0</v>
          </cell>
          <cell r="I28" t="str">
            <v>деп</v>
          </cell>
          <cell r="J28">
            <v>38474</v>
          </cell>
        </row>
        <row r="29">
          <cell r="A29">
            <v>58721598</v>
          </cell>
          <cell r="B29" t="str">
            <v>АВАНГАРД-ЛИЗИНГ</v>
          </cell>
          <cell r="C29" t="str">
            <v>ХОВРИНО      (ОКТ)</v>
          </cell>
          <cell r="D29">
            <v>32721</v>
          </cell>
          <cell r="E29">
            <v>37927</v>
          </cell>
          <cell r="F29">
            <v>557</v>
          </cell>
          <cell r="H29">
            <v>0</v>
          </cell>
          <cell r="I29" t="str">
            <v>деп</v>
          </cell>
          <cell r="J29">
            <v>38474</v>
          </cell>
        </row>
        <row r="30">
          <cell r="A30">
            <v>58721697</v>
          </cell>
          <cell r="B30" t="str">
            <v>АВАНГАРД-ЛИЗИНГ</v>
          </cell>
          <cell r="C30" t="str">
            <v>ХОВРИНО      (ОКТ)</v>
          </cell>
          <cell r="D30">
            <v>32721</v>
          </cell>
          <cell r="E30">
            <v>37927</v>
          </cell>
          <cell r="F30">
            <v>557</v>
          </cell>
          <cell r="H30">
            <v>0</v>
          </cell>
          <cell r="I30" t="str">
            <v>деп</v>
          </cell>
          <cell r="J30">
            <v>38474</v>
          </cell>
        </row>
        <row r="31">
          <cell r="A31">
            <v>58721796</v>
          </cell>
          <cell r="B31" t="str">
            <v>АВАНГАРД-ЛИЗИНГ</v>
          </cell>
          <cell r="C31" t="str">
            <v>ХОВРИНО      (ОКТ)</v>
          </cell>
          <cell r="D31">
            <v>32721</v>
          </cell>
          <cell r="E31">
            <v>37927</v>
          </cell>
          <cell r="F31">
            <v>557</v>
          </cell>
          <cell r="H31">
            <v>0</v>
          </cell>
          <cell r="I31" t="str">
            <v>деп</v>
          </cell>
          <cell r="J31">
            <v>38474</v>
          </cell>
        </row>
        <row r="32">
          <cell r="A32">
            <v>58722299</v>
          </cell>
          <cell r="B32" t="str">
            <v>АВАНГАРД-ЛИЗИНГ</v>
          </cell>
          <cell r="C32" t="str">
            <v>ХОВРИНО      (ОКТ)</v>
          </cell>
          <cell r="D32">
            <v>32721</v>
          </cell>
          <cell r="E32">
            <v>37890</v>
          </cell>
          <cell r="F32">
            <v>557</v>
          </cell>
          <cell r="H32">
            <v>0</v>
          </cell>
          <cell r="I32" t="str">
            <v>деп</v>
          </cell>
          <cell r="J32">
            <v>38437</v>
          </cell>
        </row>
        <row r="33">
          <cell r="A33">
            <v>58722398</v>
          </cell>
          <cell r="B33" t="str">
            <v>АВАНГАРД-ЛИЗИНГ</v>
          </cell>
          <cell r="C33" t="str">
            <v>ХОВРИНО      (ОКТ)</v>
          </cell>
          <cell r="D33">
            <v>32721</v>
          </cell>
          <cell r="E33">
            <v>37887</v>
          </cell>
          <cell r="F33">
            <v>557</v>
          </cell>
          <cell r="H33">
            <v>0</v>
          </cell>
          <cell r="I33" t="str">
            <v>деп</v>
          </cell>
          <cell r="J33">
            <v>38434</v>
          </cell>
        </row>
        <row r="34">
          <cell r="A34">
            <v>58722497</v>
          </cell>
          <cell r="B34" t="str">
            <v>АВАНГАРД-ЛИЗИНГ</v>
          </cell>
          <cell r="C34" t="str">
            <v>ХОВРИНО      (ОКТ)</v>
          </cell>
          <cell r="D34">
            <v>32721</v>
          </cell>
          <cell r="E34">
            <v>37890</v>
          </cell>
          <cell r="F34">
            <v>557</v>
          </cell>
          <cell r="H34">
            <v>0</v>
          </cell>
          <cell r="I34" t="str">
            <v>деп</v>
          </cell>
          <cell r="J34">
            <v>38437</v>
          </cell>
        </row>
        <row r="35">
          <cell r="A35">
            <v>58722596</v>
          </cell>
          <cell r="B35" t="str">
            <v>АВАНГАРД-ЛИЗИНГ</v>
          </cell>
          <cell r="C35" t="str">
            <v>ХОВРИНО      (ОКТ)</v>
          </cell>
          <cell r="D35">
            <v>32721</v>
          </cell>
          <cell r="E35">
            <v>37890</v>
          </cell>
          <cell r="F35">
            <v>557</v>
          </cell>
          <cell r="H35">
            <v>0</v>
          </cell>
          <cell r="I35" t="str">
            <v>деп</v>
          </cell>
          <cell r="J35">
            <v>38437</v>
          </cell>
        </row>
        <row r="36">
          <cell r="A36">
            <v>58723099</v>
          </cell>
          <cell r="B36" t="str">
            <v>АВАНГАРД-ЛИЗИНГ</v>
          </cell>
          <cell r="C36" t="str">
            <v>ХОВРИНО      (ОКТ)</v>
          </cell>
          <cell r="D36">
            <v>32721</v>
          </cell>
          <cell r="E36">
            <v>37927</v>
          </cell>
          <cell r="F36">
            <v>886</v>
          </cell>
          <cell r="H36">
            <v>0</v>
          </cell>
          <cell r="I36" t="str">
            <v>деп</v>
          </cell>
          <cell r="J36">
            <v>38474</v>
          </cell>
        </row>
        <row r="37">
          <cell r="A37">
            <v>58723198</v>
          </cell>
          <cell r="B37" t="str">
            <v>АВАНГАРД-ЛИЗИНГ</v>
          </cell>
          <cell r="C37" t="str">
            <v>ХОВРИНО      (ОКТ)</v>
          </cell>
          <cell r="D37">
            <v>32721</v>
          </cell>
          <cell r="E37">
            <v>37927</v>
          </cell>
          <cell r="F37">
            <v>886</v>
          </cell>
          <cell r="H37">
            <v>0</v>
          </cell>
          <cell r="I37" t="str">
            <v>деп</v>
          </cell>
          <cell r="J37">
            <v>38474</v>
          </cell>
        </row>
        <row r="38">
          <cell r="A38">
            <v>58723297</v>
          </cell>
          <cell r="B38" t="str">
            <v>АВАНГАРД-ЛИЗИНГ</v>
          </cell>
          <cell r="C38" t="str">
            <v>ХОВРИНО      (ОКТ)</v>
          </cell>
          <cell r="D38">
            <v>32721</v>
          </cell>
          <cell r="E38">
            <v>37885</v>
          </cell>
          <cell r="F38">
            <v>557</v>
          </cell>
          <cell r="H38">
            <v>0</v>
          </cell>
          <cell r="I38" t="str">
            <v>деп</v>
          </cell>
          <cell r="J38">
            <v>38432</v>
          </cell>
        </row>
        <row r="39">
          <cell r="A39">
            <v>58723396</v>
          </cell>
          <cell r="B39" t="str">
            <v>АВАНГАРД-ЛИЗИНГ</v>
          </cell>
          <cell r="C39" t="str">
            <v>ХОВРИНО      (ОКТ)</v>
          </cell>
          <cell r="D39">
            <v>32721</v>
          </cell>
          <cell r="E39">
            <v>37927</v>
          </cell>
          <cell r="F39">
            <v>886</v>
          </cell>
          <cell r="H39">
            <v>0</v>
          </cell>
          <cell r="I39" t="str">
            <v>деп</v>
          </cell>
          <cell r="J39">
            <v>38474</v>
          </cell>
        </row>
        <row r="40">
          <cell r="A40">
            <v>58729583</v>
          </cell>
          <cell r="B40" t="str">
            <v>АВАНГАРД-ЛИЗИНГ</v>
          </cell>
          <cell r="C40" t="str">
            <v>ХОВРИНО      (ОКТ)</v>
          </cell>
          <cell r="D40">
            <v>32540</v>
          </cell>
          <cell r="E40">
            <v>37839</v>
          </cell>
          <cell r="F40">
            <v>886</v>
          </cell>
          <cell r="H40">
            <v>0</v>
          </cell>
          <cell r="I40" t="str">
            <v>кап</v>
          </cell>
          <cell r="J40">
            <v>38389</v>
          </cell>
        </row>
        <row r="41">
          <cell r="A41">
            <v>58729609</v>
          </cell>
          <cell r="B41" t="str">
            <v>АВАНГАРД-ЛИЗИНГ</v>
          </cell>
          <cell r="C41" t="str">
            <v>ХОВРИНО      (ОКТ)</v>
          </cell>
          <cell r="D41">
            <v>32540</v>
          </cell>
          <cell r="E41">
            <v>37839</v>
          </cell>
          <cell r="F41">
            <v>886</v>
          </cell>
          <cell r="H41">
            <v>0</v>
          </cell>
          <cell r="I41" t="str">
            <v>кап</v>
          </cell>
          <cell r="J41">
            <v>38389</v>
          </cell>
        </row>
        <row r="42">
          <cell r="A42">
            <v>58729617</v>
          </cell>
          <cell r="B42" t="str">
            <v>АВАНГАРД-ЛИЗИНГ</v>
          </cell>
          <cell r="C42" t="str">
            <v>ХОВРИНО      (ОКТ)</v>
          </cell>
          <cell r="D42">
            <v>32540</v>
          </cell>
          <cell r="E42">
            <v>37839</v>
          </cell>
          <cell r="F42">
            <v>886</v>
          </cell>
          <cell r="H42">
            <v>0</v>
          </cell>
          <cell r="I42" t="str">
            <v>кап</v>
          </cell>
          <cell r="J42">
            <v>38389</v>
          </cell>
        </row>
        <row r="43">
          <cell r="A43">
            <v>58729625</v>
          </cell>
          <cell r="B43" t="str">
            <v>АВАНГАРД-ЛИЗИНГ</v>
          </cell>
          <cell r="C43" t="str">
            <v>ХОВРИНО      (ОКТ)</v>
          </cell>
          <cell r="D43">
            <v>32540</v>
          </cell>
          <cell r="E43">
            <v>37839</v>
          </cell>
          <cell r="F43">
            <v>886</v>
          </cell>
          <cell r="H43">
            <v>0</v>
          </cell>
          <cell r="I43" t="str">
            <v>кап</v>
          </cell>
          <cell r="J43">
            <v>38389</v>
          </cell>
        </row>
        <row r="44">
          <cell r="A44">
            <v>58729633</v>
          </cell>
          <cell r="B44" t="str">
            <v>АВАНГАРД-ЛИЗИНГ</v>
          </cell>
          <cell r="C44" t="str">
            <v>ХОВРИНО      (ОКТ)</v>
          </cell>
          <cell r="D44">
            <v>32629</v>
          </cell>
          <cell r="E44">
            <v>37809</v>
          </cell>
          <cell r="F44">
            <v>163</v>
          </cell>
          <cell r="H44">
            <v>0</v>
          </cell>
          <cell r="I44" t="str">
            <v>деп</v>
          </cell>
          <cell r="J44">
            <v>38359</v>
          </cell>
        </row>
        <row r="45">
          <cell r="A45">
            <v>58729641</v>
          </cell>
          <cell r="B45" t="str">
            <v>АВАНГАРД-ЛИЗИНГ</v>
          </cell>
          <cell r="C45" t="str">
            <v>ХОВРИНО      (ОКТ)</v>
          </cell>
          <cell r="D45">
            <v>32629</v>
          </cell>
          <cell r="E45">
            <v>37809</v>
          </cell>
          <cell r="F45">
            <v>163</v>
          </cell>
          <cell r="H45">
            <v>0</v>
          </cell>
          <cell r="I45" t="str">
            <v>деп</v>
          </cell>
          <cell r="J45">
            <v>38359</v>
          </cell>
        </row>
        <row r="46">
          <cell r="A46">
            <v>58729658</v>
          </cell>
          <cell r="B46" t="str">
            <v>АВАНГАРД-ЛИЗИНГ</v>
          </cell>
          <cell r="C46" t="str">
            <v>ХОВРИНО      (ОКТ)</v>
          </cell>
          <cell r="D46">
            <v>32629</v>
          </cell>
          <cell r="E46">
            <v>37809</v>
          </cell>
          <cell r="F46">
            <v>163</v>
          </cell>
          <cell r="H46">
            <v>0</v>
          </cell>
          <cell r="I46" t="str">
            <v>деп</v>
          </cell>
          <cell r="J46">
            <v>38359</v>
          </cell>
        </row>
        <row r="47">
          <cell r="A47">
            <v>58729666</v>
          </cell>
          <cell r="B47" t="str">
            <v>АВАНГАРД-ЛИЗИНГ</v>
          </cell>
          <cell r="C47" t="str">
            <v>ХОВРИНО      (ОКТ)</v>
          </cell>
          <cell r="D47">
            <v>32629</v>
          </cell>
          <cell r="E47">
            <v>37809</v>
          </cell>
          <cell r="F47">
            <v>163</v>
          </cell>
          <cell r="H47">
            <v>0</v>
          </cell>
          <cell r="I47" t="str">
            <v>деп</v>
          </cell>
          <cell r="J47">
            <v>38359</v>
          </cell>
        </row>
        <row r="48">
          <cell r="A48">
            <v>58731688</v>
          </cell>
          <cell r="B48" t="str">
            <v>АВАНГАРД-ЛИЗИНГ</v>
          </cell>
          <cell r="C48" t="str">
            <v>ХОВРИНО      (ОКТ)</v>
          </cell>
          <cell r="D48">
            <v>32660</v>
          </cell>
          <cell r="E48">
            <v>37905</v>
          </cell>
          <cell r="F48">
            <v>492</v>
          </cell>
          <cell r="H48">
            <v>0</v>
          </cell>
          <cell r="I48" t="str">
            <v>деп</v>
          </cell>
          <cell r="J48">
            <v>38453</v>
          </cell>
        </row>
        <row r="49">
          <cell r="A49">
            <v>58731696</v>
          </cell>
          <cell r="B49" t="str">
            <v>АВАНГАРД-ЛИЗИНГ</v>
          </cell>
          <cell r="C49" t="str">
            <v>ХОВРИНО      (ОКТ)</v>
          </cell>
          <cell r="D49">
            <v>32660</v>
          </cell>
          <cell r="E49">
            <v>37905</v>
          </cell>
          <cell r="F49">
            <v>492</v>
          </cell>
          <cell r="H49">
            <v>0</v>
          </cell>
          <cell r="I49" t="str">
            <v>деп</v>
          </cell>
          <cell r="J49">
            <v>38453</v>
          </cell>
        </row>
        <row r="50">
          <cell r="A50">
            <v>58731704</v>
          </cell>
          <cell r="B50" t="str">
            <v>АВАНГАРД-ЛИЗИНГ</v>
          </cell>
          <cell r="C50" t="str">
            <v>ХОВРИНО      (ОКТ)</v>
          </cell>
          <cell r="D50">
            <v>32660</v>
          </cell>
          <cell r="E50">
            <v>37905</v>
          </cell>
          <cell r="F50">
            <v>492</v>
          </cell>
          <cell r="H50">
            <v>0</v>
          </cell>
          <cell r="I50" t="str">
            <v>деп</v>
          </cell>
          <cell r="J50">
            <v>38453</v>
          </cell>
        </row>
        <row r="51">
          <cell r="A51">
            <v>58731712</v>
          </cell>
          <cell r="B51" t="str">
            <v>АВАНГАРД-ЛИЗИНГ</v>
          </cell>
          <cell r="C51" t="str">
            <v>ХОВРИНО      (ОКТ)</v>
          </cell>
          <cell r="D51">
            <v>32660</v>
          </cell>
          <cell r="E51">
            <v>37905</v>
          </cell>
          <cell r="F51">
            <v>492</v>
          </cell>
          <cell r="H51">
            <v>0</v>
          </cell>
          <cell r="I51" t="str">
            <v>деп</v>
          </cell>
          <cell r="J51">
            <v>38453</v>
          </cell>
        </row>
        <row r="52">
          <cell r="A52">
            <v>58731720</v>
          </cell>
          <cell r="B52" t="str">
            <v>АВАНГАРД-ЛИЗИНГ</v>
          </cell>
          <cell r="C52" t="str">
            <v>ХОВРИНО      (ОКТ)</v>
          </cell>
          <cell r="D52">
            <v>32660</v>
          </cell>
          <cell r="E52">
            <v>37809</v>
          </cell>
          <cell r="F52">
            <v>492</v>
          </cell>
          <cell r="H52">
            <v>0</v>
          </cell>
          <cell r="I52" t="str">
            <v>деп</v>
          </cell>
          <cell r="J52">
            <v>38359</v>
          </cell>
        </row>
        <row r="53">
          <cell r="A53">
            <v>58731738</v>
          </cell>
          <cell r="B53" t="str">
            <v>АВАНГАРД-ЛИЗИНГ</v>
          </cell>
          <cell r="C53" t="str">
            <v>ХОВРИНО      (ОКТ)</v>
          </cell>
          <cell r="D53">
            <v>32660</v>
          </cell>
          <cell r="E53">
            <v>37809</v>
          </cell>
          <cell r="F53">
            <v>492</v>
          </cell>
          <cell r="H53">
            <v>0</v>
          </cell>
          <cell r="I53" t="str">
            <v>деп</v>
          </cell>
          <cell r="J53">
            <v>38359</v>
          </cell>
        </row>
        <row r="54">
          <cell r="A54">
            <v>58731746</v>
          </cell>
          <cell r="B54" t="str">
            <v>АВАНГАРД-ЛИЗИНГ</v>
          </cell>
          <cell r="C54" t="str">
            <v>ХОВРИНО      (ОКТ)</v>
          </cell>
          <cell r="D54">
            <v>32660</v>
          </cell>
          <cell r="E54">
            <v>37809</v>
          </cell>
          <cell r="F54">
            <v>492</v>
          </cell>
          <cell r="H54">
            <v>0</v>
          </cell>
          <cell r="I54" t="str">
            <v>деп</v>
          </cell>
          <cell r="J54">
            <v>38359</v>
          </cell>
        </row>
        <row r="55">
          <cell r="A55">
            <v>58731753</v>
          </cell>
          <cell r="B55" t="str">
            <v>АВАНГАРД-ЛИЗИНГ</v>
          </cell>
          <cell r="C55" t="str">
            <v>ХОВРИНО      (ОКТ)</v>
          </cell>
          <cell r="D55">
            <v>32660</v>
          </cell>
          <cell r="E55">
            <v>37809</v>
          </cell>
          <cell r="F55">
            <v>492</v>
          </cell>
          <cell r="H55">
            <v>0</v>
          </cell>
          <cell r="I55" t="str">
            <v>деп</v>
          </cell>
          <cell r="J55">
            <v>38359</v>
          </cell>
        </row>
        <row r="56">
          <cell r="A56">
            <v>58731761</v>
          </cell>
          <cell r="B56" t="str">
            <v>АВАНГАРД-ЛИЗИНГ</v>
          </cell>
          <cell r="C56" t="str">
            <v>ХОВРИНО      (ОКТ)</v>
          </cell>
          <cell r="D56">
            <v>32660</v>
          </cell>
          <cell r="E56">
            <v>37753</v>
          </cell>
          <cell r="F56">
            <v>492</v>
          </cell>
          <cell r="H56">
            <v>0</v>
          </cell>
          <cell r="I56" t="str">
            <v>деп</v>
          </cell>
          <cell r="J56">
            <v>38303</v>
          </cell>
        </row>
        <row r="57">
          <cell r="A57">
            <v>58731779</v>
          </cell>
          <cell r="B57" t="str">
            <v>АВАНГАРД-ЛИЗИНГ</v>
          </cell>
          <cell r="C57" t="str">
            <v>ХОВРИНО      (ОКТ)</v>
          </cell>
          <cell r="D57">
            <v>32660</v>
          </cell>
          <cell r="E57">
            <v>37753</v>
          </cell>
          <cell r="F57">
            <v>492</v>
          </cell>
          <cell r="H57">
            <v>0</v>
          </cell>
          <cell r="I57" t="str">
            <v>деп</v>
          </cell>
          <cell r="J57">
            <v>38303</v>
          </cell>
        </row>
        <row r="58">
          <cell r="A58">
            <v>58731787</v>
          </cell>
          <cell r="B58" t="str">
            <v>АВАНГАРД-ЛИЗИНГ</v>
          </cell>
          <cell r="C58" t="str">
            <v>ХОВРИНО      (ОКТ)</v>
          </cell>
          <cell r="D58">
            <v>32660</v>
          </cell>
          <cell r="E58">
            <v>37753</v>
          </cell>
          <cell r="F58">
            <v>492</v>
          </cell>
          <cell r="H58">
            <v>0</v>
          </cell>
          <cell r="I58" t="str">
            <v>деп</v>
          </cell>
          <cell r="J58">
            <v>38303</v>
          </cell>
        </row>
        <row r="59">
          <cell r="A59">
            <v>58731795</v>
          </cell>
          <cell r="B59" t="str">
            <v>АВАНГАРД-ЛИЗИНГ</v>
          </cell>
          <cell r="C59" t="str">
            <v>ХОВРИНО      (ОКТ)</v>
          </cell>
          <cell r="D59">
            <v>32660</v>
          </cell>
          <cell r="E59">
            <v>37753</v>
          </cell>
          <cell r="F59">
            <v>492</v>
          </cell>
          <cell r="H59">
            <v>0</v>
          </cell>
          <cell r="I59" t="str">
            <v>деп</v>
          </cell>
          <cell r="J59">
            <v>38303</v>
          </cell>
        </row>
        <row r="60">
          <cell r="A60">
            <v>58731845</v>
          </cell>
          <cell r="B60" t="str">
            <v>АВАНГАРД-ЛИЗИНГ</v>
          </cell>
          <cell r="C60" t="str">
            <v>ХОВРИНО      (ОКТ)</v>
          </cell>
          <cell r="D60">
            <v>32660</v>
          </cell>
          <cell r="E60">
            <v>37848</v>
          </cell>
          <cell r="F60">
            <v>492</v>
          </cell>
          <cell r="H60">
            <v>0</v>
          </cell>
          <cell r="I60" t="str">
            <v>деп</v>
          </cell>
          <cell r="J60">
            <v>38398</v>
          </cell>
        </row>
        <row r="61">
          <cell r="A61">
            <v>58731852</v>
          </cell>
          <cell r="B61" t="str">
            <v>АВАНГАРД-ЛИЗИНГ</v>
          </cell>
          <cell r="C61" t="str">
            <v>ХОВРИНО      (ОКТ)</v>
          </cell>
          <cell r="D61">
            <v>32660</v>
          </cell>
          <cell r="E61">
            <v>37848</v>
          </cell>
          <cell r="F61">
            <v>492</v>
          </cell>
          <cell r="H61">
            <v>0</v>
          </cell>
          <cell r="I61" t="str">
            <v>деп</v>
          </cell>
          <cell r="J61">
            <v>38398</v>
          </cell>
        </row>
        <row r="62">
          <cell r="A62">
            <v>58731860</v>
          </cell>
          <cell r="B62" t="str">
            <v>АВАНГАРД-ЛИЗИНГ</v>
          </cell>
          <cell r="C62" t="str">
            <v>ХОВРИНО      (ОКТ)</v>
          </cell>
          <cell r="D62">
            <v>32660</v>
          </cell>
          <cell r="E62">
            <v>37848</v>
          </cell>
          <cell r="F62">
            <v>492</v>
          </cell>
          <cell r="H62">
            <v>0</v>
          </cell>
          <cell r="I62" t="str">
            <v>деп</v>
          </cell>
          <cell r="J62">
            <v>38398</v>
          </cell>
        </row>
        <row r="63">
          <cell r="A63">
            <v>58731878</v>
          </cell>
          <cell r="B63" t="str">
            <v>АВАНГАРД-ЛИЗИНГ</v>
          </cell>
          <cell r="C63" t="str">
            <v>ХОВРИНО      (ОКТ)</v>
          </cell>
          <cell r="D63">
            <v>32660</v>
          </cell>
          <cell r="E63">
            <v>37848</v>
          </cell>
          <cell r="F63">
            <v>492</v>
          </cell>
          <cell r="H63">
            <v>0</v>
          </cell>
          <cell r="I63" t="str">
            <v>деп</v>
          </cell>
          <cell r="J63">
            <v>38398</v>
          </cell>
        </row>
        <row r="64">
          <cell r="A64">
            <v>58731886</v>
          </cell>
          <cell r="B64" t="str">
            <v>АВАНГАРД-ЛИЗИНГ</v>
          </cell>
          <cell r="C64" t="str">
            <v>ХОВРИНО      (ОКТ)</v>
          </cell>
          <cell r="D64">
            <v>32660</v>
          </cell>
          <cell r="E64">
            <v>37965</v>
          </cell>
          <cell r="F64">
            <v>492</v>
          </cell>
          <cell r="H64">
            <v>0</v>
          </cell>
          <cell r="I64" t="str">
            <v>кап</v>
          </cell>
          <cell r="J64">
            <v>38513</v>
          </cell>
        </row>
        <row r="65">
          <cell r="A65">
            <v>58731894</v>
          </cell>
          <cell r="B65" t="str">
            <v>АВАНГАРД-ЛИЗИНГ</v>
          </cell>
          <cell r="C65" t="str">
            <v>ХОВРИНО      (ОКТ)</v>
          </cell>
          <cell r="D65">
            <v>32660</v>
          </cell>
          <cell r="E65">
            <v>37965</v>
          </cell>
          <cell r="F65">
            <v>492</v>
          </cell>
          <cell r="H65">
            <v>0</v>
          </cell>
          <cell r="I65" t="str">
            <v>кап</v>
          </cell>
          <cell r="J65">
            <v>38513</v>
          </cell>
        </row>
        <row r="66">
          <cell r="A66">
            <v>58731902</v>
          </cell>
          <cell r="B66" t="str">
            <v>АВАНГАРД-ЛИЗИНГ</v>
          </cell>
          <cell r="C66" t="str">
            <v>ХОВРИНО      (ОКТ)</v>
          </cell>
          <cell r="D66">
            <v>32660</v>
          </cell>
          <cell r="E66">
            <v>37965</v>
          </cell>
          <cell r="F66">
            <v>492</v>
          </cell>
          <cell r="H66">
            <v>0</v>
          </cell>
          <cell r="I66" t="str">
            <v>кап</v>
          </cell>
          <cell r="J66">
            <v>38513</v>
          </cell>
        </row>
        <row r="67">
          <cell r="A67">
            <v>58731910</v>
          </cell>
          <cell r="B67" t="str">
            <v>АВАНГАРД-ЛИЗИНГ</v>
          </cell>
          <cell r="C67" t="str">
            <v>ХОВРИНО      (ОКТ)</v>
          </cell>
          <cell r="D67">
            <v>32660</v>
          </cell>
          <cell r="E67">
            <v>37965</v>
          </cell>
          <cell r="F67">
            <v>492</v>
          </cell>
          <cell r="H67">
            <v>0</v>
          </cell>
          <cell r="I67" t="str">
            <v>кап</v>
          </cell>
          <cell r="J67">
            <v>38513</v>
          </cell>
        </row>
        <row r="68">
          <cell r="A68">
            <v>58732041</v>
          </cell>
          <cell r="B68" t="str">
            <v>АВАНГАРД-ЛИЗИНГ</v>
          </cell>
          <cell r="C68" t="str">
            <v>ХОВРИНО      (ОКТ)</v>
          </cell>
          <cell r="D68">
            <v>32629</v>
          </cell>
          <cell r="E68">
            <v>37885</v>
          </cell>
          <cell r="F68">
            <v>492</v>
          </cell>
          <cell r="H68">
            <v>0</v>
          </cell>
          <cell r="I68" t="str">
            <v>деп</v>
          </cell>
          <cell r="J68">
            <v>38432</v>
          </cell>
        </row>
        <row r="69">
          <cell r="A69">
            <v>58732058</v>
          </cell>
          <cell r="B69" t="str">
            <v>АВАНГАРД-ЛИЗИНГ</v>
          </cell>
          <cell r="C69" t="str">
            <v>ХОВРИНО      (ОКТ)</v>
          </cell>
          <cell r="D69">
            <v>32629</v>
          </cell>
          <cell r="E69">
            <v>37885</v>
          </cell>
          <cell r="F69">
            <v>492</v>
          </cell>
          <cell r="H69">
            <v>0</v>
          </cell>
          <cell r="I69" t="str">
            <v>деп</v>
          </cell>
          <cell r="J69">
            <v>38432</v>
          </cell>
        </row>
        <row r="70">
          <cell r="A70">
            <v>58732066</v>
          </cell>
          <cell r="B70" t="str">
            <v>АВАНГАРД-ЛИЗИНГ</v>
          </cell>
          <cell r="C70" t="str">
            <v>ХОВРИНО      (ОКТ)</v>
          </cell>
          <cell r="D70">
            <v>32629</v>
          </cell>
          <cell r="E70">
            <v>37885</v>
          </cell>
          <cell r="F70">
            <v>492</v>
          </cell>
          <cell r="H70">
            <v>0</v>
          </cell>
          <cell r="I70" t="str">
            <v>деп</v>
          </cell>
          <cell r="J70">
            <v>38432</v>
          </cell>
        </row>
        <row r="71">
          <cell r="A71">
            <v>58732074</v>
          </cell>
          <cell r="B71" t="str">
            <v>АВАНГАРД-ЛИЗИНГ</v>
          </cell>
          <cell r="C71" t="str">
            <v>ХОВРИНО      (ОКТ)</v>
          </cell>
          <cell r="D71">
            <v>32629</v>
          </cell>
          <cell r="E71">
            <v>37885</v>
          </cell>
          <cell r="F71">
            <v>492</v>
          </cell>
          <cell r="H71">
            <v>0</v>
          </cell>
          <cell r="I71" t="str">
            <v>деп</v>
          </cell>
          <cell r="J71">
            <v>38432</v>
          </cell>
        </row>
        <row r="72">
          <cell r="A72">
            <v>58732082</v>
          </cell>
          <cell r="B72" t="str">
            <v>АВАНГАРД-ЛИЗИНГ</v>
          </cell>
          <cell r="C72" t="str">
            <v>ХОВРИНО      (ОКТ)</v>
          </cell>
          <cell r="D72">
            <v>32660</v>
          </cell>
          <cell r="E72">
            <v>37982</v>
          </cell>
          <cell r="F72">
            <v>557</v>
          </cell>
          <cell r="H72">
            <v>0</v>
          </cell>
          <cell r="I72" t="str">
            <v>кап</v>
          </cell>
          <cell r="J72">
            <v>38530</v>
          </cell>
        </row>
        <row r="73">
          <cell r="A73">
            <v>58732090</v>
          </cell>
          <cell r="B73" t="str">
            <v>АВАНГАРД-ЛИЗИНГ</v>
          </cell>
          <cell r="C73" t="str">
            <v>ХОВРИНО      (ОКТ)</v>
          </cell>
          <cell r="D73">
            <v>32660</v>
          </cell>
          <cell r="E73">
            <v>37982</v>
          </cell>
          <cell r="F73">
            <v>557</v>
          </cell>
          <cell r="H73">
            <v>0</v>
          </cell>
          <cell r="I73" t="str">
            <v>кап</v>
          </cell>
          <cell r="J73">
            <v>38530</v>
          </cell>
        </row>
        <row r="74">
          <cell r="A74">
            <v>58732108</v>
          </cell>
          <cell r="B74" t="str">
            <v>АВАНГАРД-ЛИЗИНГ</v>
          </cell>
          <cell r="C74" t="str">
            <v>ХОВРИНО      (ОКТ)</v>
          </cell>
          <cell r="D74">
            <v>32660</v>
          </cell>
          <cell r="E74">
            <v>37982</v>
          </cell>
          <cell r="F74">
            <v>557</v>
          </cell>
          <cell r="H74">
            <v>0</v>
          </cell>
          <cell r="I74" t="str">
            <v>кап</v>
          </cell>
          <cell r="J74">
            <v>38530</v>
          </cell>
        </row>
        <row r="75">
          <cell r="A75">
            <v>58732116</v>
          </cell>
          <cell r="B75" t="str">
            <v>АВАНГАРД-ЛИЗИНГ</v>
          </cell>
          <cell r="C75" t="str">
            <v>ХОВРИНО      (ОКТ)</v>
          </cell>
          <cell r="D75">
            <v>32660</v>
          </cell>
          <cell r="E75">
            <v>37982</v>
          </cell>
          <cell r="F75">
            <v>557</v>
          </cell>
          <cell r="H75">
            <v>0</v>
          </cell>
          <cell r="I75" t="str">
            <v>кап</v>
          </cell>
          <cell r="J75">
            <v>38530</v>
          </cell>
        </row>
        <row r="76">
          <cell r="A76">
            <v>58732124</v>
          </cell>
          <cell r="B76" t="str">
            <v>АВАНГАРД-ЛИЗИНГ</v>
          </cell>
          <cell r="C76" t="str">
            <v>ХОВРИНО      (ОКТ)</v>
          </cell>
          <cell r="D76">
            <v>32660</v>
          </cell>
          <cell r="E76">
            <v>37864</v>
          </cell>
          <cell r="F76">
            <v>492</v>
          </cell>
          <cell r="H76">
            <v>0</v>
          </cell>
          <cell r="I76" t="str">
            <v>деп</v>
          </cell>
          <cell r="J76">
            <v>38411</v>
          </cell>
        </row>
        <row r="77">
          <cell r="A77">
            <v>58732132</v>
          </cell>
          <cell r="B77" t="str">
            <v>АВАНГАРД-ЛИЗИНГ</v>
          </cell>
          <cell r="C77" t="str">
            <v>ХОВРИНО      (ОКТ)</v>
          </cell>
          <cell r="D77">
            <v>32660</v>
          </cell>
          <cell r="E77">
            <v>37864</v>
          </cell>
          <cell r="F77">
            <v>492</v>
          </cell>
          <cell r="H77">
            <v>0</v>
          </cell>
          <cell r="I77" t="str">
            <v>деп</v>
          </cell>
          <cell r="J77">
            <v>38411</v>
          </cell>
        </row>
        <row r="78">
          <cell r="A78">
            <v>58732140</v>
          </cell>
          <cell r="B78" t="str">
            <v>АВАНГАРД-ЛИЗИНГ</v>
          </cell>
          <cell r="C78" t="str">
            <v>ХОВРИНО      (ОКТ)</v>
          </cell>
          <cell r="D78">
            <v>32660</v>
          </cell>
          <cell r="E78">
            <v>37864</v>
          </cell>
          <cell r="F78">
            <v>492</v>
          </cell>
          <cell r="H78">
            <v>0</v>
          </cell>
          <cell r="I78" t="str">
            <v>деп</v>
          </cell>
          <cell r="J78">
            <v>38411</v>
          </cell>
        </row>
        <row r="79">
          <cell r="A79">
            <v>58732157</v>
          </cell>
          <cell r="B79" t="str">
            <v>АВАНГАРД-ЛИЗИНГ</v>
          </cell>
          <cell r="C79" t="str">
            <v>ХОВРИНО      (ОКТ)</v>
          </cell>
          <cell r="D79">
            <v>32660</v>
          </cell>
          <cell r="E79">
            <v>37864</v>
          </cell>
          <cell r="F79">
            <v>492</v>
          </cell>
          <cell r="H79">
            <v>0</v>
          </cell>
          <cell r="I79" t="str">
            <v>деп</v>
          </cell>
          <cell r="J79">
            <v>38411</v>
          </cell>
        </row>
        <row r="80">
          <cell r="A80">
            <v>58732249</v>
          </cell>
          <cell r="B80" t="str">
            <v>АВАНГАРД-ЛИЗИНГ</v>
          </cell>
          <cell r="C80" t="str">
            <v>ХОВРИНО      (ОКТ)</v>
          </cell>
          <cell r="D80">
            <v>32690</v>
          </cell>
          <cell r="E80">
            <v>37819</v>
          </cell>
          <cell r="F80">
            <v>492</v>
          </cell>
          <cell r="H80">
            <v>0</v>
          </cell>
          <cell r="I80" t="str">
            <v>деп</v>
          </cell>
          <cell r="J80">
            <v>38369</v>
          </cell>
        </row>
        <row r="81">
          <cell r="A81">
            <v>58732256</v>
          </cell>
          <cell r="B81" t="str">
            <v>АВАНГАРД-ЛИЗИНГ</v>
          </cell>
          <cell r="C81" t="str">
            <v>ХОВРИНО      (ОКТ)</v>
          </cell>
          <cell r="D81">
            <v>32690</v>
          </cell>
          <cell r="E81">
            <v>37819</v>
          </cell>
          <cell r="F81">
            <v>492</v>
          </cell>
          <cell r="H81">
            <v>0</v>
          </cell>
          <cell r="I81" t="str">
            <v>деп</v>
          </cell>
          <cell r="J81">
            <v>38369</v>
          </cell>
        </row>
        <row r="82">
          <cell r="A82">
            <v>58732264</v>
          </cell>
          <cell r="B82" t="str">
            <v>АВАНГАРД-ЛИЗИНГ</v>
          </cell>
          <cell r="C82" t="str">
            <v>ХОВРИНО      (ОКТ)</v>
          </cell>
          <cell r="D82">
            <v>32690</v>
          </cell>
          <cell r="E82">
            <v>37819</v>
          </cell>
          <cell r="F82">
            <v>492</v>
          </cell>
          <cell r="H82">
            <v>0</v>
          </cell>
          <cell r="I82" t="str">
            <v>деп</v>
          </cell>
          <cell r="J82">
            <v>38369</v>
          </cell>
        </row>
        <row r="83">
          <cell r="A83">
            <v>58732272</v>
          </cell>
          <cell r="B83" t="str">
            <v>АВАНГАРД-ЛИЗИНГ</v>
          </cell>
          <cell r="C83" t="str">
            <v>ХОВРИНО      (ОКТ)</v>
          </cell>
          <cell r="D83">
            <v>32690</v>
          </cell>
          <cell r="E83">
            <v>37819</v>
          </cell>
          <cell r="F83">
            <v>492</v>
          </cell>
          <cell r="H83">
            <v>0</v>
          </cell>
          <cell r="I83" t="str">
            <v>деп</v>
          </cell>
          <cell r="J83">
            <v>38369</v>
          </cell>
        </row>
        <row r="84">
          <cell r="A84">
            <v>58732280</v>
          </cell>
          <cell r="B84" t="str">
            <v>АВАНГАРД-ЛИЗИНГ</v>
          </cell>
          <cell r="C84" t="str">
            <v>ХОВРИНО      (ОКТ)</v>
          </cell>
          <cell r="D84">
            <v>32660</v>
          </cell>
          <cell r="E84">
            <v>37928</v>
          </cell>
          <cell r="F84">
            <v>492</v>
          </cell>
          <cell r="H84">
            <v>0</v>
          </cell>
          <cell r="I84" t="str">
            <v>деп</v>
          </cell>
          <cell r="J84">
            <v>38475</v>
          </cell>
        </row>
        <row r="85">
          <cell r="A85">
            <v>58732298</v>
          </cell>
          <cell r="B85" t="str">
            <v>АВАНГАРД-ЛИЗИНГ</v>
          </cell>
          <cell r="C85" t="str">
            <v>ХОВРИНО      (ОКТ)</v>
          </cell>
          <cell r="D85">
            <v>32660</v>
          </cell>
          <cell r="E85">
            <v>37928</v>
          </cell>
          <cell r="F85">
            <v>492</v>
          </cell>
          <cell r="H85">
            <v>0</v>
          </cell>
          <cell r="I85" t="str">
            <v>деп</v>
          </cell>
          <cell r="J85">
            <v>38475</v>
          </cell>
        </row>
        <row r="86">
          <cell r="A86">
            <v>58732306</v>
          </cell>
          <cell r="B86" t="str">
            <v>АВАНГАРД-ЛИЗИНГ</v>
          </cell>
          <cell r="C86" t="str">
            <v>ХОВРИНО      (ОКТ)</v>
          </cell>
          <cell r="D86">
            <v>32660</v>
          </cell>
          <cell r="E86">
            <v>37928</v>
          </cell>
          <cell r="F86">
            <v>492</v>
          </cell>
          <cell r="H86">
            <v>0</v>
          </cell>
          <cell r="I86" t="str">
            <v>деп</v>
          </cell>
          <cell r="J86">
            <v>38475</v>
          </cell>
        </row>
        <row r="87">
          <cell r="A87">
            <v>58732314</v>
          </cell>
          <cell r="B87" t="str">
            <v>АВАНГАРД-ЛИЗИНГ</v>
          </cell>
          <cell r="C87" t="str">
            <v>ХОВРИНО      (ОКТ)</v>
          </cell>
          <cell r="D87">
            <v>32660</v>
          </cell>
          <cell r="E87">
            <v>37928</v>
          </cell>
          <cell r="F87">
            <v>492</v>
          </cell>
          <cell r="H87">
            <v>0</v>
          </cell>
          <cell r="I87" t="str">
            <v>деп</v>
          </cell>
          <cell r="J87">
            <v>38475</v>
          </cell>
        </row>
        <row r="88">
          <cell r="B88" t="str">
            <v>АВАНГАРД-ЛИЗИНГ Количество</v>
          </cell>
          <cell r="D88">
            <v>75</v>
          </cell>
        </row>
        <row r="89">
          <cell r="A89">
            <v>53706479</v>
          </cell>
          <cell r="B89" t="str">
            <v>АВИРТУС</v>
          </cell>
          <cell r="C89" t="str">
            <v>ЛЮБЛИНО-СОРТ (МСK)</v>
          </cell>
          <cell r="D89">
            <v>29551</v>
          </cell>
          <cell r="E89">
            <v>34759</v>
          </cell>
          <cell r="F89">
            <v>0</v>
          </cell>
          <cell r="G89">
            <v>37652</v>
          </cell>
          <cell r="H89">
            <v>886</v>
          </cell>
          <cell r="I89" t="str">
            <v>деп</v>
          </cell>
          <cell r="J89">
            <v>38199</v>
          </cell>
        </row>
        <row r="90">
          <cell r="A90">
            <v>53706628</v>
          </cell>
          <cell r="B90" t="str">
            <v>АВИРТУС</v>
          </cell>
          <cell r="C90" t="str">
            <v>ЛЮБЛИНО-СОРТ (МСK)</v>
          </cell>
          <cell r="D90">
            <v>28722</v>
          </cell>
          <cell r="E90">
            <v>34516</v>
          </cell>
          <cell r="F90">
            <v>0</v>
          </cell>
          <cell r="G90">
            <v>37875</v>
          </cell>
          <cell r="H90">
            <v>886</v>
          </cell>
          <cell r="I90" t="str">
            <v>деп</v>
          </cell>
          <cell r="J90">
            <v>38422</v>
          </cell>
        </row>
        <row r="91">
          <cell r="A91">
            <v>53706636</v>
          </cell>
          <cell r="B91" t="str">
            <v>АВИРТУС</v>
          </cell>
          <cell r="C91" t="str">
            <v>ЛЮБЛИНО-СОРТ (МСK)</v>
          </cell>
          <cell r="D91">
            <v>28745</v>
          </cell>
          <cell r="E91">
            <v>34516</v>
          </cell>
          <cell r="F91">
            <v>0</v>
          </cell>
          <cell r="G91">
            <v>37929</v>
          </cell>
          <cell r="H91">
            <v>886</v>
          </cell>
          <cell r="I91" t="str">
            <v>деп</v>
          </cell>
          <cell r="J91">
            <v>38476</v>
          </cell>
        </row>
        <row r="92">
          <cell r="A92">
            <v>53706644</v>
          </cell>
          <cell r="B92" t="str">
            <v>АВИРТУС</v>
          </cell>
          <cell r="C92" t="str">
            <v>ЛЮБЛИНО-СОРТ (МСK)</v>
          </cell>
          <cell r="D92">
            <v>28491</v>
          </cell>
          <cell r="E92">
            <v>33878</v>
          </cell>
          <cell r="F92">
            <v>0</v>
          </cell>
          <cell r="G92">
            <v>32874</v>
          </cell>
          <cell r="H92">
            <v>0</v>
          </cell>
          <cell r="I92" t="str">
            <v>деп</v>
          </cell>
          <cell r="J92">
            <v>34425</v>
          </cell>
        </row>
        <row r="93">
          <cell r="A93">
            <v>53706651</v>
          </cell>
          <cell r="B93" t="str">
            <v>АВИРТУС</v>
          </cell>
          <cell r="C93" t="str">
            <v>ЛЮБЛИНО-СОРТ (МСK)</v>
          </cell>
          <cell r="D93">
            <v>29139</v>
          </cell>
          <cell r="E93">
            <v>33970</v>
          </cell>
          <cell r="F93">
            <v>0</v>
          </cell>
          <cell r="G93">
            <v>37875</v>
          </cell>
          <cell r="H93">
            <v>886</v>
          </cell>
          <cell r="I93" t="str">
            <v>деп</v>
          </cell>
          <cell r="J93">
            <v>38422</v>
          </cell>
        </row>
        <row r="94">
          <cell r="A94">
            <v>53706669</v>
          </cell>
          <cell r="B94" t="str">
            <v>АВИРТУС</v>
          </cell>
          <cell r="C94" t="str">
            <v>ЛЮБЛИНО-СОРТ (МСK)</v>
          </cell>
          <cell r="D94">
            <v>28102</v>
          </cell>
          <cell r="E94">
            <v>34700</v>
          </cell>
          <cell r="F94">
            <v>0</v>
          </cell>
          <cell r="G94">
            <v>37921</v>
          </cell>
          <cell r="H94">
            <v>886</v>
          </cell>
          <cell r="I94" t="str">
            <v>деп</v>
          </cell>
          <cell r="J94">
            <v>38469</v>
          </cell>
        </row>
        <row r="95">
          <cell r="A95">
            <v>53706677</v>
          </cell>
          <cell r="B95" t="str">
            <v>АВИРТУС</v>
          </cell>
          <cell r="C95" t="str">
            <v>ЛЮБЛИНО-СОРТ (МСK)</v>
          </cell>
          <cell r="D95">
            <v>27343</v>
          </cell>
          <cell r="E95">
            <v>34151</v>
          </cell>
          <cell r="F95">
            <v>0</v>
          </cell>
          <cell r="G95">
            <v>37921</v>
          </cell>
          <cell r="H95">
            <v>886</v>
          </cell>
          <cell r="I95" t="str">
            <v>деп</v>
          </cell>
          <cell r="J95">
            <v>38469</v>
          </cell>
        </row>
        <row r="96">
          <cell r="A96">
            <v>53706685</v>
          </cell>
          <cell r="B96" t="str">
            <v>АВИРТУС</v>
          </cell>
          <cell r="C96" t="str">
            <v>ЛЮБЛИНО-СОРТ (МСK)</v>
          </cell>
          <cell r="D96">
            <v>29739</v>
          </cell>
          <cell r="E96">
            <v>31594</v>
          </cell>
          <cell r="F96">
            <v>0</v>
          </cell>
          <cell r="G96">
            <v>37921</v>
          </cell>
          <cell r="H96">
            <v>886</v>
          </cell>
          <cell r="I96" t="str">
            <v>деп</v>
          </cell>
          <cell r="J96">
            <v>38469</v>
          </cell>
        </row>
        <row r="97">
          <cell r="A97">
            <v>53706800</v>
          </cell>
          <cell r="B97" t="str">
            <v>АВИРТУС</v>
          </cell>
          <cell r="C97" t="str">
            <v>ЛЮБЛИНО-СОРТ (МСK)</v>
          </cell>
          <cell r="D97">
            <v>29952</v>
          </cell>
          <cell r="E97">
            <v>34455</v>
          </cell>
          <cell r="F97">
            <v>0</v>
          </cell>
          <cell r="H97">
            <v>0</v>
          </cell>
          <cell r="I97" t="str">
            <v>кап</v>
          </cell>
          <cell r="J97">
            <v>35004</v>
          </cell>
        </row>
        <row r="98">
          <cell r="A98">
            <v>53706818</v>
          </cell>
          <cell r="B98" t="str">
            <v>АВИРТУС</v>
          </cell>
          <cell r="C98" t="str">
            <v>ЛЮБЛИНО-СОРТ (МСK)</v>
          </cell>
          <cell r="D98">
            <v>29587</v>
          </cell>
          <cell r="E98">
            <v>34820</v>
          </cell>
          <cell r="F98">
            <v>0</v>
          </cell>
          <cell r="G98">
            <v>33604</v>
          </cell>
          <cell r="H98">
            <v>0</v>
          </cell>
          <cell r="I98" t="str">
            <v>деп</v>
          </cell>
          <cell r="J98">
            <v>35370</v>
          </cell>
        </row>
        <row r="99">
          <cell r="A99">
            <v>53706826</v>
          </cell>
          <cell r="B99" t="str">
            <v>АВИРТУС</v>
          </cell>
          <cell r="C99" t="str">
            <v>ЛЮБЛИНО-СОРТ (МСK)</v>
          </cell>
          <cell r="D99">
            <v>28441</v>
          </cell>
          <cell r="E99">
            <v>34578</v>
          </cell>
          <cell r="F99">
            <v>0</v>
          </cell>
          <cell r="G99">
            <v>32143</v>
          </cell>
          <cell r="H99">
            <v>0</v>
          </cell>
          <cell r="I99" t="str">
            <v>деп</v>
          </cell>
          <cell r="J99">
            <v>35125</v>
          </cell>
        </row>
        <row r="100">
          <cell r="A100">
            <v>53706834</v>
          </cell>
          <cell r="B100" t="str">
            <v>АВИРТУС</v>
          </cell>
          <cell r="C100" t="str">
            <v>ЛЮБЛИНО-СОРТ (МСK)</v>
          </cell>
          <cell r="D100">
            <v>28469</v>
          </cell>
          <cell r="E100">
            <v>31291</v>
          </cell>
          <cell r="F100">
            <v>0</v>
          </cell>
          <cell r="H100">
            <v>0</v>
          </cell>
          <cell r="I100" t="str">
            <v>кап</v>
          </cell>
          <cell r="J100">
            <v>31837</v>
          </cell>
        </row>
        <row r="101">
          <cell r="A101">
            <v>58740655</v>
          </cell>
          <cell r="B101" t="str">
            <v>АВИРТУС</v>
          </cell>
          <cell r="C101" t="str">
            <v>ЛЮБЛИНО-СОРТ (МСK)</v>
          </cell>
          <cell r="D101">
            <v>29551</v>
          </cell>
          <cell r="E101">
            <v>34759</v>
          </cell>
          <cell r="F101">
            <v>0</v>
          </cell>
          <cell r="G101">
            <v>37652</v>
          </cell>
          <cell r="H101">
            <v>886</v>
          </cell>
          <cell r="I101" t="str">
            <v>деп</v>
          </cell>
          <cell r="J101">
            <v>38199</v>
          </cell>
        </row>
        <row r="102">
          <cell r="A102">
            <v>58740663</v>
          </cell>
          <cell r="B102" t="str">
            <v>АВИРТУС</v>
          </cell>
          <cell r="C102" t="str">
            <v>ЛЮБЛИНО-СОРТ (МСK)</v>
          </cell>
          <cell r="D102">
            <v>29551</v>
          </cell>
          <cell r="F102">
            <v>0</v>
          </cell>
          <cell r="G102">
            <v>37652</v>
          </cell>
          <cell r="H102">
            <v>886</v>
          </cell>
          <cell r="I102" t="str">
            <v>деп</v>
          </cell>
          <cell r="J102">
            <v>38199</v>
          </cell>
        </row>
        <row r="103">
          <cell r="A103">
            <v>58740671</v>
          </cell>
          <cell r="B103" t="str">
            <v>АВИРТУС</v>
          </cell>
          <cell r="C103" t="str">
            <v>ЛЮБЛИНО-СОРТ (МСK)</v>
          </cell>
          <cell r="D103">
            <v>29551</v>
          </cell>
          <cell r="E103">
            <v>31107</v>
          </cell>
          <cell r="F103">
            <v>0</v>
          </cell>
          <cell r="G103">
            <v>37652</v>
          </cell>
          <cell r="H103">
            <v>886</v>
          </cell>
          <cell r="I103" t="str">
            <v>деп</v>
          </cell>
          <cell r="J103">
            <v>38199</v>
          </cell>
        </row>
        <row r="104">
          <cell r="A104">
            <v>58740689</v>
          </cell>
          <cell r="B104" t="str">
            <v>АВИРТУС</v>
          </cell>
          <cell r="C104" t="str">
            <v>ЛЮБЛИНО-СОРТ (МСK)</v>
          </cell>
          <cell r="D104">
            <v>29551</v>
          </cell>
          <cell r="E104">
            <v>34759</v>
          </cell>
          <cell r="F104">
            <v>0</v>
          </cell>
          <cell r="G104">
            <v>37652</v>
          </cell>
          <cell r="H104">
            <v>886</v>
          </cell>
          <cell r="I104" t="str">
            <v>деп</v>
          </cell>
          <cell r="J104">
            <v>38199</v>
          </cell>
        </row>
        <row r="105">
          <cell r="A105">
            <v>58741240</v>
          </cell>
          <cell r="B105" t="str">
            <v>АВИРТУС</v>
          </cell>
          <cell r="C105" t="str">
            <v>ЛЮБЛИНО-СОРТ (МСK)</v>
          </cell>
          <cell r="D105">
            <v>28722</v>
          </cell>
          <cell r="E105">
            <v>34516</v>
          </cell>
          <cell r="F105">
            <v>0</v>
          </cell>
          <cell r="G105">
            <v>37875</v>
          </cell>
          <cell r="H105">
            <v>886</v>
          </cell>
          <cell r="I105" t="str">
            <v>деп</v>
          </cell>
          <cell r="J105">
            <v>38422</v>
          </cell>
        </row>
        <row r="106">
          <cell r="A106">
            <v>58741257</v>
          </cell>
          <cell r="B106" t="str">
            <v>АВИРТУС</v>
          </cell>
          <cell r="C106" t="str">
            <v>ЛЮБЛИНО-СОРТ (МСK)</v>
          </cell>
          <cell r="D106">
            <v>28722</v>
          </cell>
          <cell r="E106">
            <v>34516</v>
          </cell>
          <cell r="F106">
            <v>0</v>
          </cell>
          <cell r="G106">
            <v>37875</v>
          </cell>
          <cell r="H106">
            <v>886</v>
          </cell>
          <cell r="I106" t="str">
            <v>деп</v>
          </cell>
          <cell r="J106">
            <v>38422</v>
          </cell>
        </row>
        <row r="107">
          <cell r="A107">
            <v>58741265</v>
          </cell>
          <cell r="B107" t="str">
            <v>АВИРТУС</v>
          </cell>
          <cell r="C107" t="str">
            <v>ЛЮБЛИНО-СОРТ (МСK)</v>
          </cell>
          <cell r="D107">
            <v>28722</v>
          </cell>
          <cell r="E107">
            <v>34516</v>
          </cell>
          <cell r="F107">
            <v>0</v>
          </cell>
          <cell r="G107">
            <v>37875</v>
          </cell>
          <cell r="H107">
            <v>886</v>
          </cell>
          <cell r="I107" t="str">
            <v>деп</v>
          </cell>
          <cell r="J107">
            <v>38422</v>
          </cell>
        </row>
        <row r="108">
          <cell r="A108">
            <v>58741273</v>
          </cell>
          <cell r="B108" t="str">
            <v>АВИРТУС</v>
          </cell>
          <cell r="C108" t="str">
            <v>ЛЮБЛИНО-СОРТ (МСK)</v>
          </cell>
          <cell r="D108">
            <v>28722</v>
          </cell>
          <cell r="E108">
            <v>34516</v>
          </cell>
          <cell r="F108">
            <v>0</v>
          </cell>
          <cell r="G108">
            <v>37875</v>
          </cell>
          <cell r="H108">
            <v>886</v>
          </cell>
          <cell r="I108" t="str">
            <v>деп</v>
          </cell>
          <cell r="J108">
            <v>38422</v>
          </cell>
        </row>
        <row r="109">
          <cell r="A109">
            <v>58741281</v>
          </cell>
          <cell r="B109" t="str">
            <v>АВИРТУС</v>
          </cell>
          <cell r="C109" t="str">
            <v>ЛЮБЛИНО-СОРТ (МСK)</v>
          </cell>
          <cell r="D109">
            <v>28745</v>
          </cell>
          <cell r="E109">
            <v>34516</v>
          </cell>
          <cell r="F109">
            <v>0</v>
          </cell>
          <cell r="G109">
            <v>37929</v>
          </cell>
          <cell r="H109">
            <v>886</v>
          </cell>
          <cell r="I109" t="str">
            <v>деп</v>
          </cell>
          <cell r="J109">
            <v>38476</v>
          </cell>
        </row>
        <row r="110">
          <cell r="A110">
            <v>58741307</v>
          </cell>
          <cell r="B110" t="str">
            <v>АВИРТУС</v>
          </cell>
          <cell r="C110" t="str">
            <v>ЛЮБЛИНО-СОРТ (МСK)</v>
          </cell>
          <cell r="D110">
            <v>28745</v>
          </cell>
          <cell r="E110">
            <v>34516</v>
          </cell>
          <cell r="F110">
            <v>0</v>
          </cell>
          <cell r="G110">
            <v>37929</v>
          </cell>
          <cell r="H110">
            <v>886</v>
          </cell>
          <cell r="I110" t="str">
            <v>деп</v>
          </cell>
          <cell r="J110">
            <v>38476</v>
          </cell>
        </row>
        <row r="111">
          <cell r="A111">
            <v>58741315</v>
          </cell>
          <cell r="B111" t="str">
            <v>АВИРТУС</v>
          </cell>
          <cell r="C111" t="str">
            <v>ЛЮБЛИНО-СОРТ (МСK)</v>
          </cell>
          <cell r="D111">
            <v>28745</v>
          </cell>
          <cell r="E111">
            <v>34516</v>
          </cell>
          <cell r="F111">
            <v>0</v>
          </cell>
          <cell r="G111">
            <v>37929</v>
          </cell>
          <cell r="H111">
            <v>886</v>
          </cell>
          <cell r="I111" t="str">
            <v>деп</v>
          </cell>
          <cell r="J111">
            <v>38476</v>
          </cell>
        </row>
        <row r="112">
          <cell r="A112">
            <v>58741323</v>
          </cell>
          <cell r="B112" t="str">
            <v>АВИРТУС</v>
          </cell>
          <cell r="C112" t="str">
            <v>ЛЮБЛИНО-СОРТ (МСK)</v>
          </cell>
          <cell r="D112">
            <v>28745</v>
          </cell>
          <cell r="E112">
            <v>34516</v>
          </cell>
          <cell r="F112">
            <v>0</v>
          </cell>
          <cell r="G112">
            <v>37929</v>
          </cell>
          <cell r="H112">
            <v>886</v>
          </cell>
          <cell r="I112" t="str">
            <v>деп</v>
          </cell>
          <cell r="J112">
            <v>38476</v>
          </cell>
        </row>
        <row r="113">
          <cell r="A113">
            <v>58741331</v>
          </cell>
          <cell r="B113" t="str">
            <v>АВИРТУС</v>
          </cell>
          <cell r="C113" t="str">
            <v>ЛЮБЛИНО-СОРТ (МСK)</v>
          </cell>
          <cell r="D113">
            <v>28491</v>
          </cell>
          <cell r="E113">
            <v>33878</v>
          </cell>
          <cell r="F113">
            <v>0</v>
          </cell>
          <cell r="G113">
            <v>32874</v>
          </cell>
          <cell r="H113">
            <v>0</v>
          </cell>
          <cell r="I113" t="str">
            <v>деп</v>
          </cell>
          <cell r="J113">
            <v>34425</v>
          </cell>
        </row>
        <row r="114">
          <cell r="A114">
            <v>58741349</v>
          </cell>
          <cell r="B114" t="str">
            <v>АВИРТУС</v>
          </cell>
          <cell r="C114" t="str">
            <v>ЛЮБЛИНО-СОРТ (МСK)</v>
          </cell>
          <cell r="D114">
            <v>28491</v>
          </cell>
          <cell r="E114">
            <v>33878</v>
          </cell>
          <cell r="F114">
            <v>0</v>
          </cell>
          <cell r="G114">
            <v>32874</v>
          </cell>
          <cell r="H114">
            <v>0</v>
          </cell>
          <cell r="I114" t="str">
            <v>деп</v>
          </cell>
          <cell r="J114">
            <v>34425</v>
          </cell>
        </row>
        <row r="115">
          <cell r="A115">
            <v>58741356</v>
          </cell>
          <cell r="B115" t="str">
            <v>АВИРТУС</v>
          </cell>
          <cell r="C115" t="str">
            <v>ЛЮБЛИНО-СОРТ (МСK)</v>
          </cell>
          <cell r="D115">
            <v>28491</v>
          </cell>
          <cell r="E115">
            <v>33878</v>
          </cell>
          <cell r="F115">
            <v>0</v>
          </cell>
          <cell r="G115">
            <v>32874</v>
          </cell>
          <cell r="H115">
            <v>0</v>
          </cell>
          <cell r="I115" t="str">
            <v>деп</v>
          </cell>
          <cell r="J115">
            <v>34425</v>
          </cell>
        </row>
        <row r="116">
          <cell r="A116">
            <v>58741364</v>
          </cell>
          <cell r="B116" t="str">
            <v>АВИРТУС</v>
          </cell>
          <cell r="C116" t="str">
            <v>ЛЮБЛИНО-СОРТ (МСK)</v>
          </cell>
          <cell r="D116">
            <v>28491</v>
          </cell>
          <cell r="E116">
            <v>33878</v>
          </cell>
          <cell r="F116">
            <v>0</v>
          </cell>
          <cell r="G116">
            <v>32874</v>
          </cell>
          <cell r="H116">
            <v>0</v>
          </cell>
          <cell r="I116" t="str">
            <v>деп</v>
          </cell>
          <cell r="J116">
            <v>34425</v>
          </cell>
        </row>
        <row r="117">
          <cell r="A117">
            <v>58741372</v>
          </cell>
          <cell r="B117" t="str">
            <v>АВИРТУС</v>
          </cell>
          <cell r="C117" t="str">
            <v>ЛЮБЛИНО-СОРТ (МСK)</v>
          </cell>
          <cell r="D117">
            <v>29139</v>
          </cell>
          <cell r="E117">
            <v>33970</v>
          </cell>
          <cell r="F117">
            <v>0</v>
          </cell>
          <cell r="G117">
            <v>37875</v>
          </cell>
          <cell r="H117">
            <v>886</v>
          </cell>
          <cell r="I117" t="str">
            <v>деп</v>
          </cell>
          <cell r="J117">
            <v>38422</v>
          </cell>
        </row>
        <row r="118">
          <cell r="A118">
            <v>58741380</v>
          </cell>
          <cell r="B118" t="str">
            <v>АВИРТУС</v>
          </cell>
          <cell r="C118" t="str">
            <v>ЛЮБЛИНО-СОРТ (МСK)</v>
          </cell>
          <cell r="D118">
            <v>29139</v>
          </cell>
          <cell r="E118">
            <v>33970</v>
          </cell>
          <cell r="F118">
            <v>0</v>
          </cell>
          <cell r="G118">
            <v>37875</v>
          </cell>
          <cell r="H118">
            <v>886</v>
          </cell>
          <cell r="I118" t="str">
            <v>деп</v>
          </cell>
          <cell r="J118">
            <v>38422</v>
          </cell>
        </row>
        <row r="119">
          <cell r="A119">
            <v>58741406</v>
          </cell>
          <cell r="B119" t="str">
            <v>АВИРТУС</v>
          </cell>
          <cell r="C119" t="str">
            <v>ЛЮБЛИНО-СОРТ (МСK)</v>
          </cell>
          <cell r="D119">
            <v>29139</v>
          </cell>
          <cell r="E119">
            <v>33970</v>
          </cell>
          <cell r="F119">
            <v>0</v>
          </cell>
          <cell r="G119">
            <v>37875</v>
          </cell>
          <cell r="H119">
            <v>886</v>
          </cell>
          <cell r="I119" t="str">
            <v>деп</v>
          </cell>
          <cell r="J119">
            <v>38422</v>
          </cell>
        </row>
        <row r="120">
          <cell r="A120">
            <v>58741414</v>
          </cell>
          <cell r="B120" t="str">
            <v>АВИРТУС</v>
          </cell>
          <cell r="C120" t="str">
            <v>ЛЮБЛИНО-СОРТ (МСK)</v>
          </cell>
          <cell r="D120">
            <v>29139</v>
          </cell>
          <cell r="E120">
            <v>33970</v>
          </cell>
          <cell r="F120">
            <v>0</v>
          </cell>
          <cell r="G120">
            <v>37875</v>
          </cell>
          <cell r="H120">
            <v>886</v>
          </cell>
          <cell r="I120" t="str">
            <v>деп</v>
          </cell>
          <cell r="J120">
            <v>38422</v>
          </cell>
        </row>
        <row r="121">
          <cell r="A121">
            <v>58741422</v>
          </cell>
          <cell r="B121" t="str">
            <v>АВИРТУС</v>
          </cell>
          <cell r="C121" t="str">
            <v>ЛЮБЛИНО-СОРТ (МСK)</v>
          </cell>
          <cell r="D121">
            <v>28102</v>
          </cell>
          <cell r="E121">
            <v>34700</v>
          </cell>
          <cell r="F121">
            <v>0</v>
          </cell>
          <cell r="G121">
            <v>37921</v>
          </cell>
          <cell r="H121">
            <v>886</v>
          </cell>
          <cell r="I121" t="str">
            <v>деп</v>
          </cell>
          <cell r="J121">
            <v>38469</v>
          </cell>
        </row>
        <row r="122">
          <cell r="A122">
            <v>58741430</v>
          </cell>
          <cell r="B122" t="str">
            <v>АВИРТУС</v>
          </cell>
          <cell r="C122" t="str">
            <v>ЛЮБЛИНО-СОРТ (МСK)</v>
          </cell>
          <cell r="D122">
            <v>28102</v>
          </cell>
          <cell r="E122">
            <v>34700</v>
          </cell>
          <cell r="F122">
            <v>0</v>
          </cell>
          <cell r="G122">
            <v>37921</v>
          </cell>
          <cell r="H122">
            <v>886</v>
          </cell>
          <cell r="I122" t="str">
            <v>деп</v>
          </cell>
          <cell r="J122">
            <v>38469</v>
          </cell>
        </row>
        <row r="123">
          <cell r="A123">
            <v>58741448</v>
          </cell>
          <cell r="B123" t="str">
            <v>АВИРТУС</v>
          </cell>
          <cell r="C123" t="str">
            <v>ЛЮБЛИНО-СОРТ (МСK)</v>
          </cell>
          <cell r="D123">
            <v>28102</v>
          </cell>
          <cell r="E123">
            <v>34700</v>
          </cell>
          <cell r="F123">
            <v>0</v>
          </cell>
          <cell r="G123">
            <v>37921</v>
          </cell>
          <cell r="H123">
            <v>886</v>
          </cell>
          <cell r="I123" t="str">
            <v>деп</v>
          </cell>
          <cell r="J123">
            <v>38469</v>
          </cell>
        </row>
        <row r="124">
          <cell r="A124">
            <v>58741455</v>
          </cell>
          <cell r="B124" t="str">
            <v>АВИРТУС</v>
          </cell>
          <cell r="C124" t="str">
            <v>ЛЮБЛИНО-СОРТ (МСK)</v>
          </cell>
          <cell r="D124">
            <v>28102</v>
          </cell>
          <cell r="E124">
            <v>34700</v>
          </cell>
          <cell r="F124">
            <v>0</v>
          </cell>
          <cell r="G124">
            <v>37921</v>
          </cell>
          <cell r="H124">
            <v>886</v>
          </cell>
          <cell r="I124" t="str">
            <v>деп</v>
          </cell>
          <cell r="J124">
            <v>38469</v>
          </cell>
        </row>
        <row r="125">
          <cell r="A125">
            <v>58741463</v>
          </cell>
          <cell r="B125" t="str">
            <v>АВИРТУС</v>
          </cell>
          <cell r="C125" t="str">
            <v>ЛЮБЛИНО-СОРТ (МСK)</v>
          </cell>
          <cell r="D125">
            <v>27343</v>
          </cell>
          <cell r="E125">
            <v>34151</v>
          </cell>
          <cell r="F125">
            <v>0</v>
          </cell>
          <cell r="G125">
            <v>37921</v>
          </cell>
          <cell r="H125">
            <v>886</v>
          </cell>
          <cell r="I125" t="str">
            <v>деп</v>
          </cell>
          <cell r="J125">
            <v>38469</v>
          </cell>
        </row>
        <row r="126">
          <cell r="A126">
            <v>58741471</v>
          </cell>
          <cell r="B126" t="str">
            <v>АВИРТУС</v>
          </cell>
          <cell r="C126" t="str">
            <v>ЛЮБЛИНО-СОРТ (МСK)</v>
          </cell>
          <cell r="D126">
            <v>27343</v>
          </cell>
          <cell r="E126">
            <v>34151</v>
          </cell>
          <cell r="F126">
            <v>0</v>
          </cell>
          <cell r="G126">
            <v>37921</v>
          </cell>
          <cell r="H126">
            <v>886</v>
          </cell>
          <cell r="I126" t="str">
            <v>деп</v>
          </cell>
          <cell r="J126">
            <v>38469</v>
          </cell>
        </row>
        <row r="127">
          <cell r="A127">
            <v>58741489</v>
          </cell>
          <cell r="B127" t="str">
            <v>АВИРТУС</v>
          </cell>
          <cell r="C127" t="str">
            <v>ЛЮБЛИНО-СОРТ (МСK)</v>
          </cell>
          <cell r="D127">
            <v>27343</v>
          </cell>
          <cell r="E127">
            <v>34151</v>
          </cell>
          <cell r="F127">
            <v>0</v>
          </cell>
          <cell r="G127">
            <v>37921</v>
          </cell>
          <cell r="H127">
            <v>886</v>
          </cell>
          <cell r="I127" t="str">
            <v>деп</v>
          </cell>
          <cell r="J127">
            <v>38469</v>
          </cell>
        </row>
        <row r="128">
          <cell r="A128">
            <v>58741505</v>
          </cell>
          <cell r="B128" t="str">
            <v>АВИРТУС</v>
          </cell>
          <cell r="C128" t="str">
            <v>ЛЮБЛИНО-СОРТ (МСK)</v>
          </cell>
          <cell r="D128">
            <v>27343</v>
          </cell>
          <cell r="E128">
            <v>34151</v>
          </cell>
          <cell r="F128">
            <v>0</v>
          </cell>
          <cell r="G128">
            <v>37921</v>
          </cell>
          <cell r="H128">
            <v>886</v>
          </cell>
          <cell r="I128" t="str">
            <v>деп</v>
          </cell>
          <cell r="J128">
            <v>38469</v>
          </cell>
        </row>
        <row r="129">
          <cell r="A129">
            <v>58741513</v>
          </cell>
          <cell r="B129" t="str">
            <v>АВИРТУС</v>
          </cell>
          <cell r="C129" t="str">
            <v>ЛЮБЛИНО-СОРТ (МСK)</v>
          </cell>
          <cell r="D129">
            <v>29739</v>
          </cell>
          <cell r="E129">
            <v>31594</v>
          </cell>
          <cell r="F129">
            <v>0</v>
          </cell>
          <cell r="G129">
            <v>37921</v>
          </cell>
          <cell r="H129">
            <v>886</v>
          </cell>
          <cell r="I129" t="str">
            <v>деп</v>
          </cell>
          <cell r="J129">
            <v>38469</v>
          </cell>
        </row>
        <row r="130">
          <cell r="A130">
            <v>58741521</v>
          </cell>
          <cell r="B130" t="str">
            <v>АВИРТУС</v>
          </cell>
          <cell r="C130" t="str">
            <v>ЛЮБЛИНО-СОРТ (МСK)</v>
          </cell>
          <cell r="D130">
            <v>29739</v>
          </cell>
          <cell r="E130">
            <v>31594</v>
          </cell>
          <cell r="F130">
            <v>0</v>
          </cell>
          <cell r="G130">
            <v>37921</v>
          </cell>
          <cell r="H130">
            <v>886</v>
          </cell>
          <cell r="I130" t="str">
            <v>деп</v>
          </cell>
          <cell r="J130">
            <v>38469</v>
          </cell>
        </row>
        <row r="131">
          <cell r="A131">
            <v>58741539</v>
          </cell>
          <cell r="B131" t="str">
            <v>АВИРТУС</v>
          </cell>
          <cell r="C131" t="str">
            <v>ЛЮБЛИНО-СОРТ (МСK)</v>
          </cell>
          <cell r="D131">
            <v>29739</v>
          </cell>
          <cell r="E131">
            <v>31594</v>
          </cell>
          <cell r="F131">
            <v>0</v>
          </cell>
          <cell r="G131">
            <v>37921</v>
          </cell>
          <cell r="H131">
            <v>886</v>
          </cell>
          <cell r="I131" t="str">
            <v>деп</v>
          </cell>
          <cell r="J131">
            <v>38469</v>
          </cell>
        </row>
        <row r="132">
          <cell r="A132">
            <v>58741547</v>
          </cell>
          <cell r="B132" t="str">
            <v>АВИРТУС</v>
          </cell>
          <cell r="C132" t="str">
            <v>ЛЮБЛИНО-СОРТ (МСK)</v>
          </cell>
          <cell r="D132">
            <v>29739</v>
          </cell>
          <cell r="E132">
            <v>31594</v>
          </cell>
          <cell r="F132">
            <v>0</v>
          </cell>
          <cell r="G132">
            <v>37921</v>
          </cell>
          <cell r="H132">
            <v>886</v>
          </cell>
          <cell r="I132" t="str">
            <v>деп</v>
          </cell>
          <cell r="J132">
            <v>38469</v>
          </cell>
        </row>
        <row r="133">
          <cell r="A133">
            <v>58742016</v>
          </cell>
          <cell r="B133" t="str">
            <v>АВИРТУС</v>
          </cell>
          <cell r="C133" t="str">
            <v>ЛЮБЛИНО-СОРТ (МСK)</v>
          </cell>
          <cell r="D133">
            <v>29952</v>
          </cell>
          <cell r="E133">
            <v>34455</v>
          </cell>
          <cell r="F133">
            <v>0</v>
          </cell>
          <cell r="H133">
            <v>0</v>
          </cell>
          <cell r="I133" t="str">
            <v>кап</v>
          </cell>
          <cell r="J133">
            <v>35004</v>
          </cell>
        </row>
        <row r="134">
          <cell r="A134">
            <v>58742024</v>
          </cell>
          <cell r="B134" t="str">
            <v>АВИРТУС</v>
          </cell>
          <cell r="C134" t="str">
            <v>ЛЮБЛИНО-СОРТ (МСK)</v>
          </cell>
          <cell r="D134">
            <v>29952</v>
          </cell>
          <cell r="E134">
            <v>34455</v>
          </cell>
          <cell r="F134">
            <v>0</v>
          </cell>
          <cell r="H134">
            <v>0</v>
          </cell>
          <cell r="I134" t="str">
            <v>кап</v>
          </cell>
          <cell r="J134">
            <v>35004</v>
          </cell>
        </row>
        <row r="135">
          <cell r="A135">
            <v>58742032</v>
          </cell>
          <cell r="B135" t="str">
            <v>АВИРТУС</v>
          </cell>
          <cell r="C135" t="str">
            <v>ЛЮБЛИНО-СОРТ (МСK)</v>
          </cell>
          <cell r="D135">
            <v>29952</v>
          </cell>
          <cell r="E135">
            <v>34455</v>
          </cell>
          <cell r="F135">
            <v>0</v>
          </cell>
          <cell r="H135">
            <v>0</v>
          </cell>
          <cell r="I135" t="str">
            <v>кап</v>
          </cell>
          <cell r="J135">
            <v>35004</v>
          </cell>
        </row>
        <row r="136">
          <cell r="A136">
            <v>58742040</v>
          </cell>
          <cell r="B136" t="str">
            <v>АВИРТУС</v>
          </cell>
          <cell r="C136" t="str">
            <v>ЛЮБЛИНО-СОРТ (МСK)</v>
          </cell>
          <cell r="D136">
            <v>29952</v>
          </cell>
          <cell r="E136">
            <v>34455</v>
          </cell>
          <cell r="F136">
            <v>0</v>
          </cell>
          <cell r="H136">
            <v>0</v>
          </cell>
          <cell r="I136" t="str">
            <v>кап</v>
          </cell>
          <cell r="J136">
            <v>35004</v>
          </cell>
        </row>
        <row r="137">
          <cell r="A137">
            <v>58742057</v>
          </cell>
          <cell r="B137" t="str">
            <v>АВИРТУС</v>
          </cell>
          <cell r="C137" t="str">
            <v>ЛЮБЛИНО-СОРТ (МСK)</v>
          </cell>
          <cell r="D137">
            <v>29587</v>
          </cell>
          <cell r="E137">
            <v>34820</v>
          </cell>
          <cell r="F137">
            <v>0</v>
          </cell>
          <cell r="G137">
            <v>33604</v>
          </cell>
          <cell r="H137">
            <v>0</v>
          </cell>
          <cell r="I137" t="str">
            <v>деп</v>
          </cell>
          <cell r="J137">
            <v>35370</v>
          </cell>
        </row>
        <row r="138">
          <cell r="A138">
            <v>58742065</v>
          </cell>
          <cell r="B138" t="str">
            <v>АВИРТУС</v>
          </cell>
          <cell r="C138" t="str">
            <v>ЛЮБЛИНО-СОРТ (МСK)</v>
          </cell>
          <cell r="D138">
            <v>29587</v>
          </cell>
          <cell r="E138">
            <v>34820</v>
          </cell>
          <cell r="F138">
            <v>0</v>
          </cell>
          <cell r="G138">
            <v>33604</v>
          </cell>
          <cell r="H138">
            <v>0</v>
          </cell>
          <cell r="I138" t="str">
            <v>деп</v>
          </cell>
          <cell r="J138">
            <v>35370</v>
          </cell>
        </row>
        <row r="139">
          <cell r="A139">
            <v>58742073</v>
          </cell>
          <cell r="B139" t="str">
            <v>АВИРТУС</v>
          </cell>
          <cell r="C139" t="str">
            <v>ЛЮБЛИНО-СОРТ (МСK)</v>
          </cell>
          <cell r="D139">
            <v>29587</v>
          </cell>
          <cell r="E139">
            <v>34820</v>
          </cell>
          <cell r="F139">
            <v>0</v>
          </cell>
          <cell r="G139">
            <v>33604</v>
          </cell>
          <cell r="H139">
            <v>0</v>
          </cell>
          <cell r="I139" t="str">
            <v>деп</v>
          </cell>
          <cell r="J139">
            <v>35370</v>
          </cell>
        </row>
        <row r="140">
          <cell r="A140">
            <v>58742081</v>
          </cell>
          <cell r="B140" t="str">
            <v>АВИРТУС</v>
          </cell>
          <cell r="C140" t="str">
            <v>ЛЮБЛИНО-СОРТ (МСK)</v>
          </cell>
          <cell r="D140">
            <v>29587</v>
          </cell>
          <cell r="E140">
            <v>34820</v>
          </cell>
          <cell r="F140">
            <v>0</v>
          </cell>
          <cell r="G140">
            <v>33604</v>
          </cell>
          <cell r="H140">
            <v>0</v>
          </cell>
          <cell r="I140" t="str">
            <v>деп</v>
          </cell>
          <cell r="J140">
            <v>35370</v>
          </cell>
        </row>
        <row r="141">
          <cell r="A141">
            <v>58742107</v>
          </cell>
          <cell r="B141" t="str">
            <v>АВИРТУС</v>
          </cell>
          <cell r="C141" t="str">
            <v>ЛЮБЛИНО-СОРТ (МСK)</v>
          </cell>
          <cell r="D141">
            <v>28441</v>
          </cell>
          <cell r="E141">
            <v>34578</v>
          </cell>
          <cell r="F141">
            <v>0</v>
          </cell>
          <cell r="G141">
            <v>32143</v>
          </cell>
          <cell r="H141">
            <v>0</v>
          </cell>
          <cell r="I141" t="str">
            <v>деп</v>
          </cell>
          <cell r="J141">
            <v>35125</v>
          </cell>
        </row>
        <row r="142">
          <cell r="A142">
            <v>58742115</v>
          </cell>
          <cell r="B142" t="str">
            <v>АВИРТУС</v>
          </cell>
          <cell r="C142" t="str">
            <v>ЛЮБЛИНО-СОРТ (МСK)</v>
          </cell>
          <cell r="D142">
            <v>28441</v>
          </cell>
          <cell r="E142">
            <v>34578</v>
          </cell>
          <cell r="F142">
            <v>0</v>
          </cell>
          <cell r="G142">
            <v>32143</v>
          </cell>
          <cell r="H142">
            <v>0</v>
          </cell>
          <cell r="I142" t="str">
            <v>деп</v>
          </cell>
          <cell r="J142">
            <v>35125</v>
          </cell>
        </row>
        <row r="143">
          <cell r="A143">
            <v>58742123</v>
          </cell>
          <cell r="B143" t="str">
            <v>АВИРТУС</v>
          </cell>
          <cell r="C143" t="str">
            <v>ЛЮБЛИНО-СОРТ (МСK)</v>
          </cell>
          <cell r="D143">
            <v>28441</v>
          </cell>
          <cell r="E143">
            <v>34578</v>
          </cell>
          <cell r="F143">
            <v>0</v>
          </cell>
          <cell r="G143">
            <v>32143</v>
          </cell>
          <cell r="H143">
            <v>0</v>
          </cell>
          <cell r="I143" t="str">
            <v>деп</v>
          </cell>
          <cell r="J143">
            <v>35125</v>
          </cell>
        </row>
        <row r="144">
          <cell r="A144">
            <v>58742131</v>
          </cell>
          <cell r="B144" t="str">
            <v>АВИРТУС</v>
          </cell>
          <cell r="C144" t="str">
            <v>ЛЮБЛИНО-СОРТ (МСK)</v>
          </cell>
          <cell r="D144">
            <v>28441</v>
          </cell>
          <cell r="E144">
            <v>34578</v>
          </cell>
          <cell r="F144">
            <v>0</v>
          </cell>
          <cell r="G144">
            <v>32143</v>
          </cell>
          <cell r="H144">
            <v>0</v>
          </cell>
          <cell r="I144" t="str">
            <v>деп</v>
          </cell>
          <cell r="J144">
            <v>35125</v>
          </cell>
        </row>
        <row r="145">
          <cell r="A145">
            <v>58742149</v>
          </cell>
          <cell r="B145" t="str">
            <v>АВИРТУС</v>
          </cell>
          <cell r="C145" t="str">
            <v>ЛЮБЛИНО-СОРТ (МСK)</v>
          </cell>
          <cell r="D145">
            <v>28469</v>
          </cell>
          <cell r="E145">
            <v>31291</v>
          </cell>
          <cell r="F145">
            <v>0</v>
          </cell>
          <cell r="H145">
            <v>0</v>
          </cell>
          <cell r="I145" t="str">
            <v>кап</v>
          </cell>
          <cell r="J145">
            <v>31837</v>
          </cell>
        </row>
        <row r="146">
          <cell r="A146">
            <v>58742156</v>
          </cell>
          <cell r="B146" t="str">
            <v>АВИРТУС</v>
          </cell>
          <cell r="C146" t="str">
            <v>ЛЮБЛИНО-СОРТ (МСK)</v>
          </cell>
          <cell r="D146">
            <v>28469</v>
          </cell>
          <cell r="E146">
            <v>31291</v>
          </cell>
          <cell r="F146">
            <v>0</v>
          </cell>
          <cell r="H146">
            <v>0</v>
          </cell>
          <cell r="I146" t="str">
            <v>кап</v>
          </cell>
          <cell r="J146">
            <v>31837</v>
          </cell>
        </row>
        <row r="147">
          <cell r="A147">
            <v>58742164</v>
          </cell>
          <cell r="B147" t="str">
            <v>АВИРТУС</v>
          </cell>
          <cell r="C147" t="str">
            <v>ЛЮБЛИНО-СОРТ (МСK)</v>
          </cell>
          <cell r="D147">
            <v>28469</v>
          </cell>
          <cell r="E147">
            <v>31291</v>
          </cell>
          <cell r="F147">
            <v>0</v>
          </cell>
          <cell r="H147">
            <v>0</v>
          </cell>
          <cell r="I147" t="str">
            <v>кап</v>
          </cell>
          <cell r="J147">
            <v>31837</v>
          </cell>
        </row>
        <row r="148">
          <cell r="A148">
            <v>58742172</v>
          </cell>
          <cell r="B148" t="str">
            <v>АВИРТУС</v>
          </cell>
          <cell r="C148" t="str">
            <v>ЛЮБЛИНО-СОРТ (МСK)</v>
          </cell>
          <cell r="D148">
            <v>28469</v>
          </cell>
          <cell r="E148">
            <v>31291</v>
          </cell>
          <cell r="F148">
            <v>0</v>
          </cell>
          <cell r="H148">
            <v>0</v>
          </cell>
          <cell r="I148" t="str">
            <v>кап</v>
          </cell>
          <cell r="J148">
            <v>31837</v>
          </cell>
        </row>
        <row r="149">
          <cell r="B149" t="str">
            <v>АВИРТУС Количество</v>
          </cell>
          <cell r="D149">
            <v>60</v>
          </cell>
        </row>
        <row r="150">
          <cell r="A150">
            <v>53703856</v>
          </cell>
          <cell r="B150" t="str">
            <v>АВТОДОРСТРОЙ</v>
          </cell>
          <cell r="C150" t="str">
            <v>БЫКОВО       (МСK)</v>
          </cell>
          <cell r="D150">
            <v>24473</v>
          </cell>
          <cell r="E150">
            <v>38002</v>
          </cell>
          <cell r="F150">
            <v>350</v>
          </cell>
          <cell r="G150">
            <v>35788</v>
          </cell>
          <cell r="H150">
            <v>0</v>
          </cell>
          <cell r="I150" t="str">
            <v>деп</v>
          </cell>
          <cell r="J150">
            <v>39098</v>
          </cell>
        </row>
        <row r="151">
          <cell r="B151" t="str">
            <v>АВТОДОРСТРОЙ Количество</v>
          </cell>
          <cell r="D151">
            <v>1</v>
          </cell>
        </row>
        <row r="152">
          <cell r="A152">
            <v>53703476</v>
          </cell>
          <cell r="B152" t="str">
            <v>АГЕНТСТВО РЕФПЕРЕВОЗКИ</v>
          </cell>
          <cell r="C152" t="str">
            <v>СВЕРДЛВСК-ТВ (СВР)</v>
          </cell>
          <cell r="D152">
            <v>32509</v>
          </cell>
          <cell r="E152">
            <v>37928</v>
          </cell>
          <cell r="F152">
            <v>557</v>
          </cell>
          <cell r="H152">
            <v>0</v>
          </cell>
          <cell r="I152" t="str">
            <v>кап</v>
          </cell>
          <cell r="J152">
            <v>38475</v>
          </cell>
        </row>
        <row r="153">
          <cell r="A153">
            <v>58725078</v>
          </cell>
          <cell r="B153" t="str">
            <v>АГЕНТСТВО РЕФПЕРЕВОЗКИ</v>
          </cell>
          <cell r="C153" t="str">
            <v>СВЕРДЛВСК-ТВ (СВР)</v>
          </cell>
          <cell r="D153">
            <v>32509</v>
          </cell>
          <cell r="E153">
            <v>38013</v>
          </cell>
          <cell r="F153">
            <v>163</v>
          </cell>
          <cell r="H153">
            <v>0</v>
          </cell>
          <cell r="I153" t="str">
            <v>кап</v>
          </cell>
          <cell r="J153">
            <v>38560</v>
          </cell>
        </row>
        <row r="154">
          <cell r="A154">
            <v>58725086</v>
          </cell>
          <cell r="B154" t="str">
            <v>АГЕНТСТВО РЕФПЕРЕВОЗКИ</v>
          </cell>
          <cell r="C154" t="str">
            <v>СВЕРДЛВСК-ТВ (СВР)</v>
          </cell>
          <cell r="D154">
            <v>32509</v>
          </cell>
          <cell r="E154">
            <v>38013</v>
          </cell>
          <cell r="F154">
            <v>163</v>
          </cell>
          <cell r="H154">
            <v>0</v>
          </cell>
          <cell r="I154" t="str">
            <v>кап</v>
          </cell>
          <cell r="J154">
            <v>38560</v>
          </cell>
        </row>
        <row r="155">
          <cell r="A155">
            <v>58725102</v>
          </cell>
          <cell r="B155" t="str">
            <v>АГЕНТСТВО РЕФПЕРЕВОЗКИ</v>
          </cell>
          <cell r="C155" t="str">
            <v>СВЕРДЛВСК-ТВ (СВР)</v>
          </cell>
          <cell r="D155">
            <v>32509</v>
          </cell>
          <cell r="E155">
            <v>38013</v>
          </cell>
          <cell r="F155">
            <v>163</v>
          </cell>
          <cell r="H155">
            <v>0</v>
          </cell>
          <cell r="I155" t="str">
            <v>кап</v>
          </cell>
          <cell r="J155">
            <v>38560</v>
          </cell>
        </row>
        <row r="156">
          <cell r="A156">
            <v>58725110</v>
          </cell>
          <cell r="B156" t="str">
            <v>АГЕНТСТВО РЕФПЕРЕВОЗКИ</v>
          </cell>
          <cell r="C156" t="str">
            <v>СВЕРДЛВСК-ТВ (СВР)</v>
          </cell>
          <cell r="D156">
            <v>32509</v>
          </cell>
          <cell r="E156">
            <v>37885</v>
          </cell>
          <cell r="F156">
            <v>557</v>
          </cell>
          <cell r="H156">
            <v>0</v>
          </cell>
          <cell r="I156" t="str">
            <v>кап</v>
          </cell>
          <cell r="J156">
            <v>38432</v>
          </cell>
        </row>
        <row r="157">
          <cell r="B157" t="str">
            <v>АГЕНТСТВО РЕФПЕРЕВОЗКИ Количество</v>
          </cell>
          <cell r="D157">
            <v>5</v>
          </cell>
        </row>
        <row r="158">
          <cell r="A158">
            <v>53400487</v>
          </cell>
          <cell r="B158" t="str">
            <v>АГЕНТСТВО РЕФПЕРЕВОЗОК</v>
          </cell>
          <cell r="C158" t="str">
            <v>ХОВРИНО      (ОКТ)</v>
          </cell>
          <cell r="D158">
            <v>32660</v>
          </cell>
          <cell r="E158">
            <v>37799</v>
          </cell>
          <cell r="F158">
            <v>492</v>
          </cell>
          <cell r="H158">
            <v>0</v>
          </cell>
          <cell r="I158" t="str">
            <v>деп</v>
          </cell>
          <cell r="J158">
            <v>38348</v>
          </cell>
        </row>
        <row r="159">
          <cell r="A159">
            <v>53400719</v>
          </cell>
          <cell r="B159" t="str">
            <v>АГЕНТСТВО РЕФПЕРЕВОЗОК</v>
          </cell>
          <cell r="C159" t="str">
            <v>ХОВРИНО      (ОКТ)</v>
          </cell>
          <cell r="D159">
            <v>32629</v>
          </cell>
          <cell r="E159">
            <v>37857</v>
          </cell>
          <cell r="F159">
            <v>492</v>
          </cell>
          <cell r="H159">
            <v>0</v>
          </cell>
          <cell r="I159" t="str">
            <v>деп</v>
          </cell>
          <cell r="J159">
            <v>38407</v>
          </cell>
        </row>
        <row r="160">
          <cell r="A160">
            <v>53700803</v>
          </cell>
          <cell r="B160" t="str">
            <v>АГЕНТСТВО РЕФПЕРЕВОЗОК</v>
          </cell>
          <cell r="C160" t="str">
            <v>ХОВРИНО      (ОКТ)</v>
          </cell>
          <cell r="D160">
            <v>33239</v>
          </cell>
          <cell r="E160">
            <v>37615</v>
          </cell>
          <cell r="F160">
            <v>163</v>
          </cell>
          <cell r="H160">
            <v>0</v>
          </cell>
          <cell r="I160" t="str">
            <v>деп</v>
          </cell>
          <cell r="J160">
            <v>38163</v>
          </cell>
        </row>
        <row r="161">
          <cell r="A161">
            <v>53702007</v>
          </cell>
          <cell r="B161" t="str">
            <v>АГЕНТСТВО РЕФПЕРЕВОЗОК</v>
          </cell>
          <cell r="C161" t="str">
            <v>ХОВРИНО      (ОКТ)</v>
          </cell>
          <cell r="D161">
            <v>33604</v>
          </cell>
          <cell r="E161">
            <v>37764</v>
          </cell>
          <cell r="F161">
            <v>350</v>
          </cell>
          <cell r="H161">
            <v>0</v>
          </cell>
          <cell r="I161" t="str">
            <v>деп</v>
          </cell>
          <cell r="J161">
            <v>38314</v>
          </cell>
        </row>
        <row r="162">
          <cell r="A162">
            <v>53702684</v>
          </cell>
          <cell r="B162" t="str">
            <v>АГЕНТСТВО РЕФПЕРЕВОЗОК</v>
          </cell>
          <cell r="C162" t="str">
            <v>ХОВРИНО      (ОКТ)</v>
          </cell>
          <cell r="D162">
            <v>34243</v>
          </cell>
          <cell r="E162">
            <v>37781</v>
          </cell>
          <cell r="F162">
            <v>886</v>
          </cell>
          <cell r="H162">
            <v>0</v>
          </cell>
          <cell r="I162" t="str">
            <v>деп</v>
          </cell>
          <cell r="J162">
            <v>38877</v>
          </cell>
        </row>
        <row r="163">
          <cell r="A163">
            <v>53704656</v>
          </cell>
          <cell r="B163" t="str">
            <v>АГЕНТСТВО РЕФПЕРЕВОЗОК</v>
          </cell>
          <cell r="C163" t="str">
            <v>УССУРИЙСК    (ДВС)</v>
          </cell>
          <cell r="D163">
            <v>30590</v>
          </cell>
          <cell r="E163">
            <v>37404</v>
          </cell>
          <cell r="F163">
            <v>163</v>
          </cell>
          <cell r="G163">
            <v>34790</v>
          </cell>
          <cell r="H163">
            <v>0</v>
          </cell>
          <cell r="I163" t="str">
            <v>деп</v>
          </cell>
          <cell r="J163">
            <v>38500</v>
          </cell>
        </row>
        <row r="164">
          <cell r="A164">
            <v>53704664</v>
          </cell>
          <cell r="B164" t="str">
            <v>АГЕНТСТВО РЕФПЕРЕВОЗОК</v>
          </cell>
          <cell r="C164" t="str">
            <v>УССУРИЙСК    (ДВС)</v>
          </cell>
          <cell r="D164">
            <v>29952</v>
          </cell>
          <cell r="E164">
            <v>37686</v>
          </cell>
          <cell r="F164">
            <v>557</v>
          </cell>
          <cell r="G164">
            <v>34881</v>
          </cell>
          <cell r="H164">
            <v>0</v>
          </cell>
          <cell r="I164" t="str">
            <v>деп</v>
          </cell>
          <cell r="J164">
            <v>38782</v>
          </cell>
        </row>
        <row r="165">
          <cell r="A165">
            <v>53704672</v>
          </cell>
          <cell r="B165" t="str">
            <v>АГЕНТСТВО РЕФПЕРЕВОЗОК</v>
          </cell>
          <cell r="C165" t="str">
            <v>УССУРИЙСК    (ДВС)</v>
          </cell>
          <cell r="D165">
            <v>29952</v>
          </cell>
          <cell r="E165">
            <v>37512</v>
          </cell>
          <cell r="F165">
            <v>163</v>
          </cell>
          <cell r="G165">
            <v>35156</v>
          </cell>
          <cell r="H165">
            <v>0</v>
          </cell>
          <cell r="I165" t="str">
            <v>деп</v>
          </cell>
          <cell r="J165">
            <v>38608</v>
          </cell>
        </row>
        <row r="166">
          <cell r="A166">
            <v>53704680</v>
          </cell>
          <cell r="B166" t="str">
            <v>АГЕНТСТВО РЕФПЕРЕВОЗОК</v>
          </cell>
          <cell r="C166" t="str">
            <v>УССУРИЙСК    (ДВС)</v>
          </cell>
          <cell r="D166">
            <v>29952</v>
          </cell>
          <cell r="E166">
            <v>37721</v>
          </cell>
          <cell r="F166">
            <v>350</v>
          </cell>
          <cell r="G166">
            <v>35034</v>
          </cell>
          <cell r="H166">
            <v>0</v>
          </cell>
          <cell r="I166" t="str">
            <v>деп</v>
          </cell>
          <cell r="J166">
            <v>38817</v>
          </cell>
        </row>
        <row r="167">
          <cell r="A167">
            <v>53704706</v>
          </cell>
          <cell r="B167" t="str">
            <v>АГЕНТСТВО РЕФПЕРЕВОЗОК</v>
          </cell>
          <cell r="C167" t="str">
            <v>УССУРИЙСК    (ДВС)</v>
          </cell>
          <cell r="D167">
            <v>29952</v>
          </cell>
          <cell r="E167">
            <v>37529</v>
          </cell>
          <cell r="F167">
            <v>163</v>
          </cell>
          <cell r="G167">
            <v>34881</v>
          </cell>
          <cell r="H167">
            <v>0</v>
          </cell>
          <cell r="I167" t="str">
            <v>деп</v>
          </cell>
          <cell r="J167">
            <v>38625</v>
          </cell>
        </row>
        <row r="168">
          <cell r="A168">
            <v>53704714</v>
          </cell>
          <cell r="B168" t="str">
            <v>АГЕНТСТВО РЕФПЕРЕВОЗОК</v>
          </cell>
          <cell r="C168" t="str">
            <v>УССУРИЙСК    (ДВС)</v>
          </cell>
          <cell r="D168">
            <v>29983</v>
          </cell>
          <cell r="E168">
            <v>37433</v>
          </cell>
          <cell r="F168">
            <v>163</v>
          </cell>
          <cell r="G168">
            <v>34366</v>
          </cell>
          <cell r="H168">
            <v>0</v>
          </cell>
          <cell r="I168" t="str">
            <v>деп</v>
          </cell>
          <cell r="J168">
            <v>38529</v>
          </cell>
        </row>
        <row r="169">
          <cell r="A169">
            <v>53704722</v>
          </cell>
          <cell r="B169" t="str">
            <v>АГЕНТСТВО РЕФПЕРЕВОЗОК</v>
          </cell>
          <cell r="C169" t="str">
            <v>УССУРИЙСК    (ДВС)</v>
          </cell>
          <cell r="D169">
            <v>30072</v>
          </cell>
          <cell r="E169">
            <v>37370</v>
          </cell>
          <cell r="F169">
            <v>163</v>
          </cell>
          <cell r="G169">
            <v>35186</v>
          </cell>
          <cell r="H169">
            <v>0</v>
          </cell>
          <cell r="I169" t="str">
            <v>деп</v>
          </cell>
          <cell r="J169">
            <v>38466</v>
          </cell>
        </row>
        <row r="170">
          <cell r="A170">
            <v>53704730</v>
          </cell>
          <cell r="B170" t="str">
            <v>АГЕНТСТВО РЕФПЕРЕВОЗОК</v>
          </cell>
          <cell r="C170" t="str">
            <v>УССУРИЙСК    (ДВС)</v>
          </cell>
          <cell r="D170">
            <v>30072</v>
          </cell>
          <cell r="E170">
            <v>37610</v>
          </cell>
          <cell r="F170">
            <v>163</v>
          </cell>
          <cell r="G170">
            <v>35034</v>
          </cell>
          <cell r="H170">
            <v>0</v>
          </cell>
          <cell r="I170" t="str">
            <v>деп</v>
          </cell>
          <cell r="J170">
            <v>38706</v>
          </cell>
        </row>
        <row r="171">
          <cell r="A171">
            <v>53704748</v>
          </cell>
          <cell r="B171" t="str">
            <v>АГЕНТСТВО РЕФПЕРЕВОЗОК</v>
          </cell>
          <cell r="C171" t="str">
            <v>УССУРИЙСК    (ДВС)</v>
          </cell>
          <cell r="D171">
            <v>30133</v>
          </cell>
          <cell r="E171">
            <v>37618</v>
          </cell>
          <cell r="F171">
            <v>163</v>
          </cell>
          <cell r="G171">
            <v>34943</v>
          </cell>
          <cell r="H171">
            <v>0</v>
          </cell>
          <cell r="I171" t="str">
            <v>деп</v>
          </cell>
          <cell r="J171">
            <v>38714</v>
          </cell>
        </row>
        <row r="172">
          <cell r="A172">
            <v>53704755</v>
          </cell>
          <cell r="B172" t="str">
            <v>АГЕНТСТВО РЕФПЕРЕВОЗОК</v>
          </cell>
          <cell r="C172" t="str">
            <v>УССУРИЙСК    (ДВС)</v>
          </cell>
          <cell r="D172">
            <v>30133</v>
          </cell>
          <cell r="E172">
            <v>37315</v>
          </cell>
          <cell r="F172">
            <v>163</v>
          </cell>
          <cell r="G172">
            <v>35186</v>
          </cell>
          <cell r="H172">
            <v>0</v>
          </cell>
          <cell r="I172" t="str">
            <v>деп</v>
          </cell>
          <cell r="J172">
            <v>38411</v>
          </cell>
        </row>
        <row r="173">
          <cell r="A173">
            <v>53706040</v>
          </cell>
          <cell r="B173" t="str">
            <v>АГЕНТСТВО РЕФПЕРЕВОЗОК</v>
          </cell>
          <cell r="C173" t="str">
            <v>ХОВРИНО      (ОКТ)</v>
          </cell>
          <cell r="D173">
            <v>32509</v>
          </cell>
          <cell r="E173">
            <v>37844</v>
          </cell>
          <cell r="F173">
            <v>557</v>
          </cell>
          <cell r="H173">
            <v>0</v>
          </cell>
          <cell r="I173" t="str">
            <v>кап</v>
          </cell>
          <cell r="J173">
            <v>38394</v>
          </cell>
        </row>
        <row r="174">
          <cell r="A174">
            <v>53706057</v>
          </cell>
          <cell r="B174" t="str">
            <v>АГЕНТСТВО РЕФПЕРЕВОЗОК</v>
          </cell>
          <cell r="C174" t="str">
            <v>ХОВРИНО      (ОКТ)</v>
          </cell>
          <cell r="D174">
            <v>32509</v>
          </cell>
          <cell r="E174">
            <v>37859</v>
          </cell>
          <cell r="F174">
            <v>886</v>
          </cell>
          <cell r="H174">
            <v>0</v>
          </cell>
          <cell r="I174" t="str">
            <v>кап</v>
          </cell>
          <cell r="J174">
            <v>38409</v>
          </cell>
        </row>
        <row r="175">
          <cell r="A175">
            <v>53706065</v>
          </cell>
          <cell r="B175" t="str">
            <v>АГЕНТСТВО РЕФПЕРЕВОЗОК</v>
          </cell>
          <cell r="C175" t="str">
            <v>ХОВРИНО      (ОКТ)</v>
          </cell>
          <cell r="D175">
            <v>32509</v>
          </cell>
          <cell r="E175">
            <v>37859</v>
          </cell>
          <cell r="F175">
            <v>886</v>
          </cell>
          <cell r="H175">
            <v>0</v>
          </cell>
          <cell r="I175" t="str">
            <v>кап</v>
          </cell>
          <cell r="J175">
            <v>38409</v>
          </cell>
        </row>
        <row r="176">
          <cell r="A176">
            <v>53706073</v>
          </cell>
          <cell r="B176" t="str">
            <v>АГЕНТСТВО РЕФПЕРЕВОЗОК</v>
          </cell>
          <cell r="C176" t="str">
            <v>ХОВРИНО      (ОКТ)</v>
          </cell>
          <cell r="D176">
            <v>32509</v>
          </cell>
          <cell r="E176">
            <v>37830</v>
          </cell>
          <cell r="F176">
            <v>163</v>
          </cell>
          <cell r="H176">
            <v>0</v>
          </cell>
          <cell r="I176" t="str">
            <v>кап</v>
          </cell>
          <cell r="J176">
            <v>38380</v>
          </cell>
        </row>
        <row r="177">
          <cell r="A177">
            <v>58002205</v>
          </cell>
          <cell r="B177" t="str">
            <v>АГЕНТСТВО РЕФПЕРЕВОЗОК</v>
          </cell>
          <cell r="C177" t="str">
            <v>ХОВРИНО      (ОКТ)</v>
          </cell>
          <cell r="D177">
            <v>30317</v>
          </cell>
          <cell r="E177">
            <v>37673</v>
          </cell>
          <cell r="F177">
            <v>492</v>
          </cell>
          <cell r="G177">
            <v>34179</v>
          </cell>
          <cell r="H177">
            <v>1097</v>
          </cell>
          <cell r="I177" t="str">
            <v>деп</v>
          </cell>
          <cell r="J177">
            <v>38404</v>
          </cell>
        </row>
        <row r="178">
          <cell r="A178">
            <v>58002213</v>
          </cell>
          <cell r="B178" t="str">
            <v>АГЕНТСТВО РЕФПЕРЕВОЗОК</v>
          </cell>
          <cell r="C178" t="str">
            <v>ХОВРИНО      (ОКТ)</v>
          </cell>
          <cell r="D178">
            <v>30317</v>
          </cell>
          <cell r="E178">
            <v>37673</v>
          </cell>
          <cell r="F178">
            <v>492</v>
          </cell>
          <cell r="G178">
            <v>33932</v>
          </cell>
          <cell r="H178">
            <v>1097</v>
          </cell>
          <cell r="I178" t="str">
            <v>деп</v>
          </cell>
          <cell r="J178">
            <v>38404</v>
          </cell>
        </row>
        <row r="179">
          <cell r="A179">
            <v>58002221</v>
          </cell>
          <cell r="B179" t="str">
            <v>АГЕНТСТВО РЕФПЕРЕВОЗОК</v>
          </cell>
          <cell r="C179" t="str">
            <v>ХОВРИНО      (ОКТ)</v>
          </cell>
          <cell r="D179">
            <v>30682</v>
          </cell>
          <cell r="E179">
            <v>37677</v>
          </cell>
          <cell r="F179">
            <v>492</v>
          </cell>
          <cell r="G179">
            <v>34150</v>
          </cell>
          <cell r="H179">
            <v>1097</v>
          </cell>
          <cell r="I179" t="str">
            <v>деп</v>
          </cell>
          <cell r="J179">
            <v>38408</v>
          </cell>
        </row>
        <row r="180">
          <cell r="A180">
            <v>58002239</v>
          </cell>
          <cell r="B180" t="str">
            <v>АГЕНТСТВО РЕФПЕРЕВОЗОК</v>
          </cell>
          <cell r="C180" t="str">
            <v>ХОВРИНО      (ОКТ)</v>
          </cell>
          <cell r="D180">
            <v>30682</v>
          </cell>
          <cell r="E180">
            <v>37673</v>
          </cell>
          <cell r="F180">
            <v>492</v>
          </cell>
          <cell r="G180">
            <v>34242</v>
          </cell>
          <cell r="H180">
            <v>1097</v>
          </cell>
          <cell r="I180" t="str">
            <v>деп</v>
          </cell>
          <cell r="J180">
            <v>38404</v>
          </cell>
        </row>
        <row r="181">
          <cell r="A181">
            <v>58002247</v>
          </cell>
          <cell r="B181" t="str">
            <v>АГЕНТСТВО РЕФПЕРЕВОЗОК</v>
          </cell>
          <cell r="C181" t="str">
            <v>ХОВРИНО      (ОКТ)</v>
          </cell>
          <cell r="D181">
            <v>30317</v>
          </cell>
          <cell r="E181">
            <v>37673</v>
          </cell>
          <cell r="F181">
            <v>492</v>
          </cell>
          <cell r="G181">
            <v>34011</v>
          </cell>
          <cell r="H181">
            <v>1097</v>
          </cell>
          <cell r="I181" t="str">
            <v>деп</v>
          </cell>
          <cell r="J181">
            <v>38404</v>
          </cell>
        </row>
        <row r="182">
          <cell r="A182">
            <v>58002254</v>
          </cell>
          <cell r="B182" t="str">
            <v>АГЕНТСТВО РЕФПЕРЕВОЗОК</v>
          </cell>
          <cell r="C182" t="str">
            <v>ХОВРИНО      (ОКТ)</v>
          </cell>
          <cell r="D182">
            <v>30317</v>
          </cell>
          <cell r="E182">
            <v>37673</v>
          </cell>
          <cell r="F182">
            <v>492</v>
          </cell>
          <cell r="G182">
            <v>34046</v>
          </cell>
          <cell r="H182">
            <v>1097</v>
          </cell>
          <cell r="I182" t="str">
            <v>деп</v>
          </cell>
          <cell r="J182">
            <v>38404</v>
          </cell>
        </row>
        <row r="183">
          <cell r="A183">
            <v>58002262</v>
          </cell>
          <cell r="B183" t="str">
            <v>АГЕНТСТВО РЕФПЕРЕВОЗОК</v>
          </cell>
          <cell r="C183" t="str">
            <v>ХОВРИНО      (ОКТ)</v>
          </cell>
          <cell r="D183">
            <v>30317</v>
          </cell>
          <cell r="E183">
            <v>37677</v>
          </cell>
          <cell r="F183">
            <v>492</v>
          </cell>
          <cell r="G183">
            <v>33984</v>
          </cell>
          <cell r="H183">
            <v>1097</v>
          </cell>
          <cell r="I183" t="str">
            <v>деп</v>
          </cell>
          <cell r="J183">
            <v>38408</v>
          </cell>
        </row>
        <row r="184">
          <cell r="A184">
            <v>58002270</v>
          </cell>
          <cell r="B184" t="str">
            <v>АГЕНТСТВО РЕФПЕРЕВОЗОК</v>
          </cell>
          <cell r="C184" t="str">
            <v>ХОВРИНО      (ОКТ)</v>
          </cell>
          <cell r="D184">
            <v>30682</v>
          </cell>
          <cell r="E184">
            <v>37678</v>
          </cell>
          <cell r="F184">
            <v>492</v>
          </cell>
          <cell r="G184">
            <v>34131</v>
          </cell>
          <cell r="H184">
            <v>1097</v>
          </cell>
          <cell r="I184" t="str">
            <v>деп</v>
          </cell>
          <cell r="J184">
            <v>38409</v>
          </cell>
        </row>
        <row r="185">
          <cell r="A185">
            <v>58002288</v>
          </cell>
          <cell r="B185" t="str">
            <v>АГЕНТСТВО РЕФПЕРЕВОЗОК</v>
          </cell>
          <cell r="C185" t="str">
            <v>ХОВРИНО      (ОКТ)</v>
          </cell>
          <cell r="D185">
            <v>30682</v>
          </cell>
          <cell r="E185">
            <v>37673</v>
          </cell>
          <cell r="F185">
            <v>492</v>
          </cell>
          <cell r="G185">
            <v>34130</v>
          </cell>
          <cell r="H185">
            <v>1097</v>
          </cell>
          <cell r="I185" t="str">
            <v>деп</v>
          </cell>
          <cell r="J185">
            <v>38404</v>
          </cell>
        </row>
        <row r="186">
          <cell r="A186">
            <v>58002304</v>
          </cell>
          <cell r="B186" t="str">
            <v>АГЕНТСТВО РЕФПЕРЕВОЗОК</v>
          </cell>
          <cell r="C186" t="str">
            <v>ХОВРИНО      (ОКТ)</v>
          </cell>
          <cell r="D186">
            <v>30317</v>
          </cell>
          <cell r="E186">
            <v>37676</v>
          </cell>
          <cell r="F186">
            <v>492</v>
          </cell>
          <cell r="G186">
            <v>33926</v>
          </cell>
          <cell r="H186">
            <v>1097</v>
          </cell>
          <cell r="I186" t="str">
            <v>деп</v>
          </cell>
          <cell r="J186">
            <v>38407</v>
          </cell>
        </row>
        <row r="187">
          <cell r="A187">
            <v>58002312</v>
          </cell>
          <cell r="B187" t="str">
            <v>АГЕНТСТВО РЕФПЕРЕВОЗОК</v>
          </cell>
          <cell r="C187" t="str">
            <v>ХОВРИНО      (ОКТ)</v>
          </cell>
          <cell r="D187">
            <v>30317</v>
          </cell>
          <cell r="E187">
            <v>37672</v>
          </cell>
          <cell r="F187">
            <v>492</v>
          </cell>
          <cell r="G187">
            <v>34101</v>
          </cell>
          <cell r="H187">
            <v>1097</v>
          </cell>
          <cell r="I187" t="str">
            <v>деп</v>
          </cell>
          <cell r="J187">
            <v>38403</v>
          </cell>
        </row>
        <row r="188">
          <cell r="A188">
            <v>58002320</v>
          </cell>
          <cell r="B188" t="str">
            <v>АГЕНТСТВО РЕФПЕРЕВОЗОК</v>
          </cell>
          <cell r="C188" t="str">
            <v>ХОВРИНО      (ОКТ)</v>
          </cell>
          <cell r="D188">
            <v>30682</v>
          </cell>
          <cell r="E188">
            <v>37684</v>
          </cell>
          <cell r="F188">
            <v>492</v>
          </cell>
          <cell r="G188">
            <v>34141</v>
          </cell>
          <cell r="H188">
            <v>1097</v>
          </cell>
          <cell r="I188" t="str">
            <v>деп</v>
          </cell>
          <cell r="J188">
            <v>38415</v>
          </cell>
        </row>
        <row r="189">
          <cell r="A189">
            <v>58002338</v>
          </cell>
          <cell r="B189" t="str">
            <v>АГЕНТСТВО РЕФПЕРЕВОЗОК</v>
          </cell>
          <cell r="C189" t="str">
            <v>ХОВРИНО      (ОКТ)</v>
          </cell>
          <cell r="D189">
            <v>30317</v>
          </cell>
          <cell r="E189">
            <v>37684</v>
          </cell>
          <cell r="F189">
            <v>492</v>
          </cell>
          <cell r="G189">
            <v>34117</v>
          </cell>
          <cell r="H189">
            <v>1097</v>
          </cell>
          <cell r="I189" t="str">
            <v>деп</v>
          </cell>
          <cell r="J189">
            <v>38415</v>
          </cell>
        </row>
        <row r="190">
          <cell r="A190">
            <v>58002346</v>
          </cell>
          <cell r="B190" t="str">
            <v>АГЕНТСТВО РЕФПЕРЕВОЗОК</v>
          </cell>
          <cell r="C190" t="str">
            <v>ХОВРИНО      (ОКТ)</v>
          </cell>
          <cell r="D190">
            <v>30317</v>
          </cell>
          <cell r="E190">
            <v>37676</v>
          </cell>
          <cell r="F190">
            <v>492</v>
          </cell>
          <cell r="G190">
            <v>34162</v>
          </cell>
          <cell r="H190">
            <v>1097</v>
          </cell>
          <cell r="I190" t="str">
            <v>деп</v>
          </cell>
          <cell r="J190">
            <v>38407</v>
          </cell>
        </row>
        <row r="191">
          <cell r="A191">
            <v>58002353</v>
          </cell>
          <cell r="B191" t="str">
            <v>АГЕНТСТВО РЕФПЕРЕВОЗОК</v>
          </cell>
          <cell r="C191" t="str">
            <v>ХОВРИНО      (ОКТ)</v>
          </cell>
          <cell r="D191">
            <v>30682</v>
          </cell>
          <cell r="E191">
            <v>37672</v>
          </cell>
          <cell r="F191">
            <v>492</v>
          </cell>
          <cell r="G191">
            <v>34212</v>
          </cell>
          <cell r="H191">
            <v>1097</v>
          </cell>
          <cell r="I191" t="str">
            <v>деп</v>
          </cell>
          <cell r="J191">
            <v>38403</v>
          </cell>
        </row>
        <row r="192">
          <cell r="A192">
            <v>58002361</v>
          </cell>
          <cell r="B192" t="str">
            <v>АГЕНТСТВО РЕФПЕРЕВОЗОК</v>
          </cell>
          <cell r="C192" t="str">
            <v>ХОВРИНО      (ОКТ)</v>
          </cell>
          <cell r="D192">
            <v>30682</v>
          </cell>
          <cell r="E192">
            <v>37672</v>
          </cell>
          <cell r="F192">
            <v>492</v>
          </cell>
          <cell r="G192">
            <v>33990</v>
          </cell>
          <cell r="H192">
            <v>1097</v>
          </cell>
          <cell r="I192" t="str">
            <v>деп</v>
          </cell>
          <cell r="J192">
            <v>38403</v>
          </cell>
        </row>
        <row r="193">
          <cell r="A193">
            <v>58002379</v>
          </cell>
          <cell r="B193" t="str">
            <v>АГЕНТСТВО РЕФПЕРЕВОЗОК</v>
          </cell>
          <cell r="C193" t="str">
            <v>ХОВРИНО      (ОКТ)</v>
          </cell>
          <cell r="D193">
            <v>30682</v>
          </cell>
          <cell r="E193">
            <v>37672</v>
          </cell>
          <cell r="F193">
            <v>492</v>
          </cell>
          <cell r="G193">
            <v>34303</v>
          </cell>
          <cell r="H193">
            <v>1097</v>
          </cell>
          <cell r="I193" t="str">
            <v>деп</v>
          </cell>
          <cell r="J193">
            <v>38403</v>
          </cell>
        </row>
        <row r="194">
          <cell r="A194">
            <v>58002387</v>
          </cell>
          <cell r="B194" t="str">
            <v>АГЕНТСТВО РЕФПЕРЕВОЗОК</v>
          </cell>
          <cell r="C194" t="str">
            <v>ХОВРИНО      (ОКТ)</v>
          </cell>
          <cell r="D194">
            <v>30317</v>
          </cell>
          <cell r="E194">
            <v>37684</v>
          </cell>
          <cell r="F194">
            <v>492</v>
          </cell>
          <cell r="G194">
            <v>34022</v>
          </cell>
          <cell r="H194">
            <v>1097</v>
          </cell>
          <cell r="I194" t="str">
            <v>деп</v>
          </cell>
          <cell r="J194">
            <v>38415</v>
          </cell>
        </row>
        <row r="195">
          <cell r="A195">
            <v>58002403</v>
          </cell>
          <cell r="B195" t="str">
            <v>АГЕНТСТВО РЕФПЕРЕВОЗОК</v>
          </cell>
          <cell r="C195" t="str">
            <v>ХОВРИНО      (ОКТ)</v>
          </cell>
          <cell r="D195">
            <v>30317</v>
          </cell>
          <cell r="E195">
            <v>37684</v>
          </cell>
          <cell r="F195">
            <v>492</v>
          </cell>
          <cell r="G195">
            <v>34054</v>
          </cell>
          <cell r="H195">
            <v>1097</v>
          </cell>
          <cell r="I195" t="str">
            <v>деп</v>
          </cell>
          <cell r="J195">
            <v>38415</v>
          </cell>
        </row>
        <row r="196">
          <cell r="A196">
            <v>58002411</v>
          </cell>
          <cell r="B196" t="str">
            <v>АГЕНТСТВО РЕФПЕРЕВОЗОК</v>
          </cell>
          <cell r="C196" t="str">
            <v>ХОВРИНО      (ОКТ)</v>
          </cell>
          <cell r="D196">
            <v>30682</v>
          </cell>
          <cell r="E196">
            <v>37701</v>
          </cell>
          <cell r="F196">
            <v>492</v>
          </cell>
          <cell r="G196">
            <v>34273</v>
          </cell>
          <cell r="H196">
            <v>1097</v>
          </cell>
          <cell r="I196" t="str">
            <v>деп</v>
          </cell>
          <cell r="J196">
            <v>38432</v>
          </cell>
        </row>
        <row r="197">
          <cell r="A197">
            <v>58002429</v>
          </cell>
          <cell r="B197" t="str">
            <v>АГЕНТСТВО РЕФПЕРЕВОЗОК</v>
          </cell>
          <cell r="C197" t="str">
            <v>ХОВРИНО      (ОКТ)</v>
          </cell>
          <cell r="D197">
            <v>30317</v>
          </cell>
          <cell r="E197">
            <v>37702</v>
          </cell>
          <cell r="F197">
            <v>492</v>
          </cell>
          <cell r="G197">
            <v>34212</v>
          </cell>
          <cell r="H197">
            <v>1097</v>
          </cell>
          <cell r="I197" t="str">
            <v>деп</v>
          </cell>
          <cell r="J197">
            <v>38433</v>
          </cell>
        </row>
        <row r="198">
          <cell r="A198">
            <v>58002437</v>
          </cell>
          <cell r="B198" t="str">
            <v>АГЕНТСТВО РЕФПЕРЕВОЗОК</v>
          </cell>
          <cell r="C198" t="str">
            <v>ХОВРИНО      (ОКТ)</v>
          </cell>
          <cell r="D198">
            <v>30317</v>
          </cell>
          <cell r="E198">
            <v>37709</v>
          </cell>
          <cell r="F198">
            <v>492</v>
          </cell>
          <cell r="G198">
            <v>34044</v>
          </cell>
          <cell r="H198">
            <v>1097</v>
          </cell>
          <cell r="I198" t="str">
            <v>деп</v>
          </cell>
          <cell r="J198">
            <v>38440</v>
          </cell>
        </row>
        <row r="199">
          <cell r="A199">
            <v>58002445</v>
          </cell>
          <cell r="B199" t="str">
            <v>АГЕНТСТВО РЕФПЕРЕВОЗОК</v>
          </cell>
          <cell r="C199" t="str">
            <v>ХОВРИНО      (ОКТ)</v>
          </cell>
          <cell r="D199">
            <v>30317</v>
          </cell>
          <cell r="E199">
            <v>37709</v>
          </cell>
          <cell r="F199">
            <v>492</v>
          </cell>
          <cell r="G199">
            <v>33969</v>
          </cell>
          <cell r="H199">
            <v>1097</v>
          </cell>
          <cell r="I199" t="str">
            <v>деп</v>
          </cell>
          <cell r="J199">
            <v>38440</v>
          </cell>
        </row>
        <row r="200">
          <cell r="A200">
            <v>58002452</v>
          </cell>
          <cell r="B200" t="str">
            <v>АГЕНТСТВО РЕФПЕРЕВОЗОК</v>
          </cell>
          <cell r="C200" t="str">
            <v>ХОВРИНО      (ОКТ)</v>
          </cell>
          <cell r="D200">
            <v>30682</v>
          </cell>
          <cell r="E200">
            <v>37705</v>
          </cell>
          <cell r="F200">
            <v>492</v>
          </cell>
          <cell r="G200">
            <v>34172</v>
          </cell>
          <cell r="H200">
            <v>1097</v>
          </cell>
          <cell r="I200" t="str">
            <v>деп</v>
          </cell>
          <cell r="J200">
            <v>38436</v>
          </cell>
        </row>
        <row r="201">
          <cell r="A201">
            <v>58002460</v>
          </cell>
          <cell r="B201" t="str">
            <v>АГЕНТСТВО РЕФПЕРЕВОЗОК</v>
          </cell>
          <cell r="C201" t="str">
            <v>ХОВРИНО      (ОКТ)</v>
          </cell>
          <cell r="D201">
            <v>30682</v>
          </cell>
          <cell r="E201">
            <v>37710</v>
          </cell>
          <cell r="F201">
            <v>492</v>
          </cell>
          <cell r="G201">
            <v>34242</v>
          </cell>
          <cell r="H201">
            <v>1097</v>
          </cell>
          <cell r="I201" t="str">
            <v>деп</v>
          </cell>
          <cell r="J201">
            <v>38441</v>
          </cell>
        </row>
        <row r="202">
          <cell r="A202">
            <v>58002478</v>
          </cell>
          <cell r="B202" t="str">
            <v>АГЕНТСТВО РЕФПЕРЕВОЗОК</v>
          </cell>
          <cell r="C202" t="str">
            <v>ХОВРИНО      (ОКТ)</v>
          </cell>
          <cell r="D202">
            <v>30682</v>
          </cell>
          <cell r="E202">
            <v>37700</v>
          </cell>
          <cell r="F202">
            <v>492</v>
          </cell>
          <cell r="G202">
            <v>34273</v>
          </cell>
          <cell r="H202">
            <v>1097</v>
          </cell>
          <cell r="I202" t="str">
            <v>деп</v>
          </cell>
          <cell r="J202">
            <v>38431</v>
          </cell>
        </row>
        <row r="203">
          <cell r="A203">
            <v>58002486</v>
          </cell>
          <cell r="B203" t="str">
            <v>АГЕНТСТВО РЕФПЕРЕВОЗОК</v>
          </cell>
          <cell r="C203" t="str">
            <v>ХОВРИНО      (ОКТ)</v>
          </cell>
          <cell r="D203">
            <v>30682</v>
          </cell>
          <cell r="E203">
            <v>37703</v>
          </cell>
          <cell r="F203">
            <v>492</v>
          </cell>
          <cell r="G203">
            <v>35039</v>
          </cell>
          <cell r="H203">
            <v>1097</v>
          </cell>
          <cell r="I203" t="str">
            <v>деп</v>
          </cell>
          <cell r="J203">
            <v>38434</v>
          </cell>
        </row>
        <row r="204">
          <cell r="A204">
            <v>58002502</v>
          </cell>
          <cell r="B204" t="str">
            <v>АГЕНТСТВО РЕФПЕРЕВОЗОК</v>
          </cell>
          <cell r="C204" t="str">
            <v>ХОВРИНО      (ОКТ)</v>
          </cell>
          <cell r="D204">
            <v>30682</v>
          </cell>
          <cell r="E204">
            <v>37696</v>
          </cell>
          <cell r="F204">
            <v>492</v>
          </cell>
          <cell r="G204">
            <v>35010</v>
          </cell>
          <cell r="H204">
            <v>1097</v>
          </cell>
          <cell r="I204" t="str">
            <v>деп</v>
          </cell>
          <cell r="J204">
            <v>38427</v>
          </cell>
        </row>
        <row r="205">
          <cell r="A205">
            <v>58002510</v>
          </cell>
          <cell r="B205" t="str">
            <v>АГЕНТСТВО РЕФПЕРЕВОЗОК</v>
          </cell>
          <cell r="C205" t="str">
            <v>ХОВРИНО      (ОКТ)</v>
          </cell>
          <cell r="D205">
            <v>30317</v>
          </cell>
          <cell r="E205">
            <v>37707</v>
          </cell>
          <cell r="F205">
            <v>492</v>
          </cell>
          <cell r="G205">
            <v>34028</v>
          </cell>
          <cell r="H205">
            <v>1097</v>
          </cell>
          <cell r="I205" t="str">
            <v>деп</v>
          </cell>
          <cell r="J205">
            <v>38438</v>
          </cell>
        </row>
        <row r="206">
          <cell r="A206">
            <v>58002528</v>
          </cell>
          <cell r="B206" t="str">
            <v>АГЕНТСТВО РЕФПЕРЕВОЗОК</v>
          </cell>
          <cell r="C206" t="str">
            <v>ХОВРИНО      (ОКТ)</v>
          </cell>
          <cell r="D206">
            <v>30317</v>
          </cell>
          <cell r="E206">
            <v>37696</v>
          </cell>
          <cell r="F206">
            <v>492</v>
          </cell>
          <cell r="G206">
            <v>33984</v>
          </cell>
          <cell r="H206">
            <v>1097</v>
          </cell>
          <cell r="I206" t="str">
            <v>деп</v>
          </cell>
          <cell r="J206">
            <v>38427</v>
          </cell>
        </row>
        <row r="207">
          <cell r="A207">
            <v>58002536</v>
          </cell>
          <cell r="B207" t="str">
            <v>АГЕНТСТВО РЕФПЕРЕВОЗОК</v>
          </cell>
          <cell r="C207" t="str">
            <v>ХОВРИНО      (ОКТ)</v>
          </cell>
          <cell r="D207">
            <v>30317</v>
          </cell>
          <cell r="E207">
            <v>37696</v>
          </cell>
          <cell r="F207">
            <v>492</v>
          </cell>
          <cell r="G207">
            <v>34113</v>
          </cell>
          <cell r="H207">
            <v>1097</v>
          </cell>
          <cell r="I207" t="str">
            <v>деп</v>
          </cell>
          <cell r="J207">
            <v>38427</v>
          </cell>
        </row>
        <row r="208">
          <cell r="A208">
            <v>58002544</v>
          </cell>
          <cell r="B208" t="str">
            <v>АГЕНТСТВО РЕФПЕРЕВОЗОК</v>
          </cell>
          <cell r="C208" t="str">
            <v>ХОВРИНО      (ОКТ)</v>
          </cell>
          <cell r="D208">
            <v>31413</v>
          </cell>
          <cell r="F208">
            <v>0</v>
          </cell>
          <cell r="G208">
            <v>37710</v>
          </cell>
          <cell r="H208">
            <v>492</v>
          </cell>
          <cell r="I208" t="str">
            <v>деп</v>
          </cell>
          <cell r="J208">
            <v>38441</v>
          </cell>
        </row>
        <row r="209">
          <cell r="A209">
            <v>58002551</v>
          </cell>
          <cell r="B209" t="str">
            <v>АГЕНТСТВО РЕФПЕРЕВОЗОК</v>
          </cell>
          <cell r="C209" t="str">
            <v>ХОВРИНО      (ОКТ)</v>
          </cell>
          <cell r="D209">
            <v>31778</v>
          </cell>
          <cell r="F209">
            <v>0</v>
          </cell>
          <cell r="G209">
            <v>37710</v>
          </cell>
          <cell r="H209">
            <v>492</v>
          </cell>
          <cell r="I209" t="str">
            <v>деп</v>
          </cell>
          <cell r="J209">
            <v>38441</v>
          </cell>
        </row>
        <row r="210">
          <cell r="A210">
            <v>58002569</v>
          </cell>
          <cell r="B210" t="str">
            <v>АГЕНТСТВО РЕФПЕРЕВОЗОК</v>
          </cell>
          <cell r="C210" t="str">
            <v>ХОВРИНО      (ОКТ)</v>
          </cell>
          <cell r="D210">
            <v>31778</v>
          </cell>
          <cell r="F210">
            <v>0</v>
          </cell>
          <cell r="G210">
            <v>37707</v>
          </cell>
          <cell r="H210">
            <v>492</v>
          </cell>
          <cell r="I210" t="str">
            <v>деп</v>
          </cell>
          <cell r="J210">
            <v>38438</v>
          </cell>
        </row>
        <row r="211">
          <cell r="A211">
            <v>58002577</v>
          </cell>
          <cell r="B211" t="str">
            <v>АГЕНТСТВО РЕФПЕРЕВОЗОК</v>
          </cell>
          <cell r="C211" t="str">
            <v>ХОВРИНО      (ОКТ)</v>
          </cell>
          <cell r="D211">
            <v>31778</v>
          </cell>
          <cell r="F211">
            <v>0</v>
          </cell>
          <cell r="G211">
            <v>37708</v>
          </cell>
          <cell r="H211">
            <v>492</v>
          </cell>
          <cell r="I211" t="str">
            <v>деп</v>
          </cell>
          <cell r="J211">
            <v>38439</v>
          </cell>
        </row>
        <row r="212">
          <cell r="A212">
            <v>58002585</v>
          </cell>
          <cell r="B212" t="str">
            <v>АГЕНТСТВО РЕФПЕРЕВОЗОК</v>
          </cell>
          <cell r="C212" t="str">
            <v>ХОВРИНО      (ОКТ)</v>
          </cell>
          <cell r="D212">
            <v>31778</v>
          </cell>
          <cell r="F212">
            <v>0</v>
          </cell>
          <cell r="G212">
            <v>37707</v>
          </cell>
          <cell r="H212">
            <v>492</v>
          </cell>
          <cell r="I212" t="str">
            <v>деп</v>
          </cell>
          <cell r="J212">
            <v>38438</v>
          </cell>
        </row>
        <row r="213">
          <cell r="A213">
            <v>58002601</v>
          </cell>
          <cell r="B213" t="str">
            <v>АГЕНТСТВО РЕФПЕРЕВОЗОК</v>
          </cell>
          <cell r="C213" t="str">
            <v>ХОВРИНО      (ОКТ)</v>
          </cell>
          <cell r="D213">
            <v>31778</v>
          </cell>
          <cell r="F213">
            <v>0</v>
          </cell>
          <cell r="G213">
            <v>37708</v>
          </cell>
          <cell r="H213">
            <v>492</v>
          </cell>
          <cell r="I213" t="str">
            <v>деп</v>
          </cell>
          <cell r="J213">
            <v>38439</v>
          </cell>
        </row>
        <row r="214">
          <cell r="A214">
            <v>58338096</v>
          </cell>
          <cell r="B214" t="str">
            <v>АГЕНТСТВО РЕФПЕРЕВОЗОК</v>
          </cell>
          <cell r="C214" t="str">
            <v>ХОВРИНО      (ОКТ)</v>
          </cell>
          <cell r="D214">
            <v>30317</v>
          </cell>
          <cell r="E214">
            <v>37781</v>
          </cell>
          <cell r="F214">
            <v>492</v>
          </cell>
          <cell r="G214">
            <v>33938</v>
          </cell>
          <cell r="H214">
            <v>1097</v>
          </cell>
          <cell r="I214" t="str">
            <v>деп</v>
          </cell>
          <cell r="J214">
            <v>38330</v>
          </cell>
        </row>
        <row r="215">
          <cell r="A215">
            <v>58338591</v>
          </cell>
          <cell r="B215" t="str">
            <v>АГЕНТСТВО РЕФПЕРЕВОЗОК</v>
          </cell>
          <cell r="C215" t="str">
            <v>ХОВРИНО      (ОКТ)</v>
          </cell>
          <cell r="D215">
            <v>30317</v>
          </cell>
          <cell r="E215">
            <v>37941</v>
          </cell>
          <cell r="F215">
            <v>557</v>
          </cell>
          <cell r="G215">
            <v>34137</v>
          </cell>
          <cell r="H215">
            <v>1097</v>
          </cell>
          <cell r="I215" t="str">
            <v>деп</v>
          </cell>
          <cell r="J215">
            <v>38488</v>
          </cell>
        </row>
        <row r="216">
          <cell r="A216">
            <v>58338799</v>
          </cell>
          <cell r="B216" t="str">
            <v>АГЕНТСТВО РЕФПЕРЕВОЗОК</v>
          </cell>
          <cell r="C216" t="str">
            <v>ХОВРИНО      (ОКТ)</v>
          </cell>
          <cell r="D216">
            <v>30317</v>
          </cell>
          <cell r="E216">
            <v>37934</v>
          </cell>
          <cell r="F216">
            <v>557</v>
          </cell>
          <cell r="G216">
            <v>34128</v>
          </cell>
          <cell r="H216">
            <v>1097</v>
          </cell>
          <cell r="I216" t="str">
            <v>деп</v>
          </cell>
          <cell r="J216">
            <v>38481</v>
          </cell>
        </row>
        <row r="217">
          <cell r="A217">
            <v>58338898</v>
          </cell>
          <cell r="B217" t="str">
            <v>АГЕНТСТВО РЕФПЕРЕВОЗОК</v>
          </cell>
          <cell r="C217" t="str">
            <v>ХОВРИНО      (ОКТ)</v>
          </cell>
          <cell r="D217">
            <v>30317</v>
          </cell>
          <cell r="E217">
            <v>37779</v>
          </cell>
          <cell r="F217">
            <v>492</v>
          </cell>
          <cell r="G217">
            <v>34059</v>
          </cell>
          <cell r="H217">
            <v>1097</v>
          </cell>
          <cell r="I217" t="str">
            <v>деп</v>
          </cell>
          <cell r="J217">
            <v>38328</v>
          </cell>
        </row>
        <row r="218">
          <cell r="A218">
            <v>58340449</v>
          </cell>
          <cell r="B218" t="str">
            <v>АГЕНТСТВО РЕФПЕРЕВОЗОК</v>
          </cell>
          <cell r="C218" t="str">
            <v>ХОВРИНО      (ОКТ)</v>
          </cell>
          <cell r="D218">
            <v>30317</v>
          </cell>
          <cell r="E218">
            <v>37788</v>
          </cell>
          <cell r="F218">
            <v>492</v>
          </cell>
          <cell r="G218">
            <v>33997</v>
          </cell>
          <cell r="H218">
            <v>1097</v>
          </cell>
          <cell r="I218" t="str">
            <v>деп</v>
          </cell>
          <cell r="J218">
            <v>38337</v>
          </cell>
        </row>
        <row r="219">
          <cell r="A219">
            <v>58340456</v>
          </cell>
          <cell r="B219" t="str">
            <v>АГЕНТСТВО РЕФПЕРЕВОЗОК</v>
          </cell>
          <cell r="C219" t="str">
            <v>ХОВРИНО      (ОКТ)</v>
          </cell>
          <cell r="D219">
            <v>30317</v>
          </cell>
          <cell r="E219">
            <v>37945</v>
          </cell>
          <cell r="F219">
            <v>557</v>
          </cell>
          <cell r="G219">
            <v>34085</v>
          </cell>
          <cell r="H219">
            <v>1097</v>
          </cell>
          <cell r="I219" t="str">
            <v>деп</v>
          </cell>
          <cell r="J219">
            <v>38492</v>
          </cell>
        </row>
        <row r="220">
          <cell r="A220">
            <v>58340472</v>
          </cell>
          <cell r="B220" t="str">
            <v>АГЕНТСТВО РЕФПЕРЕВОЗОК</v>
          </cell>
          <cell r="C220" t="str">
            <v>ХОВРИНО      (ОКТ)</v>
          </cell>
          <cell r="D220">
            <v>30317</v>
          </cell>
          <cell r="E220">
            <v>37942</v>
          </cell>
          <cell r="F220">
            <v>557</v>
          </cell>
          <cell r="G220">
            <v>33969</v>
          </cell>
          <cell r="H220">
            <v>1097</v>
          </cell>
          <cell r="I220" t="str">
            <v>деп</v>
          </cell>
          <cell r="J220">
            <v>38489</v>
          </cell>
        </row>
        <row r="221">
          <cell r="A221">
            <v>58340506</v>
          </cell>
          <cell r="B221" t="str">
            <v>АГЕНТСТВО РЕФПЕРЕВОЗОК</v>
          </cell>
          <cell r="C221" t="str">
            <v>ХОВРИНО      (ОКТ)</v>
          </cell>
          <cell r="D221">
            <v>30317</v>
          </cell>
          <cell r="F221">
            <v>0</v>
          </cell>
          <cell r="G221">
            <v>33908</v>
          </cell>
          <cell r="H221">
            <v>1097</v>
          </cell>
          <cell r="I221" t="str">
            <v>деп</v>
          </cell>
          <cell r="J221">
            <v>34151</v>
          </cell>
        </row>
        <row r="222">
          <cell r="A222">
            <v>58340514</v>
          </cell>
          <cell r="B222" t="str">
            <v>АГЕНТСТВО РЕФПЕРЕВОЗОК</v>
          </cell>
          <cell r="C222" t="str">
            <v>ХОВРИНО      (ОКТ)</v>
          </cell>
          <cell r="D222">
            <v>30317</v>
          </cell>
          <cell r="E222">
            <v>37788</v>
          </cell>
          <cell r="F222">
            <v>492</v>
          </cell>
          <cell r="G222">
            <v>33969</v>
          </cell>
          <cell r="H222">
            <v>1097</v>
          </cell>
          <cell r="I222" t="str">
            <v>деп</v>
          </cell>
          <cell r="J222">
            <v>38337</v>
          </cell>
        </row>
        <row r="223">
          <cell r="A223">
            <v>58340522</v>
          </cell>
          <cell r="B223" t="str">
            <v>АГЕНТСТВО РЕФПЕРЕВОЗОК</v>
          </cell>
          <cell r="C223" t="str">
            <v>ХОВРИНО      (ОКТ)</v>
          </cell>
          <cell r="D223">
            <v>30317</v>
          </cell>
          <cell r="E223">
            <v>37942</v>
          </cell>
          <cell r="F223">
            <v>557</v>
          </cell>
          <cell r="G223">
            <v>34018</v>
          </cell>
          <cell r="H223">
            <v>1097</v>
          </cell>
          <cell r="I223" t="str">
            <v>деп</v>
          </cell>
          <cell r="J223">
            <v>38489</v>
          </cell>
        </row>
        <row r="224">
          <cell r="A224">
            <v>58340530</v>
          </cell>
          <cell r="B224" t="str">
            <v>АГЕНТСТВО РЕФПЕРЕВОЗОК</v>
          </cell>
          <cell r="C224" t="str">
            <v>ХОВРИНО      (ОКТ)</v>
          </cell>
          <cell r="D224">
            <v>30317</v>
          </cell>
          <cell r="E224">
            <v>37945</v>
          </cell>
          <cell r="F224">
            <v>557</v>
          </cell>
          <cell r="G224">
            <v>33908</v>
          </cell>
          <cell r="H224">
            <v>1097</v>
          </cell>
          <cell r="I224" t="str">
            <v>деп</v>
          </cell>
          <cell r="J224">
            <v>38492</v>
          </cell>
        </row>
        <row r="225">
          <cell r="A225">
            <v>58340548</v>
          </cell>
          <cell r="B225" t="str">
            <v>АГЕНТСТВО РЕФПЕРЕВОЗОК</v>
          </cell>
          <cell r="C225" t="str">
            <v>ХОВРИНО      (ОКТ)</v>
          </cell>
          <cell r="D225">
            <v>30317</v>
          </cell>
          <cell r="E225">
            <v>37936</v>
          </cell>
          <cell r="F225">
            <v>557</v>
          </cell>
          <cell r="G225">
            <v>34047</v>
          </cell>
          <cell r="H225">
            <v>1097</v>
          </cell>
          <cell r="I225" t="str">
            <v>деп</v>
          </cell>
          <cell r="J225">
            <v>38483</v>
          </cell>
        </row>
        <row r="226">
          <cell r="A226">
            <v>58340555</v>
          </cell>
          <cell r="B226" t="str">
            <v>АГЕНТСТВО РЕФПЕРЕВОЗОК</v>
          </cell>
          <cell r="C226" t="str">
            <v>ХОВРИНО      (ОКТ)</v>
          </cell>
          <cell r="D226">
            <v>30317</v>
          </cell>
          <cell r="F226">
            <v>0</v>
          </cell>
          <cell r="G226">
            <v>33991</v>
          </cell>
          <cell r="H226">
            <v>1097</v>
          </cell>
          <cell r="I226" t="str">
            <v>кап</v>
          </cell>
          <cell r="J226">
            <v>31686</v>
          </cell>
        </row>
        <row r="227">
          <cell r="A227">
            <v>58340589</v>
          </cell>
          <cell r="B227" t="str">
            <v>АГЕНТСТВО РЕФПЕРЕВОЗОК</v>
          </cell>
          <cell r="C227" t="str">
            <v>ХОВРИНО      (ОКТ)</v>
          </cell>
          <cell r="D227">
            <v>30317</v>
          </cell>
          <cell r="E227">
            <v>37778</v>
          </cell>
          <cell r="F227">
            <v>492</v>
          </cell>
          <cell r="G227">
            <v>33926</v>
          </cell>
          <cell r="H227">
            <v>1097</v>
          </cell>
          <cell r="I227" t="str">
            <v>кап</v>
          </cell>
          <cell r="J227">
            <v>38327</v>
          </cell>
        </row>
        <row r="228">
          <cell r="A228">
            <v>58340597</v>
          </cell>
          <cell r="B228" t="str">
            <v>АГЕНТСТВО РЕФПЕРЕВОЗОК</v>
          </cell>
          <cell r="C228" t="str">
            <v>ХОВРИНО      (ОКТ)</v>
          </cell>
          <cell r="D228">
            <v>30317</v>
          </cell>
          <cell r="E228">
            <v>37945</v>
          </cell>
          <cell r="F228">
            <v>557</v>
          </cell>
          <cell r="G228">
            <v>33906</v>
          </cell>
          <cell r="H228">
            <v>1097</v>
          </cell>
          <cell r="I228" t="str">
            <v>деп</v>
          </cell>
          <cell r="J228">
            <v>38492</v>
          </cell>
        </row>
        <row r="229">
          <cell r="A229">
            <v>58340605</v>
          </cell>
          <cell r="B229" t="str">
            <v>АГЕНТСТВО РЕФПЕРЕВОЗОК</v>
          </cell>
          <cell r="C229" t="str">
            <v>ХОВРИНО      (ОКТ)</v>
          </cell>
          <cell r="D229">
            <v>30317</v>
          </cell>
          <cell r="E229">
            <v>37790</v>
          </cell>
          <cell r="F229">
            <v>492</v>
          </cell>
          <cell r="G229">
            <v>33928</v>
          </cell>
          <cell r="H229">
            <v>1097</v>
          </cell>
          <cell r="I229" t="str">
            <v>деп</v>
          </cell>
          <cell r="J229">
            <v>38339</v>
          </cell>
        </row>
        <row r="230">
          <cell r="A230">
            <v>58340613</v>
          </cell>
          <cell r="B230" t="str">
            <v>АГЕНТСТВО РЕФПЕРЕВОЗОК</v>
          </cell>
          <cell r="C230" t="str">
            <v>ХОВРИНО      (ОКТ)</v>
          </cell>
          <cell r="D230">
            <v>30317</v>
          </cell>
          <cell r="E230">
            <v>37770</v>
          </cell>
          <cell r="F230">
            <v>492</v>
          </cell>
          <cell r="G230">
            <v>34242</v>
          </cell>
          <cell r="H230">
            <v>1097</v>
          </cell>
          <cell r="I230" t="str">
            <v>деп</v>
          </cell>
          <cell r="J230">
            <v>38320</v>
          </cell>
        </row>
        <row r="231">
          <cell r="A231">
            <v>58340621</v>
          </cell>
          <cell r="B231" t="str">
            <v>АГЕНТСТВО РЕФПЕРЕВОЗОК</v>
          </cell>
          <cell r="C231" t="str">
            <v>ХОВРИНО      (ОКТ)</v>
          </cell>
          <cell r="D231">
            <v>30317</v>
          </cell>
          <cell r="E231">
            <v>37959</v>
          </cell>
          <cell r="F231">
            <v>492</v>
          </cell>
          <cell r="H231">
            <v>0</v>
          </cell>
          <cell r="I231" t="str">
            <v>деп</v>
          </cell>
          <cell r="J231">
            <v>38507</v>
          </cell>
        </row>
        <row r="232">
          <cell r="A232">
            <v>58340639</v>
          </cell>
          <cell r="B232" t="str">
            <v>АГЕНТСТВО РЕФПЕРЕВОЗОК</v>
          </cell>
          <cell r="C232" t="str">
            <v>ХОВРИНО      (ОКТ)</v>
          </cell>
          <cell r="D232">
            <v>30317</v>
          </cell>
          <cell r="E232">
            <v>37938</v>
          </cell>
          <cell r="F232">
            <v>557</v>
          </cell>
          <cell r="G232">
            <v>34120</v>
          </cell>
          <cell r="H232">
            <v>1097</v>
          </cell>
          <cell r="I232" t="str">
            <v>деп</v>
          </cell>
          <cell r="J232">
            <v>38485</v>
          </cell>
        </row>
        <row r="233">
          <cell r="A233">
            <v>58340654</v>
          </cell>
          <cell r="B233" t="str">
            <v>АГЕНТСТВО РЕФПЕРЕВОЗОК</v>
          </cell>
          <cell r="C233" t="str">
            <v>ХОВРИНО      (ОКТ)</v>
          </cell>
          <cell r="D233">
            <v>30317</v>
          </cell>
          <cell r="F233">
            <v>0</v>
          </cell>
          <cell r="G233">
            <v>33938</v>
          </cell>
          <cell r="H233">
            <v>1097</v>
          </cell>
          <cell r="I233" t="str">
            <v>деп</v>
          </cell>
          <cell r="J233">
            <v>35400</v>
          </cell>
        </row>
        <row r="234">
          <cell r="A234">
            <v>58340670</v>
          </cell>
          <cell r="B234" t="str">
            <v>АГЕНТСТВО РЕФПЕРЕВОЗОК</v>
          </cell>
          <cell r="C234" t="str">
            <v>ХОВРИНО      (ОКТ)</v>
          </cell>
          <cell r="D234">
            <v>30317</v>
          </cell>
          <cell r="F234">
            <v>0</v>
          </cell>
          <cell r="G234">
            <v>34165</v>
          </cell>
          <cell r="H234">
            <v>1097</v>
          </cell>
          <cell r="I234" t="str">
            <v>деп</v>
          </cell>
          <cell r="J234">
            <v>34516</v>
          </cell>
        </row>
        <row r="235">
          <cell r="A235">
            <v>58340704</v>
          </cell>
          <cell r="B235" t="str">
            <v>АГЕНТСТВО РЕФПЕРЕВОЗОК</v>
          </cell>
          <cell r="C235" t="str">
            <v>ХОВРИНО      (ОКТ)</v>
          </cell>
          <cell r="D235">
            <v>30317</v>
          </cell>
          <cell r="E235">
            <v>37772</v>
          </cell>
          <cell r="F235">
            <v>492</v>
          </cell>
          <cell r="G235">
            <v>34039</v>
          </cell>
          <cell r="H235">
            <v>1097</v>
          </cell>
          <cell r="I235" t="str">
            <v>деп</v>
          </cell>
          <cell r="J235">
            <v>38321</v>
          </cell>
        </row>
        <row r="236">
          <cell r="A236">
            <v>58340720</v>
          </cell>
          <cell r="B236" t="str">
            <v>АГЕНТСТВО РЕФПЕРЕВОЗОК</v>
          </cell>
          <cell r="C236" t="str">
            <v>ХОВРИНО      (ОКТ)</v>
          </cell>
          <cell r="D236">
            <v>30317</v>
          </cell>
          <cell r="E236">
            <v>37780</v>
          </cell>
          <cell r="F236">
            <v>492</v>
          </cell>
          <cell r="G236">
            <v>34150</v>
          </cell>
          <cell r="H236">
            <v>1097</v>
          </cell>
          <cell r="I236" t="str">
            <v>деп</v>
          </cell>
          <cell r="J236">
            <v>38329</v>
          </cell>
        </row>
        <row r="237">
          <cell r="A237">
            <v>58340738</v>
          </cell>
          <cell r="B237" t="str">
            <v>АГЕНТСТВО РЕФПЕРЕВОЗОК</v>
          </cell>
          <cell r="C237" t="str">
            <v>ХОВРИНО      (ОКТ)</v>
          </cell>
          <cell r="D237">
            <v>30317</v>
          </cell>
          <cell r="E237">
            <v>37941</v>
          </cell>
          <cell r="F237">
            <v>557</v>
          </cell>
          <cell r="G237">
            <v>33959</v>
          </cell>
          <cell r="H237">
            <v>1097</v>
          </cell>
          <cell r="I237" t="str">
            <v>деп</v>
          </cell>
          <cell r="J237">
            <v>38488</v>
          </cell>
        </row>
        <row r="238">
          <cell r="A238">
            <v>58340753</v>
          </cell>
          <cell r="B238" t="str">
            <v>АГЕНТСТВО РЕФПЕРЕВОЗОК</v>
          </cell>
          <cell r="C238" t="str">
            <v>ХОВРИНО      (ОКТ)</v>
          </cell>
          <cell r="D238">
            <v>30317</v>
          </cell>
          <cell r="E238">
            <v>37786</v>
          </cell>
          <cell r="F238">
            <v>492</v>
          </cell>
          <cell r="G238">
            <v>34101</v>
          </cell>
          <cell r="H238">
            <v>1097</v>
          </cell>
          <cell r="I238" t="str">
            <v>деп</v>
          </cell>
          <cell r="J238">
            <v>38335</v>
          </cell>
        </row>
        <row r="239">
          <cell r="A239">
            <v>58340761</v>
          </cell>
          <cell r="B239" t="str">
            <v>АГЕНТСТВО РЕФПЕРЕВОЗОК</v>
          </cell>
          <cell r="C239" t="str">
            <v>ХОВРИНО      (ОКТ)</v>
          </cell>
          <cell r="D239">
            <v>30317</v>
          </cell>
          <cell r="E239">
            <v>37770</v>
          </cell>
          <cell r="F239">
            <v>492</v>
          </cell>
          <cell r="G239">
            <v>33997</v>
          </cell>
          <cell r="H239">
            <v>1097</v>
          </cell>
          <cell r="I239" t="str">
            <v>деп</v>
          </cell>
          <cell r="J239">
            <v>38320</v>
          </cell>
        </row>
        <row r="240">
          <cell r="A240">
            <v>58340779</v>
          </cell>
          <cell r="B240" t="str">
            <v>АГЕНТСТВО РЕФПЕРЕВОЗОК</v>
          </cell>
          <cell r="C240" t="str">
            <v>ХОВРИНО      (ОКТ)</v>
          </cell>
          <cell r="D240">
            <v>30317</v>
          </cell>
          <cell r="E240">
            <v>37768</v>
          </cell>
          <cell r="F240">
            <v>492</v>
          </cell>
          <cell r="G240">
            <v>34081</v>
          </cell>
          <cell r="H240">
            <v>1097</v>
          </cell>
          <cell r="I240" t="str">
            <v>деп</v>
          </cell>
          <cell r="J240">
            <v>38318</v>
          </cell>
        </row>
        <row r="241">
          <cell r="A241">
            <v>58340845</v>
          </cell>
          <cell r="B241" t="str">
            <v>АГЕНТСТВО РЕФПЕРЕВОЗОК</v>
          </cell>
          <cell r="C241" t="str">
            <v>ХОВРИНО      (ОКТ)</v>
          </cell>
          <cell r="D241">
            <v>30317</v>
          </cell>
          <cell r="F241">
            <v>0</v>
          </cell>
          <cell r="G241">
            <v>33991</v>
          </cell>
          <cell r="H241">
            <v>1097</v>
          </cell>
          <cell r="I241" t="str">
            <v>кап</v>
          </cell>
          <cell r="J241">
            <v>31898</v>
          </cell>
        </row>
        <row r="242">
          <cell r="A242">
            <v>58340852</v>
          </cell>
          <cell r="B242" t="str">
            <v>АГЕНТСТВО РЕФПЕРЕВОЗОК</v>
          </cell>
          <cell r="C242" t="str">
            <v>ХОВРИНО      (ОКТ)</v>
          </cell>
          <cell r="D242">
            <v>30317</v>
          </cell>
          <cell r="E242">
            <v>37937</v>
          </cell>
          <cell r="F242">
            <v>557</v>
          </cell>
          <cell r="G242">
            <v>34144</v>
          </cell>
          <cell r="H242">
            <v>1097</v>
          </cell>
          <cell r="I242" t="str">
            <v>деп</v>
          </cell>
          <cell r="J242">
            <v>38484</v>
          </cell>
        </row>
        <row r="243">
          <cell r="A243">
            <v>58340886</v>
          </cell>
          <cell r="B243" t="str">
            <v>АГЕНТСТВО РЕФПЕРЕВОЗОК</v>
          </cell>
          <cell r="C243" t="str">
            <v>ХОВРИНО      (ОКТ)</v>
          </cell>
          <cell r="D243">
            <v>30682</v>
          </cell>
          <cell r="E243">
            <v>37801</v>
          </cell>
          <cell r="F243">
            <v>492</v>
          </cell>
          <cell r="G243">
            <v>34239</v>
          </cell>
          <cell r="H243">
            <v>1097</v>
          </cell>
          <cell r="I243" t="str">
            <v>деп</v>
          </cell>
          <cell r="J243">
            <v>38350</v>
          </cell>
        </row>
        <row r="244">
          <cell r="A244">
            <v>58340894</v>
          </cell>
          <cell r="B244" t="str">
            <v>АГЕНТСТВО РЕФПЕРЕВОЗОК</v>
          </cell>
          <cell r="C244" t="str">
            <v>ХОВРИНО      (ОКТ)</v>
          </cell>
          <cell r="D244">
            <v>30682</v>
          </cell>
          <cell r="E244">
            <v>37526</v>
          </cell>
          <cell r="F244">
            <v>1097</v>
          </cell>
          <cell r="G244">
            <v>34233</v>
          </cell>
          <cell r="H244">
            <v>1097</v>
          </cell>
          <cell r="I244" t="str">
            <v>деп</v>
          </cell>
          <cell r="J244">
            <v>38073</v>
          </cell>
        </row>
        <row r="245">
          <cell r="A245">
            <v>58340928</v>
          </cell>
          <cell r="B245" t="str">
            <v>АГЕНТСТВО РЕФПЕРЕВОЗОК</v>
          </cell>
          <cell r="C245" t="str">
            <v>ХОВРИНО      (ОКТ)</v>
          </cell>
          <cell r="D245">
            <v>30682</v>
          </cell>
          <cell r="E245">
            <v>37770</v>
          </cell>
          <cell r="F245">
            <v>492</v>
          </cell>
          <cell r="G245">
            <v>34208</v>
          </cell>
          <cell r="H245">
            <v>1097</v>
          </cell>
          <cell r="I245" t="str">
            <v>деп</v>
          </cell>
          <cell r="J245">
            <v>38320</v>
          </cell>
        </row>
        <row r="246">
          <cell r="A246">
            <v>58340944</v>
          </cell>
          <cell r="B246" t="str">
            <v>АГЕНТСТВО РЕФПЕРЕВОЗОК</v>
          </cell>
          <cell r="C246" t="str">
            <v>ХОВРИНО      (ОКТ)</v>
          </cell>
          <cell r="D246">
            <v>30682</v>
          </cell>
          <cell r="E246">
            <v>37937</v>
          </cell>
          <cell r="F246">
            <v>557</v>
          </cell>
          <cell r="G246">
            <v>34208</v>
          </cell>
          <cell r="H246">
            <v>1097</v>
          </cell>
          <cell r="I246" t="str">
            <v>деп</v>
          </cell>
          <cell r="J246">
            <v>38484</v>
          </cell>
        </row>
        <row r="247">
          <cell r="A247">
            <v>58340951</v>
          </cell>
          <cell r="B247" t="str">
            <v>АГЕНТСТВО РЕФПЕРЕВОЗОК</v>
          </cell>
          <cell r="C247" t="str">
            <v>ХОВРИНО      (ОКТ)</v>
          </cell>
          <cell r="D247">
            <v>30682</v>
          </cell>
          <cell r="E247">
            <v>37867</v>
          </cell>
          <cell r="F247">
            <v>492</v>
          </cell>
          <cell r="G247">
            <v>34212</v>
          </cell>
          <cell r="H247">
            <v>1097</v>
          </cell>
          <cell r="I247" t="str">
            <v>деп</v>
          </cell>
          <cell r="J247">
            <v>38414</v>
          </cell>
        </row>
        <row r="248">
          <cell r="A248">
            <v>58340977</v>
          </cell>
          <cell r="B248" t="str">
            <v>АГЕНТСТВО РЕФПЕРЕВОЗОК</v>
          </cell>
          <cell r="C248" t="str">
            <v>ХОВРИНО      (ОКТ)</v>
          </cell>
          <cell r="D248">
            <v>30682</v>
          </cell>
          <cell r="E248">
            <v>37671</v>
          </cell>
          <cell r="F248">
            <v>1097</v>
          </cell>
          <cell r="G248">
            <v>34208</v>
          </cell>
          <cell r="H248">
            <v>1097</v>
          </cell>
          <cell r="I248" t="str">
            <v>деп</v>
          </cell>
          <cell r="J248">
            <v>38218</v>
          </cell>
        </row>
        <row r="249">
          <cell r="A249">
            <v>58340985</v>
          </cell>
          <cell r="B249" t="str">
            <v>АГЕНТСТВО РЕФПЕРЕВОЗОК</v>
          </cell>
          <cell r="C249" t="str">
            <v>ХОВРИНО      (ОКТ)</v>
          </cell>
          <cell r="D249">
            <v>30682</v>
          </cell>
          <cell r="E249">
            <v>37780</v>
          </cell>
          <cell r="F249">
            <v>492</v>
          </cell>
          <cell r="G249">
            <v>34239</v>
          </cell>
          <cell r="H249">
            <v>1097</v>
          </cell>
          <cell r="I249" t="str">
            <v>деп</v>
          </cell>
          <cell r="J249">
            <v>38329</v>
          </cell>
        </row>
        <row r="250">
          <cell r="A250">
            <v>58340993</v>
          </cell>
          <cell r="B250" t="str">
            <v>АГЕНТСТВО РЕФПЕРЕВОЗОК</v>
          </cell>
          <cell r="C250" t="str">
            <v>ХОВРИНО      (ОКТ)</v>
          </cell>
          <cell r="D250">
            <v>30682</v>
          </cell>
          <cell r="E250">
            <v>37945</v>
          </cell>
          <cell r="F250">
            <v>557</v>
          </cell>
          <cell r="G250">
            <v>34212</v>
          </cell>
          <cell r="H250">
            <v>1097</v>
          </cell>
          <cell r="I250" t="str">
            <v>деп</v>
          </cell>
          <cell r="J250">
            <v>38492</v>
          </cell>
        </row>
        <row r="251">
          <cell r="A251">
            <v>58341025</v>
          </cell>
          <cell r="B251" t="str">
            <v>АГЕНТСТВО РЕФПЕРЕВОЗОК</v>
          </cell>
          <cell r="C251" t="str">
            <v>ХОВРИНО      (ОКТ)</v>
          </cell>
          <cell r="D251">
            <v>30682</v>
          </cell>
          <cell r="F251">
            <v>0</v>
          </cell>
          <cell r="G251">
            <v>37568</v>
          </cell>
          <cell r="H251">
            <v>1097</v>
          </cell>
          <cell r="I251" t="str">
            <v>деп</v>
          </cell>
          <cell r="J251">
            <v>38115</v>
          </cell>
        </row>
        <row r="252">
          <cell r="A252">
            <v>58341033</v>
          </cell>
          <cell r="B252" t="str">
            <v>АГЕНТСТВО РЕФПЕРЕВОЗОК</v>
          </cell>
          <cell r="C252" t="str">
            <v>ХОВРИНО      (ОКТ)</v>
          </cell>
          <cell r="D252">
            <v>30682</v>
          </cell>
          <cell r="E252">
            <v>37526</v>
          </cell>
          <cell r="F252">
            <v>1097</v>
          </cell>
          <cell r="G252">
            <v>34212</v>
          </cell>
          <cell r="H252">
            <v>1097</v>
          </cell>
          <cell r="I252" t="str">
            <v>деп</v>
          </cell>
          <cell r="J252">
            <v>38073</v>
          </cell>
        </row>
        <row r="253">
          <cell r="A253">
            <v>58341066</v>
          </cell>
          <cell r="B253" t="str">
            <v>АГЕНТСТВО РЕФПЕРЕВОЗОК</v>
          </cell>
          <cell r="C253" t="str">
            <v>ХОВРИНО      (ОКТ)</v>
          </cell>
          <cell r="D253">
            <v>30682</v>
          </cell>
          <cell r="E253">
            <v>37945</v>
          </cell>
          <cell r="F253">
            <v>557</v>
          </cell>
          <cell r="G253">
            <v>34044</v>
          </cell>
          <cell r="H253">
            <v>1097</v>
          </cell>
          <cell r="I253" t="str">
            <v>деп</v>
          </cell>
          <cell r="J253">
            <v>38492</v>
          </cell>
        </row>
        <row r="254">
          <cell r="A254">
            <v>58341082</v>
          </cell>
          <cell r="B254" t="str">
            <v>АГЕНТСТВО РЕФПЕРЕВОЗОК</v>
          </cell>
          <cell r="C254" t="str">
            <v>ХОВРИНО      (ОКТ)</v>
          </cell>
          <cell r="D254">
            <v>30682</v>
          </cell>
          <cell r="E254">
            <v>37796</v>
          </cell>
          <cell r="F254">
            <v>492</v>
          </cell>
          <cell r="G254">
            <v>34212</v>
          </cell>
          <cell r="H254">
            <v>1097</v>
          </cell>
          <cell r="I254" t="str">
            <v>деп</v>
          </cell>
          <cell r="J254">
            <v>38345</v>
          </cell>
        </row>
        <row r="255">
          <cell r="A255">
            <v>58341090</v>
          </cell>
          <cell r="B255" t="str">
            <v>АГЕНТСТВО РЕФПЕРЕВОЗОК</v>
          </cell>
          <cell r="C255" t="str">
            <v>ХОВРИНО      (ОКТ)</v>
          </cell>
          <cell r="D255">
            <v>30682</v>
          </cell>
          <cell r="E255">
            <v>37770</v>
          </cell>
          <cell r="F255">
            <v>492</v>
          </cell>
          <cell r="G255">
            <v>34198</v>
          </cell>
          <cell r="H255">
            <v>1097</v>
          </cell>
          <cell r="I255" t="str">
            <v>деп</v>
          </cell>
          <cell r="J255">
            <v>38320</v>
          </cell>
        </row>
        <row r="256">
          <cell r="A256">
            <v>58341116</v>
          </cell>
          <cell r="B256" t="str">
            <v>АГЕНТСТВО РЕФПЕРЕВОЗОК</v>
          </cell>
          <cell r="C256" t="str">
            <v>ХОВРИНО      (ОКТ)</v>
          </cell>
          <cell r="D256">
            <v>30682</v>
          </cell>
          <cell r="E256">
            <v>37802</v>
          </cell>
          <cell r="F256">
            <v>492</v>
          </cell>
          <cell r="G256">
            <v>34273</v>
          </cell>
          <cell r="H256">
            <v>1097</v>
          </cell>
          <cell r="I256" t="str">
            <v>деп</v>
          </cell>
          <cell r="J256">
            <v>38351</v>
          </cell>
        </row>
        <row r="257">
          <cell r="A257">
            <v>58341124</v>
          </cell>
          <cell r="B257" t="str">
            <v>АГЕНТСТВО РЕФПЕРЕВОЗОК</v>
          </cell>
          <cell r="C257" t="str">
            <v>ХОВРИНО      (ОКТ)</v>
          </cell>
          <cell r="D257">
            <v>30682</v>
          </cell>
          <cell r="E257">
            <v>37772</v>
          </cell>
          <cell r="F257">
            <v>492</v>
          </cell>
          <cell r="G257">
            <v>34150</v>
          </cell>
          <cell r="H257">
            <v>1097</v>
          </cell>
          <cell r="I257" t="str">
            <v>деп</v>
          </cell>
          <cell r="J257">
            <v>38321</v>
          </cell>
        </row>
        <row r="258">
          <cell r="A258">
            <v>58341132</v>
          </cell>
          <cell r="B258" t="str">
            <v>АГЕНТСТВО РЕФПЕРЕВОЗОК</v>
          </cell>
          <cell r="C258" t="str">
            <v>ХОВРИНО      (ОКТ)</v>
          </cell>
          <cell r="D258">
            <v>30682</v>
          </cell>
          <cell r="E258">
            <v>37770</v>
          </cell>
          <cell r="F258">
            <v>492</v>
          </cell>
          <cell r="G258">
            <v>34212</v>
          </cell>
          <cell r="H258">
            <v>1097</v>
          </cell>
          <cell r="I258" t="str">
            <v>деп</v>
          </cell>
          <cell r="J258">
            <v>38320</v>
          </cell>
        </row>
        <row r="259">
          <cell r="A259">
            <v>58341165</v>
          </cell>
          <cell r="B259" t="str">
            <v>АГЕНТСТВО РЕФПЕРЕВОЗОК</v>
          </cell>
          <cell r="C259" t="str">
            <v>ХОВРИНО      (ОКТ)</v>
          </cell>
          <cell r="D259">
            <v>30682</v>
          </cell>
          <cell r="E259">
            <v>37968</v>
          </cell>
          <cell r="F259">
            <v>492</v>
          </cell>
          <cell r="G259">
            <v>34212</v>
          </cell>
          <cell r="H259">
            <v>1097</v>
          </cell>
          <cell r="I259" t="str">
            <v>деп</v>
          </cell>
          <cell r="J259">
            <v>38516</v>
          </cell>
        </row>
        <row r="260">
          <cell r="A260">
            <v>58341173</v>
          </cell>
          <cell r="B260" t="str">
            <v>АГЕНТСТВО РЕФПЕРЕВОЗОК</v>
          </cell>
          <cell r="C260" t="str">
            <v>ХОВРИНО      (ОКТ)</v>
          </cell>
          <cell r="D260">
            <v>30682</v>
          </cell>
          <cell r="E260">
            <v>37785</v>
          </cell>
          <cell r="F260">
            <v>492</v>
          </cell>
          <cell r="G260">
            <v>34150</v>
          </cell>
          <cell r="H260">
            <v>1097</v>
          </cell>
          <cell r="I260" t="str">
            <v>деп</v>
          </cell>
          <cell r="J260">
            <v>38334</v>
          </cell>
        </row>
        <row r="261">
          <cell r="A261">
            <v>58341181</v>
          </cell>
          <cell r="B261" t="str">
            <v>АГЕНТСТВО РЕФПЕРЕВОЗОК</v>
          </cell>
          <cell r="C261" t="str">
            <v>ХОВРИНО      (ОКТ)</v>
          </cell>
          <cell r="D261">
            <v>30682</v>
          </cell>
          <cell r="E261">
            <v>37770</v>
          </cell>
          <cell r="F261">
            <v>492</v>
          </cell>
          <cell r="G261">
            <v>34239</v>
          </cell>
          <cell r="H261">
            <v>1097</v>
          </cell>
          <cell r="I261" t="str">
            <v>деп</v>
          </cell>
          <cell r="J261">
            <v>38320</v>
          </cell>
        </row>
        <row r="262">
          <cell r="A262">
            <v>58341199</v>
          </cell>
          <cell r="B262" t="str">
            <v>АГЕНТСТВО РЕФПЕРЕВОЗОК</v>
          </cell>
          <cell r="C262" t="str">
            <v>ХОВРИНО      (ОКТ)</v>
          </cell>
          <cell r="D262">
            <v>30682</v>
          </cell>
          <cell r="E262">
            <v>37770</v>
          </cell>
          <cell r="F262">
            <v>492</v>
          </cell>
          <cell r="G262">
            <v>34212</v>
          </cell>
          <cell r="H262">
            <v>1097</v>
          </cell>
          <cell r="I262" t="str">
            <v>деп</v>
          </cell>
          <cell r="J262">
            <v>38320</v>
          </cell>
        </row>
        <row r="263">
          <cell r="A263">
            <v>58341207</v>
          </cell>
          <cell r="B263" t="str">
            <v>АГЕНТСТВО РЕФПЕРЕВОЗОК</v>
          </cell>
          <cell r="C263" t="str">
            <v>ХОВРИНО      (ОКТ)</v>
          </cell>
          <cell r="D263">
            <v>31048</v>
          </cell>
          <cell r="F263">
            <v>0</v>
          </cell>
          <cell r="G263">
            <v>37560</v>
          </cell>
          <cell r="H263">
            <v>1097</v>
          </cell>
          <cell r="I263" t="str">
            <v>деп</v>
          </cell>
          <cell r="J263">
            <v>38107</v>
          </cell>
        </row>
        <row r="264">
          <cell r="A264">
            <v>58341215</v>
          </cell>
          <cell r="B264" t="str">
            <v>АГЕНТСТВО РЕФПЕРЕВОЗОК</v>
          </cell>
          <cell r="C264" t="str">
            <v>ХОВРИНО      (ОКТ)</v>
          </cell>
          <cell r="D264">
            <v>31048</v>
          </cell>
          <cell r="F264">
            <v>0</v>
          </cell>
          <cell r="G264">
            <v>37546</v>
          </cell>
          <cell r="H264">
            <v>1097</v>
          </cell>
          <cell r="I264" t="str">
            <v>деп</v>
          </cell>
          <cell r="J264">
            <v>38094</v>
          </cell>
        </row>
        <row r="265">
          <cell r="A265">
            <v>58341223</v>
          </cell>
          <cell r="B265" t="str">
            <v>АГЕНТСТВО РЕФПЕРЕВОЗОК</v>
          </cell>
          <cell r="C265" t="str">
            <v>ХОВРИНО      (ОКТ)</v>
          </cell>
          <cell r="D265">
            <v>31048</v>
          </cell>
          <cell r="F265">
            <v>0</v>
          </cell>
          <cell r="G265">
            <v>37582</v>
          </cell>
          <cell r="H265">
            <v>1097</v>
          </cell>
          <cell r="I265" t="str">
            <v>деп</v>
          </cell>
          <cell r="J265">
            <v>38129</v>
          </cell>
        </row>
        <row r="266">
          <cell r="A266">
            <v>58341231</v>
          </cell>
          <cell r="B266" t="str">
            <v>АГЕНТСТВО РЕФПЕРЕВОЗОК</v>
          </cell>
          <cell r="C266" t="str">
            <v>ХОВРИНО      (ОКТ)</v>
          </cell>
          <cell r="D266">
            <v>31048</v>
          </cell>
          <cell r="F266">
            <v>0</v>
          </cell>
          <cell r="G266">
            <v>37575</v>
          </cell>
          <cell r="H266">
            <v>1097</v>
          </cell>
          <cell r="I266" t="str">
            <v>деп</v>
          </cell>
          <cell r="J266">
            <v>38122</v>
          </cell>
        </row>
        <row r="267">
          <cell r="A267">
            <v>58341249</v>
          </cell>
          <cell r="B267" t="str">
            <v>АГЕНТСТВО РЕФПЕРЕВОЗОК</v>
          </cell>
          <cell r="C267" t="str">
            <v>ХОВРИНО      (ОКТ)</v>
          </cell>
          <cell r="D267">
            <v>31048</v>
          </cell>
          <cell r="F267">
            <v>0</v>
          </cell>
          <cell r="G267">
            <v>37582</v>
          </cell>
          <cell r="H267">
            <v>1097</v>
          </cell>
          <cell r="I267" t="str">
            <v>деп</v>
          </cell>
          <cell r="J267">
            <v>38129</v>
          </cell>
        </row>
        <row r="268">
          <cell r="A268">
            <v>58341256</v>
          </cell>
          <cell r="B268" t="str">
            <v>АГЕНТСТВО РЕФПЕРЕВОЗОК</v>
          </cell>
          <cell r="C268" t="str">
            <v>ХОВРИНО      (ОКТ)</v>
          </cell>
          <cell r="D268">
            <v>31048</v>
          </cell>
          <cell r="F268">
            <v>0</v>
          </cell>
          <cell r="G268">
            <v>37566</v>
          </cell>
          <cell r="H268">
            <v>1097</v>
          </cell>
          <cell r="I268" t="str">
            <v>деп</v>
          </cell>
          <cell r="J268">
            <v>38113</v>
          </cell>
        </row>
        <row r="269">
          <cell r="A269">
            <v>58341264</v>
          </cell>
          <cell r="B269" t="str">
            <v>АГЕНТСТВО РЕФПЕРЕВОЗОК</v>
          </cell>
          <cell r="C269" t="str">
            <v>ХОВРИНО      (ОКТ)</v>
          </cell>
          <cell r="D269">
            <v>31048</v>
          </cell>
          <cell r="F269">
            <v>0</v>
          </cell>
          <cell r="G269">
            <v>37533</v>
          </cell>
          <cell r="H269">
            <v>1097</v>
          </cell>
          <cell r="I269" t="str">
            <v>деп</v>
          </cell>
          <cell r="J269">
            <v>38081</v>
          </cell>
        </row>
        <row r="270">
          <cell r="A270">
            <v>58341272</v>
          </cell>
          <cell r="B270" t="str">
            <v>АГЕНТСТВО РЕФПЕРЕВОЗОК</v>
          </cell>
          <cell r="C270" t="str">
            <v>ХОВРИНО      (ОКТ)</v>
          </cell>
          <cell r="D270">
            <v>31048</v>
          </cell>
          <cell r="F270">
            <v>0</v>
          </cell>
          <cell r="G270">
            <v>37546</v>
          </cell>
          <cell r="H270">
            <v>1097</v>
          </cell>
          <cell r="I270" t="str">
            <v>деп</v>
          </cell>
          <cell r="J270">
            <v>38094</v>
          </cell>
        </row>
        <row r="271">
          <cell r="A271">
            <v>58341280</v>
          </cell>
          <cell r="B271" t="str">
            <v>АГЕНТСТВО РЕФПЕРЕВОЗОК</v>
          </cell>
          <cell r="C271" t="str">
            <v>ХОВРИНО      (ОКТ)</v>
          </cell>
          <cell r="D271">
            <v>31048</v>
          </cell>
          <cell r="F271">
            <v>0</v>
          </cell>
          <cell r="G271">
            <v>37578</v>
          </cell>
          <cell r="H271">
            <v>1097</v>
          </cell>
          <cell r="I271" t="str">
            <v>деп</v>
          </cell>
          <cell r="J271">
            <v>38125</v>
          </cell>
        </row>
        <row r="272">
          <cell r="A272">
            <v>58341298</v>
          </cell>
          <cell r="B272" t="str">
            <v>АГЕНТСТВО РЕФПЕРЕВОЗОК</v>
          </cell>
          <cell r="C272" t="str">
            <v>ХОВРИНО      (ОКТ)</v>
          </cell>
          <cell r="D272">
            <v>31048</v>
          </cell>
          <cell r="F272">
            <v>0</v>
          </cell>
          <cell r="G272">
            <v>37554</v>
          </cell>
          <cell r="H272">
            <v>1097</v>
          </cell>
          <cell r="I272" t="str">
            <v>деп</v>
          </cell>
          <cell r="J272">
            <v>38102</v>
          </cell>
        </row>
        <row r="273">
          <cell r="A273">
            <v>58341306</v>
          </cell>
          <cell r="B273" t="str">
            <v>АГЕНТСТВО РЕФПЕРЕВОЗОК</v>
          </cell>
          <cell r="C273" t="str">
            <v>ХОВРИНО      (ОКТ)</v>
          </cell>
          <cell r="D273">
            <v>31048</v>
          </cell>
          <cell r="F273">
            <v>0</v>
          </cell>
          <cell r="G273">
            <v>37582</v>
          </cell>
          <cell r="H273">
            <v>1097</v>
          </cell>
          <cell r="I273" t="str">
            <v>деп</v>
          </cell>
          <cell r="J273">
            <v>38129</v>
          </cell>
        </row>
        <row r="274">
          <cell r="A274">
            <v>58341314</v>
          </cell>
          <cell r="B274" t="str">
            <v>АГЕНТСТВО РЕФПЕРЕВОЗОК</v>
          </cell>
          <cell r="C274" t="str">
            <v>ХОВРИНО      (ОКТ)</v>
          </cell>
          <cell r="D274">
            <v>31048</v>
          </cell>
          <cell r="F274">
            <v>0</v>
          </cell>
          <cell r="G274">
            <v>37537</v>
          </cell>
          <cell r="H274">
            <v>1097</v>
          </cell>
          <cell r="I274" t="str">
            <v>деп</v>
          </cell>
          <cell r="J274">
            <v>38085</v>
          </cell>
        </row>
        <row r="275">
          <cell r="A275">
            <v>58341322</v>
          </cell>
          <cell r="B275" t="str">
            <v>АГЕНТСТВО РЕФПЕРЕВОЗОК</v>
          </cell>
          <cell r="C275" t="str">
            <v>ХОВРИНО      (ОКТ)</v>
          </cell>
          <cell r="D275">
            <v>31048</v>
          </cell>
          <cell r="F275">
            <v>0</v>
          </cell>
          <cell r="G275">
            <v>37554</v>
          </cell>
          <cell r="H275">
            <v>1097</v>
          </cell>
          <cell r="I275" t="str">
            <v>деп</v>
          </cell>
          <cell r="J275">
            <v>38102</v>
          </cell>
        </row>
        <row r="276">
          <cell r="A276">
            <v>58341330</v>
          </cell>
          <cell r="B276" t="str">
            <v>АГЕНТСТВО РЕФПЕРЕВОЗОК</v>
          </cell>
          <cell r="C276" t="str">
            <v>ХОВРИНО      (ОКТ)</v>
          </cell>
          <cell r="D276">
            <v>31048</v>
          </cell>
          <cell r="F276">
            <v>0</v>
          </cell>
          <cell r="G276">
            <v>37537</v>
          </cell>
          <cell r="H276">
            <v>1097</v>
          </cell>
          <cell r="I276" t="str">
            <v>деп</v>
          </cell>
          <cell r="J276">
            <v>38085</v>
          </cell>
        </row>
        <row r="277">
          <cell r="A277">
            <v>58341348</v>
          </cell>
          <cell r="B277" t="str">
            <v>АГЕНТСТВО РЕФПЕРЕВОЗОК</v>
          </cell>
          <cell r="C277" t="str">
            <v>ХОВРИНО      (ОКТ)</v>
          </cell>
          <cell r="D277">
            <v>31048</v>
          </cell>
          <cell r="F277">
            <v>0</v>
          </cell>
          <cell r="G277">
            <v>37533</v>
          </cell>
          <cell r="H277">
            <v>1097</v>
          </cell>
          <cell r="I277" t="str">
            <v>деп</v>
          </cell>
          <cell r="J277">
            <v>38081</v>
          </cell>
        </row>
        <row r="278">
          <cell r="A278">
            <v>58341355</v>
          </cell>
          <cell r="B278" t="str">
            <v>АГЕНТСТВО РЕФПЕРЕВОЗОК</v>
          </cell>
          <cell r="C278" t="str">
            <v>ХОВРИНО      (ОКТ)</v>
          </cell>
          <cell r="D278">
            <v>31048</v>
          </cell>
          <cell r="F278">
            <v>0</v>
          </cell>
          <cell r="G278">
            <v>37568</v>
          </cell>
          <cell r="H278">
            <v>1097</v>
          </cell>
          <cell r="I278" t="str">
            <v>деп</v>
          </cell>
          <cell r="J278">
            <v>38115</v>
          </cell>
        </row>
        <row r="279">
          <cell r="A279">
            <v>58341363</v>
          </cell>
          <cell r="B279" t="str">
            <v>АГЕНТСТВО РЕФПЕРЕВОЗОК</v>
          </cell>
          <cell r="C279" t="str">
            <v>ХОВРИНО      (ОКТ)</v>
          </cell>
          <cell r="D279">
            <v>31048</v>
          </cell>
          <cell r="F279">
            <v>0</v>
          </cell>
          <cell r="G279">
            <v>37554</v>
          </cell>
          <cell r="H279">
            <v>1097</v>
          </cell>
          <cell r="I279" t="str">
            <v>деп</v>
          </cell>
          <cell r="J279">
            <v>38102</v>
          </cell>
        </row>
        <row r="280">
          <cell r="A280">
            <v>58341371</v>
          </cell>
          <cell r="B280" t="str">
            <v>АГЕНТСТВО РЕФПЕРЕВОЗОК</v>
          </cell>
          <cell r="C280" t="str">
            <v>ХОВРИНО      (ОКТ)</v>
          </cell>
          <cell r="D280">
            <v>31048</v>
          </cell>
          <cell r="F280">
            <v>0</v>
          </cell>
          <cell r="G280">
            <v>37582</v>
          </cell>
          <cell r="H280">
            <v>1097</v>
          </cell>
          <cell r="I280" t="str">
            <v>деп</v>
          </cell>
          <cell r="J280">
            <v>38129</v>
          </cell>
        </row>
        <row r="281">
          <cell r="A281">
            <v>58341389</v>
          </cell>
          <cell r="B281" t="str">
            <v>АГЕНТСТВО РЕФПЕРЕВОЗОК</v>
          </cell>
          <cell r="C281" t="str">
            <v>ХОВРИНО      (ОКТ)</v>
          </cell>
          <cell r="D281">
            <v>31048</v>
          </cell>
          <cell r="F281">
            <v>0</v>
          </cell>
          <cell r="G281">
            <v>37560</v>
          </cell>
          <cell r="H281">
            <v>1097</v>
          </cell>
          <cell r="I281" t="str">
            <v>деп</v>
          </cell>
          <cell r="J281">
            <v>38107</v>
          </cell>
        </row>
        <row r="282">
          <cell r="A282">
            <v>58341397</v>
          </cell>
          <cell r="B282" t="str">
            <v>АГЕНТСТВО РЕФПЕРЕВОЗОК</v>
          </cell>
          <cell r="C282" t="str">
            <v>ХОВРИНО      (ОКТ)</v>
          </cell>
          <cell r="D282">
            <v>31048</v>
          </cell>
          <cell r="F282">
            <v>0</v>
          </cell>
          <cell r="G282">
            <v>37546</v>
          </cell>
          <cell r="H282">
            <v>1097</v>
          </cell>
          <cell r="I282" t="str">
            <v>деп</v>
          </cell>
          <cell r="J282">
            <v>38094</v>
          </cell>
        </row>
        <row r="283">
          <cell r="A283">
            <v>58341405</v>
          </cell>
          <cell r="B283" t="str">
            <v>АГЕНТСТВО РЕФПЕРЕВОЗОК</v>
          </cell>
          <cell r="C283" t="str">
            <v>ХОВРИНО      (ОКТ)</v>
          </cell>
          <cell r="D283">
            <v>31048</v>
          </cell>
          <cell r="F283">
            <v>0</v>
          </cell>
          <cell r="G283">
            <v>37559</v>
          </cell>
          <cell r="H283">
            <v>1097</v>
          </cell>
          <cell r="I283" t="str">
            <v>деп</v>
          </cell>
          <cell r="J283">
            <v>38107</v>
          </cell>
        </row>
        <row r="284">
          <cell r="A284">
            <v>58341413</v>
          </cell>
          <cell r="B284" t="str">
            <v>АГЕНТСТВО РЕФПЕРЕВОЗОК</v>
          </cell>
          <cell r="C284" t="str">
            <v>ХОВРИНО      (ОКТ)</v>
          </cell>
          <cell r="D284">
            <v>31048</v>
          </cell>
          <cell r="F284">
            <v>0</v>
          </cell>
          <cell r="G284">
            <v>37566</v>
          </cell>
          <cell r="H284">
            <v>1097</v>
          </cell>
          <cell r="I284" t="str">
            <v>деп</v>
          </cell>
          <cell r="J284">
            <v>38113</v>
          </cell>
        </row>
        <row r="285">
          <cell r="A285">
            <v>58341421</v>
          </cell>
          <cell r="B285" t="str">
            <v>АГЕНТСТВО РЕФПЕРЕВОЗОК</v>
          </cell>
          <cell r="C285" t="str">
            <v>ХОВРИНО      (ОКТ)</v>
          </cell>
          <cell r="D285">
            <v>31048</v>
          </cell>
          <cell r="F285">
            <v>0</v>
          </cell>
          <cell r="G285">
            <v>37546</v>
          </cell>
          <cell r="H285">
            <v>1097</v>
          </cell>
          <cell r="I285" t="str">
            <v>деп</v>
          </cell>
          <cell r="J285">
            <v>38094</v>
          </cell>
        </row>
        <row r="286">
          <cell r="A286">
            <v>58341439</v>
          </cell>
          <cell r="B286" t="str">
            <v>АГЕНТСТВО РЕФПЕРЕВОЗОК</v>
          </cell>
          <cell r="C286" t="str">
            <v>ХОВРИНО      (ОКТ)</v>
          </cell>
          <cell r="D286">
            <v>31048</v>
          </cell>
          <cell r="F286">
            <v>0</v>
          </cell>
          <cell r="G286">
            <v>37533</v>
          </cell>
          <cell r="H286">
            <v>1097</v>
          </cell>
          <cell r="I286" t="str">
            <v>деп</v>
          </cell>
          <cell r="J286">
            <v>38081</v>
          </cell>
        </row>
        <row r="287">
          <cell r="A287">
            <v>58341447</v>
          </cell>
          <cell r="B287" t="str">
            <v>АГЕНТСТВО РЕФПЕРЕВОЗОК</v>
          </cell>
          <cell r="C287" t="str">
            <v>ХОВРИНО      (ОКТ)</v>
          </cell>
          <cell r="D287">
            <v>31048</v>
          </cell>
          <cell r="F287">
            <v>0</v>
          </cell>
          <cell r="G287">
            <v>37582</v>
          </cell>
          <cell r="H287">
            <v>1097</v>
          </cell>
          <cell r="I287" t="str">
            <v>деп</v>
          </cell>
          <cell r="J287">
            <v>38129</v>
          </cell>
        </row>
        <row r="288">
          <cell r="A288">
            <v>58341454</v>
          </cell>
          <cell r="B288" t="str">
            <v>АГЕНТСТВО РЕФПЕРЕВОЗОК</v>
          </cell>
          <cell r="C288" t="str">
            <v>ХОВРИНО      (ОКТ)</v>
          </cell>
          <cell r="D288">
            <v>31048</v>
          </cell>
          <cell r="F288">
            <v>0</v>
          </cell>
          <cell r="G288">
            <v>37559</v>
          </cell>
          <cell r="H288">
            <v>1097</v>
          </cell>
          <cell r="I288" t="str">
            <v>деп</v>
          </cell>
          <cell r="J288">
            <v>38107</v>
          </cell>
        </row>
        <row r="289">
          <cell r="A289">
            <v>58341462</v>
          </cell>
          <cell r="B289" t="str">
            <v>АГЕНТСТВО РЕФПЕРЕВОЗОК</v>
          </cell>
          <cell r="C289" t="str">
            <v>ХОВРИНО      (ОКТ)</v>
          </cell>
          <cell r="D289">
            <v>31048</v>
          </cell>
          <cell r="F289">
            <v>0</v>
          </cell>
          <cell r="G289">
            <v>37566</v>
          </cell>
          <cell r="H289">
            <v>1097</v>
          </cell>
          <cell r="I289" t="str">
            <v>деп</v>
          </cell>
          <cell r="J289">
            <v>38113</v>
          </cell>
        </row>
        <row r="290">
          <cell r="A290">
            <v>58341470</v>
          </cell>
          <cell r="B290" t="str">
            <v>АГЕНТСТВО РЕФПЕРЕВОЗОК</v>
          </cell>
          <cell r="C290" t="str">
            <v>ХОВРИНО      (ОКТ)</v>
          </cell>
          <cell r="D290">
            <v>31048</v>
          </cell>
          <cell r="F290">
            <v>0</v>
          </cell>
          <cell r="G290">
            <v>37559</v>
          </cell>
          <cell r="H290">
            <v>1097</v>
          </cell>
          <cell r="I290" t="str">
            <v>деп</v>
          </cell>
          <cell r="J290">
            <v>38107</v>
          </cell>
        </row>
        <row r="291">
          <cell r="A291">
            <v>58341488</v>
          </cell>
          <cell r="B291" t="str">
            <v>АГЕНТСТВО РЕФПЕРЕВОЗОК</v>
          </cell>
          <cell r="C291" t="str">
            <v>ХОВРИНО      (ОКТ)</v>
          </cell>
          <cell r="D291">
            <v>31048</v>
          </cell>
          <cell r="F291">
            <v>0</v>
          </cell>
          <cell r="G291">
            <v>37568</v>
          </cell>
          <cell r="H291">
            <v>1097</v>
          </cell>
          <cell r="I291" t="str">
            <v>деп</v>
          </cell>
          <cell r="J291">
            <v>38115</v>
          </cell>
        </row>
        <row r="292">
          <cell r="A292">
            <v>58341496</v>
          </cell>
          <cell r="B292" t="str">
            <v>АГЕНТСТВО РЕФПЕРЕВОЗОК</v>
          </cell>
          <cell r="C292" t="str">
            <v>ХОВРИНО      (ОКТ)</v>
          </cell>
          <cell r="D292">
            <v>31048</v>
          </cell>
          <cell r="F292">
            <v>0</v>
          </cell>
          <cell r="G292">
            <v>37573</v>
          </cell>
          <cell r="H292">
            <v>1097</v>
          </cell>
          <cell r="I292" t="str">
            <v>деп</v>
          </cell>
          <cell r="J292">
            <v>38120</v>
          </cell>
        </row>
        <row r="293">
          <cell r="A293">
            <v>58341504</v>
          </cell>
          <cell r="B293" t="str">
            <v>АГЕНТСТВО РЕФПЕРЕВОЗОК</v>
          </cell>
          <cell r="C293" t="str">
            <v>ХОВРИНО      (ОКТ)</v>
          </cell>
          <cell r="D293">
            <v>31048</v>
          </cell>
          <cell r="F293">
            <v>0</v>
          </cell>
          <cell r="G293">
            <v>37582</v>
          </cell>
          <cell r="H293">
            <v>1097</v>
          </cell>
          <cell r="I293" t="str">
            <v>деп</v>
          </cell>
          <cell r="J293">
            <v>38129</v>
          </cell>
        </row>
        <row r="294">
          <cell r="A294">
            <v>58341512</v>
          </cell>
          <cell r="B294" t="str">
            <v>АГЕНТСТВО РЕФПЕРЕВОЗОК</v>
          </cell>
          <cell r="C294" t="str">
            <v>ХОВРИНО      (ОКТ)</v>
          </cell>
          <cell r="D294">
            <v>31048</v>
          </cell>
          <cell r="F294">
            <v>0</v>
          </cell>
          <cell r="G294">
            <v>37546</v>
          </cell>
          <cell r="H294">
            <v>1097</v>
          </cell>
          <cell r="I294" t="str">
            <v>деп</v>
          </cell>
          <cell r="J294">
            <v>38094</v>
          </cell>
        </row>
        <row r="295">
          <cell r="A295">
            <v>58341520</v>
          </cell>
          <cell r="B295" t="str">
            <v>АГЕНТСТВО РЕФПЕРЕВОЗОК</v>
          </cell>
          <cell r="C295" t="str">
            <v>ХОВРИНО      (ОКТ)</v>
          </cell>
          <cell r="D295">
            <v>31048</v>
          </cell>
          <cell r="F295">
            <v>0</v>
          </cell>
          <cell r="G295">
            <v>37573</v>
          </cell>
          <cell r="H295">
            <v>1097</v>
          </cell>
          <cell r="I295" t="str">
            <v>деп</v>
          </cell>
          <cell r="J295">
            <v>38120</v>
          </cell>
        </row>
        <row r="296">
          <cell r="A296">
            <v>58341538</v>
          </cell>
          <cell r="B296" t="str">
            <v>АГЕНТСТВО РЕФПЕРЕВОЗОК</v>
          </cell>
          <cell r="C296" t="str">
            <v>ХОВРИНО      (ОКТ)</v>
          </cell>
          <cell r="D296">
            <v>31048</v>
          </cell>
          <cell r="F296">
            <v>0</v>
          </cell>
          <cell r="G296">
            <v>37537</v>
          </cell>
          <cell r="H296">
            <v>1097</v>
          </cell>
          <cell r="I296" t="str">
            <v>деп</v>
          </cell>
          <cell r="J296">
            <v>38085</v>
          </cell>
        </row>
        <row r="297">
          <cell r="A297">
            <v>58341546</v>
          </cell>
          <cell r="B297" t="str">
            <v>АГЕНТСТВО РЕФПЕРЕВОЗОК</v>
          </cell>
          <cell r="C297" t="str">
            <v>ХОВРИНО      (ОКТ)</v>
          </cell>
          <cell r="D297">
            <v>31048</v>
          </cell>
          <cell r="F297">
            <v>0</v>
          </cell>
          <cell r="G297">
            <v>37568</v>
          </cell>
          <cell r="H297">
            <v>1097</v>
          </cell>
          <cell r="I297" t="str">
            <v>деп</v>
          </cell>
          <cell r="J297">
            <v>38115</v>
          </cell>
        </row>
        <row r="298">
          <cell r="A298">
            <v>58341553</v>
          </cell>
          <cell r="B298" t="str">
            <v>АГЕНТСТВО РЕФПЕРЕВОЗОК</v>
          </cell>
          <cell r="C298" t="str">
            <v>ХОВРИНО      (ОКТ)</v>
          </cell>
          <cell r="D298">
            <v>31048</v>
          </cell>
          <cell r="F298">
            <v>0</v>
          </cell>
          <cell r="G298">
            <v>37553</v>
          </cell>
          <cell r="H298">
            <v>1097</v>
          </cell>
          <cell r="I298" t="str">
            <v>деп</v>
          </cell>
          <cell r="J298">
            <v>38101</v>
          </cell>
        </row>
        <row r="299">
          <cell r="A299">
            <v>58341561</v>
          </cell>
          <cell r="B299" t="str">
            <v>АГЕНТСТВО РЕФПЕРЕВОЗОК</v>
          </cell>
          <cell r="C299" t="str">
            <v>ХОВРИНО      (ОКТ)</v>
          </cell>
          <cell r="D299">
            <v>31048</v>
          </cell>
          <cell r="F299">
            <v>0</v>
          </cell>
          <cell r="G299">
            <v>37554</v>
          </cell>
          <cell r="H299">
            <v>1097</v>
          </cell>
          <cell r="I299" t="str">
            <v>деп</v>
          </cell>
          <cell r="J299">
            <v>38102</v>
          </cell>
        </row>
        <row r="300">
          <cell r="A300">
            <v>58341579</v>
          </cell>
          <cell r="B300" t="str">
            <v>АГЕНТСТВО РЕФПЕРЕВОЗОК</v>
          </cell>
          <cell r="C300" t="str">
            <v>ХОВРИНО      (ОКТ)</v>
          </cell>
          <cell r="D300">
            <v>31048</v>
          </cell>
          <cell r="F300">
            <v>0</v>
          </cell>
          <cell r="G300">
            <v>37582</v>
          </cell>
          <cell r="H300">
            <v>1097</v>
          </cell>
          <cell r="I300" t="str">
            <v>деп</v>
          </cell>
          <cell r="J300">
            <v>38129</v>
          </cell>
        </row>
        <row r="301">
          <cell r="A301">
            <v>58341587</v>
          </cell>
          <cell r="B301" t="str">
            <v>АГЕНТСТВО РЕФПЕРЕВОЗОК</v>
          </cell>
          <cell r="C301" t="str">
            <v>ХОВРИНО      (ОКТ)</v>
          </cell>
          <cell r="D301">
            <v>31048</v>
          </cell>
          <cell r="F301">
            <v>0</v>
          </cell>
          <cell r="G301">
            <v>37582</v>
          </cell>
          <cell r="H301">
            <v>1097</v>
          </cell>
          <cell r="I301" t="str">
            <v>деп</v>
          </cell>
          <cell r="J301">
            <v>38129</v>
          </cell>
        </row>
        <row r="302">
          <cell r="A302">
            <v>58341595</v>
          </cell>
          <cell r="B302" t="str">
            <v>АГЕНТСТВО РЕФПЕРЕВОЗОК</v>
          </cell>
          <cell r="C302" t="str">
            <v>ХОВРИНО      (ОКТ)</v>
          </cell>
          <cell r="D302">
            <v>31048</v>
          </cell>
          <cell r="F302">
            <v>0</v>
          </cell>
          <cell r="G302">
            <v>37566</v>
          </cell>
          <cell r="H302">
            <v>1097</v>
          </cell>
          <cell r="I302" t="str">
            <v>деп</v>
          </cell>
          <cell r="J302">
            <v>38113</v>
          </cell>
        </row>
        <row r="303">
          <cell r="A303">
            <v>58341603</v>
          </cell>
          <cell r="B303" t="str">
            <v>АГЕНТСТВО РЕФПЕРЕВОЗОК</v>
          </cell>
          <cell r="C303" t="str">
            <v>ХОВРИНО      (ОКТ)</v>
          </cell>
          <cell r="D303">
            <v>31048</v>
          </cell>
          <cell r="F303">
            <v>0</v>
          </cell>
          <cell r="G303">
            <v>37573</v>
          </cell>
          <cell r="H303">
            <v>1097</v>
          </cell>
          <cell r="I303" t="str">
            <v>деп</v>
          </cell>
          <cell r="J303">
            <v>38120</v>
          </cell>
        </row>
        <row r="304">
          <cell r="A304">
            <v>58341611</v>
          </cell>
          <cell r="B304" t="str">
            <v>АГЕНТСТВО РЕФПЕРЕВОЗОК</v>
          </cell>
          <cell r="C304" t="str">
            <v>ХОВРИНО      (ОКТ)</v>
          </cell>
          <cell r="D304">
            <v>31048</v>
          </cell>
          <cell r="F304">
            <v>0</v>
          </cell>
          <cell r="G304">
            <v>37582</v>
          </cell>
          <cell r="H304">
            <v>1097</v>
          </cell>
          <cell r="I304" t="str">
            <v>деп</v>
          </cell>
          <cell r="J304">
            <v>38129</v>
          </cell>
        </row>
        <row r="305">
          <cell r="A305">
            <v>58341629</v>
          </cell>
          <cell r="B305" t="str">
            <v>АГЕНТСТВО РЕФПЕРЕВОЗОК</v>
          </cell>
          <cell r="C305" t="str">
            <v>ХОВРИНО      (ОКТ)</v>
          </cell>
          <cell r="D305">
            <v>31413</v>
          </cell>
          <cell r="F305">
            <v>0</v>
          </cell>
          <cell r="G305">
            <v>37582</v>
          </cell>
          <cell r="H305">
            <v>1097</v>
          </cell>
          <cell r="I305" t="str">
            <v>деп</v>
          </cell>
          <cell r="J305">
            <v>38129</v>
          </cell>
        </row>
        <row r="306">
          <cell r="A306">
            <v>58341637</v>
          </cell>
          <cell r="B306" t="str">
            <v>АГЕНТСТВО РЕФПЕРЕВОЗОК</v>
          </cell>
          <cell r="C306" t="str">
            <v>ХОВРИНО      (ОКТ)</v>
          </cell>
          <cell r="D306">
            <v>31413</v>
          </cell>
          <cell r="F306">
            <v>0</v>
          </cell>
          <cell r="G306">
            <v>37573</v>
          </cell>
          <cell r="H306">
            <v>1097</v>
          </cell>
          <cell r="I306" t="str">
            <v>деп</v>
          </cell>
          <cell r="J306">
            <v>38120</v>
          </cell>
        </row>
        <row r="307">
          <cell r="A307">
            <v>58341645</v>
          </cell>
          <cell r="B307" t="str">
            <v>АГЕНТСТВО РЕФПЕРЕВОЗОК</v>
          </cell>
          <cell r="C307" t="str">
            <v>ХОВРИНО      (ОКТ)</v>
          </cell>
          <cell r="D307">
            <v>31413</v>
          </cell>
          <cell r="F307">
            <v>0</v>
          </cell>
          <cell r="G307">
            <v>37546</v>
          </cell>
          <cell r="H307">
            <v>1097</v>
          </cell>
          <cell r="I307" t="str">
            <v>деп</v>
          </cell>
          <cell r="J307">
            <v>38094</v>
          </cell>
        </row>
        <row r="308">
          <cell r="A308">
            <v>58341652</v>
          </cell>
          <cell r="B308" t="str">
            <v>АГЕНТСТВО РЕФПЕРЕВОЗОК</v>
          </cell>
          <cell r="C308" t="str">
            <v>ХОВРИНО      (ОКТ)</v>
          </cell>
          <cell r="D308">
            <v>31413</v>
          </cell>
          <cell r="F308">
            <v>0</v>
          </cell>
          <cell r="G308">
            <v>37533</v>
          </cell>
          <cell r="H308">
            <v>1097</v>
          </cell>
          <cell r="I308" t="str">
            <v>деп</v>
          </cell>
          <cell r="J308">
            <v>38081</v>
          </cell>
        </row>
        <row r="309">
          <cell r="A309">
            <v>58341660</v>
          </cell>
          <cell r="B309" t="str">
            <v>АГЕНТСТВО РЕФПЕРЕВОЗОК</v>
          </cell>
          <cell r="C309" t="str">
            <v>ХОВРИНО      (ОКТ)</v>
          </cell>
          <cell r="D309">
            <v>31413</v>
          </cell>
          <cell r="F309">
            <v>0</v>
          </cell>
          <cell r="G309">
            <v>37582</v>
          </cell>
          <cell r="H309">
            <v>1097</v>
          </cell>
          <cell r="I309" t="str">
            <v>деп</v>
          </cell>
          <cell r="J309">
            <v>38129</v>
          </cell>
        </row>
        <row r="310">
          <cell r="A310">
            <v>58341678</v>
          </cell>
          <cell r="B310" t="str">
            <v>АГЕНТСТВО РЕФПЕРЕВОЗОК</v>
          </cell>
          <cell r="C310" t="str">
            <v>ХОВРИНО      (ОКТ)</v>
          </cell>
          <cell r="D310">
            <v>31413</v>
          </cell>
          <cell r="F310">
            <v>0</v>
          </cell>
          <cell r="G310">
            <v>37578</v>
          </cell>
          <cell r="H310">
            <v>1097</v>
          </cell>
          <cell r="I310" t="str">
            <v>деп</v>
          </cell>
          <cell r="J310">
            <v>38125</v>
          </cell>
        </row>
        <row r="311">
          <cell r="A311">
            <v>58341686</v>
          </cell>
          <cell r="B311" t="str">
            <v>АГЕНТСТВО РЕФПЕРЕВОЗОК</v>
          </cell>
          <cell r="C311" t="str">
            <v>ХОВРИНО      (ОКТ)</v>
          </cell>
          <cell r="D311">
            <v>31413</v>
          </cell>
          <cell r="F311">
            <v>0</v>
          </cell>
          <cell r="G311">
            <v>37553</v>
          </cell>
          <cell r="H311">
            <v>1097</v>
          </cell>
          <cell r="I311" t="str">
            <v>деп</v>
          </cell>
          <cell r="J311">
            <v>38101</v>
          </cell>
        </row>
        <row r="312">
          <cell r="A312">
            <v>58341694</v>
          </cell>
          <cell r="B312" t="str">
            <v>АГЕНТСТВО РЕФПЕРЕВОЗОК</v>
          </cell>
          <cell r="C312" t="str">
            <v>ХОВРИНО      (ОКТ)</v>
          </cell>
          <cell r="D312">
            <v>31413</v>
          </cell>
          <cell r="F312">
            <v>0</v>
          </cell>
          <cell r="G312">
            <v>37582</v>
          </cell>
          <cell r="H312">
            <v>1097</v>
          </cell>
          <cell r="I312" t="str">
            <v>деп</v>
          </cell>
          <cell r="J312">
            <v>38129</v>
          </cell>
        </row>
        <row r="313">
          <cell r="A313">
            <v>58341702</v>
          </cell>
          <cell r="B313" t="str">
            <v>АГЕНТСТВО РЕФПЕРЕВОЗОК</v>
          </cell>
          <cell r="C313" t="str">
            <v>ХОВРИНО      (ОКТ)</v>
          </cell>
          <cell r="D313">
            <v>31413</v>
          </cell>
          <cell r="F313">
            <v>0</v>
          </cell>
          <cell r="G313">
            <v>37560</v>
          </cell>
          <cell r="H313">
            <v>1097</v>
          </cell>
          <cell r="I313" t="str">
            <v>деп</v>
          </cell>
          <cell r="J313">
            <v>38107</v>
          </cell>
        </row>
        <row r="314">
          <cell r="A314">
            <v>58341710</v>
          </cell>
          <cell r="B314" t="str">
            <v>АГЕНТСТВО РЕФПЕРЕВОЗОК</v>
          </cell>
          <cell r="C314" t="str">
            <v>ХОВРИНО      (ОКТ)</v>
          </cell>
          <cell r="D314">
            <v>31413</v>
          </cell>
          <cell r="F314">
            <v>0</v>
          </cell>
          <cell r="G314">
            <v>37575</v>
          </cell>
          <cell r="H314">
            <v>1097</v>
          </cell>
          <cell r="I314" t="str">
            <v>деп</v>
          </cell>
          <cell r="J314">
            <v>38122</v>
          </cell>
        </row>
        <row r="315">
          <cell r="A315">
            <v>58341728</v>
          </cell>
          <cell r="B315" t="str">
            <v>АГЕНТСТВО РЕФПЕРЕВОЗОК</v>
          </cell>
          <cell r="C315" t="str">
            <v>ХОВРИНО      (ОКТ)</v>
          </cell>
          <cell r="D315">
            <v>31413</v>
          </cell>
          <cell r="F315">
            <v>0</v>
          </cell>
          <cell r="G315">
            <v>37582</v>
          </cell>
          <cell r="H315">
            <v>1097</v>
          </cell>
          <cell r="I315" t="str">
            <v>деп</v>
          </cell>
          <cell r="J315">
            <v>38129</v>
          </cell>
        </row>
        <row r="316">
          <cell r="A316">
            <v>58341736</v>
          </cell>
          <cell r="B316" t="str">
            <v>АГЕНТСТВО РЕФПЕРЕВОЗОК</v>
          </cell>
          <cell r="C316" t="str">
            <v>ХОВРИНО      (ОКТ)</v>
          </cell>
          <cell r="D316">
            <v>31413</v>
          </cell>
          <cell r="F316">
            <v>0</v>
          </cell>
          <cell r="G316">
            <v>37582</v>
          </cell>
          <cell r="H316">
            <v>1097</v>
          </cell>
          <cell r="I316" t="str">
            <v>деп</v>
          </cell>
          <cell r="J316">
            <v>38129</v>
          </cell>
        </row>
        <row r="317">
          <cell r="A317">
            <v>58341744</v>
          </cell>
          <cell r="B317" t="str">
            <v>АГЕНТСТВО РЕФПЕРЕВОЗОК</v>
          </cell>
          <cell r="C317" t="str">
            <v>ХОВРИНО      (ОКТ)</v>
          </cell>
          <cell r="D317">
            <v>31413</v>
          </cell>
          <cell r="F317">
            <v>0</v>
          </cell>
          <cell r="G317">
            <v>37566</v>
          </cell>
          <cell r="H317">
            <v>1097</v>
          </cell>
          <cell r="I317" t="str">
            <v>деп</v>
          </cell>
          <cell r="J317">
            <v>38113</v>
          </cell>
        </row>
        <row r="318">
          <cell r="A318">
            <v>58341751</v>
          </cell>
          <cell r="B318" t="str">
            <v>АГЕНТСТВО РЕФПЕРЕВОЗОК</v>
          </cell>
          <cell r="C318" t="str">
            <v>ХОВРИНО      (ОКТ)</v>
          </cell>
          <cell r="D318">
            <v>31413</v>
          </cell>
          <cell r="F318">
            <v>0</v>
          </cell>
          <cell r="G318">
            <v>37553</v>
          </cell>
          <cell r="H318">
            <v>1097</v>
          </cell>
          <cell r="I318" t="str">
            <v>деп</v>
          </cell>
          <cell r="J318">
            <v>38101</v>
          </cell>
        </row>
        <row r="319">
          <cell r="A319">
            <v>58341769</v>
          </cell>
          <cell r="B319" t="str">
            <v>АГЕНТСТВО РЕФПЕРЕВОЗОК</v>
          </cell>
          <cell r="C319" t="str">
            <v>ХОВРИНО      (ОКТ)</v>
          </cell>
          <cell r="D319">
            <v>31413</v>
          </cell>
          <cell r="F319">
            <v>0</v>
          </cell>
          <cell r="G319">
            <v>37533</v>
          </cell>
          <cell r="H319">
            <v>1097</v>
          </cell>
          <cell r="I319" t="str">
            <v>деп</v>
          </cell>
          <cell r="J319">
            <v>38081</v>
          </cell>
        </row>
        <row r="320">
          <cell r="A320">
            <v>58341777</v>
          </cell>
          <cell r="B320" t="str">
            <v>АГЕНТСТВО РЕФПЕРЕВОЗОК</v>
          </cell>
          <cell r="C320" t="str">
            <v>ХОВРИНО      (ОКТ)</v>
          </cell>
          <cell r="D320">
            <v>31413</v>
          </cell>
          <cell r="F320">
            <v>0</v>
          </cell>
          <cell r="G320">
            <v>37559</v>
          </cell>
          <cell r="H320">
            <v>1097</v>
          </cell>
          <cell r="I320" t="str">
            <v>деп</v>
          </cell>
          <cell r="J320">
            <v>38107</v>
          </cell>
        </row>
        <row r="321">
          <cell r="A321">
            <v>58341785</v>
          </cell>
          <cell r="B321" t="str">
            <v>АГЕНТСТВО РЕФПЕРЕВОЗОК</v>
          </cell>
          <cell r="C321" t="str">
            <v>ХОВРИНО      (ОКТ)</v>
          </cell>
          <cell r="D321">
            <v>31413</v>
          </cell>
          <cell r="F321">
            <v>0</v>
          </cell>
          <cell r="G321">
            <v>37533</v>
          </cell>
          <cell r="H321">
            <v>1097</v>
          </cell>
          <cell r="I321" t="str">
            <v>деп</v>
          </cell>
          <cell r="J321">
            <v>38081</v>
          </cell>
        </row>
        <row r="322">
          <cell r="A322">
            <v>58341793</v>
          </cell>
          <cell r="B322" t="str">
            <v>АГЕНТСТВО РЕФПЕРЕВОЗОК</v>
          </cell>
          <cell r="C322" t="str">
            <v>ХОВРИНО      (ОКТ)</v>
          </cell>
          <cell r="D322">
            <v>31413</v>
          </cell>
          <cell r="F322">
            <v>0</v>
          </cell>
          <cell r="G322">
            <v>37568</v>
          </cell>
          <cell r="H322">
            <v>1097</v>
          </cell>
          <cell r="I322" t="str">
            <v>деп</v>
          </cell>
          <cell r="J322">
            <v>38115</v>
          </cell>
        </row>
        <row r="323">
          <cell r="A323">
            <v>58341801</v>
          </cell>
          <cell r="B323" t="str">
            <v>АГЕНТСТВО РЕФПЕРЕВОЗОК</v>
          </cell>
          <cell r="C323" t="str">
            <v>ХОВРИНО      (ОКТ)</v>
          </cell>
          <cell r="D323">
            <v>31413</v>
          </cell>
          <cell r="F323">
            <v>0</v>
          </cell>
          <cell r="G323">
            <v>37560</v>
          </cell>
          <cell r="H323">
            <v>1097</v>
          </cell>
          <cell r="I323" t="str">
            <v>деп</v>
          </cell>
          <cell r="J323">
            <v>38107</v>
          </cell>
        </row>
        <row r="324">
          <cell r="A324">
            <v>58341819</v>
          </cell>
          <cell r="B324" t="str">
            <v>АГЕНТСТВО РЕФПЕРЕВОЗОК</v>
          </cell>
          <cell r="C324" t="str">
            <v>ХОВРИНО      (ОКТ)</v>
          </cell>
          <cell r="D324">
            <v>31413</v>
          </cell>
          <cell r="F324">
            <v>0</v>
          </cell>
          <cell r="G324">
            <v>37560</v>
          </cell>
          <cell r="H324">
            <v>1097</v>
          </cell>
          <cell r="I324" t="str">
            <v>деп</v>
          </cell>
          <cell r="J324">
            <v>38107</v>
          </cell>
        </row>
        <row r="325">
          <cell r="A325">
            <v>58341827</v>
          </cell>
          <cell r="B325" t="str">
            <v>АГЕНТСТВО РЕФПЕРЕВОЗОК</v>
          </cell>
          <cell r="C325" t="str">
            <v>ХОВРИНО      (ОКТ)</v>
          </cell>
          <cell r="D325">
            <v>31413</v>
          </cell>
          <cell r="F325">
            <v>0</v>
          </cell>
          <cell r="G325">
            <v>37533</v>
          </cell>
          <cell r="H325">
            <v>1097</v>
          </cell>
          <cell r="I325" t="str">
            <v>деп</v>
          </cell>
          <cell r="J325">
            <v>38081</v>
          </cell>
        </row>
        <row r="326">
          <cell r="A326">
            <v>58341835</v>
          </cell>
          <cell r="B326" t="str">
            <v>АГЕНТСТВО РЕФПЕРЕВОЗОК</v>
          </cell>
          <cell r="C326" t="str">
            <v>ХОВРИНО      (ОКТ)</v>
          </cell>
          <cell r="D326">
            <v>31413</v>
          </cell>
          <cell r="F326">
            <v>0</v>
          </cell>
          <cell r="G326">
            <v>37582</v>
          </cell>
          <cell r="H326">
            <v>1097</v>
          </cell>
          <cell r="I326" t="str">
            <v>деп</v>
          </cell>
          <cell r="J326">
            <v>38129</v>
          </cell>
        </row>
        <row r="327">
          <cell r="A327">
            <v>58341843</v>
          </cell>
          <cell r="B327" t="str">
            <v>АГЕНТСТВО РЕФПЕРЕВОЗОК</v>
          </cell>
          <cell r="C327" t="str">
            <v>ХОВРИНО      (ОКТ)</v>
          </cell>
          <cell r="D327">
            <v>31413</v>
          </cell>
          <cell r="F327">
            <v>0</v>
          </cell>
          <cell r="G327">
            <v>37554</v>
          </cell>
          <cell r="H327">
            <v>1097</v>
          </cell>
          <cell r="I327" t="str">
            <v>деп</v>
          </cell>
          <cell r="J327">
            <v>38102</v>
          </cell>
        </row>
        <row r="328">
          <cell r="A328">
            <v>58341850</v>
          </cell>
          <cell r="B328" t="str">
            <v>АГЕНТСТВО РЕФПЕРЕВОЗОК</v>
          </cell>
          <cell r="C328" t="str">
            <v>ХОВРИНО      (ОКТ)</v>
          </cell>
          <cell r="D328">
            <v>31413</v>
          </cell>
          <cell r="F328">
            <v>0</v>
          </cell>
          <cell r="G328">
            <v>37582</v>
          </cell>
          <cell r="H328">
            <v>1097</v>
          </cell>
          <cell r="I328" t="str">
            <v>деп</v>
          </cell>
          <cell r="J328">
            <v>38129</v>
          </cell>
        </row>
        <row r="329">
          <cell r="A329">
            <v>58341868</v>
          </cell>
          <cell r="B329" t="str">
            <v>АГЕНТСТВО РЕФПЕРЕВОЗОК</v>
          </cell>
          <cell r="C329" t="str">
            <v>ХОВРИНО      (ОКТ)</v>
          </cell>
          <cell r="D329">
            <v>31413</v>
          </cell>
          <cell r="F329">
            <v>0</v>
          </cell>
          <cell r="G329">
            <v>37537</v>
          </cell>
          <cell r="H329">
            <v>1097</v>
          </cell>
          <cell r="I329" t="str">
            <v>деп</v>
          </cell>
          <cell r="J329">
            <v>38085</v>
          </cell>
        </row>
        <row r="330">
          <cell r="A330">
            <v>58341876</v>
          </cell>
          <cell r="B330" t="str">
            <v>АГЕНТСТВО РЕФПЕРЕВОЗОК</v>
          </cell>
          <cell r="C330" t="str">
            <v>ХОВРИНО      (ОКТ)</v>
          </cell>
          <cell r="D330">
            <v>31413</v>
          </cell>
          <cell r="F330">
            <v>0</v>
          </cell>
          <cell r="G330">
            <v>37560</v>
          </cell>
          <cell r="H330">
            <v>1097</v>
          </cell>
          <cell r="I330" t="str">
            <v>деп</v>
          </cell>
          <cell r="J330">
            <v>38107</v>
          </cell>
        </row>
        <row r="331">
          <cell r="A331">
            <v>58341884</v>
          </cell>
          <cell r="B331" t="str">
            <v>АГЕНТСТВО РЕФПЕРЕВОЗОК</v>
          </cell>
          <cell r="C331" t="str">
            <v>ХОВРИНО      (ОКТ)</v>
          </cell>
          <cell r="D331">
            <v>31413</v>
          </cell>
          <cell r="F331">
            <v>0</v>
          </cell>
          <cell r="G331">
            <v>37553</v>
          </cell>
          <cell r="H331">
            <v>1097</v>
          </cell>
          <cell r="I331" t="str">
            <v>деп</v>
          </cell>
          <cell r="J331">
            <v>38101</v>
          </cell>
        </row>
        <row r="332">
          <cell r="A332">
            <v>58341892</v>
          </cell>
          <cell r="B332" t="str">
            <v>АГЕНТСТВО РЕФПЕРЕВОЗОК</v>
          </cell>
          <cell r="C332" t="str">
            <v>ХОВРИНО      (ОКТ)</v>
          </cell>
          <cell r="D332">
            <v>31413</v>
          </cell>
          <cell r="F332">
            <v>0</v>
          </cell>
          <cell r="G332">
            <v>37553</v>
          </cell>
          <cell r="H332">
            <v>1097</v>
          </cell>
          <cell r="I332" t="str">
            <v>деп</v>
          </cell>
          <cell r="J332">
            <v>38101</v>
          </cell>
        </row>
        <row r="333">
          <cell r="A333">
            <v>58341900</v>
          </cell>
          <cell r="B333" t="str">
            <v>АГЕНТСТВО РЕФПЕРЕВОЗОК</v>
          </cell>
          <cell r="C333" t="str">
            <v>ХОВРИНО      (ОКТ)</v>
          </cell>
          <cell r="D333">
            <v>31413</v>
          </cell>
          <cell r="F333">
            <v>0</v>
          </cell>
          <cell r="G333">
            <v>37537</v>
          </cell>
          <cell r="H333">
            <v>1097</v>
          </cell>
          <cell r="I333" t="str">
            <v>деп</v>
          </cell>
          <cell r="J333">
            <v>38085</v>
          </cell>
        </row>
        <row r="334">
          <cell r="A334">
            <v>58341918</v>
          </cell>
          <cell r="B334" t="str">
            <v>АГЕНТСТВО РЕФПЕРЕВОЗОК</v>
          </cell>
          <cell r="C334" t="str">
            <v>ХОВРИНО      (ОКТ)</v>
          </cell>
          <cell r="D334">
            <v>31413</v>
          </cell>
          <cell r="F334">
            <v>0</v>
          </cell>
          <cell r="G334">
            <v>37582</v>
          </cell>
          <cell r="H334">
            <v>1097</v>
          </cell>
          <cell r="I334" t="str">
            <v>деп</v>
          </cell>
          <cell r="J334">
            <v>38129</v>
          </cell>
        </row>
        <row r="335">
          <cell r="A335">
            <v>58341926</v>
          </cell>
          <cell r="B335" t="str">
            <v>АГЕНТСТВО РЕФПЕРЕВОЗОК</v>
          </cell>
          <cell r="C335" t="str">
            <v>ХОВРИНО      (ОКТ)</v>
          </cell>
          <cell r="D335">
            <v>31413</v>
          </cell>
          <cell r="F335">
            <v>0</v>
          </cell>
          <cell r="G335">
            <v>37582</v>
          </cell>
          <cell r="H335">
            <v>1097</v>
          </cell>
          <cell r="I335" t="str">
            <v>деп</v>
          </cell>
          <cell r="J335">
            <v>38129</v>
          </cell>
        </row>
        <row r="336">
          <cell r="A336">
            <v>58341934</v>
          </cell>
          <cell r="B336" t="str">
            <v>АГЕНТСТВО РЕФПЕРЕВОЗОК</v>
          </cell>
          <cell r="C336" t="str">
            <v>ХОВРИНО      (ОКТ)</v>
          </cell>
          <cell r="D336">
            <v>31413</v>
          </cell>
          <cell r="F336">
            <v>0</v>
          </cell>
          <cell r="G336">
            <v>37582</v>
          </cell>
          <cell r="H336">
            <v>1097</v>
          </cell>
          <cell r="I336" t="str">
            <v>деп</v>
          </cell>
          <cell r="J336">
            <v>38129</v>
          </cell>
        </row>
        <row r="337">
          <cell r="A337">
            <v>58341942</v>
          </cell>
          <cell r="B337" t="str">
            <v>АГЕНТСТВО РЕФПЕРЕВОЗОК</v>
          </cell>
          <cell r="C337" t="str">
            <v>ХОВРИНО      (ОКТ)</v>
          </cell>
          <cell r="D337">
            <v>31413</v>
          </cell>
          <cell r="F337">
            <v>0</v>
          </cell>
          <cell r="G337">
            <v>37566</v>
          </cell>
          <cell r="H337">
            <v>1097</v>
          </cell>
          <cell r="I337" t="str">
            <v>деп</v>
          </cell>
          <cell r="J337">
            <v>38113</v>
          </cell>
        </row>
        <row r="338">
          <cell r="A338">
            <v>58341959</v>
          </cell>
          <cell r="B338" t="str">
            <v>АГЕНТСТВО РЕФПЕРЕВОЗОК</v>
          </cell>
          <cell r="C338" t="str">
            <v>ХОВРИНО      (ОКТ)</v>
          </cell>
          <cell r="D338">
            <v>31413</v>
          </cell>
          <cell r="F338">
            <v>0</v>
          </cell>
          <cell r="G338">
            <v>37582</v>
          </cell>
          <cell r="H338">
            <v>1097</v>
          </cell>
          <cell r="I338" t="str">
            <v>деп</v>
          </cell>
          <cell r="J338">
            <v>38129</v>
          </cell>
        </row>
        <row r="339">
          <cell r="A339">
            <v>58341967</v>
          </cell>
          <cell r="B339" t="str">
            <v>АГЕНТСТВО РЕФПЕРЕВОЗОК</v>
          </cell>
          <cell r="C339" t="str">
            <v>ХОВРИНО      (ОКТ)</v>
          </cell>
          <cell r="D339">
            <v>31413</v>
          </cell>
          <cell r="F339">
            <v>0</v>
          </cell>
          <cell r="G339">
            <v>37554</v>
          </cell>
          <cell r="H339">
            <v>1097</v>
          </cell>
          <cell r="I339" t="str">
            <v>деп</v>
          </cell>
          <cell r="J339">
            <v>38102</v>
          </cell>
        </row>
        <row r="340">
          <cell r="A340">
            <v>58341975</v>
          </cell>
          <cell r="B340" t="str">
            <v>АГЕНТСТВО РЕФПЕРЕВОЗОК</v>
          </cell>
          <cell r="C340" t="str">
            <v>ХОВРИНО      (ОКТ)</v>
          </cell>
          <cell r="D340">
            <v>31413</v>
          </cell>
          <cell r="F340">
            <v>0</v>
          </cell>
          <cell r="G340">
            <v>37582</v>
          </cell>
          <cell r="H340">
            <v>1097</v>
          </cell>
          <cell r="I340" t="str">
            <v>деп</v>
          </cell>
          <cell r="J340">
            <v>38129</v>
          </cell>
        </row>
        <row r="341">
          <cell r="A341">
            <v>58341983</v>
          </cell>
          <cell r="B341" t="str">
            <v>АГЕНТСТВО РЕФПЕРЕВОЗОК</v>
          </cell>
          <cell r="C341" t="str">
            <v>ХОВРИНО      (ОКТ)</v>
          </cell>
          <cell r="D341">
            <v>31413</v>
          </cell>
          <cell r="F341">
            <v>0</v>
          </cell>
          <cell r="G341">
            <v>37582</v>
          </cell>
          <cell r="H341">
            <v>1097</v>
          </cell>
          <cell r="I341" t="str">
            <v>деп</v>
          </cell>
          <cell r="J341">
            <v>38129</v>
          </cell>
        </row>
        <row r="342">
          <cell r="A342">
            <v>58341991</v>
          </cell>
          <cell r="B342" t="str">
            <v>АГЕНТСТВО РЕФПЕРЕВОЗОК</v>
          </cell>
          <cell r="C342" t="str">
            <v>ХОВРИНО      (ОКТ)</v>
          </cell>
          <cell r="D342">
            <v>31413</v>
          </cell>
          <cell r="F342">
            <v>0</v>
          </cell>
          <cell r="G342">
            <v>37537</v>
          </cell>
          <cell r="H342">
            <v>1097</v>
          </cell>
          <cell r="I342" t="str">
            <v>деп</v>
          </cell>
          <cell r="J342">
            <v>38085</v>
          </cell>
        </row>
        <row r="343">
          <cell r="A343">
            <v>58342007</v>
          </cell>
          <cell r="B343" t="str">
            <v>АГЕНТСТВО РЕФПЕРЕВОЗОК</v>
          </cell>
          <cell r="C343" t="str">
            <v>ХОВРИНО      (ОКТ)</v>
          </cell>
          <cell r="D343">
            <v>31413</v>
          </cell>
          <cell r="F343">
            <v>0</v>
          </cell>
          <cell r="G343">
            <v>37560</v>
          </cell>
          <cell r="H343">
            <v>1097</v>
          </cell>
          <cell r="I343" t="str">
            <v>деп</v>
          </cell>
          <cell r="J343">
            <v>38107</v>
          </cell>
        </row>
        <row r="344">
          <cell r="A344">
            <v>58342015</v>
          </cell>
          <cell r="B344" t="str">
            <v>АГЕНТСТВО РЕФПЕРЕВОЗОК</v>
          </cell>
          <cell r="C344" t="str">
            <v>ХОВРИНО      (ОКТ)</v>
          </cell>
          <cell r="D344">
            <v>31413</v>
          </cell>
          <cell r="F344">
            <v>0</v>
          </cell>
          <cell r="G344">
            <v>37671</v>
          </cell>
          <cell r="H344">
            <v>1097</v>
          </cell>
          <cell r="I344" t="str">
            <v>деп</v>
          </cell>
          <cell r="J344">
            <v>38218</v>
          </cell>
        </row>
        <row r="345">
          <cell r="A345">
            <v>58342023</v>
          </cell>
          <cell r="B345" t="str">
            <v>АГЕНТСТВО РЕФПЕРЕВОЗОК</v>
          </cell>
          <cell r="C345" t="str">
            <v>ХОВРИНО      (ОКТ)</v>
          </cell>
          <cell r="D345">
            <v>31413</v>
          </cell>
          <cell r="F345">
            <v>0</v>
          </cell>
          <cell r="G345">
            <v>37772</v>
          </cell>
          <cell r="H345">
            <v>492</v>
          </cell>
          <cell r="I345" t="str">
            <v>деп</v>
          </cell>
          <cell r="J345">
            <v>38321</v>
          </cell>
        </row>
        <row r="346">
          <cell r="A346">
            <v>58342031</v>
          </cell>
          <cell r="B346" t="str">
            <v>АГЕНТСТВО РЕФПЕРЕВОЗОК</v>
          </cell>
          <cell r="C346" t="str">
            <v>ХОВРИНО      (ОКТ)</v>
          </cell>
          <cell r="D346">
            <v>31413</v>
          </cell>
          <cell r="F346">
            <v>0</v>
          </cell>
          <cell r="G346">
            <v>37671</v>
          </cell>
          <cell r="H346">
            <v>1097</v>
          </cell>
          <cell r="I346" t="str">
            <v>деп</v>
          </cell>
          <cell r="J346">
            <v>38218</v>
          </cell>
        </row>
        <row r="347">
          <cell r="A347">
            <v>58342056</v>
          </cell>
          <cell r="B347" t="str">
            <v>АГЕНТСТВО РЕФПЕРЕВОЗОК</v>
          </cell>
          <cell r="C347" t="str">
            <v>ХОВРИНО      (ОКТ)</v>
          </cell>
          <cell r="D347">
            <v>31413</v>
          </cell>
          <cell r="F347">
            <v>0</v>
          </cell>
          <cell r="H347">
            <v>0</v>
          </cell>
          <cell r="I347" t="str">
            <v>кап</v>
          </cell>
          <cell r="J347">
            <v>34394</v>
          </cell>
        </row>
        <row r="348">
          <cell r="A348">
            <v>58342064</v>
          </cell>
          <cell r="B348" t="str">
            <v>АГЕНТСТВО РЕФПЕРЕВОЗОК</v>
          </cell>
          <cell r="C348" t="str">
            <v>ХОВРИНО      (ОКТ)</v>
          </cell>
          <cell r="D348">
            <v>31413</v>
          </cell>
          <cell r="F348">
            <v>0</v>
          </cell>
          <cell r="G348">
            <v>37791</v>
          </cell>
          <cell r="H348">
            <v>492</v>
          </cell>
          <cell r="I348" t="str">
            <v>деп</v>
          </cell>
          <cell r="J348">
            <v>38340</v>
          </cell>
        </row>
        <row r="349">
          <cell r="A349">
            <v>58342072</v>
          </cell>
          <cell r="B349" t="str">
            <v>АГЕНТСТВО РЕФПЕРЕВОЗОК</v>
          </cell>
          <cell r="C349" t="str">
            <v>ХОВРИНО      (ОКТ)</v>
          </cell>
          <cell r="D349">
            <v>31778</v>
          </cell>
          <cell r="F349">
            <v>0</v>
          </cell>
          <cell r="G349">
            <v>37570</v>
          </cell>
          <cell r="H349">
            <v>1097</v>
          </cell>
          <cell r="I349" t="str">
            <v>кап</v>
          </cell>
          <cell r="J349">
            <v>34029</v>
          </cell>
        </row>
        <row r="350">
          <cell r="A350">
            <v>58342098</v>
          </cell>
          <cell r="B350" t="str">
            <v>АГЕНТСТВО РЕФПЕРЕВОЗОК</v>
          </cell>
          <cell r="C350" t="str">
            <v>ХОВРИНО      (ОКТ)</v>
          </cell>
          <cell r="D350">
            <v>31778</v>
          </cell>
          <cell r="E350">
            <v>37938</v>
          </cell>
          <cell r="F350">
            <v>557</v>
          </cell>
          <cell r="G350">
            <v>37570</v>
          </cell>
          <cell r="H350">
            <v>1097</v>
          </cell>
          <cell r="I350" t="str">
            <v>кап</v>
          </cell>
          <cell r="J350">
            <v>38485</v>
          </cell>
        </row>
        <row r="351">
          <cell r="A351">
            <v>58342122</v>
          </cell>
          <cell r="B351" t="str">
            <v>АГЕНТСТВО РЕФПЕРЕВОЗОК</v>
          </cell>
          <cell r="C351" t="str">
            <v>ХОВРИНО      (ОКТ)</v>
          </cell>
          <cell r="D351">
            <v>31778</v>
          </cell>
          <cell r="F351">
            <v>0</v>
          </cell>
          <cell r="G351">
            <v>37671</v>
          </cell>
          <cell r="H351">
            <v>1097</v>
          </cell>
          <cell r="I351" t="str">
            <v>деп</v>
          </cell>
          <cell r="J351">
            <v>38218</v>
          </cell>
        </row>
        <row r="352">
          <cell r="A352">
            <v>58342130</v>
          </cell>
          <cell r="B352" t="str">
            <v>АГЕНТСТВО РЕФПЕРЕВОЗОК</v>
          </cell>
          <cell r="C352" t="str">
            <v>ХОВРИНО      (ОКТ)</v>
          </cell>
          <cell r="D352">
            <v>31778</v>
          </cell>
          <cell r="F352">
            <v>0</v>
          </cell>
          <cell r="G352">
            <v>37671</v>
          </cell>
          <cell r="H352">
            <v>1097</v>
          </cell>
          <cell r="I352" t="str">
            <v>деп</v>
          </cell>
          <cell r="J352">
            <v>38218</v>
          </cell>
        </row>
        <row r="353">
          <cell r="A353">
            <v>58342148</v>
          </cell>
          <cell r="B353" t="str">
            <v>АГЕНТСТВО РЕФПЕРЕВОЗОК</v>
          </cell>
          <cell r="C353" t="str">
            <v>ХОВРИНО      (ОКТ)</v>
          </cell>
          <cell r="D353">
            <v>31778</v>
          </cell>
          <cell r="E353">
            <v>37937</v>
          </cell>
          <cell r="F353">
            <v>557</v>
          </cell>
          <cell r="G353">
            <v>37570</v>
          </cell>
          <cell r="H353">
            <v>1097</v>
          </cell>
          <cell r="I353" t="str">
            <v>кап</v>
          </cell>
          <cell r="J353">
            <v>38484</v>
          </cell>
        </row>
        <row r="354">
          <cell r="A354">
            <v>58342155</v>
          </cell>
          <cell r="B354" t="str">
            <v>АГЕНТСТВО РЕФПЕРЕВОЗОК</v>
          </cell>
          <cell r="C354" t="str">
            <v>ХОВРИНО      (ОКТ)</v>
          </cell>
          <cell r="D354">
            <v>31778</v>
          </cell>
          <cell r="F354">
            <v>0</v>
          </cell>
          <cell r="G354">
            <v>37671</v>
          </cell>
          <cell r="H354">
            <v>1097</v>
          </cell>
          <cell r="I354" t="str">
            <v>деп</v>
          </cell>
          <cell r="J354">
            <v>38218</v>
          </cell>
        </row>
        <row r="355">
          <cell r="A355">
            <v>58342163</v>
          </cell>
          <cell r="B355" t="str">
            <v>АГЕНТСТВО РЕФПЕРЕВОЗОК</v>
          </cell>
          <cell r="C355" t="str">
            <v>ХОВРИНО      (ОКТ)</v>
          </cell>
          <cell r="D355">
            <v>31778</v>
          </cell>
          <cell r="E355">
            <v>37526</v>
          </cell>
          <cell r="F355">
            <v>1097</v>
          </cell>
          <cell r="G355">
            <v>37570</v>
          </cell>
          <cell r="H355">
            <v>1097</v>
          </cell>
          <cell r="I355" t="str">
            <v>кап</v>
          </cell>
          <cell r="J355">
            <v>38073</v>
          </cell>
        </row>
        <row r="356">
          <cell r="A356">
            <v>58342171</v>
          </cell>
          <cell r="B356" t="str">
            <v>АГЕНТСТВО РЕФПЕРЕВОЗОК</v>
          </cell>
          <cell r="C356" t="str">
            <v>ХОВРИНО      (ОКТ)</v>
          </cell>
          <cell r="D356">
            <v>31778</v>
          </cell>
          <cell r="F356">
            <v>0</v>
          </cell>
          <cell r="G356">
            <v>37570</v>
          </cell>
          <cell r="H356">
            <v>1097</v>
          </cell>
          <cell r="I356" t="str">
            <v>кап</v>
          </cell>
          <cell r="J356">
            <v>33970</v>
          </cell>
        </row>
        <row r="357">
          <cell r="A357">
            <v>58342189</v>
          </cell>
          <cell r="B357" t="str">
            <v>АГЕНТСТВО РЕФПЕРЕВОЗОК</v>
          </cell>
          <cell r="C357" t="str">
            <v>ХОВРИНО      (ОКТ)</v>
          </cell>
          <cell r="D357">
            <v>31778</v>
          </cell>
          <cell r="F357">
            <v>0</v>
          </cell>
          <cell r="G357">
            <v>37570</v>
          </cell>
          <cell r="H357">
            <v>1097</v>
          </cell>
          <cell r="I357" t="str">
            <v>кап</v>
          </cell>
          <cell r="J357">
            <v>34335</v>
          </cell>
        </row>
        <row r="358">
          <cell r="A358">
            <v>58342197</v>
          </cell>
          <cell r="B358" t="str">
            <v>АГЕНТСТВО РЕФПЕРЕВОЗОК</v>
          </cell>
          <cell r="C358" t="str">
            <v>ХОВРИНО      (ОКТ)</v>
          </cell>
          <cell r="D358">
            <v>31778</v>
          </cell>
          <cell r="F358">
            <v>0</v>
          </cell>
          <cell r="G358">
            <v>37570</v>
          </cell>
          <cell r="H358">
            <v>1097</v>
          </cell>
          <cell r="I358" t="str">
            <v>кап</v>
          </cell>
          <cell r="J358">
            <v>34029</v>
          </cell>
        </row>
        <row r="359">
          <cell r="A359">
            <v>58342205</v>
          </cell>
          <cell r="B359" t="str">
            <v>АГЕНТСТВО РЕФПЕРЕВОЗОК</v>
          </cell>
          <cell r="C359" t="str">
            <v>ХОВРИНО      (ОКТ)</v>
          </cell>
          <cell r="D359">
            <v>31778</v>
          </cell>
          <cell r="F359">
            <v>0</v>
          </cell>
          <cell r="G359">
            <v>37671</v>
          </cell>
          <cell r="H359">
            <v>1097</v>
          </cell>
          <cell r="I359" t="str">
            <v>деп</v>
          </cell>
          <cell r="J359">
            <v>38218</v>
          </cell>
        </row>
        <row r="360">
          <cell r="A360">
            <v>58342213</v>
          </cell>
          <cell r="B360" t="str">
            <v>АГЕНТСТВО РЕФПЕРЕВОЗОК</v>
          </cell>
          <cell r="C360" t="str">
            <v>ХОВРИНО      (ОКТ)</v>
          </cell>
          <cell r="D360">
            <v>31778</v>
          </cell>
          <cell r="F360">
            <v>0</v>
          </cell>
          <cell r="G360">
            <v>37570</v>
          </cell>
          <cell r="H360">
            <v>1097</v>
          </cell>
          <cell r="I360" t="str">
            <v>кап</v>
          </cell>
          <cell r="J360">
            <v>33848</v>
          </cell>
        </row>
        <row r="361">
          <cell r="A361">
            <v>58342247</v>
          </cell>
          <cell r="B361" t="str">
            <v>АГЕНТСТВО РЕФПЕРЕВОЗОК</v>
          </cell>
          <cell r="C361" t="str">
            <v>ХОВРИНО      (ОКТ)</v>
          </cell>
          <cell r="D361">
            <v>31778</v>
          </cell>
          <cell r="F361">
            <v>0</v>
          </cell>
          <cell r="H361">
            <v>0</v>
          </cell>
          <cell r="I361" t="str">
            <v>кап</v>
          </cell>
          <cell r="J361">
            <v>34090</v>
          </cell>
        </row>
        <row r="362">
          <cell r="A362">
            <v>58342254</v>
          </cell>
          <cell r="B362" t="str">
            <v>АГЕНТСТВО РЕФПЕРЕВОЗОК</v>
          </cell>
          <cell r="C362" t="str">
            <v>ХОВРИНО      (ОКТ)</v>
          </cell>
          <cell r="D362">
            <v>31778</v>
          </cell>
          <cell r="F362">
            <v>0</v>
          </cell>
          <cell r="G362">
            <v>37570</v>
          </cell>
          <cell r="H362">
            <v>1097</v>
          </cell>
          <cell r="I362" t="str">
            <v>кап</v>
          </cell>
          <cell r="J362">
            <v>33147</v>
          </cell>
        </row>
        <row r="363">
          <cell r="A363">
            <v>58342262</v>
          </cell>
          <cell r="B363" t="str">
            <v>АГЕНТСТВО РЕФПЕРЕВОЗОК</v>
          </cell>
          <cell r="C363" t="str">
            <v>ХОВРИНО      (ОКТ)</v>
          </cell>
          <cell r="D363">
            <v>31778</v>
          </cell>
          <cell r="E363">
            <v>37671</v>
          </cell>
          <cell r="F363">
            <v>1097</v>
          </cell>
          <cell r="G363">
            <v>37570</v>
          </cell>
          <cell r="H363">
            <v>1097</v>
          </cell>
          <cell r="I363" t="str">
            <v>кап</v>
          </cell>
          <cell r="J363">
            <v>38218</v>
          </cell>
        </row>
        <row r="364">
          <cell r="A364">
            <v>58342270</v>
          </cell>
          <cell r="B364" t="str">
            <v>АГЕНТСТВО РЕФПЕРЕВОЗОК</v>
          </cell>
          <cell r="C364" t="str">
            <v>ХОВРИНО      (ОКТ)</v>
          </cell>
          <cell r="D364">
            <v>31778</v>
          </cell>
          <cell r="F364">
            <v>0</v>
          </cell>
          <cell r="G364">
            <v>37772</v>
          </cell>
          <cell r="H364">
            <v>492</v>
          </cell>
          <cell r="I364" t="str">
            <v>деп</v>
          </cell>
          <cell r="J364">
            <v>38321</v>
          </cell>
        </row>
        <row r="365">
          <cell r="A365">
            <v>58342288</v>
          </cell>
          <cell r="B365" t="str">
            <v>АГЕНТСТВО РЕФПЕРЕВОЗОК</v>
          </cell>
          <cell r="C365" t="str">
            <v>ХОВРИНО      (ОКТ)</v>
          </cell>
          <cell r="D365">
            <v>31778</v>
          </cell>
          <cell r="E365">
            <v>37671</v>
          </cell>
          <cell r="F365">
            <v>1097</v>
          </cell>
          <cell r="G365">
            <v>37570</v>
          </cell>
          <cell r="H365">
            <v>1097</v>
          </cell>
          <cell r="I365" t="str">
            <v>кап</v>
          </cell>
          <cell r="J365">
            <v>38218</v>
          </cell>
        </row>
        <row r="366">
          <cell r="A366">
            <v>58342296</v>
          </cell>
          <cell r="B366" t="str">
            <v>АГЕНТСТВО РЕФПЕРЕВОЗОК</v>
          </cell>
          <cell r="C366" t="str">
            <v>ХОВРИНО      (ОКТ)</v>
          </cell>
          <cell r="D366">
            <v>31778</v>
          </cell>
          <cell r="F366">
            <v>0</v>
          </cell>
          <cell r="G366">
            <v>37570</v>
          </cell>
          <cell r="H366">
            <v>1097</v>
          </cell>
          <cell r="I366" t="str">
            <v>кап</v>
          </cell>
          <cell r="J366">
            <v>34274</v>
          </cell>
        </row>
        <row r="367">
          <cell r="A367">
            <v>58342304</v>
          </cell>
          <cell r="B367" t="str">
            <v>АГЕНТСТВО РЕФПЕРЕВОЗОК</v>
          </cell>
          <cell r="C367" t="str">
            <v>ХОВРИНО      (ОКТ)</v>
          </cell>
          <cell r="D367">
            <v>31778</v>
          </cell>
          <cell r="E367">
            <v>37671</v>
          </cell>
          <cell r="F367">
            <v>1097</v>
          </cell>
          <cell r="G367">
            <v>37570</v>
          </cell>
          <cell r="H367">
            <v>1097</v>
          </cell>
          <cell r="I367" t="str">
            <v>кап</v>
          </cell>
          <cell r="J367">
            <v>38218</v>
          </cell>
        </row>
        <row r="368">
          <cell r="A368">
            <v>58342312</v>
          </cell>
          <cell r="B368" t="str">
            <v>АГЕНТСТВО РЕФПЕРЕВОЗОК</v>
          </cell>
          <cell r="C368" t="str">
            <v>ХОВРИНО      (ОКТ)</v>
          </cell>
          <cell r="D368">
            <v>31778</v>
          </cell>
          <cell r="E368">
            <v>37526</v>
          </cell>
          <cell r="F368">
            <v>1097</v>
          </cell>
          <cell r="G368">
            <v>37570</v>
          </cell>
          <cell r="H368">
            <v>1097</v>
          </cell>
          <cell r="I368" t="str">
            <v>кап</v>
          </cell>
          <cell r="J368">
            <v>38073</v>
          </cell>
        </row>
        <row r="369">
          <cell r="A369">
            <v>58342320</v>
          </cell>
          <cell r="B369" t="str">
            <v>АГЕНТСТВО РЕФПЕРЕВОЗОК</v>
          </cell>
          <cell r="C369" t="str">
            <v>ХОВРИНО      (ОКТ)</v>
          </cell>
          <cell r="D369">
            <v>31778</v>
          </cell>
          <cell r="E369">
            <v>37526</v>
          </cell>
          <cell r="F369">
            <v>1097</v>
          </cell>
          <cell r="G369">
            <v>37570</v>
          </cell>
          <cell r="H369">
            <v>1097</v>
          </cell>
          <cell r="I369" t="str">
            <v>кап</v>
          </cell>
          <cell r="J369">
            <v>38073</v>
          </cell>
        </row>
        <row r="370">
          <cell r="A370">
            <v>58342338</v>
          </cell>
          <cell r="B370" t="str">
            <v>АГЕНТСТВО РЕФПЕРЕВОЗОК</v>
          </cell>
          <cell r="C370" t="str">
            <v>ХОВРИНО      (ОКТ)</v>
          </cell>
          <cell r="D370">
            <v>31778</v>
          </cell>
          <cell r="F370">
            <v>0</v>
          </cell>
          <cell r="G370">
            <v>37570</v>
          </cell>
          <cell r="H370">
            <v>1097</v>
          </cell>
          <cell r="I370" t="str">
            <v>кап</v>
          </cell>
          <cell r="J370">
            <v>33756</v>
          </cell>
        </row>
        <row r="371">
          <cell r="A371">
            <v>58342346</v>
          </cell>
          <cell r="B371" t="str">
            <v>АГЕНТСТВО РЕФПЕРЕВОЗОК</v>
          </cell>
          <cell r="C371" t="str">
            <v>ХОВРИНО      (ОКТ)</v>
          </cell>
          <cell r="D371">
            <v>31778</v>
          </cell>
          <cell r="E371">
            <v>37526</v>
          </cell>
          <cell r="F371">
            <v>1097</v>
          </cell>
          <cell r="G371">
            <v>37570</v>
          </cell>
          <cell r="H371">
            <v>1097</v>
          </cell>
          <cell r="I371" t="str">
            <v>кап</v>
          </cell>
          <cell r="J371">
            <v>38073</v>
          </cell>
        </row>
        <row r="372">
          <cell r="A372">
            <v>58342353</v>
          </cell>
          <cell r="B372" t="str">
            <v>АГЕНТСТВО РЕФПЕРЕВОЗОК</v>
          </cell>
          <cell r="C372" t="str">
            <v>ХОВРИНО      (ОКТ)</v>
          </cell>
          <cell r="D372">
            <v>31778</v>
          </cell>
          <cell r="E372">
            <v>37935</v>
          </cell>
          <cell r="F372">
            <v>557</v>
          </cell>
          <cell r="G372">
            <v>37570</v>
          </cell>
          <cell r="H372">
            <v>1097</v>
          </cell>
          <cell r="I372" t="str">
            <v>кап</v>
          </cell>
          <cell r="J372">
            <v>38482</v>
          </cell>
        </row>
        <row r="373">
          <cell r="A373">
            <v>58342361</v>
          </cell>
          <cell r="B373" t="str">
            <v>АГЕНТСТВО РЕФПЕРЕВОЗОК</v>
          </cell>
          <cell r="C373" t="str">
            <v>ХОВРИНО      (ОКТ)</v>
          </cell>
          <cell r="D373">
            <v>31778</v>
          </cell>
          <cell r="E373">
            <v>37671</v>
          </cell>
          <cell r="F373">
            <v>1097</v>
          </cell>
          <cell r="G373">
            <v>37570</v>
          </cell>
          <cell r="H373">
            <v>1097</v>
          </cell>
          <cell r="I373" t="str">
            <v>кап</v>
          </cell>
          <cell r="J373">
            <v>38218</v>
          </cell>
        </row>
        <row r="374">
          <cell r="A374">
            <v>58342379</v>
          </cell>
          <cell r="B374" t="str">
            <v>АГЕНТСТВО РЕФПЕРЕВОЗОК</v>
          </cell>
          <cell r="C374" t="str">
            <v>ХОВРИНО      (ОКТ)</v>
          </cell>
          <cell r="D374">
            <v>31778</v>
          </cell>
          <cell r="E374">
            <v>37671</v>
          </cell>
          <cell r="F374">
            <v>1097</v>
          </cell>
          <cell r="G374">
            <v>37570</v>
          </cell>
          <cell r="H374">
            <v>1097</v>
          </cell>
          <cell r="I374" t="str">
            <v>кап</v>
          </cell>
          <cell r="J374">
            <v>38218</v>
          </cell>
        </row>
        <row r="375">
          <cell r="A375">
            <v>58342387</v>
          </cell>
          <cell r="B375" t="str">
            <v>АГЕНТСТВО РЕФПЕРЕВОЗОК</v>
          </cell>
          <cell r="C375" t="str">
            <v>ХОВРИНО      (ОКТ)</v>
          </cell>
          <cell r="D375">
            <v>31778</v>
          </cell>
          <cell r="F375">
            <v>0</v>
          </cell>
          <cell r="G375">
            <v>37570</v>
          </cell>
          <cell r="H375">
            <v>1097</v>
          </cell>
          <cell r="I375" t="str">
            <v>кап</v>
          </cell>
          <cell r="J375">
            <v>34029</v>
          </cell>
        </row>
        <row r="376">
          <cell r="A376">
            <v>58342395</v>
          </cell>
          <cell r="B376" t="str">
            <v>АГЕНТСТВО РЕФПЕРЕВОЗОК</v>
          </cell>
          <cell r="C376" t="str">
            <v>ХОВРИНО      (ОКТ)</v>
          </cell>
          <cell r="D376">
            <v>31778</v>
          </cell>
          <cell r="E376">
            <v>37947</v>
          </cell>
          <cell r="F376">
            <v>557</v>
          </cell>
          <cell r="G376">
            <v>37570</v>
          </cell>
          <cell r="H376">
            <v>1097</v>
          </cell>
          <cell r="I376" t="str">
            <v>кап</v>
          </cell>
          <cell r="J376">
            <v>38494</v>
          </cell>
        </row>
        <row r="377">
          <cell r="A377">
            <v>58720293</v>
          </cell>
          <cell r="B377" t="str">
            <v>АГЕНТСТВО РЕФПЕРЕВОЗОК</v>
          </cell>
          <cell r="C377" t="str">
            <v>ХОВРИНО      (ОКТ)</v>
          </cell>
          <cell r="D377">
            <v>32509</v>
          </cell>
          <cell r="E377">
            <v>37859</v>
          </cell>
          <cell r="F377">
            <v>886</v>
          </cell>
          <cell r="H377">
            <v>0</v>
          </cell>
          <cell r="I377" t="str">
            <v>кап</v>
          </cell>
          <cell r="J377">
            <v>38409</v>
          </cell>
        </row>
        <row r="378">
          <cell r="A378">
            <v>58720392</v>
          </cell>
          <cell r="B378" t="str">
            <v>АГЕНТСТВО РЕФПЕРЕВОЗОК</v>
          </cell>
          <cell r="C378" t="str">
            <v>ХОВРИНО      (ОКТ)</v>
          </cell>
          <cell r="D378">
            <v>32509</v>
          </cell>
          <cell r="E378">
            <v>37859</v>
          </cell>
          <cell r="F378">
            <v>886</v>
          </cell>
          <cell r="H378">
            <v>0</v>
          </cell>
          <cell r="I378" t="str">
            <v>кап</v>
          </cell>
          <cell r="J378">
            <v>38409</v>
          </cell>
        </row>
        <row r="379">
          <cell r="A379">
            <v>58720491</v>
          </cell>
          <cell r="B379" t="str">
            <v>АГЕНТСТВО РЕФПЕРЕВОЗОК</v>
          </cell>
          <cell r="C379" t="str">
            <v>ХОВРИНО      (ОКТ)</v>
          </cell>
          <cell r="D379">
            <v>32509</v>
          </cell>
          <cell r="E379">
            <v>37833</v>
          </cell>
          <cell r="F379">
            <v>163</v>
          </cell>
          <cell r="H379">
            <v>0</v>
          </cell>
          <cell r="I379" t="str">
            <v>кап</v>
          </cell>
          <cell r="J379">
            <v>38383</v>
          </cell>
        </row>
        <row r="380">
          <cell r="A380">
            <v>58720590</v>
          </cell>
          <cell r="B380" t="str">
            <v>АГЕНТСТВО РЕФПЕРЕВОЗОК</v>
          </cell>
          <cell r="C380" t="str">
            <v>ХОВРИНО      (ОКТ)</v>
          </cell>
          <cell r="D380">
            <v>32509</v>
          </cell>
          <cell r="E380">
            <v>37859</v>
          </cell>
          <cell r="F380">
            <v>886</v>
          </cell>
          <cell r="H380">
            <v>0</v>
          </cell>
          <cell r="I380" t="str">
            <v>кап</v>
          </cell>
          <cell r="J380">
            <v>38409</v>
          </cell>
        </row>
        <row r="381">
          <cell r="A381">
            <v>58721093</v>
          </cell>
          <cell r="B381" t="str">
            <v>АГЕНТСТВО РЕФПЕРЕВОЗОК</v>
          </cell>
          <cell r="C381" t="str">
            <v>ХОВРИНО      (ОКТ)</v>
          </cell>
          <cell r="D381">
            <v>32509</v>
          </cell>
          <cell r="E381">
            <v>37830</v>
          </cell>
          <cell r="F381">
            <v>163</v>
          </cell>
          <cell r="H381">
            <v>0</v>
          </cell>
          <cell r="I381" t="str">
            <v>кап</v>
          </cell>
          <cell r="J381">
            <v>38380</v>
          </cell>
        </row>
        <row r="382">
          <cell r="A382">
            <v>58721192</v>
          </cell>
          <cell r="B382" t="str">
            <v>АГЕНТСТВО РЕФПЕРЕВОЗОК</v>
          </cell>
          <cell r="C382" t="str">
            <v>ХОВРИНО      (ОКТ)</v>
          </cell>
          <cell r="D382">
            <v>32509</v>
          </cell>
          <cell r="E382">
            <v>37830</v>
          </cell>
          <cell r="F382">
            <v>163</v>
          </cell>
          <cell r="H382">
            <v>0</v>
          </cell>
          <cell r="I382" t="str">
            <v>кап</v>
          </cell>
          <cell r="J382">
            <v>38380</v>
          </cell>
        </row>
        <row r="383">
          <cell r="A383">
            <v>58721291</v>
          </cell>
          <cell r="B383" t="str">
            <v>АГЕНТСТВО РЕФПЕРЕВОЗОК</v>
          </cell>
          <cell r="C383" t="str">
            <v>ХОВРИНО      (ОКТ)</v>
          </cell>
          <cell r="D383">
            <v>32509</v>
          </cell>
          <cell r="E383">
            <v>37830</v>
          </cell>
          <cell r="F383">
            <v>163</v>
          </cell>
          <cell r="H383">
            <v>0</v>
          </cell>
          <cell r="I383" t="str">
            <v>кап</v>
          </cell>
          <cell r="J383">
            <v>38380</v>
          </cell>
        </row>
        <row r="384">
          <cell r="A384">
            <v>58721390</v>
          </cell>
          <cell r="B384" t="str">
            <v>АГЕНТСТВО РЕФПЕРЕВОЗОК</v>
          </cell>
          <cell r="C384" t="str">
            <v>ХОВРИНО      (ОКТ)</v>
          </cell>
          <cell r="D384">
            <v>32509</v>
          </cell>
          <cell r="E384">
            <v>37830</v>
          </cell>
          <cell r="F384">
            <v>163</v>
          </cell>
          <cell r="H384">
            <v>0</v>
          </cell>
          <cell r="I384" t="str">
            <v>кап</v>
          </cell>
          <cell r="J384">
            <v>38380</v>
          </cell>
        </row>
        <row r="385">
          <cell r="A385">
            <v>58721663</v>
          </cell>
          <cell r="B385" t="str">
            <v>АГЕНТСТВО РЕФПЕРЕВОЗОК</v>
          </cell>
          <cell r="C385" t="str">
            <v>ХОВРИНО      (ОКТ)</v>
          </cell>
          <cell r="D385">
            <v>34243</v>
          </cell>
          <cell r="E385">
            <v>37781</v>
          </cell>
          <cell r="F385">
            <v>886</v>
          </cell>
          <cell r="H385">
            <v>0</v>
          </cell>
          <cell r="I385" t="str">
            <v>деп</v>
          </cell>
          <cell r="J385">
            <v>38512</v>
          </cell>
        </row>
        <row r="386">
          <cell r="A386">
            <v>58721671</v>
          </cell>
          <cell r="B386" t="str">
            <v>АГЕНТСТВО РЕФПЕРЕВОЗОК</v>
          </cell>
          <cell r="C386" t="str">
            <v>ХОВРИНО      (ОКТ)</v>
          </cell>
          <cell r="D386">
            <v>34243</v>
          </cell>
          <cell r="E386">
            <v>37781</v>
          </cell>
          <cell r="F386">
            <v>886</v>
          </cell>
          <cell r="H386">
            <v>0</v>
          </cell>
          <cell r="I386" t="str">
            <v>деп</v>
          </cell>
          <cell r="J386">
            <v>38512</v>
          </cell>
        </row>
        <row r="387">
          <cell r="A387">
            <v>58721689</v>
          </cell>
          <cell r="B387" t="str">
            <v>АГЕНТСТВО РЕФПЕРЕВОЗОК</v>
          </cell>
          <cell r="C387" t="str">
            <v>ХОВРИНО      (ОКТ)</v>
          </cell>
          <cell r="D387">
            <v>34243</v>
          </cell>
          <cell r="E387">
            <v>37781</v>
          </cell>
          <cell r="F387">
            <v>886</v>
          </cell>
          <cell r="H387">
            <v>0</v>
          </cell>
          <cell r="I387" t="str">
            <v>деп</v>
          </cell>
          <cell r="J387">
            <v>38512</v>
          </cell>
        </row>
        <row r="388">
          <cell r="A388">
            <v>58721705</v>
          </cell>
          <cell r="B388" t="str">
            <v>АГЕНТСТВО РЕФПЕРЕВОЗОК</v>
          </cell>
          <cell r="C388" t="str">
            <v>ХОВРИНО      (ОКТ)</v>
          </cell>
          <cell r="D388">
            <v>34243</v>
          </cell>
          <cell r="E388">
            <v>37781</v>
          </cell>
          <cell r="F388">
            <v>886</v>
          </cell>
          <cell r="H388">
            <v>0</v>
          </cell>
          <cell r="I388" t="str">
            <v>деп</v>
          </cell>
          <cell r="J388">
            <v>38512</v>
          </cell>
        </row>
        <row r="389">
          <cell r="A389">
            <v>58724766</v>
          </cell>
          <cell r="B389" t="str">
            <v>АГЕНТСТВО РЕФПЕРЕВОЗОК</v>
          </cell>
          <cell r="C389" t="str">
            <v>ХОВРИНО      (ОКТ)</v>
          </cell>
          <cell r="D389">
            <v>33604</v>
          </cell>
          <cell r="F389">
            <v>0</v>
          </cell>
          <cell r="H389">
            <v>0</v>
          </cell>
          <cell r="I389" t="str">
            <v>деп</v>
          </cell>
          <cell r="J389">
            <v>34516</v>
          </cell>
        </row>
        <row r="390">
          <cell r="A390">
            <v>58724774</v>
          </cell>
          <cell r="B390" t="str">
            <v>АГЕНТСТВО РЕФПЕРЕВОЗОК</v>
          </cell>
          <cell r="C390" t="str">
            <v>ХОВРИНО      (ОКТ)</v>
          </cell>
          <cell r="D390">
            <v>33604</v>
          </cell>
          <cell r="F390">
            <v>0</v>
          </cell>
          <cell r="H390">
            <v>0</v>
          </cell>
          <cell r="I390" t="str">
            <v>деп</v>
          </cell>
          <cell r="J390">
            <v>34516</v>
          </cell>
        </row>
        <row r="391">
          <cell r="A391">
            <v>58725698</v>
          </cell>
          <cell r="B391" t="str">
            <v>АГЕНТСТВО РЕФПЕРЕВОЗОК</v>
          </cell>
          <cell r="C391" t="str">
            <v>ХОВРИНО      (ОКТ)</v>
          </cell>
          <cell r="D391">
            <v>33239</v>
          </cell>
          <cell r="E391">
            <v>37615</v>
          </cell>
          <cell r="F391">
            <v>163</v>
          </cell>
          <cell r="H391">
            <v>0</v>
          </cell>
          <cell r="I391" t="str">
            <v>деп</v>
          </cell>
          <cell r="J391">
            <v>38163</v>
          </cell>
        </row>
        <row r="392">
          <cell r="A392">
            <v>58725797</v>
          </cell>
          <cell r="B392" t="str">
            <v>АГЕНТСТВО РЕФПЕРЕВОЗОК</v>
          </cell>
          <cell r="C392" t="str">
            <v>ХОВРИНО      (ОКТ)</v>
          </cell>
          <cell r="D392">
            <v>33239</v>
          </cell>
          <cell r="E392">
            <v>37615</v>
          </cell>
          <cell r="F392">
            <v>163</v>
          </cell>
          <cell r="H392">
            <v>0</v>
          </cell>
          <cell r="I392" t="str">
            <v>деп</v>
          </cell>
          <cell r="J392">
            <v>38163</v>
          </cell>
        </row>
        <row r="393">
          <cell r="A393">
            <v>58725896</v>
          </cell>
          <cell r="B393" t="str">
            <v>АГЕНТСТВО РЕФПЕРЕВОЗОК</v>
          </cell>
          <cell r="C393" t="str">
            <v>ХОВРИНО      (ОКТ)</v>
          </cell>
          <cell r="D393">
            <v>33239</v>
          </cell>
          <cell r="E393">
            <v>37615</v>
          </cell>
          <cell r="F393">
            <v>163</v>
          </cell>
          <cell r="H393">
            <v>0</v>
          </cell>
          <cell r="I393" t="str">
            <v>деп</v>
          </cell>
          <cell r="J393">
            <v>38163</v>
          </cell>
        </row>
        <row r="394">
          <cell r="A394">
            <v>58725920</v>
          </cell>
          <cell r="B394" t="str">
            <v>АГЕНТСТВО РЕФПЕРЕВОЗОК</v>
          </cell>
          <cell r="C394" t="str">
            <v>УССУРИЙСК    (ДВС)</v>
          </cell>
          <cell r="D394">
            <v>30590</v>
          </cell>
          <cell r="E394">
            <v>37404</v>
          </cell>
          <cell r="F394">
            <v>163</v>
          </cell>
          <cell r="G394">
            <v>34790</v>
          </cell>
          <cell r="H394">
            <v>0</v>
          </cell>
          <cell r="I394" t="str">
            <v>деп</v>
          </cell>
          <cell r="J394">
            <v>38135</v>
          </cell>
        </row>
        <row r="395">
          <cell r="A395">
            <v>58725938</v>
          </cell>
          <cell r="B395" t="str">
            <v>АГЕНТСТВО РЕФПЕРЕВОЗОК</v>
          </cell>
          <cell r="C395" t="str">
            <v>УССУРИЙСК    (ДВС)</v>
          </cell>
          <cell r="D395">
            <v>30590</v>
          </cell>
          <cell r="E395">
            <v>37404</v>
          </cell>
          <cell r="F395">
            <v>163</v>
          </cell>
          <cell r="G395">
            <v>34790</v>
          </cell>
          <cell r="H395">
            <v>0</v>
          </cell>
          <cell r="I395" t="str">
            <v>деп</v>
          </cell>
          <cell r="J395">
            <v>38135</v>
          </cell>
        </row>
        <row r="396">
          <cell r="A396">
            <v>58725946</v>
          </cell>
          <cell r="B396" t="str">
            <v>АГЕНТСТВО РЕФПЕРЕВОЗОК</v>
          </cell>
          <cell r="C396" t="str">
            <v>УССУРИЙСК    (ДВС)</v>
          </cell>
          <cell r="D396">
            <v>30590</v>
          </cell>
          <cell r="E396">
            <v>37404</v>
          </cell>
          <cell r="F396">
            <v>163</v>
          </cell>
          <cell r="G396">
            <v>34790</v>
          </cell>
          <cell r="H396">
            <v>0</v>
          </cell>
          <cell r="I396" t="str">
            <v>деп</v>
          </cell>
          <cell r="J396">
            <v>38135</v>
          </cell>
        </row>
        <row r="397">
          <cell r="A397">
            <v>58725953</v>
          </cell>
          <cell r="B397" t="str">
            <v>АГЕНТСТВО РЕФПЕРЕВОЗОК</v>
          </cell>
          <cell r="C397" t="str">
            <v>УССУРИЙСК    (ДВС)</v>
          </cell>
          <cell r="D397">
            <v>30590</v>
          </cell>
          <cell r="E397">
            <v>37404</v>
          </cell>
          <cell r="F397">
            <v>163</v>
          </cell>
          <cell r="G397">
            <v>34790</v>
          </cell>
          <cell r="H397">
            <v>0</v>
          </cell>
          <cell r="I397" t="str">
            <v>деп</v>
          </cell>
          <cell r="J397">
            <v>38135</v>
          </cell>
        </row>
        <row r="398">
          <cell r="A398">
            <v>58725961</v>
          </cell>
          <cell r="B398" t="str">
            <v>АГЕНТСТВО РЕФПЕРЕВОЗОК</v>
          </cell>
          <cell r="C398" t="str">
            <v>УССУРИЙСК    (ДВС)</v>
          </cell>
          <cell r="D398">
            <v>29952</v>
          </cell>
          <cell r="E398">
            <v>37686</v>
          </cell>
          <cell r="F398">
            <v>557</v>
          </cell>
          <cell r="G398">
            <v>34881</v>
          </cell>
          <cell r="H398">
            <v>0</v>
          </cell>
          <cell r="I398" t="str">
            <v>деп</v>
          </cell>
          <cell r="J398">
            <v>38417</v>
          </cell>
        </row>
        <row r="399">
          <cell r="A399">
            <v>58725979</v>
          </cell>
          <cell r="B399" t="str">
            <v>АГЕНТСТВО РЕФПЕРЕВОЗОК</v>
          </cell>
          <cell r="C399" t="str">
            <v>УССУРИЙСК    (ДВС)</v>
          </cell>
          <cell r="D399">
            <v>29952</v>
          </cell>
          <cell r="E399">
            <v>37686</v>
          </cell>
          <cell r="F399">
            <v>557</v>
          </cell>
          <cell r="G399">
            <v>34881</v>
          </cell>
          <cell r="H399">
            <v>0</v>
          </cell>
          <cell r="I399" t="str">
            <v>деп</v>
          </cell>
          <cell r="J399">
            <v>38417</v>
          </cell>
        </row>
        <row r="400">
          <cell r="A400">
            <v>58725987</v>
          </cell>
          <cell r="B400" t="str">
            <v>АГЕНТСТВО РЕФПЕРЕВОЗОК</v>
          </cell>
          <cell r="C400" t="str">
            <v>УССУРИЙСК    (ДВС)</v>
          </cell>
          <cell r="D400">
            <v>29952</v>
          </cell>
          <cell r="E400">
            <v>37686</v>
          </cell>
          <cell r="F400">
            <v>557</v>
          </cell>
          <cell r="G400">
            <v>34881</v>
          </cell>
          <cell r="H400">
            <v>0</v>
          </cell>
          <cell r="I400" t="str">
            <v>деп</v>
          </cell>
          <cell r="J400">
            <v>38417</v>
          </cell>
        </row>
        <row r="401">
          <cell r="A401">
            <v>58725995</v>
          </cell>
          <cell r="B401" t="str">
            <v>АГЕНТСТВО РЕФПЕРЕВОЗОК</v>
          </cell>
          <cell r="C401" t="str">
            <v>ХОВРИНО      (ОКТ)</v>
          </cell>
          <cell r="D401">
            <v>33239</v>
          </cell>
          <cell r="E401">
            <v>37685</v>
          </cell>
          <cell r="F401">
            <v>163</v>
          </cell>
          <cell r="H401">
            <v>0</v>
          </cell>
          <cell r="I401" t="str">
            <v>деп</v>
          </cell>
          <cell r="J401">
            <v>38235</v>
          </cell>
        </row>
        <row r="402">
          <cell r="A402">
            <v>58726001</v>
          </cell>
          <cell r="B402" t="str">
            <v>АГЕНТСТВО РЕФПЕРЕВОЗОК</v>
          </cell>
          <cell r="C402" t="str">
            <v>УССУРИЙСК    (ДВС)</v>
          </cell>
          <cell r="D402">
            <v>29952</v>
          </cell>
          <cell r="E402">
            <v>37686</v>
          </cell>
          <cell r="F402">
            <v>557</v>
          </cell>
          <cell r="G402">
            <v>34881</v>
          </cell>
          <cell r="H402">
            <v>0</v>
          </cell>
          <cell r="I402" t="str">
            <v>деп</v>
          </cell>
          <cell r="J402">
            <v>38417</v>
          </cell>
        </row>
        <row r="403">
          <cell r="A403">
            <v>58726019</v>
          </cell>
          <cell r="B403" t="str">
            <v>АГЕНТСТВО РЕФПЕРЕВОЗОК</v>
          </cell>
          <cell r="C403" t="str">
            <v>УССУРИЙСК    (ДВС)</v>
          </cell>
          <cell r="D403">
            <v>29952</v>
          </cell>
          <cell r="E403">
            <v>37512</v>
          </cell>
          <cell r="F403">
            <v>163</v>
          </cell>
          <cell r="G403">
            <v>35156</v>
          </cell>
          <cell r="H403">
            <v>0</v>
          </cell>
          <cell r="I403" t="str">
            <v>деп</v>
          </cell>
          <cell r="J403">
            <v>38243</v>
          </cell>
        </row>
        <row r="404">
          <cell r="A404">
            <v>58726027</v>
          </cell>
          <cell r="B404" t="str">
            <v>АГЕНТСТВО РЕФПЕРЕВОЗОК</v>
          </cell>
          <cell r="C404" t="str">
            <v>УССУРИЙСК    (ДВС)</v>
          </cell>
          <cell r="D404">
            <v>29952</v>
          </cell>
          <cell r="E404">
            <v>37512</v>
          </cell>
          <cell r="F404">
            <v>163</v>
          </cell>
          <cell r="G404">
            <v>35156</v>
          </cell>
          <cell r="H404">
            <v>0</v>
          </cell>
          <cell r="I404" t="str">
            <v>деп</v>
          </cell>
          <cell r="J404">
            <v>38243</v>
          </cell>
        </row>
        <row r="405">
          <cell r="A405">
            <v>58726035</v>
          </cell>
          <cell r="B405" t="str">
            <v>АГЕНТСТВО РЕФПЕРЕВОЗОК</v>
          </cell>
          <cell r="C405" t="str">
            <v>УССУРИЙСК    (ДВС)</v>
          </cell>
          <cell r="D405">
            <v>29952</v>
          </cell>
          <cell r="E405">
            <v>37512</v>
          </cell>
          <cell r="F405">
            <v>163</v>
          </cell>
          <cell r="G405">
            <v>35156</v>
          </cell>
          <cell r="H405">
            <v>0</v>
          </cell>
          <cell r="I405" t="str">
            <v>деп</v>
          </cell>
          <cell r="J405">
            <v>38243</v>
          </cell>
        </row>
        <row r="406">
          <cell r="A406">
            <v>58726043</v>
          </cell>
          <cell r="B406" t="str">
            <v>АГЕНТСТВО РЕФПЕРЕВОЗОК</v>
          </cell>
          <cell r="C406" t="str">
            <v>УССУРИЙСК    (ДВС)</v>
          </cell>
          <cell r="D406">
            <v>29952</v>
          </cell>
          <cell r="E406">
            <v>37512</v>
          </cell>
          <cell r="F406">
            <v>163</v>
          </cell>
          <cell r="G406">
            <v>35156</v>
          </cell>
          <cell r="H406">
            <v>0</v>
          </cell>
          <cell r="I406" t="str">
            <v>деп</v>
          </cell>
          <cell r="J406">
            <v>38243</v>
          </cell>
        </row>
        <row r="407">
          <cell r="A407">
            <v>58726050</v>
          </cell>
          <cell r="B407" t="str">
            <v>АГЕНТСТВО РЕФПЕРЕВОЗОК</v>
          </cell>
          <cell r="C407" t="str">
            <v>УССУРИЙСК    (ДВС)</v>
          </cell>
          <cell r="D407">
            <v>29952</v>
          </cell>
          <cell r="E407">
            <v>37791</v>
          </cell>
          <cell r="F407">
            <v>886</v>
          </cell>
          <cell r="G407">
            <v>35034</v>
          </cell>
          <cell r="H407">
            <v>0</v>
          </cell>
          <cell r="I407" t="str">
            <v>деп</v>
          </cell>
          <cell r="J407">
            <v>38522</v>
          </cell>
        </row>
        <row r="408">
          <cell r="A408">
            <v>58726068</v>
          </cell>
          <cell r="B408" t="str">
            <v>АГЕНТСТВО РЕФПЕРЕВОЗОК</v>
          </cell>
          <cell r="C408" t="str">
            <v>УССУРИЙСК    (ДВС)</v>
          </cell>
          <cell r="D408">
            <v>29952</v>
          </cell>
          <cell r="E408">
            <v>37721</v>
          </cell>
          <cell r="F408">
            <v>350</v>
          </cell>
          <cell r="G408">
            <v>35034</v>
          </cell>
          <cell r="H408">
            <v>0</v>
          </cell>
          <cell r="I408" t="str">
            <v>деп</v>
          </cell>
          <cell r="J408">
            <v>38452</v>
          </cell>
        </row>
        <row r="409">
          <cell r="A409">
            <v>58726076</v>
          </cell>
          <cell r="B409" t="str">
            <v>АГЕНТСТВО РЕФПЕРЕВОЗОК</v>
          </cell>
          <cell r="C409" t="str">
            <v>УССУРИЙСК    (ДВС)</v>
          </cell>
          <cell r="D409">
            <v>29952</v>
          </cell>
          <cell r="E409">
            <v>37721</v>
          </cell>
          <cell r="F409">
            <v>350</v>
          </cell>
          <cell r="G409">
            <v>35034</v>
          </cell>
          <cell r="H409">
            <v>0</v>
          </cell>
          <cell r="I409" t="str">
            <v>деп</v>
          </cell>
          <cell r="J409">
            <v>38452</v>
          </cell>
        </row>
        <row r="410">
          <cell r="A410">
            <v>58726084</v>
          </cell>
          <cell r="B410" t="str">
            <v>АГЕНТСТВО РЕФПЕРЕВОЗОК</v>
          </cell>
          <cell r="C410" t="str">
            <v>УССУРИЙСК    (ДВС)</v>
          </cell>
          <cell r="D410">
            <v>29952</v>
          </cell>
          <cell r="E410">
            <v>37791</v>
          </cell>
          <cell r="F410">
            <v>886</v>
          </cell>
          <cell r="G410">
            <v>35034</v>
          </cell>
          <cell r="H410">
            <v>0</v>
          </cell>
          <cell r="I410" t="str">
            <v>деп</v>
          </cell>
          <cell r="J410">
            <v>38522</v>
          </cell>
        </row>
        <row r="411">
          <cell r="A411">
            <v>58726100</v>
          </cell>
          <cell r="B411" t="str">
            <v>АГЕНТСТВО РЕФПЕРЕВОЗОК</v>
          </cell>
          <cell r="C411" t="str">
            <v>УССУРИЙСК    (ДВС)</v>
          </cell>
          <cell r="D411">
            <v>29952</v>
          </cell>
          <cell r="E411">
            <v>37586</v>
          </cell>
          <cell r="F411">
            <v>163</v>
          </cell>
          <cell r="G411">
            <v>34881</v>
          </cell>
          <cell r="H411">
            <v>0</v>
          </cell>
          <cell r="I411" t="str">
            <v>деп</v>
          </cell>
          <cell r="J411">
            <v>38317</v>
          </cell>
        </row>
        <row r="412">
          <cell r="A412">
            <v>58726118</v>
          </cell>
          <cell r="B412" t="str">
            <v>АГЕНТСТВО РЕФПЕРЕВОЗОК</v>
          </cell>
          <cell r="C412" t="str">
            <v>УССУРИЙСК    (ДВС)</v>
          </cell>
          <cell r="D412">
            <v>29952</v>
          </cell>
          <cell r="E412">
            <v>37529</v>
          </cell>
          <cell r="F412">
            <v>163</v>
          </cell>
          <cell r="G412">
            <v>34881</v>
          </cell>
          <cell r="H412">
            <v>0</v>
          </cell>
          <cell r="I412" t="str">
            <v>деп</v>
          </cell>
          <cell r="J412">
            <v>38260</v>
          </cell>
        </row>
        <row r="413">
          <cell r="A413">
            <v>58726126</v>
          </cell>
          <cell r="B413" t="str">
            <v>АГЕНТСТВО РЕФПЕРЕВОЗОК</v>
          </cell>
          <cell r="C413" t="str">
            <v>УССУРИЙСК    (ДВС)</v>
          </cell>
          <cell r="D413">
            <v>29952</v>
          </cell>
          <cell r="E413">
            <v>37529</v>
          </cell>
          <cell r="F413">
            <v>163</v>
          </cell>
          <cell r="G413">
            <v>34881</v>
          </cell>
          <cell r="H413">
            <v>0</v>
          </cell>
          <cell r="I413" t="str">
            <v>деп</v>
          </cell>
          <cell r="J413">
            <v>38260</v>
          </cell>
        </row>
        <row r="414">
          <cell r="A414">
            <v>58726134</v>
          </cell>
          <cell r="B414" t="str">
            <v>АГЕНТСТВО РЕФПЕРЕВОЗОК</v>
          </cell>
          <cell r="C414" t="str">
            <v>УССУРИЙСК    (ДВС)</v>
          </cell>
          <cell r="D414">
            <v>29952</v>
          </cell>
          <cell r="E414">
            <v>37536</v>
          </cell>
          <cell r="F414">
            <v>163</v>
          </cell>
          <cell r="G414">
            <v>34881</v>
          </cell>
          <cell r="H414">
            <v>0</v>
          </cell>
          <cell r="I414" t="str">
            <v>деп</v>
          </cell>
          <cell r="J414">
            <v>38267</v>
          </cell>
        </row>
        <row r="415">
          <cell r="A415">
            <v>58726142</v>
          </cell>
          <cell r="B415" t="str">
            <v>АГЕНТСТВО РЕФПЕРЕВОЗОК</v>
          </cell>
          <cell r="C415" t="str">
            <v>УССУРИЙСК    (ДВС)</v>
          </cell>
          <cell r="D415">
            <v>29983</v>
          </cell>
          <cell r="E415">
            <v>37433</v>
          </cell>
          <cell r="F415">
            <v>163</v>
          </cell>
          <cell r="G415">
            <v>34366</v>
          </cell>
          <cell r="H415">
            <v>0</v>
          </cell>
          <cell r="I415" t="str">
            <v>деп</v>
          </cell>
          <cell r="J415">
            <v>38164</v>
          </cell>
        </row>
        <row r="416">
          <cell r="A416">
            <v>58726159</v>
          </cell>
          <cell r="B416" t="str">
            <v>АГЕНТСТВО РЕФПЕРЕВОЗОК</v>
          </cell>
          <cell r="C416" t="str">
            <v>УССУРИЙСК    (ДВС)</v>
          </cell>
          <cell r="D416">
            <v>29983</v>
          </cell>
          <cell r="E416">
            <v>37433</v>
          </cell>
          <cell r="F416">
            <v>163</v>
          </cell>
          <cell r="G416">
            <v>34366</v>
          </cell>
          <cell r="H416">
            <v>0</v>
          </cell>
          <cell r="I416" t="str">
            <v>деп</v>
          </cell>
          <cell r="J416">
            <v>38164</v>
          </cell>
        </row>
        <row r="417">
          <cell r="A417">
            <v>58726167</v>
          </cell>
          <cell r="B417" t="str">
            <v>АГЕНТСТВО РЕФПЕРЕВОЗОК</v>
          </cell>
          <cell r="C417" t="str">
            <v>УССУРИЙСК    (ДВС)</v>
          </cell>
          <cell r="D417">
            <v>29983</v>
          </cell>
          <cell r="E417">
            <v>37433</v>
          </cell>
          <cell r="F417">
            <v>163</v>
          </cell>
          <cell r="G417">
            <v>34366</v>
          </cell>
          <cell r="H417">
            <v>0</v>
          </cell>
          <cell r="I417" t="str">
            <v>деп</v>
          </cell>
          <cell r="J417">
            <v>38164</v>
          </cell>
        </row>
        <row r="418">
          <cell r="A418">
            <v>58726175</v>
          </cell>
          <cell r="B418" t="str">
            <v>АГЕНТСТВО РЕФПЕРЕВОЗОК</v>
          </cell>
          <cell r="C418" t="str">
            <v>УССУРИЙСК    (ДВС)</v>
          </cell>
          <cell r="D418">
            <v>29983</v>
          </cell>
          <cell r="E418">
            <v>37433</v>
          </cell>
          <cell r="F418">
            <v>163</v>
          </cell>
          <cell r="G418">
            <v>34366</v>
          </cell>
          <cell r="H418">
            <v>0</v>
          </cell>
          <cell r="I418" t="str">
            <v>деп</v>
          </cell>
          <cell r="J418">
            <v>38164</v>
          </cell>
        </row>
        <row r="419">
          <cell r="A419">
            <v>58726183</v>
          </cell>
          <cell r="B419" t="str">
            <v>АГЕНТСТВО РЕФПЕРЕВОЗОК</v>
          </cell>
          <cell r="C419" t="str">
            <v>УССУРИЙСК    (ДВС)</v>
          </cell>
          <cell r="D419">
            <v>30072</v>
          </cell>
          <cell r="E419">
            <v>37370</v>
          </cell>
          <cell r="F419">
            <v>163</v>
          </cell>
          <cell r="G419">
            <v>35186</v>
          </cell>
          <cell r="H419">
            <v>0</v>
          </cell>
          <cell r="I419" t="str">
            <v>деп</v>
          </cell>
          <cell r="J419">
            <v>38101</v>
          </cell>
        </row>
        <row r="420">
          <cell r="A420">
            <v>58726209</v>
          </cell>
          <cell r="B420" t="str">
            <v>АГЕНТСТВО РЕФПЕРЕВОЗОК</v>
          </cell>
          <cell r="C420" t="str">
            <v>УССУРИЙСК    (ДВС)</v>
          </cell>
          <cell r="D420">
            <v>30072</v>
          </cell>
          <cell r="E420">
            <v>37370</v>
          </cell>
          <cell r="F420">
            <v>163</v>
          </cell>
          <cell r="G420">
            <v>35215</v>
          </cell>
          <cell r="H420">
            <v>75</v>
          </cell>
          <cell r="I420" t="str">
            <v>деп</v>
          </cell>
          <cell r="J420">
            <v>38101</v>
          </cell>
        </row>
        <row r="421">
          <cell r="A421">
            <v>58726217</v>
          </cell>
          <cell r="B421" t="str">
            <v>АГЕНТСТВО РЕФПЕРЕВОЗОК</v>
          </cell>
          <cell r="C421" t="str">
            <v>УССУРИЙСК    (ДВС)</v>
          </cell>
          <cell r="D421">
            <v>30072</v>
          </cell>
          <cell r="E421">
            <v>37370</v>
          </cell>
          <cell r="F421">
            <v>163</v>
          </cell>
          <cell r="G421">
            <v>35215</v>
          </cell>
          <cell r="H421">
            <v>75</v>
          </cell>
          <cell r="I421" t="str">
            <v>деп</v>
          </cell>
          <cell r="J421">
            <v>38101</v>
          </cell>
        </row>
        <row r="422">
          <cell r="A422">
            <v>58726225</v>
          </cell>
          <cell r="B422" t="str">
            <v>АГЕНТСТВО РЕФПЕРЕВОЗОК</v>
          </cell>
          <cell r="C422" t="str">
            <v>УССУРИЙСК    (ДВС)</v>
          </cell>
          <cell r="D422">
            <v>30072</v>
          </cell>
          <cell r="E422">
            <v>37370</v>
          </cell>
          <cell r="F422">
            <v>163</v>
          </cell>
          <cell r="G422">
            <v>35186</v>
          </cell>
          <cell r="H422">
            <v>0</v>
          </cell>
          <cell r="I422" t="str">
            <v>деп</v>
          </cell>
          <cell r="J422">
            <v>38101</v>
          </cell>
        </row>
        <row r="423">
          <cell r="A423">
            <v>58726233</v>
          </cell>
          <cell r="B423" t="str">
            <v>АГЕНТСТВО РЕФПЕРЕВОЗОК</v>
          </cell>
          <cell r="C423" t="str">
            <v>УССУРИЙСК    (ДВС)</v>
          </cell>
          <cell r="D423">
            <v>30072</v>
          </cell>
          <cell r="E423">
            <v>37610</v>
          </cell>
          <cell r="F423">
            <v>163</v>
          </cell>
          <cell r="G423">
            <v>35034</v>
          </cell>
          <cell r="H423">
            <v>0</v>
          </cell>
          <cell r="I423" t="str">
            <v>деп</v>
          </cell>
          <cell r="J423">
            <v>38341</v>
          </cell>
        </row>
        <row r="424">
          <cell r="A424">
            <v>58726241</v>
          </cell>
          <cell r="B424" t="str">
            <v>АГЕНТСТВО РЕФПЕРЕВОЗОК</v>
          </cell>
          <cell r="C424" t="str">
            <v>УССУРИЙСК    (ДВС)</v>
          </cell>
          <cell r="D424">
            <v>30072</v>
          </cell>
          <cell r="E424">
            <v>37610</v>
          </cell>
          <cell r="F424">
            <v>163</v>
          </cell>
          <cell r="G424">
            <v>35034</v>
          </cell>
          <cell r="H424">
            <v>0</v>
          </cell>
          <cell r="I424" t="str">
            <v>деп</v>
          </cell>
          <cell r="J424">
            <v>38341</v>
          </cell>
        </row>
        <row r="425">
          <cell r="A425">
            <v>58726258</v>
          </cell>
          <cell r="B425" t="str">
            <v>АГЕНТСТВО РЕФПЕРЕВОЗОК</v>
          </cell>
          <cell r="C425" t="str">
            <v>УССУРИЙСК    (ДВС)</v>
          </cell>
          <cell r="D425">
            <v>30072</v>
          </cell>
          <cell r="E425">
            <v>37610</v>
          </cell>
          <cell r="F425">
            <v>163</v>
          </cell>
          <cell r="G425">
            <v>35034</v>
          </cell>
          <cell r="H425">
            <v>0</v>
          </cell>
          <cell r="I425" t="str">
            <v>деп</v>
          </cell>
          <cell r="J425">
            <v>38341</v>
          </cell>
        </row>
        <row r="426">
          <cell r="A426">
            <v>58726266</v>
          </cell>
          <cell r="B426" t="str">
            <v>АГЕНТСТВО РЕФПЕРЕВОЗОК</v>
          </cell>
          <cell r="C426" t="str">
            <v>УССУРИЙСК    (ДВС)</v>
          </cell>
          <cell r="D426">
            <v>30072</v>
          </cell>
          <cell r="E426">
            <v>37610</v>
          </cell>
          <cell r="F426">
            <v>163</v>
          </cell>
          <cell r="G426">
            <v>35034</v>
          </cell>
          <cell r="H426">
            <v>0</v>
          </cell>
          <cell r="I426" t="str">
            <v>деп</v>
          </cell>
          <cell r="J426">
            <v>38341</v>
          </cell>
        </row>
        <row r="427">
          <cell r="A427">
            <v>58726274</v>
          </cell>
          <cell r="B427" t="str">
            <v>АГЕНТСТВО РЕФПЕРЕВОЗОК</v>
          </cell>
          <cell r="C427" t="str">
            <v>УССУРИЙСК    (ДВС)</v>
          </cell>
          <cell r="D427">
            <v>30133</v>
          </cell>
          <cell r="E427">
            <v>37618</v>
          </cell>
          <cell r="F427">
            <v>163</v>
          </cell>
          <cell r="G427">
            <v>34943</v>
          </cell>
          <cell r="H427">
            <v>0</v>
          </cell>
          <cell r="I427" t="str">
            <v>деп</v>
          </cell>
          <cell r="J427">
            <v>38349</v>
          </cell>
        </row>
        <row r="428">
          <cell r="A428">
            <v>58726282</v>
          </cell>
          <cell r="B428" t="str">
            <v>АГЕНТСТВО РЕФПЕРЕВОЗОК</v>
          </cell>
          <cell r="C428" t="str">
            <v>УССУРИЙСК    (ДВС)</v>
          </cell>
          <cell r="D428">
            <v>30133</v>
          </cell>
          <cell r="E428">
            <v>37618</v>
          </cell>
          <cell r="F428">
            <v>163</v>
          </cell>
          <cell r="G428">
            <v>34943</v>
          </cell>
          <cell r="H428">
            <v>0</v>
          </cell>
          <cell r="I428" t="str">
            <v>деп</v>
          </cell>
          <cell r="J428">
            <v>38349</v>
          </cell>
        </row>
        <row r="429">
          <cell r="A429">
            <v>58726308</v>
          </cell>
          <cell r="B429" t="str">
            <v>АГЕНТСТВО РЕФПЕРЕВОЗОК</v>
          </cell>
          <cell r="C429" t="str">
            <v>УССУРИЙСК    (ДВС)</v>
          </cell>
          <cell r="D429">
            <v>30133</v>
          </cell>
          <cell r="E429">
            <v>37618</v>
          </cell>
          <cell r="F429">
            <v>163</v>
          </cell>
          <cell r="G429">
            <v>34943</v>
          </cell>
          <cell r="H429">
            <v>0</v>
          </cell>
          <cell r="I429" t="str">
            <v>деп</v>
          </cell>
          <cell r="J429">
            <v>38349</v>
          </cell>
        </row>
        <row r="430">
          <cell r="A430">
            <v>58726316</v>
          </cell>
          <cell r="B430" t="str">
            <v>АГЕНТСТВО РЕФПЕРЕВОЗОК</v>
          </cell>
          <cell r="C430" t="str">
            <v>УССУРИЙСК    (ДВС)</v>
          </cell>
          <cell r="D430">
            <v>30133</v>
          </cell>
          <cell r="E430">
            <v>37618</v>
          </cell>
          <cell r="F430">
            <v>163</v>
          </cell>
          <cell r="G430">
            <v>34943</v>
          </cell>
          <cell r="H430">
            <v>0</v>
          </cell>
          <cell r="I430" t="str">
            <v>деп</v>
          </cell>
          <cell r="J430">
            <v>38349</v>
          </cell>
        </row>
        <row r="431">
          <cell r="A431">
            <v>58726324</v>
          </cell>
          <cell r="B431" t="str">
            <v>АГЕНТСТВО РЕФПЕРЕВОЗОК</v>
          </cell>
          <cell r="C431" t="str">
            <v>УССУРИЙСК    (ДВС)</v>
          </cell>
          <cell r="D431">
            <v>30133</v>
          </cell>
          <cell r="E431">
            <v>37315</v>
          </cell>
          <cell r="F431">
            <v>163</v>
          </cell>
          <cell r="G431">
            <v>34820</v>
          </cell>
          <cell r="H431">
            <v>0</v>
          </cell>
          <cell r="I431" t="str">
            <v>деп</v>
          </cell>
          <cell r="J431">
            <v>38045</v>
          </cell>
        </row>
        <row r="432">
          <cell r="A432">
            <v>58726332</v>
          </cell>
          <cell r="B432" t="str">
            <v>АГЕНТСТВО РЕФПЕРЕВОЗОК</v>
          </cell>
          <cell r="C432" t="str">
            <v>УССУРИЙСК    (ДВС)</v>
          </cell>
          <cell r="D432">
            <v>30133</v>
          </cell>
          <cell r="E432">
            <v>37315</v>
          </cell>
          <cell r="F432">
            <v>163</v>
          </cell>
          <cell r="G432">
            <v>34820</v>
          </cell>
          <cell r="H432">
            <v>0</v>
          </cell>
          <cell r="I432" t="str">
            <v>деп</v>
          </cell>
          <cell r="J432">
            <v>38045</v>
          </cell>
        </row>
        <row r="433">
          <cell r="A433">
            <v>58726340</v>
          </cell>
          <cell r="B433" t="str">
            <v>АГЕНТСТВО РЕФПЕРЕВОЗОК</v>
          </cell>
          <cell r="C433" t="str">
            <v>УССУРИЙСК    (ДВС)</v>
          </cell>
          <cell r="D433">
            <v>30133</v>
          </cell>
          <cell r="E433">
            <v>37885</v>
          </cell>
          <cell r="F433">
            <v>557</v>
          </cell>
          <cell r="G433">
            <v>34820</v>
          </cell>
          <cell r="H433">
            <v>0</v>
          </cell>
          <cell r="I433" t="str">
            <v>деп</v>
          </cell>
          <cell r="J433">
            <v>38312</v>
          </cell>
        </row>
        <row r="434">
          <cell r="A434">
            <v>58726357</v>
          </cell>
          <cell r="B434" t="str">
            <v>АГЕНТСТВО РЕФПЕРЕВОЗОК</v>
          </cell>
          <cell r="C434" t="str">
            <v>УССУРИЙСК    (ДВС)</v>
          </cell>
          <cell r="D434">
            <v>30133</v>
          </cell>
          <cell r="E434">
            <v>37315</v>
          </cell>
          <cell r="F434">
            <v>163</v>
          </cell>
          <cell r="G434">
            <v>34820</v>
          </cell>
          <cell r="H434">
            <v>0</v>
          </cell>
          <cell r="I434" t="str">
            <v>деп</v>
          </cell>
          <cell r="J434">
            <v>38045</v>
          </cell>
        </row>
        <row r="435">
          <cell r="A435">
            <v>58729880</v>
          </cell>
          <cell r="B435" t="str">
            <v>АГЕНТСТВО РЕФПЕРЕВОЗОК</v>
          </cell>
          <cell r="C435" t="str">
            <v>ХОВРИНО      (ОКТ)</v>
          </cell>
          <cell r="D435">
            <v>32509</v>
          </cell>
          <cell r="E435">
            <v>37847</v>
          </cell>
          <cell r="F435">
            <v>557</v>
          </cell>
          <cell r="H435">
            <v>0</v>
          </cell>
          <cell r="I435" t="str">
            <v>кап</v>
          </cell>
          <cell r="J435">
            <v>38397</v>
          </cell>
        </row>
        <row r="436">
          <cell r="A436">
            <v>58729906</v>
          </cell>
          <cell r="B436" t="str">
            <v>АГЕНТСТВО РЕФПЕРЕВОЗОК</v>
          </cell>
          <cell r="C436" t="str">
            <v>ХОВРИНО      (ОКТ)</v>
          </cell>
          <cell r="D436">
            <v>32509</v>
          </cell>
          <cell r="E436">
            <v>37833</v>
          </cell>
          <cell r="F436">
            <v>163</v>
          </cell>
          <cell r="H436">
            <v>0</v>
          </cell>
          <cell r="I436" t="str">
            <v>кап</v>
          </cell>
          <cell r="J436">
            <v>38383</v>
          </cell>
        </row>
        <row r="437">
          <cell r="A437">
            <v>58729930</v>
          </cell>
          <cell r="B437" t="str">
            <v>АГЕНТСТВО РЕФПЕРЕВОЗОК</v>
          </cell>
          <cell r="C437" t="str">
            <v>ХОВРИНО      (ОКТ)</v>
          </cell>
          <cell r="D437">
            <v>32509</v>
          </cell>
          <cell r="E437">
            <v>37859</v>
          </cell>
          <cell r="F437">
            <v>886</v>
          </cell>
          <cell r="H437">
            <v>0</v>
          </cell>
          <cell r="I437" t="str">
            <v>кап</v>
          </cell>
          <cell r="J437">
            <v>38409</v>
          </cell>
        </row>
        <row r="438">
          <cell r="A438">
            <v>58729948</v>
          </cell>
          <cell r="B438" t="str">
            <v>АГЕНТСТВО РЕФПЕРЕВОЗОК</v>
          </cell>
          <cell r="C438" t="str">
            <v>ХОВРИНО      (ОКТ)</v>
          </cell>
          <cell r="D438">
            <v>32509</v>
          </cell>
          <cell r="E438">
            <v>37859</v>
          </cell>
          <cell r="F438">
            <v>886</v>
          </cell>
          <cell r="H438">
            <v>0</v>
          </cell>
          <cell r="I438" t="str">
            <v>кап</v>
          </cell>
          <cell r="J438">
            <v>38409</v>
          </cell>
        </row>
        <row r="439">
          <cell r="A439">
            <v>58729955</v>
          </cell>
          <cell r="B439" t="str">
            <v>АГЕНТСТВО РЕФПЕРЕВОЗОК</v>
          </cell>
          <cell r="C439" t="str">
            <v>ХОВРИНО      (ОКТ)</v>
          </cell>
          <cell r="D439">
            <v>32509</v>
          </cell>
          <cell r="E439">
            <v>37833</v>
          </cell>
          <cell r="F439">
            <v>163</v>
          </cell>
          <cell r="H439">
            <v>0</v>
          </cell>
          <cell r="I439" t="str">
            <v>кап</v>
          </cell>
          <cell r="J439">
            <v>38383</v>
          </cell>
        </row>
        <row r="440">
          <cell r="A440">
            <v>58729963</v>
          </cell>
          <cell r="B440" t="str">
            <v>АГЕНТСТВО РЕФПЕРЕВОЗОК</v>
          </cell>
          <cell r="C440" t="str">
            <v>ХОВРИНО      (ОКТ)</v>
          </cell>
          <cell r="D440">
            <v>32509</v>
          </cell>
          <cell r="E440">
            <v>37859</v>
          </cell>
          <cell r="F440">
            <v>886</v>
          </cell>
          <cell r="H440">
            <v>0</v>
          </cell>
          <cell r="I440" t="str">
            <v>кап</v>
          </cell>
          <cell r="J440">
            <v>38409</v>
          </cell>
        </row>
        <row r="441">
          <cell r="A441">
            <v>58729971</v>
          </cell>
          <cell r="B441" t="str">
            <v>АГЕНТСТВО РЕФПЕРЕВОЗОК</v>
          </cell>
          <cell r="C441" t="str">
            <v>ХОВРИНО      (ОКТ)</v>
          </cell>
          <cell r="D441">
            <v>32509</v>
          </cell>
          <cell r="E441">
            <v>37833</v>
          </cell>
          <cell r="F441">
            <v>163</v>
          </cell>
          <cell r="H441">
            <v>0</v>
          </cell>
          <cell r="I441" t="str">
            <v>кап</v>
          </cell>
          <cell r="J441">
            <v>38383</v>
          </cell>
        </row>
        <row r="442">
          <cell r="A442">
            <v>58729989</v>
          </cell>
          <cell r="B442" t="str">
            <v>АГЕНТСТВО РЕФПЕРЕВОЗОК</v>
          </cell>
          <cell r="C442" t="str">
            <v>ХОВРИНО      (ОКТ)</v>
          </cell>
          <cell r="D442">
            <v>32509</v>
          </cell>
          <cell r="E442">
            <v>37845</v>
          </cell>
          <cell r="F442">
            <v>557</v>
          </cell>
          <cell r="H442">
            <v>0</v>
          </cell>
          <cell r="I442" t="str">
            <v>кап</v>
          </cell>
          <cell r="J442">
            <v>38395</v>
          </cell>
        </row>
        <row r="443">
          <cell r="A443">
            <v>58731449</v>
          </cell>
          <cell r="B443" t="str">
            <v>АГЕНТСТВО РЕФПЕРЕВОЗОК</v>
          </cell>
          <cell r="C443" t="str">
            <v>ХОВРИНО      (ОКТ)</v>
          </cell>
          <cell r="D443">
            <v>32660</v>
          </cell>
          <cell r="E443">
            <v>37799</v>
          </cell>
          <cell r="F443">
            <v>492</v>
          </cell>
          <cell r="H443">
            <v>0</v>
          </cell>
          <cell r="I443" t="str">
            <v>деп</v>
          </cell>
          <cell r="J443">
            <v>38348</v>
          </cell>
        </row>
        <row r="444">
          <cell r="A444">
            <v>58731456</v>
          </cell>
          <cell r="B444" t="str">
            <v>АГЕНТСТВО РЕФПЕРЕВОЗОК</v>
          </cell>
          <cell r="C444" t="str">
            <v>ХОВРИНО      (ОКТ)</v>
          </cell>
          <cell r="D444">
            <v>32660</v>
          </cell>
          <cell r="E444">
            <v>37799</v>
          </cell>
          <cell r="F444">
            <v>492</v>
          </cell>
          <cell r="H444">
            <v>0</v>
          </cell>
          <cell r="I444" t="str">
            <v>деп</v>
          </cell>
          <cell r="J444">
            <v>38348</v>
          </cell>
        </row>
        <row r="445">
          <cell r="A445">
            <v>58731464</v>
          </cell>
          <cell r="B445" t="str">
            <v>АГЕНТСТВО РЕФПЕРЕВОЗОК</v>
          </cell>
          <cell r="C445" t="str">
            <v>ХОВРИНО      (ОКТ)</v>
          </cell>
          <cell r="D445">
            <v>32660</v>
          </cell>
          <cell r="E445">
            <v>37799</v>
          </cell>
          <cell r="F445">
            <v>492</v>
          </cell>
          <cell r="H445">
            <v>0</v>
          </cell>
          <cell r="I445" t="str">
            <v>деп</v>
          </cell>
          <cell r="J445">
            <v>38348</v>
          </cell>
        </row>
        <row r="446">
          <cell r="A446">
            <v>58731472</v>
          </cell>
          <cell r="B446" t="str">
            <v>АГЕНТСТВО РЕФПЕРЕВОЗОК</v>
          </cell>
          <cell r="C446" t="str">
            <v>ХОВРИНО      (ОКТ)</v>
          </cell>
          <cell r="D446">
            <v>32660</v>
          </cell>
          <cell r="E446">
            <v>37799</v>
          </cell>
          <cell r="F446">
            <v>492</v>
          </cell>
          <cell r="H446">
            <v>0</v>
          </cell>
          <cell r="I446" t="str">
            <v>деп</v>
          </cell>
          <cell r="J446">
            <v>38348</v>
          </cell>
        </row>
        <row r="447">
          <cell r="A447">
            <v>58732207</v>
          </cell>
          <cell r="B447" t="str">
            <v>АГЕНТСТВО РЕФПЕРЕВОЗОК</v>
          </cell>
          <cell r="C447" t="str">
            <v>ХОВРИНО      (ОКТ)</v>
          </cell>
          <cell r="D447">
            <v>32629</v>
          </cell>
          <cell r="E447">
            <v>37857</v>
          </cell>
          <cell r="F447">
            <v>492</v>
          </cell>
          <cell r="H447">
            <v>0</v>
          </cell>
          <cell r="I447" t="str">
            <v>деп</v>
          </cell>
          <cell r="J447">
            <v>38407</v>
          </cell>
        </row>
        <row r="448">
          <cell r="A448">
            <v>58732215</v>
          </cell>
          <cell r="B448" t="str">
            <v>АГЕНТСТВО РЕФПЕРЕВОЗОК</v>
          </cell>
          <cell r="C448" t="str">
            <v>ХОВРИНО      (ОКТ)</v>
          </cell>
          <cell r="D448">
            <v>32629</v>
          </cell>
          <cell r="E448">
            <v>37857</v>
          </cell>
          <cell r="F448">
            <v>492</v>
          </cell>
          <cell r="H448">
            <v>0</v>
          </cell>
          <cell r="I448" t="str">
            <v>деп</v>
          </cell>
          <cell r="J448">
            <v>38407</v>
          </cell>
        </row>
        <row r="449">
          <cell r="A449">
            <v>58732223</v>
          </cell>
          <cell r="B449" t="str">
            <v>АГЕНТСТВО РЕФПЕРЕВОЗОК</v>
          </cell>
          <cell r="C449" t="str">
            <v>ХОВРИНО      (ОКТ)</v>
          </cell>
          <cell r="D449">
            <v>32629</v>
          </cell>
          <cell r="E449">
            <v>37857</v>
          </cell>
          <cell r="F449">
            <v>492</v>
          </cell>
          <cell r="H449">
            <v>0</v>
          </cell>
          <cell r="I449" t="str">
            <v>деп</v>
          </cell>
          <cell r="J449">
            <v>38407</v>
          </cell>
        </row>
        <row r="450">
          <cell r="A450">
            <v>58732231</v>
          </cell>
          <cell r="B450" t="str">
            <v>АГЕНТСТВО РЕФПЕРЕВОЗОК</v>
          </cell>
          <cell r="C450" t="str">
            <v>ХОВРИНО      (ОКТ)</v>
          </cell>
          <cell r="D450">
            <v>32629</v>
          </cell>
          <cell r="E450">
            <v>37857</v>
          </cell>
          <cell r="F450">
            <v>492</v>
          </cell>
          <cell r="H450">
            <v>0</v>
          </cell>
          <cell r="I450" t="str">
            <v>деп</v>
          </cell>
          <cell r="J450">
            <v>38407</v>
          </cell>
        </row>
        <row r="451">
          <cell r="B451" t="str">
            <v>АГЕНТСТВО РЕФПЕРЕВОЗОК Количество</v>
          </cell>
          <cell r="D451">
            <v>293</v>
          </cell>
        </row>
        <row r="452">
          <cell r="A452">
            <v>53702551</v>
          </cell>
          <cell r="B452" t="str">
            <v>АДМИНИСТРАЦИЯ ПУРОВСК.Р-НА</v>
          </cell>
          <cell r="C452" t="str">
            <v>КОРОТЧАЕВО   (СВР)</v>
          </cell>
          <cell r="D452">
            <v>33926</v>
          </cell>
          <cell r="F452">
            <v>0</v>
          </cell>
          <cell r="H452">
            <v>0</v>
          </cell>
          <cell r="I452" t="str">
            <v>деп</v>
          </cell>
          <cell r="J452">
            <v>34837</v>
          </cell>
        </row>
        <row r="453">
          <cell r="A453">
            <v>58721283</v>
          </cell>
          <cell r="B453" t="str">
            <v>АДМИНИСТРАЦИЯ ПУРОВСК.Р-НА</v>
          </cell>
          <cell r="C453" t="str">
            <v>КОРОТЧАЕВО   (СВР)</v>
          </cell>
          <cell r="D453">
            <v>33994</v>
          </cell>
          <cell r="F453">
            <v>0</v>
          </cell>
          <cell r="H453">
            <v>0</v>
          </cell>
          <cell r="I453" t="str">
            <v>деп</v>
          </cell>
          <cell r="J453">
            <v>34905</v>
          </cell>
        </row>
        <row r="454">
          <cell r="A454">
            <v>58721309</v>
          </cell>
          <cell r="B454" t="str">
            <v>АДМИНИСТРАЦИЯ ПУРОВСК.Р-НА</v>
          </cell>
          <cell r="C454" t="str">
            <v>КОРОТЧАЕВО   (СВР)</v>
          </cell>
          <cell r="D454">
            <v>33998</v>
          </cell>
          <cell r="F454">
            <v>0</v>
          </cell>
          <cell r="H454">
            <v>0</v>
          </cell>
          <cell r="I454" t="str">
            <v>деп</v>
          </cell>
          <cell r="J454">
            <v>34909</v>
          </cell>
        </row>
        <row r="455">
          <cell r="A455">
            <v>58721317</v>
          </cell>
          <cell r="B455" t="str">
            <v>АДМИНИСТРАЦИЯ ПУРОВСК.Р-НА</v>
          </cell>
          <cell r="C455" t="str">
            <v>КОРОТЧАЕВО   (СВР)</v>
          </cell>
          <cell r="D455">
            <v>34011</v>
          </cell>
          <cell r="F455">
            <v>0</v>
          </cell>
          <cell r="H455">
            <v>0</v>
          </cell>
          <cell r="I455" t="str">
            <v>деп</v>
          </cell>
          <cell r="J455">
            <v>34922</v>
          </cell>
        </row>
        <row r="456">
          <cell r="A456">
            <v>58721325</v>
          </cell>
          <cell r="B456" t="str">
            <v>АДМИНИСТРАЦИЯ ПУРОВСК.Р-НА</v>
          </cell>
          <cell r="C456" t="str">
            <v>КОРОТЧАЕВО   (СВР)</v>
          </cell>
          <cell r="D456">
            <v>34011</v>
          </cell>
          <cell r="F456">
            <v>0</v>
          </cell>
          <cell r="H456">
            <v>0</v>
          </cell>
          <cell r="I456" t="str">
            <v>деп</v>
          </cell>
          <cell r="J456">
            <v>34922</v>
          </cell>
        </row>
        <row r="457">
          <cell r="B457" t="str">
            <v>АДМИНИСТРАЦИЯ ПУРОВСК.Р-НА Количество</v>
          </cell>
          <cell r="D457">
            <v>5</v>
          </cell>
        </row>
        <row r="458">
          <cell r="A458">
            <v>53700910</v>
          </cell>
          <cell r="B458" t="str">
            <v>АЗОВЧЕРАВТОДОРОГА ФД УПТК</v>
          </cell>
          <cell r="C458" t="str">
            <v>ДИНСКАЯ      (СКВ)</v>
          </cell>
          <cell r="D458">
            <v>24624</v>
          </cell>
          <cell r="E458">
            <v>35643</v>
          </cell>
          <cell r="F458">
            <v>0</v>
          </cell>
          <cell r="G458">
            <v>33420</v>
          </cell>
          <cell r="H458">
            <v>0</v>
          </cell>
          <cell r="I458" t="str">
            <v>деп</v>
          </cell>
          <cell r="J458">
            <v>36739</v>
          </cell>
        </row>
        <row r="459">
          <cell r="B459" t="str">
            <v>АЗОВЧЕРАВТОДОРОГА ФД УПТК Количество</v>
          </cell>
          <cell r="D459">
            <v>1</v>
          </cell>
        </row>
        <row r="460">
          <cell r="A460">
            <v>58331885</v>
          </cell>
          <cell r="B460" t="str">
            <v>АЛТАЙХИМПРОМ СЛАВГОРОД.ПО</v>
          </cell>
          <cell r="C460" t="str">
            <v>СЛАВГОРОД    (ЗСБ)</v>
          </cell>
          <cell r="D460">
            <v>28872</v>
          </cell>
          <cell r="E460">
            <v>35725</v>
          </cell>
          <cell r="G460">
            <v>33343</v>
          </cell>
          <cell r="I460" t="str">
            <v>деп</v>
          </cell>
          <cell r="J460">
            <v>36455</v>
          </cell>
        </row>
        <row r="461">
          <cell r="A461">
            <v>58331893</v>
          </cell>
          <cell r="B461" t="str">
            <v>АЛТАЙХИМПРОМ СЛАВГОРОД.ПО</v>
          </cell>
          <cell r="C461" t="str">
            <v>СЛАВГОРОД    (ЗСБ)</v>
          </cell>
          <cell r="D461">
            <v>28872</v>
          </cell>
          <cell r="E461">
            <v>36627</v>
          </cell>
          <cell r="G461">
            <v>37103</v>
          </cell>
          <cell r="H461">
            <v>609</v>
          </cell>
          <cell r="I461" t="str">
            <v>деп</v>
          </cell>
          <cell r="J461">
            <v>37833</v>
          </cell>
        </row>
        <row r="462">
          <cell r="A462">
            <v>58331901</v>
          </cell>
          <cell r="B462" t="str">
            <v>АЛТАЙХИМПРОМ СЛАВГОРОД.ПО</v>
          </cell>
          <cell r="C462" t="str">
            <v>СЛАВГОРОД    (ЗСБ)</v>
          </cell>
          <cell r="D462">
            <v>23667</v>
          </cell>
          <cell r="E462">
            <v>34421</v>
          </cell>
          <cell r="I462" t="str">
            <v>деп</v>
          </cell>
          <cell r="J462">
            <v>35152</v>
          </cell>
        </row>
        <row r="463">
          <cell r="B463" t="str">
            <v>АЛТАЙХИМПРОМ СЛАВГОРОД.ПО Количество</v>
          </cell>
          <cell r="D463">
            <v>3</v>
          </cell>
        </row>
        <row r="464">
          <cell r="A464">
            <v>58000019</v>
          </cell>
          <cell r="B464" t="str">
            <v>АЛЬТАИР-ТРЕЙД</v>
          </cell>
          <cell r="C464" t="str">
            <v>НОВОСИБ-ВОСТ (ЗСБ)</v>
          </cell>
          <cell r="D464">
            <v>32724</v>
          </cell>
          <cell r="F464">
            <v>0</v>
          </cell>
          <cell r="G464">
            <v>37497</v>
          </cell>
          <cell r="H464">
            <v>626</v>
          </cell>
          <cell r="I464" t="str">
            <v>деп</v>
          </cell>
          <cell r="J464">
            <v>38228</v>
          </cell>
        </row>
        <row r="465">
          <cell r="B465" t="str">
            <v>АЛЬТАИР-ТРЕЙД Количество</v>
          </cell>
          <cell r="D465">
            <v>1</v>
          </cell>
        </row>
        <row r="466">
          <cell r="A466">
            <v>53702643</v>
          </cell>
          <cell r="B466" t="str">
            <v>АЛЬФА-БЛОК</v>
          </cell>
          <cell r="C466" t="str">
            <v>БЫКОВО       (МСK)</v>
          </cell>
          <cell r="D466">
            <v>25934</v>
          </cell>
          <cell r="E466">
            <v>37566</v>
          </cell>
          <cell r="F466">
            <v>350</v>
          </cell>
          <cell r="G466">
            <v>35725</v>
          </cell>
          <cell r="H466">
            <v>0</v>
          </cell>
          <cell r="I466" t="str">
            <v>деп</v>
          </cell>
          <cell r="J466">
            <v>38297</v>
          </cell>
        </row>
        <row r="467">
          <cell r="B467" t="str">
            <v>АЛЬФА-БЛОК Количество</v>
          </cell>
          <cell r="D467">
            <v>1</v>
          </cell>
        </row>
        <row r="468">
          <cell r="A468">
            <v>53700555</v>
          </cell>
          <cell r="B468" t="str">
            <v>АНГАРСТРОЙ  ТРАНССТРОЯ</v>
          </cell>
          <cell r="C468" t="str">
            <v>ГИДРОСТРОИТ. (ВСБ)</v>
          </cell>
          <cell r="D468">
            <v>28126</v>
          </cell>
          <cell r="E468">
            <v>35595</v>
          </cell>
          <cell r="G468">
            <v>35551</v>
          </cell>
          <cell r="I468" t="str">
            <v>деп</v>
          </cell>
          <cell r="J468">
            <v>36691</v>
          </cell>
        </row>
        <row r="469">
          <cell r="A469">
            <v>53700563</v>
          </cell>
          <cell r="B469" t="str">
            <v>АНГАРСТРОЙ  ТРАНССТРОЯ</v>
          </cell>
          <cell r="C469" t="str">
            <v>ГИДРОСТРОИТ. (ВСБ)</v>
          </cell>
          <cell r="D469">
            <v>31778</v>
          </cell>
          <cell r="E469">
            <v>36373</v>
          </cell>
          <cell r="F469">
            <v>0</v>
          </cell>
          <cell r="G469">
            <v>35735</v>
          </cell>
          <cell r="H469">
            <v>179</v>
          </cell>
          <cell r="I469" t="str">
            <v>деп</v>
          </cell>
          <cell r="J469">
            <v>37469</v>
          </cell>
        </row>
        <row r="470">
          <cell r="A470">
            <v>53700571</v>
          </cell>
          <cell r="B470" t="str">
            <v>АНГАРСТРОЙ  ТРАНССТРОЯ</v>
          </cell>
          <cell r="C470" t="str">
            <v>ГИДРОСТРОИТ. (ВСБ)</v>
          </cell>
          <cell r="D470">
            <v>31778</v>
          </cell>
          <cell r="E470">
            <v>36495</v>
          </cell>
          <cell r="F470">
            <v>0</v>
          </cell>
          <cell r="G470">
            <v>35462</v>
          </cell>
          <cell r="H470">
            <v>0</v>
          </cell>
          <cell r="I470" t="str">
            <v>деп</v>
          </cell>
          <cell r="J470">
            <v>37591</v>
          </cell>
        </row>
        <row r="471">
          <cell r="A471">
            <v>53700589</v>
          </cell>
          <cell r="B471" t="str">
            <v>АНГАРСТРОЙ  ТРАНССТРОЯ</v>
          </cell>
          <cell r="C471" t="str">
            <v>ГИДРОСТРОИТ. (ВСБ)</v>
          </cell>
          <cell r="D471">
            <v>32874</v>
          </cell>
          <cell r="E471">
            <v>35595</v>
          </cell>
          <cell r="G471">
            <v>35551</v>
          </cell>
          <cell r="I471" t="str">
            <v>деп</v>
          </cell>
          <cell r="J471">
            <v>36691</v>
          </cell>
        </row>
        <row r="472">
          <cell r="B472" t="str">
            <v>АНГАРСТРОЙ  ТРАНССТРОЯ Количество</v>
          </cell>
          <cell r="D472">
            <v>4</v>
          </cell>
        </row>
        <row r="473">
          <cell r="A473">
            <v>53702650</v>
          </cell>
          <cell r="B473" t="str">
            <v>АППАРЕЛЬ-2000</v>
          </cell>
          <cell r="C473" t="str">
            <v>ЛОСИНООСТРОВ (МСK)</v>
          </cell>
          <cell r="D473">
            <v>25934</v>
          </cell>
          <cell r="E473">
            <v>37544</v>
          </cell>
          <cell r="F473">
            <v>350</v>
          </cell>
          <cell r="G473">
            <v>34501</v>
          </cell>
          <cell r="I473" t="str">
            <v>деп</v>
          </cell>
          <cell r="J473">
            <v>38640</v>
          </cell>
        </row>
        <row r="474">
          <cell r="A474">
            <v>53702668</v>
          </cell>
          <cell r="B474" t="str">
            <v>АППАРЕЛЬ-2000</v>
          </cell>
          <cell r="C474" t="str">
            <v>ЛОСИНООСТРОВ (МСK)</v>
          </cell>
          <cell r="D474">
            <v>25934</v>
          </cell>
          <cell r="E474">
            <v>37718</v>
          </cell>
          <cell r="F474">
            <v>350</v>
          </cell>
          <cell r="G474">
            <v>35655</v>
          </cell>
          <cell r="I474" t="str">
            <v>деп</v>
          </cell>
          <cell r="J474">
            <v>38814</v>
          </cell>
        </row>
        <row r="475">
          <cell r="B475" t="str">
            <v>АППАРЕЛЬ-2000 Количество</v>
          </cell>
          <cell r="D475">
            <v>2</v>
          </cell>
        </row>
        <row r="476">
          <cell r="A476">
            <v>53700951</v>
          </cell>
          <cell r="B476" t="str">
            <v>АРТЕЛЬ СТАРАТЕЛЕЙ АМУР</v>
          </cell>
          <cell r="C476" t="str">
            <v>ХАБАРОВСК 2  (ДВС)</v>
          </cell>
          <cell r="D476">
            <v>33087</v>
          </cell>
          <cell r="E476">
            <v>37798</v>
          </cell>
          <cell r="F476">
            <v>163</v>
          </cell>
          <cell r="H476">
            <v>0</v>
          </cell>
          <cell r="I476" t="str">
            <v>деп</v>
          </cell>
          <cell r="J476">
            <v>38347</v>
          </cell>
        </row>
        <row r="477">
          <cell r="A477">
            <v>53701025</v>
          </cell>
          <cell r="B477" t="str">
            <v>АРТЕЛЬ СТАРАТЕЛЕЙ АМУР</v>
          </cell>
          <cell r="C477" t="str">
            <v>ХАБАРОВСК 2  (ДВС)</v>
          </cell>
          <cell r="D477">
            <v>33428</v>
          </cell>
          <cell r="E477">
            <v>37980</v>
          </cell>
          <cell r="F477">
            <v>163</v>
          </cell>
          <cell r="H477">
            <v>0</v>
          </cell>
          <cell r="I477" t="str">
            <v>деп</v>
          </cell>
          <cell r="J477">
            <v>38528</v>
          </cell>
        </row>
        <row r="478">
          <cell r="A478">
            <v>58725300</v>
          </cell>
          <cell r="B478" t="str">
            <v>АРТЕЛЬ СТАРАТЕЛЕЙ АМУР</v>
          </cell>
          <cell r="C478" t="str">
            <v>ХАБАРОВСК 2  (ДВС)</v>
          </cell>
          <cell r="D478">
            <v>32539</v>
          </cell>
          <cell r="E478">
            <v>37798</v>
          </cell>
          <cell r="F478">
            <v>163</v>
          </cell>
          <cell r="H478">
            <v>0</v>
          </cell>
          <cell r="I478" t="str">
            <v>деп</v>
          </cell>
          <cell r="J478">
            <v>38347</v>
          </cell>
        </row>
        <row r="479">
          <cell r="A479">
            <v>58725318</v>
          </cell>
          <cell r="B479" t="str">
            <v>АРТЕЛЬ СТАРАТЕЛЕЙ АМУР</v>
          </cell>
          <cell r="C479" t="str">
            <v>ХАБАРОВСК 2  (ДВС)</v>
          </cell>
          <cell r="D479">
            <v>32539</v>
          </cell>
          <cell r="E479">
            <v>37798</v>
          </cell>
          <cell r="F479">
            <v>163</v>
          </cell>
          <cell r="H479">
            <v>0</v>
          </cell>
          <cell r="I479" t="str">
            <v>деп</v>
          </cell>
          <cell r="J479">
            <v>38347</v>
          </cell>
        </row>
        <row r="480">
          <cell r="A480">
            <v>58725326</v>
          </cell>
          <cell r="B480" t="str">
            <v>АРТЕЛЬ СТАРАТЕЛЕЙ АМУР</v>
          </cell>
          <cell r="C480" t="str">
            <v>ХАБАРОВСК 2  (ДВС)</v>
          </cell>
          <cell r="D480">
            <v>32930</v>
          </cell>
          <cell r="E480">
            <v>37798</v>
          </cell>
          <cell r="F480">
            <v>163</v>
          </cell>
          <cell r="H480">
            <v>0</v>
          </cell>
          <cell r="I480" t="str">
            <v>деп</v>
          </cell>
          <cell r="J480">
            <v>38347</v>
          </cell>
        </row>
        <row r="481">
          <cell r="A481">
            <v>58725334</v>
          </cell>
          <cell r="B481" t="str">
            <v>АРТЕЛЬ СТАРАТЕЛЕЙ АМУР</v>
          </cell>
          <cell r="C481" t="str">
            <v>ХАБАРОВСК 2  (ДВС)</v>
          </cell>
          <cell r="D481">
            <v>32919</v>
          </cell>
          <cell r="E481">
            <v>37798</v>
          </cell>
          <cell r="F481">
            <v>163</v>
          </cell>
          <cell r="H481">
            <v>0</v>
          </cell>
          <cell r="I481" t="str">
            <v>деп</v>
          </cell>
          <cell r="J481">
            <v>38347</v>
          </cell>
        </row>
        <row r="482">
          <cell r="A482">
            <v>58729450</v>
          </cell>
          <cell r="B482" t="str">
            <v>АРТЕЛЬ СТАРАТЕЛЕЙ АМУР</v>
          </cell>
          <cell r="C482" t="str">
            <v>ХАБАРОВСК 2  (ДВС)</v>
          </cell>
          <cell r="D482">
            <v>33428</v>
          </cell>
          <cell r="E482">
            <v>37980</v>
          </cell>
          <cell r="F482">
            <v>163</v>
          </cell>
          <cell r="H482">
            <v>0</v>
          </cell>
          <cell r="I482" t="str">
            <v>деп</v>
          </cell>
          <cell r="J482">
            <v>38528</v>
          </cell>
        </row>
        <row r="483">
          <cell r="A483">
            <v>58729468</v>
          </cell>
          <cell r="B483" t="str">
            <v>АРТЕЛЬ СТАРАТЕЛЕЙ АМУР</v>
          </cell>
          <cell r="C483" t="str">
            <v>ХАБАРОВСК 2  (ДВС)</v>
          </cell>
          <cell r="D483">
            <v>33448</v>
          </cell>
          <cell r="E483">
            <v>37980</v>
          </cell>
          <cell r="F483">
            <v>163</v>
          </cell>
          <cell r="H483">
            <v>0</v>
          </cell>
          <cell r="I483" t="str">
            <v>деп</v>
          </cell>
          <cell r="J483">
            <v>38528</v>
          </cell>
        </row>
        <row r="484">
          <cell r="A484">
            <v>58729476</v>
          </cell>
          <cell r="B484" t="str">
            <v>АРТЕЛЬ СТАРАТЕЛЕЙ АМУР</v>
          </cell>
          <cell r="C484" t="str">
            <v>ХАБАРОВСК 2  (ДВС)</v>
          </cell>
          <cell r="D484">
            <v>33430</v>
          </cell>
          <cell r="E484">
            <v>37980</v>
          </cell>
          <cell r="F484">
            <v>163</v>
          </cell>
          <cell r="H484">
            <v>0</v>
          </cell>
          <cell r="I484" t="str">
            <v>деп</v>
          </cell>
          <cell r="J484">
            <v>38528</v>
          </cell>
        </row>
        <row r="485">
          <cell r="A485">
            <v>58729484</v>
          </cell>
          <cell r="B485" t="str">
            <v>АРТЕЛЬ СТАРАТЕЛЕЙ АМУР</v>
          </cell>
          <cell r="C485" t="str">
            <v>ХАБАРОВСК 2  (ДВС)</v>
          </cell>
          <cell r="D485">
            <v>33429</v>
          </cell>
          <cell r="E485">
            <v>37980</v>
          </cell>
          <cell r="F485">
            <v>163</v>
          </cell>
          <cell r="H485">
            <v>0</v>
          </cell>
          <cell r="I485" t="str">
            <v>деп</v>
          </cell>
          <cell r="J485">
            <v>38528</v>
          </cell>
        </row>
        <row r="486">
          <cell r="B486" t="str">
            <v>АРТЕЛЬ СТАРАТЕЛЕЙ АМУР Количество</v>
          </cell>
          <cell r="D486">
            <v>10</v>
          </cell>
        </row>
        <row r="487">
          <cell r="A487">
            <v>53703914</v>
          </cell>
          <cell r="B487" t="str">
            <v>БАЗА СНАБ.И КОМПЛ.ДОР.ХОЗ.</v>
          </cell>
          <cell r="C487" t="str">
            <v>ПОЧЕП        (МСK)</v>
          </cell>
          <cell r="D487">
            <v>34256</v>
          </cell>
          <cell r="E487">
            <v>37569</v>
          </cell>
          <cell r="F487">
            <v>323</v>
          </cell>
          <cell r="H487">
            <v>0</v>
          </cell>
          <cell r="I487" t="str">
            <v>деп</v>
          </cell>
          <cell r="J487">
            <v>38665</v>
          </cell>
        </row>
        <row r="488">
          <cell r="B488" t="str">
            <v>БАЗА СНАБ.И КОМПЛ.ДОР.ХОЗ. Количество</v>
          </cell>
          <cell r="D488">
            <v>1</v>
          </cell>
        </row>
        <row r="489">
          <cell r="A489">
            <v>58331182</v>
          </cell>
          <cell r="B489" t="str">
            <v>БРАТСКТРАНССТРОЙТОРГ</v>
          </cell>
          <cell r="C489" t="str">
            <v>ГИДРОСТРОИТ. (ВСБ)</v>
          </cell>
          <cell r="D489">
            <v>31842</v>
          </cell>
          <cell r="F489">
            <v>0</v>
          </cell>
          <cell r="G489">
            <v>36521</v>
          </cell>
          <cell r="H489">
            <v>1068</v>
          </cell>
          <cell r="I489" t="str">
            <v>деп</v>
          </cell>
          <cell r="J489">
            <v>38681</v>
          </cell>
        </row>
        <row r="490">
          <cell r="B490" t="str">
            <v>БРАТСКТРАНССТРОЙТОРГ Количество</v>
          </cell>
          <cell r="D490">
            <v>1</v>
          </cell>
        </row>
        <row r="491">
          <cell r="A491">
            <v>53701678</v>
          </cell>
          <cell r="B491" t="str">
            <v>БУРГАЗ ГАЗРОМА</v>
          </cell>
          <cell r="C491" t="str">
            <v>ОБШАРОВКА    (КБШ)</v>
          </cell>
          <cell r="D491">
            <v>33786</v>
          </cell>
          <cell r="E491">
            <v>37336</v>
          </cell>
          <cell r="F491">
            <v>350</v>
          </cell>
          <cell r="I491" t="str">
            <v>деп</v>
          </cell>
          <cell r="J491">
            <v>38432</v>
          </cell>
        </row>
        <row r="492">
          <cell r="A492">
            <v>58338856</v>
          </cell>
          <cell r="B492" t="str">
            <v>БУРГАЗ ГАЗРОМА</v>
          </cell>
          <cell r="C492" t="str">
            <v>ОБШАРОВКА    (КБШ)</v>
          </cell>
          <cell r="D492">
            <v>33786</v>
          </cell>
          <cell r="E492">
            <v>37336</v>
          </cell>
          <cell r="F492">
            <v>350</v>
          </cell>
          <cell r="I492" t="str">
            <v>деп</v>
          </cell>
          <cell r="J492">
            <v>38067</v>
          </cell>
        </row>
        <row r="493">
          <cell r="A493">
            <v>58338864</v>
          </cell>
          <cell r="B493" t="str">
            <v>БУРГАЗ ГАЗРОМА</v>
          </cell>
          <cell r="C493" t="str">
            <v>ОБШАРОВКА    (КБШ)</v>
          </cell>
          <cell r="D493">
            <v>33786</v>
          </cell>
          <cell r="E493">
            <v>37336</v>
          </cell>
          <cell r="F493">
            <v>350</v>
          </cell>
          <cell r="I493" t="str">
            <v>деп</v>
          </cell>
          <cell r="J493">
            <v>38067</v>
          </cell>
        </row>
        <row r="494">
          <cell r="B494" t="str">
            <v>БУРГАЗ ГАЗРОМА Количество</v>
          </cell>
          <cell r="D494">
            <v>3</v>
          </cell>
        </row>
        <row r="495">
          <cell r="A495">
            <v>58330820</v>
          </cell>
          <cell r="B495" t="str">
            <v>В/Ч 14123</v>
          </cell>
          <cell r="C495" t="str">
            <v>ПЛЕСЕЦКАЯ    (СЕВ)</v>
          </cell>
          <cell r="D495">
            <v>29221</v>
          </cell>
          <cell r="I495" t="str">
            <v>деп</v>
          </cell>
          <cell r="J495">
            <v>30317</v>
          </cell>
        </row>
        <row r="496">
          <cell r="A496">
            <v>58330838</v>
          </cell>
          <cell r="B496" t="str">
            <v>В/Ч 14123</v>
          </cell>
          <cell r="C496" t="str">
            <v>ПЛЕСЕЦКАЯ    (СЕВ)</v>
          </cell>
          <cell r="D496">
            <v>29221</v>
          </cell>
          <cell r="I496" t="str">
            <v>деп</v>
          </cell>
          <cell r="J496">
            <v>30317</v>
          </cell>
        </row>
        <row r="497">
          <cell r="B497" t="str">
            <v>В/Ч 14123 Количество</v>
          </cell>
          <cell r="D497">
            <v>2</v>
          </cell>
        </row>
        <row r="498">
          <cell r="A498">
            <v>58140138</v>
          </cell>
          <cell r="B498" t="str">
            <v>В/Ч 40905</v>
          </cell>
          <cell r="C498" t="str">
            <v>ХАБАРОВСК 2  (ДВС)</v>
          </cell>
          <cell r="D498">
            <v>28856</v>
          </cell>
          <cell r="E498">
            <v>33298</v>
          </cell>
          <cell r="I498" t="str">
            <v>кап</v>
          </cell>
          <cell r="J498">
            <v>34029</v>
          </cell>
        </row>
        <row r="499">
          <cell r="A499">
            <v>58140146</v>
          </cell>
          <cell r="B499" t="str">
            <v>В/Ч 40905</v>
          </cell>
          <cell r="C499" t="str">
            <v>ХАБАРОВСК 2  (ДВС)</v>
          </cell>
          <cell r="D499">
            <v>31778</v>
          </cell>
          <cell r="E499">
            <v>34455</v>
          </cell>
          <cell r="F499">
            <v>0</v>
          </cell>
          <cell r="H499">
            <v>0</v>
          </cell>
          <cell r="I499" t="str">
            <v>кап</v>
          </cell>
          <cell r="J499">
            <v>35186</v>
          </cell>
        </row>
        <row r="500">
          <cell r="A500">
            <v>58331497</v>
          </cell>
          <cell r="B500" t="str">
            <v>В/Ч 40905</v>
          </cell>
          <cell r="C500" t="str">
            <v>ХАБАРОВСК 2  (ДВС)</v>
          </cell>
          <cell r="D500">
            <v>29221</v>
          </cell>
          <cell r="E500">
            <v>33635</v>
          </cell>
          <cell r="I500" t="str">
            <v>кап</v>
          </cell>
          <cell r="J500">
            <v>34366</v>
          </cell>
        </row>
        <row r="501">
          <cell r="A501">
            <v>58331505</v>
          </cell>
          <cell r="B501" t="str">
            <v>В/Ч 40905</v>
          </cell>
          <cell r="C501" t="str">
            <v>ХАБАРОВСК 2  (ДВС)</v>
          </cell>
          <cell r="D501">
            <v>31778</v>
          </cell>
          <cell r="E501">
            <v>34394</v>
          </cell>
          <cell r="G501">
            <v>37208</v>
          </cell>
          <cell r="H501">
            <v>163</v>
          </cell>
          <cell r="I501" t="str">
            <v>деп</v>
          </cell>
          <cell r="J501">
            <v>37938</v>
          </cell>
        </row>
        <row r="502">
          <cell r="A502">
            <v>58331513</v>
          </cell>
          <cell r="B502" t="str">
            <v>В/Ч 40905</v>
          </cell>
          <cell r="C502" t="str">
            <v>ХАБАРОВСК 2  (ДВС)</v>
          </cell>
          <cell r="D502">
            <v>31778</v>
          </cell>
          <cell r="E502">
            <v>34335</v>
          </cell>
          <cell r="F502">
            <v>0</v>
          </cell>
          <cell r="H502">
            <v>0</v>
          </cell>
          <cell r="I502" t="str">
            <v>кап</v>
          </cell>
          <cell r="J502">
            <v>35065</v>
          </cell>
        </row>
        <row r="503">
          <cell r="B503" t="str">
            <v>В/Ч 40905 Количество</v>
          </cell>
          <cell r="D503">
            <v>5</v>
          </cell>
        </row>
        <row r="504">
          <cell r="A504">
            <v>58000324</v>
          </cell>
          <cell r="B504" t="str">
            <v>ВИММ-БИЛЛЬ-ДАНН ТРАНС</v>
          </cell>
          <cell r="C504" t="str">
            <v>ХОВРИНО      (ОКТ)</v>
          </cell>
          <cell r="D504">
            <v>33329</v>
          </cell>
          <cell r="E504">
            <v>37743</v>
          </cell>
          <cell r="F504">
            <v>1058</v>
          </cell>
          <cell r="H504">
            <v>0</v>
          </cell>
          <cell r="I504" t="str">
            <v>деп</v>
          </cell>
          <cell r="J504">
            <v>38474</v>
          </cell>
        </row>
        <row r="505">
          <cell r="A505">
            <v>58000332</v>
          </cell>
          <cell r="B505" t="str">
            <v>ВИММ-БИЛЛЬ-ДАНН ТРАНС</v>
          </cell>
          <cell r="C505" t="str">
            <v>ХОВРИНО      (ОКТ)</v>
          </cell>
          <cell r="D505">
            <v>33329</v>
          </cell>
          <cell r="E505">
            <v>37743</v>
          </cell>
          <cell r="F505">
            <v>1058</v>
          </cell>
          <cell r="H505">
            <v>0</v>
          </cell>
          <cell r="I505" t="str">
            <v>деп</v>
          </cell>
          <cell r="J505">
            <v>38474</v>
          </cell>
        </row>
        <row r="506">
          <cell r="A506">
            <v>58000340</v>
          </cell>
          <cell r="B506" t="str">
            <v>ВИММ-БИЛЛЬ-ДАНН ТРАНС</v>
          </cell>
          <cell r="C506" t="str">
            <v>ХОВРИНО      (ОКТ)</v>
          </cell>
          <cell r="D506">
            <v>33329</v>
          </cell>
          <cell r="E506">
            <v>37743</v>
          </cell>
          <cell r="F506">
            <v>1058</v>
          </cell>
          <cell r="H506">
            <v>0</v>
          </cell>
          <cell r="I506" t="str">
            <v>деп</v>
          </cell>
          <cell r="J506">
            <v>38474</v>
          </cell>
        </row>
        <row r="507">
          <cell r="A507">
            <v>58000357</v>
          </cell>
          <cell r="B507" t="str">
            <v>ВИММ-БИЛЛЬ-ДАНН ТРАНС</v>
          </cell>
          <cell r="C507" t="str">
            <v>ХОВРИНО      (ОКТ)</v>
          </cell>
          <cell r="D507">
            <v>33329</v>
          </cell>
          <cell r="E507">
            <v>37743</v>
          </cell>
          <cell r="F507">
            <v>1058</v>
          </cell>
          <cell r="H507">
            <v>0</v>
          </cell>
          <cell r="I507" t="str">
            <v>деп</v>
          </cell>
          <cell r="J507">
            <v>38473</v>
          </cell>
        </row>
        <row r="508">
          <cell r="A508">
            <v>58000365</v>
          </cell>
          <cell r="B508" t="str">
            <v>ВИММ-БИЛЛЬ-ДАНН ТРАНС</v>
          </cell>
          <cell r="C508" t="str">
            <v>ХОВРИНО      (ОКТ)</v>
          </cell>
          <cell r="D508">
            <v>33329</v>
          </cell>
          <cell r="E508">
            <v>37743</v>
          </cell>
          <cell r="F508">
            <v>1058</v>
          </cell>
          <cell r="H508">
            <v>0</v>
          </cell>
          <cell r="I508" t="str">
            <v>деп</v>
          </cell>
          <cell r="J508">
            <v>38474</v>
          </cell>
        </row>
        <row r="509">
          <cell r="A509">
            <v>58000373</v>
          </cell>
          <cell r="B509" t="str">
            <v>ВИММ-БИЛЛЬ-ДАНН ТРАНС</v>
          </cell>
          <cell r="C509" t="str">
            <v>ХОВРИНО      (ОКТ)</v>
          </cell>
          <cell r="D509">
            <v>33329</v>
          </cell>
          <cell r="E509">
            <v>37743</v>
          </cell>
          <cell r="F509">
            <v>1058</v>
          </cell>
          <cell r="H509">
            <v>0</v>
          </cell>
          <cell r="I509" t="str">
            <v>деп</v>
          </cell>
          <cell r="J509">
            <v>38473</v>
          </cell>
        </row>
        <row r="510">
          <cell r="A510">
            <v>58000381</v>
          </cell>
          <cell r="B510" t="str">
            <v>ВИММ-БИЛЛЬ-ДАНН ТРАНС</v>
          </cell>
          <cell r="C510" t="str">
            <v>ХОВРИНО      (ОКТ)</v>
          </cell>
          <cell r="D510">
            <v>33329</v>
          </cell>
          <cell r="E510">
            <v>37743</v>
          </cell>
          <cell r="F510">
            <v>1058</v>
          </cell>
          <cell r="H510">
            <v>0</v>
          </cell>
          <cell r="I510" t="str">
            <v>деп</v>
          </cell>
          <cell r="J510">
            <v>38473</v>
          </cell>
        </row>
        <row r="511">
          <cell r="A511">
            <v>58000407</v>
          </cell>
          <cell r="B511" t="str">
            <v>ВИММ-БИЛЛЬ-ДАНН ТРАНС</v>
          </cell>
          <cell r="C511" t="str">
            <v>ХОВРИНО      (ОКТ)</v>
          </cell>
          <cell r="D511">
            <v>33329</v>
          </cell>
          <cell r="E511">
            <v>37743</v>
          </cell>
          <cell r="F511">
            <v>1058</v>
          </cell>
          <cell r="H511">
            <v>0</v>
          </cell>
          <cell r="I511" t="str">
            <v>деп</v>
          </cell>
          <cell r="J511">
            <v>38474</v>
          </cell>
        </row>
        <row r="512">
          <cell r="A512">
            <v>58000415</v>
          </cell>
          <cell r="B512" t="str">
            <v>ВИММ-БИЛЛЬ-ДАНН ТРАНС</v>
          </cell>
          <cell r="C512" t="str">
            <v>ХОВРИНО      (ОКТ)</v>
          </cell>
          <cell r="D512">
            <v>33329</v>
          </cell>
          <cell r="E512">
            <v>37743</v>
          </cell>
          <cell r="F512">
            <v>1058</v>
          </cell>
          <cell r="H512">
            <v>0</v>
          </cell>
          <cell r="I512" t="str">
            <v>деп</v>
          </cell>
          <cell r="J512">
            <v>38473</v>
          </cell>
        </row>
        <row r="513">
          <cell r="A513">
            <v>58000423</v>
          </cell>
          <cell r="B513" t="str">
            <v>ВИММ-БИЛЛЬ-ДАНН ТРАНС</v>
          </cell>
          <cell r="C513" t="str">
            <v>ХОВРИНО      (ОКТ)</v>
          </cell>
          <cell r="D513">
            <v>33329</v>
          </cell>
          <cell r="E513">
            <v>37743</v>
          </cell>
          <cell r="F513">
            <v>1058</v>
          </cell>
          <cell r="H513">
            <v>0</v>
          </cell>
          <cell r="I513" t="str">
            <v>деп</v>
          </cell>
          <cell r="J513">
            <v>38473</v>
          </cell>
        </row>
        <row r="514">
          <cell r="A514">
            <v>58000431</v>
          </cell>
          <cell r="B514" t="str">
            <v>ВИММ-БИЛЛЬ-ДАНН ТРАНС</v>
          </cell>
          <cell r="C514" t="str">
            <v>ХОВРИНО      (ОКТ)</v>
          </cell>
          <cell r="D514">
            <v>33329</v>
          </cell>
          <cell r="E514">
            <v>37743</v>
          </cell>
          <cell r="F514">
            <v>1058</v>
          </cell>
          <cell r="H514">
            <v>0</v>
          </cell>
          <cell r="I514" t="str">
            <v>деп</v>
          </cell>
          <cell r="J514">
            <v>38474</v>
          </cell>
        </row>
        <row r="515">
          <cell r="A515">
            <v>58000449</v>
          </cell>
          <cell r="B515" t="str">
            <v>ВИММ-БИЛЛЬ-ДАНН ТРАНС</v>
          </cell>
          <cell r="C515" t="str">
            <v>ХОВРИНО      (ОКТ)</v>
          </cell>
          <cell r="D515">
            <v>33329</v>
          </cell>
          <cell r="E515">
            <v>37743</v>
          </cell>
          <cell r="F515">
            <v>1058</v>
          </cell>
          <cell r="H515">
            <v>0</v>
          </cell>
          <cell r="I515" t="str">
            <v>деп</v>
          </cell>
          <cell r="J515">
            <v>38474</v>
          </cell>
        </row>
        <row r="516">
          <cell r="A516">
            <v>58000456</v>
          </cell>
          <cell r="B516" t="str">
            <v>ВИММ-БИЛЛЬ-ДАНН ТРАНС</v>
          </cell>
          <cell r="C516" t="str">
            <v>ХОВРИНО      (ОКТ)</v>
          </cell>
          <cell r="D516">
            <v>33329</v>
          </cell>
          <cell r="E516">
            <v>37743</v>
          </cell>
          <cell r="F516">
            <v>1058</v>
          </cell>
          <cell r="H516">
            <v>0</v>
          </cell>
          <cell r="I516" t="str">
            <v>деп</v>
          </cell>
          <cell r="J516">
            <v>38473</v>
          </cell>
        </row>
        <row r="517">
          <cell r="B517" t="str">
            <v>ВИММ-БИЛЛЬ-ДАНН ТРАНС Количество</v>
          </cell>
          <cell r="D517">
            <v>13</v>
          </cell>
        </row>
        <row r="518">
          <cell r="A518">
            <v>53702577</v>
          </cell>
          <cell r="B518" t="str">
            <v>ВИТА-ФРОСТ</v>
          </cell>
          <cell r="C518" t="str">
            <v>УССУРИЙСК    (ДВС)</v>
          </cell>
          <cell r="D518">
            <v>33694</v>
          </cell>
          <cell r="E518">
            <v>37747</v>
          </cell>
          <cell r="F518">
            <v>350</v>
          </cell>
          <cell r="H518">
            <v>0</v>
          </cell>
          <cell r="I518" t="str">
            <v>деп</v>
          </cell>
          <cell r="J518">
            <v>38297</v>
          </cell>
        </row>
        <row r="519">
          <cell r="A519">
            <v>53705539</v>
          </cell>
          <cell r="B519" t="str">
            <v>ВИТА-ФРОСТ</v>
          </cell>
          <cell r="C519" t="str">
            <v>УССУРИЙСК    (ДВС)</v>
          </cell>
          <cell r="D519">
            <v>33512</v>
          </cell>
          <cell r="E519">
            <v>37797</v>
          </cell>
          <cell r="F519">
            <v>886</v>
          </cell>
          <cell r="H519">
            <v>0</v>
          </cell>
          <cell r="I519" t="str">
            <v>деп</v>
          </cell>
          <cell r="J519">
            <v>38346</v>
          </cell>
        </row>
        <row r="520">
          <cell r="A520">
            <v>58721374</v>
          </cell>
          <cell r="B520" t="str">
            <v>ВИТА-ФРОСТ</v>
          </cell>
          <cell r="C520" t="str">
            <v>УССУРИЙСК    (ДВС)</v>
          </cell>
          <cell r="D520">
            <v>34040</v>
          </cell>
          <cell r="E520">
            <v>37747</v>
          </cell>
          <cell r="F520">
            <v>350</v>
          </cell>
          <cell r="H520">
            <v>0</v>
          </cell>
          <cell r="I520" t="str">
            <v>деп</v>
          </cell>
          <cell r="J520">
            <v>38297</v>
          </cell>
        </row>
        <row r="521">
          <cell r="A521">
            <v>58721382</v>
          </cell>
          <cell r="B521" t="str">
            <v>ВИТА-ФРОСТ</v>
          </cell>
          <cell r="C521" t="str">
            <v>УССУРИЙСК    (ДВС)</v>
          </cell>
          <cell r="D521">
            <v>34040</v>
          </cell>
          <cell r="E521">
            <v>37747</v>
          </cell>
          <cell r="F521">
            <v>350</v>
          </cell>
          <cell r="H521">
            <v>0</v>
          </cell>
          <cell r="I521" t="str">
            <v>деп</v>
          </cell>
          <cell r="J521">
            <v>38297</v>
          </cell>
        </row>
        <row r="522">
          <cell r="A522">
            <v>58721408</v>
          </cell>
          <cell r="B522" t="str">
            <v>ВИТА-ФРОСТ</v>
          </cell>
          <cell r="C522" t="str">
            <v>УССУРИЙСК    (ДВС)</v>
          </cell>
          <cell r="D522">
            <v>34040</v>
          </cell>
          <cell r="E522">
            <v>37747</v>
          </cell>
          <cell r="F522">
            <v>350</v>
          </cell>
          <cell r="H522">
            <v>0</v>
          </cell>
          <cell r="I522" t="str">
            <v>деп</v>
          </cell>
          <cell r="J522">
            <v>38297</v>
          </cell>
        </row>
        <row r="523">
          <cell r="A523">
            <v>58721416</v>
          </cell>
          <cell r="B523" t="str">
            <v>ВИТА-ФРОСТ</v>
          </cell>
          <cell r="C523" t="str">
            <v>УССУРИЙСК    (ДВС)</v>
          </cell>
          <cell r="D523">
            <v>34040</v>
          </cell>
          <cell r="E523">
            <v>37747</v>
          </cell>
          <cell r="F523">
            <v>350</v>
          </cell>
          <cell r="H523">
            <v>0</v>
          </cell>
          <cell r="I523" t="str">
            <v>деп</v>
          </cell>
          <cell r="J523">
            <v>38297</v>
          </cell>
        </row>
        <row r="524">
          <cell r="A524">
            <v>58729310</v>
          </cell>
          <cell r="B524" t="str">
            <v>ВИТА-ФРОСТ</v>
          </cell>
          <cell r="C524" t="str">
            <v>УССУРИЙСК    (ДВС)</v>
          </cell>
          <cell r="D524">
            <v>33512</v>
          </cell>
          <cell r="E524">
            <v>37797</v>
          </cell>
          <cell r="F524">
            <v>886</v>
          </cell>
          <cell r="H524">
            <v>0</v>
          </cell>
          <cell r="I524" t="str">
            <v>деп</v>
          </cell>
          <cell r="J524">
            <v>38346</v>
          </cell>
        </row>
        <row r="525">
          <cell r="A525">
            <v>58729328</v>
          </cell>
          <cell r="B525" t="str">
            <v>ВИТА-ФРОСТ</v>
          </cell>
          <cell r="C525" t="str">
            <v>УССУРИЙСК    (ДВС)</v>
          </cell>
          <cell r="D525">
            <v>33512</v>
          </cell>
          <cell r="E525">
            <v>37797</v>
          </cell>
          <cell r="F525">
            <v>886</v>
          </cell>
          <cell r="H525">
            <v>0</v>
          </cell>
          <cell r="I525" t="str">
            <v>деп</v>
          </cell>
          <cell r="J525">
            <v>38346</v>
          </cell>
        </row>
        <row r="526">
          <cell r="A526">
            <v>58729336</v>
          </cell>
          <cell r="B526" t="str">
            <v>ВИТА-ФРОСТ</v>
          </cell>
          <cell r="C526" t="str">
            <v>УССУРИЙСК    (ДВС)</v>
          </cell>
          <cell r="D526">
            <v>33512</v>
          </cell>
          <cell r="E526">
            <v>37797</v>
          </cell>
          <cell r="F526">
            <v>886</v>
          </cell>
          <cell r="H526">
            <v>0</v>
          </cell>
          <cell r="I526" t="str">
            <v>деп</v>
          </cell>
          <cell r="J526">
            <v>38346</v>
          </cell>
        </row>
        <row r="527">
          <cell r="A527">
            <v>58729344</v>
          </cell>
          <cell r="B527" t="str">
            <v>ВИТА-ФРОСТ</v>
          </cell>
          <cell r="C527" t="str">
            <v>УССУРИЙСК    (ДВС)</v>
          </cell>
          <cell r="D527">
            <v>33512</v>
          </cell>
          <cell r="E527">
            <v>37797</v>
          </cell>
          <cell r="F527">
            <v>886</v>
          </cell>
          <cell r="H527">
            <v>0</v>
          </cell>
          <cell r="I527" t="str">
            <v>деп</v>
          </cell>
          <cell r="J527">
            <v>38346</v>
          </cell>
        </row>
        <row r="528">
          <cell r="B528" t="str">
            <v>ВИТА-ФРОСТ Количество</v>
          </cell>
          <cell r="D528">
            <v>10</v>
          </cell>
        </row>
        <row r="529">
          <cell r="A529">
            <v>58710310</v>
          </cell>
          <cell r="B529" t="str">
            <v>ВИТО</v>
          </cell>
          <cell r="C529" t="str">
            <v>АСТРАХАНЬ 2  (ПРВ)</v>
          </cell>
          <cell r="D529">
            <v>24838</v>
          </cell>
          <cell r="E529">
            <v>35643</v>
          </cell>
          <cell r="I529" t="str">
            <v>деп</v>
          </cell>
          <cell r="J529">
            <v>36373</v>
          </cell>
        </row>
        <row r="530">
          <cell r="A530">
            <v>58710328</v>
          </cell>
          <cell r="B530" t="str">
            <v>ВИТО</v>
          </cell>
          <cell r="C530" t="str">
            <v>АСТРАХАНЬ 2  (ПРВ)</v>
          </cell>
          <cell r="D530">
            <v>24838</v>
          </cell>
          <cell r="E530">
            <v>35643</v>
          </cell>
          <cell r="I530" t="str">
            <v>деп</v>
          </cell>
          <cell r="J530">
            <v>36373</v>
          </cell>
        </row>
        <row r="531">
          <cell r="B531" t="str">
            <v>ВИТО Количество</v>
          </cell>
          <cell r="D531">
            <v>2</v>
          </cell>
        </row>
        <row r="532">
          <cell r="A532">
            <v>53701504</v>
          </cell>
          <cell r="B532" t="str">
            <v>ВКЗ ДАГВИНО</v>
          </cell>
          <cell r="C532" t="str">
            <v>КУПЧИНСКАЯ   (ОКТ)</v>
          </cell>
          <cell r="D532">
            <v>25659</v>
          </cell>
          <cell r="E532">
            <v>35233</v>
          </cell>
          <cell r="G532">
            <v>32766</v>
          </cell>
          <cell r="I532" t="str">
            <v>деп</v>
          </cell>
          <cell r="J532">
            <v>36328</v>
          </cell>
        </row>
        <row r="533">
          <cell r="B533" t="str">
            <v>ВКЗ ДАГВИНО Количество</v>
          </cell>
          <cell r="D533">
            <v>1</v>
          </cell>
        </row>
        <row r="534">
          <cell r="A534">
            <v>53701082</v>
          </cell>
          <cell r="B534" t="str">
            <v>ВЛАДИВОСТОКСК.РЫБНЫЙ ДВОР</v>
          </cell>
          <cell r="C534" t="str">
            <v>КЛЕЩИХА      (ЗСБ)</v>
          </cell>
          <cell r="D534">
            <v>33420</v>
          </cell>
          <cell r="E534">
            <v>38002</v>
          </cell>
          <cell r="F534">
            <v>163</v>
          </cell>
          <cell r="H534">
            <v>0</v>
          </cell>
          <cell r="I534" t="str">
            <v>деп</v>
          </cell>
          <cell r="J534">
            <v>38549</v>
          </cell>
        </row>
        <row r="535">
          <cell r="A535">
            <v>53705687</v>
          </cell>
          <cell r="B535" t="str">
            <v>ВЛАДИВОСТОКСК.РЫБНЫЙ ДВОР</v>
          </cell>
          <cell r="C535" t="str">
            <v>КЛЕЩИХА      (ЗСБ)</v>
          </cell>
          <cell r="D535">
            <v>33208</v>
          </cell>
          <cell r="E535">
            <v>37829</v>
          </cell>
          <cell r="F535">
            <v>557</v>
          </cell>
          <cell r="G535">
            <v>37244</v>
          </cell>
          <cell r="H535">
            <v>616</v>
          </cell>
          <cell r="I535" t="str">
            <v>деп</v>
          </cell>
          <cell r="J535">
            <v>38379</v>
          </cell>
        </row>
        <row r="536">
          <cell r="A536">
            <v>53706248</v>
          </cell>
          <cell r="B536" t="str">
            <v>ВЛАДИВОСТОКСК.РЫБНЫЙ ДВОР</v>
          </cell>
          <cell r="C536" t="str">
            <v>КЛЕЩИХА      (ЗСБ)</v>
          </cell>
          <cell r="D536">
            <v>34578</v>
          </cell>
          <cell r="E536">
            <v>37447</v>
          </cell>
          <cell r="F536">
            <v>616</v>
          </cell>
          <cell r="H536">
            <v>0</v>
          </cell>
          <cell r="I536" t="str">
            <v>деп</v>
          </cell>
          <cell r="J536">
            <v>37996</v>
          </cell>
        </row>
        <row r="537">
          <cell r="A537">
            <v>53706503</v>
          </cell>
          <cell r="B537" t="str">
            <v>ВЛАДИВОСТОКСК.РЫБНЫЙ ДВОР</v>
          </cell>
          <cell r="C537" t="str">
            <v>КЛЕЩИХА      (ЗСБ)</v>
          </cell>
          <cell r="D537">
            <v>33249</v>
          </cell>
          <cell r="E537">
            <v>37739</v>
          </cell>
          <cell r="F537">
            <v>819</v>
          </cell>
          <cell r="H537">
            <v>0</v>
          </cell>
          <cell r="I537" t="str">
            <v>деп</v>
          </cell>
          <cell r="J537">
            <v>38288</v>
          </cell>
        </row>
        <row r="538">
          <cell r="A538">
            <v>58725037</v>
          </cell>
          <cell r="B538" t="str">
            <v>ВЛАДИВОСТОКСК.РЫБНЫЙ ДВОР</v>
          </cell>
          <cell r="C538" t="str">
            <v>КЛЕЩИХА      (ЗСБ)</v>
          </cell>
          <cell r="D538">
            <v>33208</v>
          </cell>
          <cell r="E538">
            <v>37827</v>
          </cell>
          <cell r="F538">
            <v>557</v>
          </cell>
          <cell r="G538">
            <v>37244</v>
          </cell>
          <cell r="H538">
            <v>616</v>
          </cell>
          <cell r="I538" t="str">
            <v>деп</v>
          </cell>
          <cell r="J538">
            <v>38377</v>
          </cell>
        </row>
        <row r="539">
          <cell r="A539">
            <v>58725045</v>
          </cell>
          <cell r="B539" t="str">
            <v>ВЛАДИВОСТОКСК.РЫБНЫЙ ДВОР</v>
          </cell>
          <cell r="C539" t="str">
            <v>КЛЕЩИХА      (ЗСБ)</v>
          </cell>
          <cell r="D539">
            <v>33208</v>
          </cell>
          <cell r="E539">
            <v>37827</v>
          </cell>
          <cell r="F539">
            <v>557</v>
          </cell>
          <cell r="G539">
            <v>37244</v>
          </cell>
          <cell r="H539">
            <v>616</v>
          </cell>
          <cell r="I539" t="str">
            <v>деп</v>
          </cell>
          <cell r="J539">
            <v>38377</v>
          </cell>
        </row>
        <row r="540">
          <cell r="A540">
            <v>58725052</v>
          </cell>
          <cell r="B540" t="str">
            <v>ВЛАДИВОСТОКСК.РЫБНЫЙ ДВОР</v>
          </cell>
          <cell r="C540" t="str">
            <v>КЛЕЩИХА      (ЗСБ)</v>
          </cell>
          <cell r="D540">
            <v>33208</v>
          </cell>
          <cell r="E540">
            <v>37827</v>
          </cell>
          <cell r="F540">
            <v>557</v>
          </cell>
          <cell r="G540">
            <v>37244</v>
          </cell>
          <cell r="H540">
            <v>616</v>
          </cell>
          <cell r="I540" t="str">
            <v>деп</v>
          </cell>
          <cell r="J540">
            <v>38377</v>
          </cell>
        </row>
        <row r="541">
          <cell r="A541">
            <v>58725060</v>
          </cell>
          <cell r="B541" t="str">
            <v>ВЛАДИВОСТОКСК.РЫБНЫЙ ДВОР</v>
          </cell>
          <cell r="C541" t="str">
            <v>КЛЕЩИХА      (ЗСБ)</v>
          </cell>
          <cell r="D541">
            <v>33208</v>
          </cell>
          <cell r="E541">
            <v>37782</v>
          </cell>
          <cell r="F541">
            <v>819</v>
          </cell>
          <cell r="G541">
            <v>37244</v>
          </cell>
          <cell r="H541">
            <v>616</v>
          </cell>
          <cell r="I541" t="str">
            <v>деп</v>
          </cell>
          <cell r="J541">
            <v>38331</v>
          </cell>
        </row>
        <row r="542">
          <cell r="A542">
            <v>58727496</v>
          </cell>
          <cell r="B542" t="str">
            <v>ВЛАДИВОСТОКСК.РЫБНЫЙ ДВОР</v>
          </cell>
          <cell r="C542" t="str">
            <v>КЛЕЩИХА      (ЗСБ)</v>
          </cell>
          <cell r="D542">
            <v>34578</v>
          </cell>
          <cell r="E542">
            <v>37447</v>
          </cell>
          <cell r="F542">
            <v>616</v>
          </cell>
          <cell r="H542">
            <v>0</v>
          </cell>
          <cell r="I542" t="str">
            <v>деп</v>
          </cell>
          <cell r="J542">
            <v>37996</v>
          </cell>
        </row>
        <row r="543">
          <cell r="A543">
            <v>58727595</v>
          </cell>
          <cell r="B543" t="str">
            <v>ВЛАДИВОСТОКСК.РЫБНЫЙ ДВОР</v>
          </cell>
          <cell r="C543" t="str">
            <v>КЛЕЩИХА      (ЗСБ)</v>
          </cell>
          <cell r="D543">
            <v>34578</v>
          </cell>
          <cell r="E543">
            <v>37447</v>
          </cell>
          <cell r="F543">
            <v>616</v>
          </cell>
          <cell r="H543">
            <v>0</v>
          </cell>
          <cell r="I543" t="str">
            <v>деп</v>
          </cell>
          <cell r="J543">
            <v>37996</v>
          </cell>
        </row>
        <row r="544">
          <cell r="A544">
            <v>58740770</v>
          </cell>
          <cell r="B544" t="str">
            <v>ВЛАДИВОСТОКСК.РЫБНЫЙ ДВОР</v>
          </cell>
          <cell r="C544" t="str">
            <v>КЛЕЩИХА      (ЗСБ)</v>
          </cell>
          <cell r="D544">
            <v>33176</v>
          </cell>
          <cell r="E544">
            <v>37739</v>
          </cell>
          <cell r="F544">
            <v>819</v>
          </cell>
          <cell r="H544">
            <v>0</v>
          </cell>
          <cell r="I544" t="str">
            <v>деп</v>
          </cell>
          <cell r="J544">
            <v>38288</v>
          </cell>
        </row>
        <row r="545">
          <cell r="A545">
            <v>58740788</v>
          </cell>
          <cell r="B545" t="str">
            <v>ВЛАДИВОСТОКСК.РЫБНЫЙ ДВОР</v>
          </cell>
          <cell r="C545" t="str">
            <v>КЛЕЩИХА      (ЗСБ)</v>
          </cell>
          <cell r="D545">
            <v>33255</v>
          </cell>
          <cell r="E545">
            <v>37739</v>
          </cell>
          <cell r="F545">
            <v>819</v>
          </cell>
          <cell r="H545">
            <v>0</v>
          </cell>
          <cell r="I545" t="str">
            <v>деп</v>
          </cell>
          <cell r="J545">
            <v>38288</v>
          </cell>
        </row>
        <row r="546">
          <cell r="A546">
            <v>58740804</v>
          </cell>
          <cell r="B546" t="str">
            <v>ВЛАДИВОСТОКСК.РЫБНЫЙ ДВОР</v>
          </cell>
          <cell r="C546" t="str">
            <v>КЛЕЩИХА      (ЗСБ)</v>
          </cell>
          <cell r="D546">
            <v>33227</v>
          </cell>
          <cell r="E546">
            <v>37739</v>
          </cell>
          <cell r="F546">
            <v>819</v>
          </cell>
          <cell r="H546">
            <v>0</v>
          </cell>
          <cell r="I546" t="str">
            <v>деп</v>
          </cell>
          <cell r="J546">
            <v>38288</v>
          </cell>
        </row>
        <row r="547">
          <cell r="A547">
            <v>58740812</v>
          </cell>
          <cell r="B547" t="str">
            <v>ВЛАДИВОСТОКСК.РЫБНЫЙ ДВОР</v>
          </cell>
          <cell r="C547" t="str">
            <v>КЛЕЩИХА      (ЗСБ)</v>
          </cell>
          <cell r="D547">
            <v>33220</v>
          </cell>
          <cell r="E547">
            <v>37739</v>
          </cell>
          <cell r="F547">
            <v>819</v>
          </cell>
          <cell r="H547">
            <v>0</v>
          </cell>
          <cell r="I547" t="str">
            <v>деп</v>
          </cell>
          <cell r="J547">
            <v>38288</v>
          </cell>
        </row>
        <row r="548">
          <cell r="A548">
            <v>58742362</v>
          </cell>
          <cell r="B548" t="str">
            <v>ВЛАДИВОСТОКСК.РЫБНЫЙ ДВОР</v>
          </cell>
          <cell r="C548" t="str">
            <v>КЛЕЩИХА      (ЗСБ)</v>
          </cell>
          <cell r="D548">
            <v>33512</v>
          </cell>
          <cell r="E548">
            <v>38002</v>
          </cell>
          <cell r="F548">
            <v>163</v>
          </cell>
          <cell r="H548">
            <v>0</v>
          </cell>
          <cell r="I548" t="str">
            <v>деп</v>
          </cell>
          <cell r="J548">
            <v>38549</v>
          </cell>
        </row>
        <row r="549">
          <cell r="A549">
            <v>58742370</v>
          </cell>
          <cell r="B549" t="str">
            <v>ВЛАДИВОСТОКСК.РЫБНЫЙ ДВОР</v>
          </cell>
          <cell r="C549" t="str">
            <v>КЛЕЩИХА      (ЗСБ)</v>
          </cell>
          <cell r="D549">
            <v>33512</v>
          </cell>
          <cell r="E549">
            <v>38002</v>
          </cell>
          <cell r="F549">
            <v>163</v>
          </cell>
          <cell r="H549">
            <v>0</v>
          </cell>
          <cell r="I549" t="str">
            <v>деп</v>
          </cell>
          <cell r="J549">
            <v>38549</v>
          </cell>
        </row>
        <row r="550">
          <cell r="A550">
            <v>58742388</v>
          </cell>
          <cell r="B550" t="str">
            <v>ВЛАДИВОСТОКСК.РЫБНЫЙ ДВОР</v>
          </cell>
          <cell r="C550" t="str">
            <v>КЛЕЩИХА      (ЗСБ)</v>
          </cell>
          <cell r="D550">
            <v>33512</v>
          </cell>
          <cell r="E550">
            <v>38002</v>
          </cell>
          <cell r="F550">
            <v>163</v>
          </cell>
          <cell r="H550">
            <v>0</v>
          </cell>
          <cell r="I550" t="str">
            <v>деп</v>
          </cell>
          <cell r="J550">
            <v>38549</v>
          </cell>
        </row>
        <row r="551">
          <cell r="A551">
            <v>58742404</v>
          </cell>
          <cell r="B551" t="str">
            <v>ВЛАДИВОСТОКСК.РЫБНЫЙ ДВОР</v>
          </cell>
          <cell r="C551" t="str">
            <v>КЛЕЩИХА      (ЗСБ)</v>
          </cell>
          <cell r="D551">
            <v>33512</v>
          </cell>
          <cell r="E551">
            <v>38002</v>
          </cell>
          <cell r="F551">
            <v>163</v>
          </cell>
          <cell r="H551">
            <v>0</v>
          </cell>
          <cell r="I551" t="str">
            <v>деп</v>
          </cell>
          <cell r="J551">
            <v>38549</v>
          </cell>
        </row>
        <row r="552">
          <cell r="B552" t="str">
            <v>ВЛАДИВОСТОКСК.РЫБНЫЙ ДВОР Количество</v>
          </cell>
          <cell r="D552">
            <v>18</v>
          </cell>
        </row>
        <row r="553">
          <cell r="A553">
            <v>53705364</v>
          </cell>
          <cell r="B553" t="str">
            <v>ВЛАДТЭК</v>
          </cell>
          <cell r="C553" t="str">
            <v>УССУРИЙСК    (ДВС)</v>
          </cell>
          <cell r="D553">
            <v>33326</v>
          </cell>
          <cell r="E553">
            <v>37796</v>
          </cell>
          <cell r="F553">
            <v>163</v>
          </cell>
          <cell r="H553">
            <v>0</v>
          </cell>
          <cell r="I553" t="str">
            <v>деп</v>
          </cell>
          <cell r="J553">
            <v>38345</v>
          </cell>
        </row>
        <row r="554">
          <cell r="A554">
            <v>58728718</v>
          </cell>
          <cell r="B554" t="str">
            <v>ВЛАДТЭК</v>
          </cell>
          <cell r="C554" t="str">
            <v>УССУРИЙСК    (ДВС)</v>
          </cell>
          <cell r="D554">
            <v>33358</v>
          </cell>
          <cell r="E554">
            <v>37796</v>
          </cell>
          <cell r="F554">
            <v>163</v>
          </cell>
          <cell r="H554">
            <v>0</v>
          </cell>
          <cell r="I554" t="str">
            <v>деп</v>
          </cell>
          <cell r="J554">
            <v>38527</v>
          </cell>
        </row>
        <row r="555">
          <cell r="A555">
            <v>58728726</v>
          </cell>
          <cell r="B555" t="str">
            <v>ВЛАДТЭК</v>
          </cell>
          <cell r="C555" t="str">
            <v>УССУРИЙСК    (ДВС)</v>
          </cell>
          <cell r="D555">
            <v>33358</v>
          </cell>
          <cell r="E555">
            <v>37796</v>
          </cell>
          <cell r="F555">
            <v>163</v>
          </cell>
          <cell r="H555">
            <v>0</v>
          </cell>
          <cell r="I555" t="str">
            <v>деп</v>
          </cell>
          <cell r="J555">
            <v>38527</v>
          </cell>
        </row>
        <row r="556">
          <cell r="A556">
            <v>58728734</v>
          </cell>
          <cell r="B556" t="str">
            <v>ВЛАДТЭК</v>
          </cell>
          <cell r="C556" t="str">
            <v>УССУРИЙСК    (ДВС)</v>
          </cell>
          <cell r="D556">
            <v>33358</v>
          </cell>
          <cell r="E556">
            <v>37796</v>
          </cell>
          <cell r="F556">
            <v>163</v>
          </cell>
          <cell r="H556">
            <v>0</v>
          </cell>
          <cell r="I556" t="str">
            <v>деп</v>
          </cell>
          <cell r="J556">
            <v>38527</v>
          </cell>
        </row>
        <row r="557">
          <cell r="A557">
            <v>58728742</v>
          </cell>
          <cell r="B557" t="str">
            <v>ВЛАДТЭК</v>
          </cell>
          <cell r="C557" t="str">
            <v>УССУРИЙСК    (ДВС)</v>
          </cell>
          <cell r="D557">
            <v>33358</v>
          </cell>
          <cell r="E557">
            <v>37796</v>
          </cell>
          <cell r="F557">
            <v>163</v>
          </cell>
          <cell r="H557">
            <v>0</v>
          </cell>
          <cell r="I557" t="str">
            <v>деп</v>
          </cell>
          <cell r="J557">
            <v>38527</v>
          </cell>
        </row>
        <row r="558">
          <cell r="B558" t="str">
            <v>ВЛАДТЭК Количество</v>
          </cell>
          <cell r="D558">
            <v>5</v>
          </cell>
        </row>
        <row r="559">
          <cell r="A559">
            <v>53703344</v>
          </cell>
          <cell r="B559" t="str">
            <v>ГОСПЛЕМЗВЕРОС-З ПУШКИНСКИЙ</v>
          </cell>
          <cell r="C559" t="str">
            <v>СОФРИНО      (МСK)</v>
          </cell>
          <cell r="D559">
            <v>26299</v>
          </cell>
          <cell r="E559">
            <v>33983</v>
          </cell>
        </row>
        <row r="560">
          <cell r="A560">
            <v>58722257</v>
          </cell>
          <cell r="B560" t="str">
            <v>ГОСПЛЕМЗВЕРОС-З ПУШКИНСКИЙ</v>
          </cell>
          <cell r="C560" t="str">
            <v>СОФРИНО      (МСK)</v>
          </cell>
          <cell r="D560">
            <v>26299</v>
          </cell>
          <cell r="E560">
            <v>33983</v>
          </cell>
        </row>
        <row r="561">
          <cell r="A561">
            <v>58722265</v>
          </cell>
          <cell r="B561" t="str">
            <v>ГОСПЛЕМЗВЕРОС-З ПУШКИНСКИЙ</v>
          </cell>
          <cell r="C561" t="str">
            <v>СОФРИНО      (МСK)</v>
          </cell>
          <cell r="D561">
            <v>26299</v>
          </cell>
          <cell r="E561">
            <v>33983</v>
          </cell>
        </row>
        <row r="562">
          <cell r="A562">
            <v>58722273</v>
          </cell>
          <cell r="B562" t="str">
            <v>ГОСПЛЕМЗВЕРОС-З ПУШКИНСКИЙ</v>
          </cell>
          <cell r="C562" t="str">
            <v>СОФРИНО      (МСK)</v>
          </cell>
          <cell r="D562">
            <v>26299</v>
          </cell>
          <cell r="E562">
            <v>33983</v>
          </cell>
        </row>
        <row r="563">
          <cell r="A563">
            <v>58722281</v>
          </cell>
          <cell r="B563" t="str">
            <v>ГОСПЛЕМЗВЕРОС-З ПУШКИНСКИЙ</v>
          </cell>
          <cell r="C563" t="str">
            <v>СОФРИНО      (МСK)</v>
          </cell>
          <cell r="D563">
            <v>26299</v>
          </cell>
          <cell r="E563">
            <v>33983</v>
          </cell>
        </row>
        <row r="564">
          <cell r="B564" t="str">
            <v>ГОСПЛЕМЗВЕРОС-З ПУШКИНСКИЙ Количество</v>
          </cell>
          <cell r="D564">
            <v>5</v>
          </cell>
        </row>
        <row r="565">
          <cell r="A565">
            <v>53706230</v>
          </cell>
          <cell r="B565" t="str">
            <v>ГРАНД-СЕРВИС</v>
          </cell>
          <cell r="C565" t="str">
            <v>МОС-ТОВ-КУР  (МСK)</v>
          </cell>
          <cell r="D565">
            <v>33171</v>
          </cell>
          <cell r="E565">
            <v>37489</v>
          </cell>
          <cell r="F565">
            <v>350</v>
          </cell>
          <cell r="H565">
            <v>0</v>
          </cell>
          <cell r="I565" t="str">
            <v>деп</v>
          </cell>
          <cell r="J565">
            <v>38038</v>
          </cell>
        </row>
        <row r="566">
          <cell r="A566">
            <v>53706511</v>
          </cell>
          <cell r="B566" t="str">
            <v>ГРАНД-СЕРВИС</v>
          </cell>
          <cell r="C566" t="str">
            <v>МОС-ТОВ-КУР  (МСK)</v>
          </cell>
          <cell r="D566">
            <v>32143</v>
          </cell>
          <cell r="E566">
            <v>37764</v>
          </cell>
          <cell r="F566">
            <v>163</v>
          </cell>
          <cell r="G566">
            <v>36487</v>
          </cell>
          <cell r="H566">
            <v>1065</v>
          </cell>
          <cell r="I566" t="str">
            <v>деп</v>
          </cell>
          <cell r="J566">
            <v>38314</v>
          </cell>
        </row>
        <row r="567">
          <cell r="A567">
            <v>53706529</v>
          </cell>
          <cell r="B567" t="str">
            <v>ГРАНД-СЕРВИС</v>
          </cell>
          <cell r="C567" t="str">
            <v>МОС-ТОВ-КУР  (МСK)</v>
          </cell>
          <cell r="D567">
            <v>32143</v>
          </cell>
          <cell r="E567">
            <v>37768</v>
          </cell>
          <cell r="F567">
            <v>163</v>
          </cell>
          <cell r="G567">
            <v>35960</v>
          </cell>
          <cell r="H567">
            <v>1065</v>
          </cell>
          <cell r="I567" t="str">
            <v>деп</v>
          </cell>
          <cell r="J567">
            <v>38318</v>
          </cell>
        </row>
        <row r="568">
          <cell r="A568">
            <v>53706537</v>
          </cell>
          <cell r="B568" t="str">
            <v>ГРАНД-СЕРВИС</v>
          </cell>
          <cell r="C568" t="str">
            <v>МОС-ТОВ-КУР  (МСK)</v>
          </cell>
          <cell r="D568">
            <v>32143</v>
          </cell>
          <cell r="E568">
            <v>37800</v>
          </cell>
          <cell r="F568">
            <v>163</v>
          </cell>
          <cell r="G568">
            <v>36455</v>
          </cell>
          <cell r="H568">
            <v>1065</v>
          </cell>
          <cell r="I568" t="str">
            <v>деп</v>
          </cell>
          <cell r="J568">
            <v>38349</v>
          </cell>
        </row>
        <row r="569">
          <cell r="A569">
            <v>53706545</v>
          </cell>
          <cell r="B569" t="str">
            <v>ГРАНД-СЕРВИС</v>
          </cell>
          <cell r="C569" t="str">
            <v>МОС-ТОВ-КУР  (МСK)</v>
          </cell>
          <cell r="D569">
            <v>32509</v>
          </cell>
          <cell r="E569">
            <v>37782</v>
          </cell>
          <cell r="F569">
            <v>163</v>
          </cell>
          <cell r="G569">
            <v>36501</v>
          </cell>
          <cell r="H569">
            <v>1065</v>
          </cell>
          <cell r="I569" t="str">
            <v>деп</v>
          </cell>
          <cell r="J569">
            <v>38331</v>
          </cell>
        </row>
        <row r="570">
          <cell r="A570">
            <v>53706552</v>
          </cell>
          <cell r="B570" t="str">
            <v>ГРАНД-СЕРВИС</v>
          </cell>
          <cell r="C570" t="str">
            <v>МОС-ТОВ-КУР  (МСK)</v>
          </cell>
          <cell r="D570">
            <v>32051</v>
          </cell>
          <cell r="E570">
            <v>37862</v>
          </cell>
          <cell r="F570">
            <v>163</v>
          </cell>
          <cell r="G570">
            <v>35941</v>
          </cell>
          <cell r="H570">
            <v>1065</v>
          </cell>
          <cell r="I570" t="str">
            <v>деп</v>
          </cell>
          <cell r="J570">
            <v>38411</v>
          </cell>
        </row>
        <row r="571">
          <cell r="A571">
            <v>53706586</v>
          </cell>
          <cell r="B571" t="str">
            <v>ГРАНД-СЕРВИС</v>
          </cell>
          <cell r="C571" t="str">
            <v>МОС-ТОВ-КУР  (МСK)</v>
          </cell>
          <cell r="D571">
            <v>32143</v>
          </cell>
          <cell r="E571">
            <v>37970</v>
          </cell>
          <cell r="F571">
            <v>163</v>
          </cell>
          <cell r="G571">
            <v>36475</v>
          </cell>
          <cell r="H571">
            <v>1065</v>
          </cell>
          <cell r="I571" t="str">
            <v>деп</v>
          </cell>
          <cell r="J571">
            <v>38518</v>
          </cell>
        </row>
        <row r="572">
          <cell r="A572">
            <v>53706776</v>
          </cell>
          <cell r="B572" t="str">
            <v>ГРАНД-СЕРВИС</v>
          </cell>
          <cell r="C572" t="str">
            <v>МОС-ТОВ-КУР  (МСK)</v>
          </cell>
          <cell r="D572">
            <v>37894</v>
          </cell>
          <cell r="F572">
            <v>0</v>
          </cell>
          <cell r="H572">
            <v>0</v>
          </cell>
          <cell r="I572" t="str">
            <v>деп</v>
          </cell>
          <cell r="J572">
            <v>38806</v>
          </cell>
        </row>
        <row r="573">
          <cell r="A573">
            <v>53706784</v>
          </cell>
          <cell r="B573" t="str">
            <v>ГРАНД-СЕРВИС</v>
          </cell>
          <cell r="C573" t="str">
            <v>МОС-ТОВ-КУР  (МСK)</v>
          </cell>
          <cell r="D573">
            <v>37894</v>
          </cell>
          <cell r="F573">
            <v>0</v>
          </cell>
          <cell r="H573">
            <v>0</v>
          </cell>
          <cell r="I573" t="str">
            <v>деп</v>
          </cell>
          <cell r="J573">
            <v>38806</v>
          </cell>
        </row>
        <row r="574">
          <cell r="A574">
            <v>58726993</v>
          </cell>
          <cell r="B574" t="str">
            <v>ГРАНД-СЕРВИС</v>
          </cell>
          <cell r="C574" t="str">
            <v>МОС-ТОВ-КУР  (МСK)</v>
          </cell>
          <cell r="D574">
            <v>33171</v>
          </cell>
          <cell r="E574">
            <v>37489</v>
          </cell>
          <cell r="F574">
            <v>350</v>
          </cell>
          <cell r="H574">
            <v>0</v>
          </cell>
          <cell r="I574" t="str">
            <v>деп</v>
          </cell>
          <cell r="J574">
            <v>38038</v>
          </cell>
        </row>
        <row r="575">
          <cell r="A575">
            <v>58727090</v>
          </cell>
          <cell r="B575" t="str">
            <v>ГРАНД-СЕРВИС</v>
          </cell>
          <cell r="C575" t="str">
            <v>МОС-ТОВ-КУР  (МСK)</v>
          </cell>
          <cell r="D575">
            <v>33171</v>
          </cell>
          <cell r="E575">
            <v>37489</v>
          </cell>
          <cell r="F575">
            <v>350</v>
          </cell>
          <cell r="H575">
            <v>0</v>
          </cell>
          <cell r="I575" t="str">
            <v>деп</v>
          </cell>
          <cell r="J575">
            <v>38038</v>
          </cell>
        </row>
        <row r="576">
          <cell r="A576">
            <v>58727199</v>
          </cell>
          <cell r="B576" t="str">
            <v>ГРАНД-СЕРВИС</v>
          </cell>
          <cell r="C576" t="str">
            <v>МОС-ТОВ-КУР  (МСK)</v>
          </cell>
          <cell r="D576">
            <v>33171</v>
          </cell>
          <cell r="E576">
            <v>37489</v>
          </cell>
          <cell r="F576">
            <v>350</v>
          </cell>
          <cell r="H576">
            <v>0</v>
          </cell>
          <cell r="I576" t="str">
            <v>деп</v>
          </cell>
          <cell r="J576">
            <v>38038</v>
          </cell>
        </row>
        <row r="577">
          <cell r="A577">
            <v>58727298</v>
          </cell>
          <cell r="B577" t="str">
            <v>ГРАНД-СЕРВИС</v>
          </cell>
          <cell r="C577" t="str">
            <v>МОС-ТОВ-КУР  (МСK)</v>
          </cell>
          <cell r="D577">
            <v>33171</v>
          </cell>
          <cell r="E577">
            <v>37489</v>
          </cell>
          <cell r="F577">
            <v>350</v>
          </cell>
          <cell r="H577">
            <v>0</v>
          </cell>
          <cell r="I577" t="str">
            <v>деп</v>
          </cell>
          <cell r="J577">
            <v>38038</v>
          </cell>
        </row>
        <row r="578">
          <cell r="A578">
            <v>58740705</v>
          </cell>
          <cell r="B578" t="str">
            <v>ГРАНД-СЕРВИС</v>
          </cell>
          <cell r="C578" t="str">
            <v>МОС-ТОВ-КУР  (МСK)</v>
          </cell>
          <cell r="D578">
            <v>33234</v>
          </cell>
          <cell r="E578">
            <v>37776</v>
          </cell>
          <cell r="F578">
            <v>350</v>
          </cell>
          <cell r="H578">
            <v>0</v>
          </cell>
          <cell r="I578" t="str">
            <v>деп</v>
          </cell>
          <cell r="J578">
            <v>38325</v>
          </cell>
        </row>
        <row r="579">
          <cell r="A579">
            <v>58740820</v>
          </cell>
          <cell r="B579" t="str">
            <v>ГРАНД-СЕРВИС</v>
          </cell>
          <cell r="C579" t="str">
            <v>МОС-ТОВ-КУР  (МСK)</v>
          </cell>
          <cell r="D579">
            <v>32143</v>
          </cell>
          <cell r="E579">
            <v>37764</v>
          </cell>
          <cell r="F579">
            <v>163</v>
          </cell>
          <cell r="G579">
            <v>36487</v>
          </cell>
          <cell r="H579">
            <v>1065</v>
          </cell>
          <cell r="I579" t="str">
            <v>деп</v>
          </cell>
          <cell r="J579">
            <v>38314</v>
          </cell>
        </row>
        <row r="580">
          <cell r="A580">
            <v>58740838</v>
          </cell>
          <cell r="B580" t="str">
            <v>ГРАНД-СЕРВИС</v>
          </cell>
          <cell r="C580" t="str">
            <v>МОС-ТОВ-КУР  (МСK)</v>
          </cell>
          <cell r="D580">
            <v>32143</v>
          </cell>
          <cell r="E580">
            <v>37764</v>
          </cell>
          <cell r="F580">
            <v>163</v>
          </cell>
          <cell r="G580">
            <v>36487</v>
          </cell>
          <cell r="H580">
            <v>1065</v>
          </cell>
          <cell r="I580" t="str">
            <v>деп</v>
          </cell>
          <cell r="J580">
            <v>38314</v>
          </cell>
        </row>
        <row r="581">
          <cell r="A581">
            <v>58740846</v>
          </cell>
          <cell r="B581" t="str">
            <v>ГРАНД-СЕРВИС</v>
          </cell>
          <cell r="C581" t="str">
            <v>МОС-ТОВ-КУР  (МСK)</v>
          </cell>
          <cell r="D581">
            <v>32143</v>
          </cell>
          <cell r="E581">
            <v>37764</v>
          </cell>
          <cell r="F581">
            <v>163</v>
          </cell>
          <cell r="G581">
            <v>36487</v>
          </cell>
          <cell r="H581">
            <v>1065</v>
          </cell>
          <cell r="I581" t="str">
            <v>деп</v>
          </cell>
          <cell r="J581">
            <v>38314</v>
          </cell>
        </row>
        <row r="582">
          <cell r="A582">
            <v>58740853</v>
          </cell>
          <cell r="B582" t="str">
            <v>ГРАНД-СЕРВИС</v>
          </cell>
          <cell r="C582" t="str">
            <v>МОС-ТОВ-КУР  (МСK)</v>
          </cell>
          <cell r="D582">
            <v>32143</v>
          </cell>
          <cell r="E582">
            <v>37764</v>
          </cell>
          <cell r="F582">
            <v>163</v>
          </cell>
          <cell r="G582">
            <v>36487</v>
          </cell>
          <cell r="H582">
            <v>1065</v>
          </cell>
          <cell r="I582" t="str">
            <v>деп</v>
          </cell>
          <cell r="J582">
            <v>38314</v>
          </cell>
        </row>
        <row r="583">
          <cell r="A583">
            <v>58740861</v>
          </cell>
          <cell r="B583" t="str">
            <v>ГРАНД-СЕРВИС</v>
          </cell>
          <cell r="C583" t="str">
            <v>МОС-ТОВ-КУР  (МСK)</v>
          </cell>
          <cell r="D583">
            <v>32143</v>
          </cell>
          <cell r="E583">
            <v>37768</v>
          </cell>
          <cell r="F583">
            <v>163</v>
          </cell>
          <cell r="G583">
            <v>35960</v>
          </cell>
          <cell r="H583">
            <v>1065</v>
          </cell>
          <cell r="I583" t="str">
            <v>деп</v>
          </cell>
          <cell r="J583">
            <v>38318</v>
          </cell>
        </row>
        <row r="584">
          <cell r="A584">
            <v>58740879</v>
          </cell>
          <cell r="B584" t="str">
            <v>ГРАНД-СЕРВИС</v>
          </cell>
          <cell r="C584" t="str">
            <v>МОС-ТОВ-КУР  (МСK)</v>
          </cell>
          <cell r="D584">
            <v>32143</v>
          </cell>
          <cell r="E584">
            <v>37768</v>
          </cell>
          <cell r="F584">
            <v>163</v>
          </cell>
          <cell r="G584">
            <v>35960</v>
          </cell>
          <cell r="H584">
            <v>1065</v>
          </cell>
          <cell r="I584" t="str">
            <v>деп</v>
          </cell>
          <cell r="J584">
            <v>38318</v>
          </cell>
        </row>
        <row r="585">
          <cell r="A585">
            <v>58740887</v>
          </cell>
          <cell r="B585" t="str">
            <v>ГРАНД-СЕРВИС</v>
          </cell>
          <cell r="C585" t="str">
            <v>МОС-ТОВ-КУР  (МСK)</v>
          </cell>
          <cell r="D585">
            <v>32143</v>
          </cell>
          <cell r="E585">
            <v>37768</v>
          </cell>
          <cell r="F585">
            <v>163</v>
          </cell>
          <cell r="G585">
            <v>35960</v>
          </cell>
          <cell r="H585">
            <v>1065</v>
          </cell>
          <cell r="I585" t="str">
            <v>деп</v>
          </cell>
          <cell r="J585">
            <v>38318</v>
          </cell>
        </row>
        <row r="586">
          <cell r="A586">
            <v>58740903</v>
          </cell>
          <cell r="B586" t="str">
            <v>ГРАНД-СЕРВИС</v>
          </cell>
          <cell r="C586" t="str">
            <v>МОС-ТОВ-КУР  (МСK)</v>
          </cell>
          <cell r="D586">
            <v>32143</v>
          </cell>
          <cell r="E586">
            <v>37768</v>
          </cell>
          <cell r="F586">
            <v>163</v>
          </cell>
          <cell r="G586">
            <v>35960</v>
          </cell>
          <cell r="H586">
            <v>1065</v>
          </cell>
          <cell r="I586" t="str">
            <v>деп</v>
          </cell>
          <cell r="J586">
            <v>38318</v>
          </cell>
        </row>
        <row r="587">
          <cell r="A587">
            <v>58740911</v>
          </cell>
          <cell r="B587" t="str">
            <v>ГРАНД-СЕРВИС</v>
          </cell>
          <cell r="C587" t="str">
            <v>МОС-ТОВ-КУР  (МСK)</v>
          </cell>
          <cell r="D587">
            <v>32143</v>
          </cell>
          <cell r="E587">
            <v>37800</v>
          </cell>
          <cell r="F587">
            <v>163</v>
          </cell>
          <cell r="G587">
            <v>36455</v>
          </cell>
          <cell r="H587">
            <v>1065</v>
          </cell>
          <cell r="I587" t="str">
            <v>деп</v>
          </cell>
          <cell r="J587">
            <v>38349</v>
          </cell>
        </row>
        <row r="588">
          <cell r="A588">
            <v>58740929</v>
          </cell>
          <cell r="B588" t="str">
            <v>ГРАНД-СЕРВИС</v>
          </cell>
          <cell r="C588" t="str">
            <v>МОС-ТОВ-КУР  (МСK)</v>
          </cell>
          <cell r="D588">
            <v>32143</v>
          </cell>
          <cell r="E588">
            <v>37800</v>
          </cell>
          <cell r="F588">
            <v>163</v>
          </cell>
          <cell r="G588">
            <v>36455</v>
          </cell>
          <cell r="H588">
            <v>1065</v>
          </cell>
          <cell r="I588" t="str">
            <v>деп</v>
          </cell>
          <cell r="J588">
            <v>38349</v>
          </cell>
        </row>
        <row r="589">
          <cell r="A589">
            <v>58740937</v>
          </cell>
          <cell r="B589" t="str">
            <v>ГРАНД-СЕРВИС</v>
          </cell>
          <cell r="C589" t="str">
            <v>МОС-ТОВ-КУР  (МСK)</v>
          </cell>
          <cell r="D589">
            <v>32143</v>
          </cell>
          <cell r="E589">
            <v>37800</v>
          </cell>
          <cell r="F589">
            <v>163</v>
          </cell>
          <cell r="G589">
            <v>36455</v>
          </cell>
          <cell r="H589">
            <v>1065</v>
          </cell>
          <cell r="I589" t="str">
            <v>деп</v>
          </cell>
          <cell r="J589">
            <v>38349</v>
          </cell>
        </row>
        <row r="590">
          <cell r="A590">
            <v>58740945</v>
          </cell>
          <cell r="B590" t="str">
            <v>ГРАНД-СЕРВИС</v>
          </cell>
          <cell r="C590" t="str">
            <v>МОС-ТОВ-КУР  (МСK)</v>
          </cell>
          <cell r="D590">
            <v>32143</v>
          </cell>
          <cell r="E590">
            <v>37800</v>
          </cell>
          <cell r="F590">
            <v>163</v>
          </cell>
          <cell r="G590">
            <v>36455</v>
          </cell>
          <cell r="H590">
            <v>1065</v>
          </cell>
          <cell r="I590" t="str">
            <v>деп</v>
          </cell>
          <cell r="J590">
            <v>38349</v>
          </cell>
        </row>
        <row r="591">
          <cell r="A591">
            <v>58741018</v>
          </cell>
          <cell r="B591" t="str">
            <v>ГРАНД-СЕРВИС</v>
          </cell>
          <cell r="C591" t="str">
            <v>МОС-ТОВ-КУР  (МСK)</v>
          </cell>
          <cell r="D591">
            <v>32509</v>
          </cell>
          <cell r="E591">
            <v>37782</v>
          </cell>
          <cell r="F591">
            <v>163</v>
          </cell>
          <cell r="G591">
            <v>36501</v>
          </cell>
          <cell r="H591">
            <v>1065</v>
          </cell>
          <cell r="I591" t="str">
            <v>деп</v>
          </cell>
          <cell r="J591">
            <v>38331</v>
          </cell>
        </row>
        <row r="592">
          <cell r="A592">
            <v>58741026</v>
          </cell>
          <cell r="B592" t="str">
            <v>ГРАНД-СЕРВИС</v>
          </cell>
          <cell r="C592" t="str">
            <v>МОС-ТОВ-КУР  (МСK)</v>
          </cell>
          <cell r="D592">
            <v>32509</v>
          </cell>
          <cell r="E592">
            <v>37782</v>
          </cell>
          <cell r="F592">
            <v>163</v>
          </cell>
          <cell r="G592">
            <v>36501</v>
          </cell>
          <cell r="H592">
            <v>1065</v>
          </cell>
          <cell r="I592" t="str">
            <v>деп</v>
          </cell>
          <cell r="J592">
            <v>38331</v>
          </cell>
        </row>
        <row r="593">
          <cell r="A593">
            <v>58741034</v>
          </cell>
          <cell r="B593" t="str">
            <v>ГРАНД-СЕРВИС</v>
          </cell>
          <cell r="C593" t="str">
            <v>МОС-ТОВ-КУР  (МСK)</v>
          </cell>
          <cell r="D593">
            <v>32509</v>
          </cell>
          <cell r="E593">
            <v>37782</v>
          </cell>
          <cell r="F593">
            <v>163</v>
          </cell>
          <cell r="G593">
            <v>36501</v>
          </cell>
          <cell r="H593">
            <v>1065</v>
          </cell>
          <cell r="I593" t="str">
            <v>деп</v>
          </cell>
          <cell r="J593">
            <v>38331</v>
          </cell>
        </row>
        <row r="594">
          <cell r="A594">
            <v>58741042</v>
          </cell>
          <cell r="B594" t="str">
            <v>ГРАНД-СЕРВИС</v>
          </cell>
          <cell r="C594" t="str">
            <v>МОС-ТОВ-КУР  (МСK)</v>
          </cell>
          <cell r="D594">
            <v>32509</v>
          </cell>
          <cell r="E594">
            <v>37782</v>
          </cell>
          <cell r="F594">
            <v>163</v>
          </cell>
          <cell r="G594">
            <v>36501</v>
          </cell>
          <cell r="H594">
            <v>1065</v>
          </cell>
          <cell r="I594" t="str">
            <v>деп</v>
          </cell>
          <cell r="J594">
            <v>38331</v>
          </cell>
        </row>
        <row r="595">
          <cell r="A595">
            <v>58741059</v>
          </cell>
          <cell r="B595" t="str">
            <v>ГРАНД-СЕРВИС</v>
          </cell>
          <cell r="C595" t="str">
            <v>МОС-ТОВ-КУР  (МСK)</v>
          </cell>
          <cell r="D595">
            <v>32051</v>
          </cell>
          <cell r="E595">
            <v>37862</v>
          </cell>
          <cell r="F595">
            <v>163</v>
          </cell>
          <cell r="G595">
            <v>35941</v>
          </cell>
          <cell r="H595">
            <v>1065</v>
          </cell>
          <cell r="I595" t="str">
            <v>деп</v>
          </cell>
          <cell r="J595">
            <v>38411</v>
          </cell>
        </row>
        <row r="596">
          <cell r="A596">
            <v>58741067</v>
          </cell>
          <cell r="B596" t="str">
            <v>ГРАНД-СЕРВИС</v>
          </cell>
          <cell r="C596" t="str">
            <v>МОС-ТОВ-КУР  (МСK)</v>
          </cell>
          <cell r="D596">
            <v>32051</v>
          </cell>
          <cell r="E596">
            <v>37862</v>
          </cell>
          <cell r="F596">
            <v>163</v>
          </cell>
          <cell r="G596">
            <v>35941</v>
          </cell>
          <cell r="H596">
            <v>1065</v>
          </cell>
          <cell r="I596" t="str">
            <v>деп</v>
          </cell>
          <cell r="J596">
            <v>38411</v>
          </cell>
        </row>
        <row r="597">
          <cell r="A597">
            <v>58741075</v>
          </cell>
          <cell r="B597" t="str">
            <v>ГРАНД-СЕРВИС</v>
          </cell>
          <cell r="C597" t="str">
            <v>МОС-ТОВ-КУР  (МСK)</v>
          </cell>
          <cell r="D597">
            <v>32051</v>
          </cell>
          <cell r="E597">
            <v>37862</v>
          </cell>
          <cell r="F597">
            <v>163</v>
          </cell>
          <cell r="G597">
            <v>35941</v>
          </cell>
          <cell r="H597">
            <v>1065</v>
          </cell>
          <cell r="I597" t="str">
            <v>деп</v>
          </cell>
          <cell r="J597">
            <v>38411</v>
          </cell>
        </row>
        <row r="598">
          <cell r="A598">
            <v>58741083</v>
          </cell>
          <cell r="B598" t="str">
            <v>ГРАНД-СЕРВИС</v>
          </cell>
          <cell r="C598" t="str">
            <v>МОС-ТОВ-КУР  (МСK)</v>
          </cell>
          <cell r="D598">
            <v>32051</v>
          </cell>
          <cell r="E598">
            <v>37862</v>
          </cell>
          <cell r="F598">
            <v>163</v>
          </cell>
          <cell r="G598">
            <v>35941</v>
          </cell>
          <cell r="H598">
            <v>1065</v>
          </cell>
          <cell r="I598" t="str">
            <v>деп</v>
          </cell>
          <cell r="J598">
            <v>38411</v>
          </cell>
        </row>
        <row r="599">
          <cell r="A599">
            <v>58741117</v>
          </cell>
          <cell r="B599" t="str">
            <v>ГРАНД-СЕРВИС</v>
          </cell>
          <cell r="C599" t="str">
            <v>МОС-ТОВ-КУР  (МСK)</v>
          </cell>
          <cell r="D599">
            <v>32143</v>
          </cell>
          <cell r="E599">
            <v>37970</v>
          </cell>
          <cell r="F599">
            <v>163</v>
          </cell>
          <cell r="G599">
            <v>36475</v>
          </cell>
          <cell r="H599">
            <v>1065</v>
          </cell>
          <cell r="I599" t="str">
            <v>деп</v>
          </cell>
          <cell r="J599">
            <v>38518</v>
          </cell>
        </row>
        <row r="600">
          <cell r="A600">
            <v>58741125</v>
          </cell>
          <cell r="B600" t="str">
            <v>ГРАНД-СЕРВИС</v>
          </cell>
          <cell r="C600" t="str">
            <v>МОС-ТОВ-КУР  (МСK)</v>
          </cell>
          <cell r="D600">
            <v>32143</v>
          </cell>
          <cell r="E600">
            <v>37970</v>
          </cell>
          <cell r="F600">
            <v>163</v>
          </cell>
          <cell r="G600">
            <v>36475</v>
          </cell>
          <cell r="H600">
            <v>1065</v>
          </cell>
          <cell r="I600" t="str">
            <v>деп</v>
          </cell>
          <cell r="J600">
            <v>38518</v>
          </cell>
        </row>
        <row r="601">
          <cell r="A601">
            <v>58741133</v>
          </cell>
          <cell r="B601" t="str">
            <v>ГРАНД-СЕРВИС</v>
          </cell>
          <cell r="C601" t="str">
            <v>МОС-ТОВ-КУР  (МСK)</v>
          </cell>
          <cell r="D601">
            <v>32143</v>
          </cell>
          <cell r="E601">
            <v>37970</v>
          </cell>
          <cell r="F601">
            <v>163</v>
          </cell>
          <cell r="G601">
            <v>36475</v>
          </cell>
          <cell r="H601">
            <v>1065</v>
          </cell>
          <cell r="I601" t="str">
            <v>деп</v>
          </cell>
          <cell r="J601">
            <v>38518</v>
          </cell>
        </row>
        <row r="602">
          <cell r="A602">
            <v>58741141</v>
          </cell>
          <cell r="B602" t="str">
            <v>ГРАНД-СЕРВИС</v>
          </cell>
          <cell r="C602" t="str">
            <v>МОС-ТОВ-КУР  (МСK)</v>
          </cell>
          <cell r="D602">
            <v>32143</v>
          </cell>
          <cell r="E602">
            <v>37970</v>
          </cell>
          <cell r="F602">
            <v>163</v>
          </cell>
          <cell r="G602">
            <v>36475</v>
          </cell>
          <cell r="H602">
            <v>1065</v>
          </cell>
          <cell r="I602" t="str">
            <v>деп</v>
          </cell>
          <cell r="J602">
            <v>38518</v>
          </cell>
        </row>
        <row r="603">
          <cell r="B603" t="str">
            <v>ГРАНД-СЕРВИС Количество</v>
          </cell>
          <cell r="D603">
            <v>38</v>
          </cell>
        </row>
        <row r="604">
          <cell r="A604">
            <v>53701454</v>
          </cell>
          <cell r="B604" t="str">
            <v>ГУДМАН</v>
          </cell>
          <cell r="C604" t="str">
            <v>МОС-ТОВ-КУР  (МСK)</v>
          </cell>
          <cell r="D604">
            <v>33543</v>
          </cell>
          <cell r="E604">
            <v>37778</v>
          </cell>
          <cell r="F604">
            <v>163</v>
          </cell>
          <cell r="H604">
            <v>0</v>
          </cell>
          <cell r="I604" t="str">
            <v>деп</v>
          </cell>
          <cell r="J604">
            <v>38327</v>
          </cell>
        </row>
        <row r="605">
          <cell r="A605">
            <v>53701736</v>
          </cell>
          <cell r="B605" t="str">
            <v>ГУДМАН</v>
          </cell>
          <cell r="C605" t="str">
            <v>ЛЮБЕРЦЫ 1    (МСK)</v>
          </cell>
          <cell r="D605">
            <v>33473</v>
          </cell>
          <cell r="E605">
            <v>37217</v>
          </cell>
          <cell r="F605">
            <v>335</v>
          </cell>
          <cell r="H605">
            <v>0</v>
          </cell>
          <cell r="I605" t="str">
            <v>кап</v>
          </cell>
          <cell r="J605">
            <v>38313</v>
          </cell>
        </row>
        <row r="606">
          <cell r="A606">
            <v>58339052</v>
          </cell>
          <cell r="B606" t="str">
            <v>ГУДМАН</v>
          </cell>
          <cell r="C606" t="str">
            <v>ЛЮБЕРЦЫ 1    (МСK)</v>
          </cell>
          <cell r="D606">
            <v>33473</v>
          </cell>
          <cell r="E606">
            <v>37974</v>
          </cell>
          <cell r="F606">
            <v>647</v>
          </cell>
          <cell r="H606">
            <v>0</v>
          </cell>
          <cell r="I606" t="str">
            <v>деп</v>
          </cell>
          <cell r="J606">
            <v>38705</v>
          </cell>
        </row>
        <row r="607">
          <cell r="A607">
            <v>58339060</v>
          </cell>
          <cell r="B607" t="str">
            <v>ГУДМАН</v>
          </cell>
          <cell r="C607" t="str">
            <v>ЛЮБЕРЦЫ 1    (МСK)</v>
          </cell>
          <cell r="D607">
            <v>33469</v>
          </cell>
          <cell r="E607">
            <v>37975</v>
          </cell>
          <cell r="F607">
            <v>647</v>
          </cell>
          <cell r="H607">
            <v>0</v>
          </cell>
          <cell r="I607" t="str">
            <v>деп</v>
          </cell>
          <cell r="J607">
            <v>38706</v>
          </cell>
        </row>
        <row r="608">
          <cell r="A608">
            <v>58339078</v>
          </cell>
          <cell r="B608" t="str">
            <v>ГУДМАН</v>
          </cell>
          <cell r="C608" t="str">
            <v>ЛЮБЕРЦЫ 1    (МСK)</v>
          </cell>
          <cell r="D608">
            <v>33493</v>
          </cell>
          <cell r="E608">
            <v>37973</v>
          </cell>
          <cell r="F608">
            <v>647</v>
          </cell>
          <cell r="H608">
            <v>0</v>
          </cell>
          <cell r="I608" t="str">
            <v>деп</v>
          </cell>
          <cell r="J608">
            <v>38704</v>
          </cell>
        </row>
        <row r="609">
          <cell r="A609">
            <v>58339086</v>
          </cell>
          <cell r="B609" t="str">
            <v>ГУДМАН</v>
          </cell>
          <cell r="C609" t="str">
            <v>ЛЮБЕРЦЫ 1    (МСK)</v>
          </cell>
          <cell r="D609">
            <v>33477</v>
          </cell>
          <cell r="E609">
            <v>37973</v>
          </cell>
          <cell r="F609">
            <v>647</v>
          </cell>
          <cell r="H609">
            <v>0</v>
          </cell>
          <cell r="I609" t="str">
            <v>деп</v>
          </cell>
          <cell r="J609">
            <v>38704</v>
          </cell>
        </row>
        <row r="610">
          <cell r="A610">
            <v>58724832</v>
          </cell>
          <cell r="B610" t="str">
            <v>ГУДМАН</v>
          </cell>
          <cell r="C610" t="str">
            <v>МОС-ТОВ-КУР  (МСK)</v>
          </cell>
          <cell r="D610">
            <v>33573</v>
          </cell>
          <cell r="E610">
            <v>37778</v>
          </cell>
          <cell r="F610">
            <v>163</v>
          </cell>
          <cell r="H610">
            <v>0</v>
          </cell>
          <cell r="I610" t="str">
            <v>деп</v>
          </cell>
          <cell r="J610">
            <v>38327</v>
          </cell>
        </row>
        <row r="611">
          <cell r="A611">
            <v>58724840</v>
          </cell>
          <cell r="B611" t="str">
            <v>ГУДМАН</v>
          </cell>
          <cell r="C611" t="str">
            <v>МОС-ТОВ-КУР  (МСK)</v>
          </cell>
          <cell r="D611">
            <v>33573</v>
          </cell>
          <cell r="E611">
            <v>37778</v>
          </cell>
          <cell r="F611">
            <v>163</v>
          </cell>
          <cell r="H611">
            <v>0</v>
          </cell>
          <cell r="I611" t="str">
            <v>деп</v>
          </cell>
          <cell r="J611">
            <v>38327</v>
          </cell>
        </row>
        <row r="612">
          <cell r="A612">
            <v>58724857</v>
          </cell>
          <cell r="B612" t="str">
            <v>ГУДМАН</v>
          </cell>
          <cell r="C612" t="str">
            <v>МОС-ТОВ-КУР  (МСK)</v>
          </cell>
          <cell r="D612">
            <v>33573</v>
          </cell>
          <cell r="E612">
            <v>37778</v>
          </cell>
          <cell r="F612">
            <v>163</v>
          </cell>
          <cell r="H612">
            <v>0</v>
          </cell>
          <cell r="I612" t="str">
            <v>деп</v>
          </cell>
          <cell r="J612">
            <v>38327</v>
          </cell>
        </row>
        <row r="613">
          <cell r="A613">
            <v>58724865</v>
          </cell>
          <cell r="B613" t="str">
            <v>ГУДМАН</v>
          </cell>
          <cell r="C613" t="str">
            <v>МОС-ТОВ-КУР  (МСK)</v>
          </cell>
          <cell r="D613">
            <v>33573</v>
          </cell>
          <cell r="E613">
            <v>37778</v>
          </cell>
          <cell r="F613">
            <v>163</v>
          </cell>
          <cell r="H613">
            <v>0</v>
          </cell>
          <cell r="I613" t="str">
            <v>деп</v>
          </cell>
          <cell r="J613">
            <v>38327</v>
          </cell>
        </row>
        <row r="614">
          <cell r="B614" t="str">
            <v>ГУДМАН Количество</v>
          </cell>
          <cell r="D614">
            <v>10</v>
          </cell>
        </row>
        <row r="615">
          <cell r="A615">
            <v>58342460</v>
          </cell>
          <cell r="B615" t="str">
            <v>ГУДП ТПП ДЦРС СЕВЕРНОЙ Ж.Д</v>
          </cell>
          <cell r="C615" t="str">
            <v>ВОРКУТА      (СЕВ)</v>
          </cell>
          <cell r="D615">
            <v>31017</v>
          </cell>
          <cell r="E615">
            <v>36936</v>
          </cell>
          <cell r="F615">
            <v>727</v>
          </cell>
          <cell r="H615">
            <v>0</v>
          </cell>
          <cell r="I615" t="str">
            <v>кап</v>
          </cell>
          <cell r="J615">
            <v>37482</v>
          </cell>
        </row>
        <row r="616">
          <cell r="B616" t="str">
            <v>ГУДП ТПП ДЦРС СЕВЕРНОЙ Ж.Д Количество</v>
          </cell>
          <cell r="D616">
            <v>1</v>
          </cell>
        </row>
        <row r="617">
          <cell r="A617">
            <v>53702874</v>
          </cell>
          <cell r="B617" t="str">
            <v>ГУП ДРСУ-1 АВТОДОР.С-У-Ч.</v>
          </cell>
          <cell r="C617" t="str">
            <v>ИГЛИНО       (КБШ)</v>
          </cell>
          <cell r="D617">
            <v>33970</v>
          </cell>
          <cell r="E617">
            <v>36495</v>
          </cell>
          <cell r="F617">
            <v>598</v>
          </cell>
          <cell r="G617">
            <v>37331</v>
          </cell>
          <cell r="H617">
            <v>594</v>
          </cell>
          <cell r="I617" t="str">
            <v>деп</v>
          </cell>
          <cell r="J617">
            <v>38427</v>
          </cell>
        </row>
        <row r="618">
          <cell r="B618" t="str">
            <v>ГУП ДРСУ-1 АВТОДОР.С-У-Ч. Количество</v>
          </cell>
          <cell r="D618">
            <v>1</v>
          </cell>
        </row>
        <row r="619">
          <cell r="A619">
            <v>53701124</v>
          </cell>
          <cell r="B619" t="str">
            <v>ДАЛЬМОРСНАБ</v>
          </cell>
          <cell r="C619" t="str">
            <v>УССУРИЙСК    (ДВС)</v>
          </cell>
          <cell r="D619">
            <v>33298</v>
          </cell>
          <cell r="E619">
            <v>37700</v>
          </cell>
          <cell r="F619">
            <v>557</v>
          </cell>
          <cell r="H619">
            <v>0</v>
          </cell>
          <cell r="I619" t="str">
            <v>деп</v>
          </cell>
          <cell r="J619">
            <v>38250</v>
          </cell>
        </row>
        <row r="620">
          <cell r="A620">
            <v>53705679</v>
          </cell>
          <cell r="B620" t="str">
            <v>ДАЛЬМОРСНАБ</v>
          </cell>
          <cell r="C620" t="str">
            <v>УССУРИЙСК    (ДВС)</v>
          </cell>
          <cell r="D620">
            <v>37057</v>
          </cell>
          <cell r="E620">
            <v>37979</v>
          </cell>
          <cell r="F620">
            <v>350</v>
          </cell>
          <cell r="H620">
            <v>0</v>
          </cell>
          <cell r="I620" t="str">
            <v>деп</v>
          </cell>
          <cell r="J620">
            <v>38527</v>
          </cell>
        </row>
        <row r="621">
          <cell r="A621">
            <v>58722653</v>
          </cell>
          <cell r="B621" t="str">
            <v>ДАЛЬМОРСНАБ</v>
          </cell>
          <cell r="C621" t="str">
            <v>УССУРИЙСК    (ДВС)</v>
          </cell>
          <cell r="D621">
            <v>33298</v>
          </cell>
          <cell r="E621">
            <v>37700</v>
          </cell>
          <cell r="F621">
            <v>557</v>
          </cell>
          <cell r="H621">
            <v>0</v>
          </cell>
          <cell r="I621" t="str">
            <v>деп</v>
          </cell>
          <cell r="J621">
            <v>38250</v>
          </cell>
        </row>
        <row r="622">
          <cell r="A622">
            <v>58722661</v>
          </cell>
          <cell r="B622" t="str">
            <v>ДАЛЬМОРСНАБ</v>
          </cell>
          <cell r="C622" t="str">
            <v>УССУРИЙСК    (ДВС)</v>
          </cell>
          <cell r="D622">
            <v>33298</v>
          </cell>
          <cell r="E622">
            <v>37700</v>
          </cell>
          <cell r="F622">
            <v>557</v>
          </cell>
          <cell r="H622">
            <v>0</v>
          </cell>
          <cell r="I622" t="str">
            <v>деп</v>
          </cell>
          <cell r="J622">
            <v>38250</v>
          </cell>
        </row>
        <row r="623">
          <cell r="A623">
            <v>58722679</v>
          </cell>
          <cell r="B623" t="str">
            <v>ДАЛЬМОРСНАБ</v>
          </cell>
          <cell r="C623" t="str">
            <v>УССУРИЙСК    (ДВС)</v>
          </cell>
          <cell r="D623">
            <v>33298</v>
          </cell>
          <cell r="E623">
            <v>37700</v>
          </cell>
          <cell r="F623">
            <v>557</v>
          </cell>
          <cell r="H623">
            <v>0</v>
          </cell>
          <cell r="I623" t="str">
            <v>деп</v>
          </cell>
          <cell r="J623">
            <v>38250</v>
          </cell>
        </row>
        <row r="624">
          <cell r="A624">
            <v>58722687</v>
          </cell>
          <cell r="B624" t="str">
            <v>ДАЛЬМОРСНАБ</v>
          </cell>
          <cell r="C624" t="str">
            <v>УССУРИЙСК    (ДВС)</v>
          </cell>
          <cell r="D624">
            <v>33298</v>
          </cell>
          <cell r="E624">
            <v>37700</v>
          </cell>
          <cell r="F624">
            <v>557</v>
          </cell>
          <cell r="H624">
            <v>0</v>
          </cell>
          <cell r="I624" t="str">
            <v>деп</v>
          </cell>
          <cell r="J624">
            <v>38250</v>
          </cell>
        </row>
        <row r="625">
          <cell r="A625">
            <v>58724949</v>
          </cell>
          <cell r="B625" t="str">
            <v>ДАЛЬМОРСНАБ</v>
          </cell>
          <cell r="C625" t="str">
            <v>УССУРИЙСК    (ДВС)</v>
          </cell>
          <cell r="D625">
            <v>37057</v>
          </cell>
          <cell r="E625">
            <v>37979</v>
          </cell>
          <cell r="F625">
            <v>350</v>
          </cell>
          <cell r="H625">
            <v>0</v>
          </cell>
          <cell r="I625" t="str">
            <v>деп</v>
          </cell>
          <cell r="J625">
            <v>38527</v>
          </cell>
        </row>
        <row r="626">
          <cell r="A626">
            <v>58724956</v>
          </cell>
          <cell r="B626" t="str">
            <v>ДАЛЬМОРСНАБ</v>
          </cell>
          <cell r="C626" t="str">
            <v>УССУРИЙСК    (ДВС)</v>
          </cell>
          <cell r="D626">
            <v>37057</v>
          </cell>
          <cell r="E626">
            <v>37979</v>
          </cell>
          <cell r="F626">
            <v>350</v>
          </cell>
          <cell r="H626">
            <v>0</v>
          </cell>
          <cell r="I626" t="str">
            <v>деп</v>
          </cell>
          <cell r="J626">
            <v>38527</v>
          </cell>
        </row>
        <row r="627">
          <cell r="A627">
            <v>58724964</v>
          </cell>
          <cell r="B627" t="str">
            <v>ДАЛЬМОРСНАБ</v>
          </cell>
          <cell r="C627" t="str">
            <v>УССУРИЙСК    (ДВС)</v>
          </cell>
          <cell r="D627">
            <v>37057</v>
          </cell>
          <cell r="E627">
            <v>37979</v>
          </cell>
          <cell r="F627">
            <v>350</v>
          </cell>
          <cell r="H627">
            <v>0</v>
          </cell>
          <cell r="I627" t="str">
            <v>деп</v>
          </cell>
          <cell r="J627">
            <v>38527</v>
          </cell>
        </row>
        <row r="628">
          <cell r="A628">
            <v>58724972</v>
          </cell>
          <cell r="B628" t="str">
            <v>ДАЛЬМОРСНАБ</v>
          </cell>
          <cell r="C628" t="str">
            <v>УССУРИЙСК    (ДВС)</v>
          </cell>
          <cell r="D628">
            <v>37057</v>
          </cell>
          <cell r="E628">
            <v>37979</v>
          </cell>
          <cell r="F628">
            <v>350</v>
          </cell>
          <cell r="H628">
            <v>0</v>
          </cell>
          <cell r="I628" t="str">
            <v>деп</v>
          </cell>
          <cell r="J628">
            <v>38527</v>
          </cell>
        </row>
        <row r="629">
          <cell r="B629" t="str">
            <v>ДАЛЬМОРСНАБ Количество</v>
          </cell>
          <cell r="D629">
            <v>10</v>
          </cell>
        </row>
        <row r="630">
          <cell r="A630">
            <v>53700837</v>
          </cell>
          <cell r="B630" t="str">
            <v>ДАЛЬПРОМЖЕЛДОРТРАНС АРТЕМ.</v>
          </cell>
          <cell r="C630" t="str">
            <v>АРТЕМ-ПРИМ 1 (ДВС)</v>
          </cell>
          <cell r="D630">
            <v>33451</v>
          </cell>
          <cell r="E630">
            <v>37697</v>
          </cell>
          <cell r="F630">
            <v>163</v>
          </cell>
          <cell r="I630" t="str">
            <v>кап</v>
          </cell>
          <cell r="J630">
            <v>38793</v>
          </cell>
        </row>
        <row r="631">
          <cell r="B631" t="str">
            <v>ДАЛЬПРОМЖЕЛДОРТРАНС АРТЕМ. Количество</v>
          </cell>
          <cell r="D631">
            <v>1</v>
          </cell>
        </row>
        <row r="632">
          <cell r="A632">
            <v>53700811</v>
          </cell>
          <cell r="B632" t="str">
            <v>ДАЛЬПРОМЖЕЛДОРТРАНС УССУР.</v>
          </cell>
          <cell r="C632" t="str">
            <v>УССУРИЙСК    (ДВС)</v>
          </cell>
          <cell r="D632">
            <v>33239</v>
          </cell>
          <cell r="E632">
            <v>37195</v>
          </cell>
          <cell r="F632">
            <v>163</v>
          </cell>
          <cell r="I632" t="str">
            <v>кап</v>
          </cell>
          <cell r="J632">
            <v>38291</v>
          </cell>
        </row>
        <row r="633">
          <cell r="A633">
            <v>53700829</v>
          </cell>
          <cell r="B633" t="str">
            <v>ДАЛЬПРОМЖЕЛДОРТРАНС УССУР.</v>
          </cell>
          <cell r="C633" t="str">
            <v>УССУРИЙСК    (ДВС)</v>
          </cell>
          <cell r="D633">
            <v>33239</v>
          </cell>
          <cell r="E633">
            <v>38015</v>
          </cell>
          <cell r="F633">
            <v>163</v>
          </cell>
          <cell r="I633" t="str">
            <v>кап</v>
          </cell>
          <cell r="J633">
            <v>39111</v>
          </cell>
        </row>
        <row r="634">
          <cell r="A634">
            <v>53700845</v>
          </cell>
          <cell r="B634" t="str">
            <v>ДАЛЬПРОМЖЕЛДОРТРАНС УССУР.</v>
          </cell>
          <cell r="C634" t="str">
            <v>УССУРИЙСК    (ДВС)</v>
          </cell>
          <cell r="D634">
            <v>33239</v>
          </cell>
          <cell r="E634">
            <v>37279</v>
          </cell>
          <cell r="F634">
            <v>163</v>
          </cell>
          <cell r="I634" t="str">
            <v>кап</v>
          </cell>
          <cell r="J634">
            <v>38375</v>
          </cell>
        </row>
        <row r="635">
          <cell r="A635">
            <v>53700852</v>
          </cell>
          <cell r="B635" t="str">
            <v>ДАЛЬПРОМЖЕЛДОРТРАНС УССУР.</v>
          </cell>
          <cell r="C635" t="str">
            <v>УССУРИЙСК    (ДВС)</v>
          </cell>
          <cell r="D635">
            <v>33239</v>
          </cell>
          <cell r="E635">
            <v>37216</v>
          </cell>
          <cell r="F635">
            <v>163</v>
          </cell>
          <cell r="I635" t="str">
            <v>кап</v>
          </cell>
          <cell r="J635">
            <v>38312</v>
          </cell>
        </row>
        <row r="636">
          <cell r="A636">
            <v>53700860</v>
          </cell>
          <cell r="B636" t="str">
            <v>ДАЛЬПРОМЖЕЛДОРТРАНС УССУР.</v>
          </cell>
          <cell r="C636" t="str">
            <v>УССУРИЙСК    (ДВС)</v>
          </cell>
          <cell r="D636">
            <v>33239</v>
          </cell>
          <cell r="E636">
            <v>38014</v>
          </cell>
          <cell r="F636">
            <v>163</v>
          </cell>
          <cell r="I636" t="str">
            <v>кап</v>
          </cell>
          <cell r="J636">
            <v>39110</v>
          </cell>
        </row>
        <row r="637">
          <cell r="B637" t="str">
            <v>ДАЛЬПРОМЖЕЛДОРТРАНС УССУР. Количество</v>
          </cell>
          <cell r="D637">
            <v>5</v>
          </cell>
        </row>
        <row r="638">
          <cell r="A638">
            <v>53704524</v>
          </cell>
          <cell r="B638" t="str">
            <v>ДВС УНИВЕРСИТЕТ ПУТ.СООБЩ.</v>
          </cell>
          <cell r="C638" t="str">
            <v>ХАБАРОВСК 1  (ДВС)</v>
          </cell>
          <cell r="D638">
            <v>30437</v>
          </cell>
          <cell r="E638">
            <v>37791</v>
          </cell>
          <cell r="F638">
            <v>886</v>
          </cell>
          <cell r="G638">
            <v>34667</v>
          </cell>
          <cell r="H638">
            <v>0</v>
          </cell>
          <cell r="I638" t="str">
            <v>деп</v>
          </cell>
          <cell r="J638">
            <v>38340</v>
          </cell>
        </row>
        <row r="639">
          <cell r="A639">
            <v>58725748</v>
          </cell>
          <cell r="B639" t="str">
            <v>ДВС УНИВЕРСИТЕТ ПУТ.СООБЩ.</v>
          </cell>
          <cell r="C639" t="str">
            <v>ХАБАРОВСК 1  (ДВС)</v>
          </cell>
          <cell r="D639">
            <v>30437</v>
          </cell>
          <cell r="E639">
            <v>37791</v>
          </cell>
          <cell r="F639">
            <v>886</v>
          </cell>
          <cell r="G639">
            <v>34667</v>
          </cell>
          <cell r="H639">
            <v>0</v>
          </cell>
          <cell r="I639" t="str">
            <v>деп</v>
          </cell>
          <cell r="J639">
            <v>38340</v>
          </cell>
        </row>
        <row r="640">
          <cell r="A640">
            <v>58725755</v>
          </cell>
          <cell r="B640" t="str">
            <v>ДВС УНИВЕРСИТЕТ ПУТ.СООБЩ.</v>
          </cell>
          <cell r="C640" t="str">
            <v>ХАБАРОВСК 1  (ДВС)</v>
          </cell>
          <cell r="D640">
            <v>30437</v>
          </cell>
          <cell r="E640">
            <v>37791</v>
          </cell>
          <cell r="F640">
            <v>886</v>
          </cell>
          <cell r="G640">
            <v>34667</v>
          </cell>
          <cell r="H640">
            <v>0</v>
          </cell>
          <cell r="I640" t="str">
            <v>деп</v>
          </cell>
          <cell r="J640">
            <v>38340</v>
          </cell>
        </row>
        <row r="641">
          <cell r="A641">
            <v>58725763</v>
          </cell>
          <cell r="B641" t="str">
            <v>ДВС УНИВЕРСИТЕТ ПУТ.СООБЩ.</v>
          </cell>
          <cell r="C641" t="str">
            <v>ХАБАРОВСК 1  (ДВС)</v>
          </cell>
          <cell r="D641">
            <v>30437</v>
          </cell>
          <cell r="E641">
            <v>37791</v>
          </cell>
          <cell r="F641">
            <v>886</v>
          </cell>
          <cell r="G641">
            <v>34667</v>
          </cell>
          <cell r="H641">
            <v>0</v>
          </cell>
          <cell r="I641" t="str">
            <v>деп</v>
          </cell>
          <cell r="J641">
            <v>38340</v>
          </cell>
        </row>
        <row r="642">
          <cell r="A642">
            <v>58725771</v>
          </cell>
          <cell r="B642" t="str">
            <v>ДВС УНИВЕРСИТЕТ ПУТ.СООБЩ.</v>
          </cell>
          <cell r="C642" t="str">
            <v>ХАБАРОВСК 1  (ДВС)</v>
          </cell>
          <cell r="D642">
            <v>30437</v>
          </cell>
          <cell r="E642">
            <v>37791</v>
          </cell>
          <cell r="F642">
            <v>886</v>
          </cell>
          <cell r="G642">
            <v>34667</v>
          </cell>
          <cell r="H642">
            <v>0</v>
          </cell>
          <cell r="I642" t="str">
            <v>деп</v>
          </cell>
          <cell r="J642">
            <v>38340</v>
          </cell>
        </row>
        <row r="643">
          <cell r="B643" t="str">
            <v>ДВС УНИВЕРСИТЕТ ПУТ.СООБЩ. Количество</v>
          </cell>
          <cell r="D643">
            <v>5</v>
          </cell>
        </row>
        <row r="644">
          <cell r="A644">
            <v>58725854</v>
          </cell>
          <cell r="B644" t="str">
            <v>ДЕЛО ЦЕНТР</v>
          </cell>
          <cell r="C644" t="str">
            <v>МЫС-ЧУРКИН   (ДВС)</v>
          </cell>
          <cell r="D644">
            <v>33415</v>
          </cell>
          <cell r="E644">
            <v>38005</v>
          </cell>
          <cell r="F644">
            <v>163</v>
          </cell>
          <cell r="I644" t="str">
            <v>деп</v>
          </cell>
          <cell r="J644">
            <v>38430</v>
          </cell>
        </row>
        <row r="645">
          <cell r="A645">
            <v>58725862</v>
          </cell>
          <cell r="B645" t="str">
            <v>ДЕЛО ЦЕНТР</v>
          </cell>
          <cell r="C645" t="str">
            <v>МЫС-ЧУРКИН   (ДВС)</v>
          </cell>
          <cell r="D645">
            <v>33415</v>
          </cell>
          <cell r="E645">
            <v>38000</v>
          </cell>
          <cell r="F645">
            <v>163</v>
          </cell>
          <cell r="I645" t="str">
            <v>деп</v>
          </cell>
          <cell r="J645">
            <v>38425</v>
          </cell>
        </row>
        <row r="646">
          <cell r="B646" t="str">
            <v>ДЕЛО ЦЕНТР Количество</v>
          </cell>
          <cell r="D646">
            <v>2</v>
          </cell>
        </row>
        <row r="647">
          <cell r="A647">
            <v>53701306</v>
          </cell>
          <cell r="B647" t="str">
            <v>ДОНАТОМСТРОЙ</v>
          </cell>
          <cell r="C647" t="str">
            <v>НОВОВОРОНЕЖС (ЮВС)</v>
          </cell>
          <cell r="D647">
            <v>25204</v>
          </cell>
          <cell r="E647">
            <v>34366</v>
          </cell>
          <cell r="G647">
            <v>32174</v>
          </cell>
          <cell r="I647" t="str">
            <v>деп</v>
          </cell>
          <cell r="J647">
            <v>35462</v>
          </cell>
        </row>
        <row r="648">
          <cell r="B648" t="str">
            <v>ДОНАТОМСТРОЙ Количество</v>
          </cell>
          <cell r="D648">
            <v>1</v>
          </cell>
        </row>
        <row r="649">
          <cell r="A649">
            <v>53702858</v>
          </cell>
          <cell r="B649" t="str">
            <v>ДОРСНАБСЕРВИС ГУП КК</v>
          </cell>
          <cell r="C649" t="str">
            <v>ЛАБИНСКАЯ    (СКВ)</v>
          </cell>
          <cell r="D649">
            <v>33970</v>
          </cell>
          <cell r="E649">
            <v>37775</v>
          </cell>
          <cell r="F649">
            <v>557</v>
          </cell>
          <cell r="H649">
            <v>0</v>
          </cell>
          <cell r="I649" t="str">
            <v>кап</v>
          </cell>
          <cell r="J649">
            <v>38871</v>
          </cell>
        </row>
        <row r="650">
          <cell r="A650">
            <v>53702866</v>
          </cell>
          <cell r="B650" t="str">
            <v>ДОРСНАБСЕРВИС ГУП КК</v>
          </cell>
          <cell r="C650" t="str">
            <v>ЛАБИНСКАЯ    (СКВ)</v>
          </cell>
          <cell r="D650">
            <v>33970</v>
          </cell>
          <cell r="E650">
            <v>37028</v>
          </cell>
          <cell r="F650">
            <v>557</v>
          </cell>
          <cell r="H650">
            <v>0</v>
          </cell>
          <cell r="I650" t="str">
            <v>деп</v>
          </cell>
          <cell r="J650">
            <v>38124</v>
          </cell>
        </row>
        <row r="651">
          <cell r="B651" t="str">
            <v>ДОРСНАБСЕРВИС ГУП КК Количество</v>
          </cell>
          <cell r="D651">
            <v>2</v>
          </cell>
        </row>
        <row r="652">
          <cell r="A652">
            <v>53703369</v>
          </cell>
          <cell r="B652" t="str">
            <v>ДРСУ-3 ЦЕНТРАВТОМАГИСТРАЛИ</v>
          </cell>
          <cell r="C652" t="str">
            <v>СОФРИНО      (МСK)</v>
          </cell>
          <cell r="D652">
            <v>26299</v>
          </cell>
          <cell r="E652">
            <v>34445</v>
          </cell>
        </row>
        <row r="653">
          <cell r="B653" t="str">
            <v>ДРСУ-3 ЦЕНТРАВТОМАГИСТРАЛИ Количество</v>
          </cell>
          <cell r="D653">
            <v>1</v>
          </cell>
        </row>
        <row r="654">
          <cell r="A654">
            <v>53703468</v>
          </cell>
          <cell r="B654" t="str">
            <v>ДСУ-1 АВТОДОРСТРОЙТРЕСТА-3</v>
          </cell>
          <cell r="C654" t="str">
            <v>ГРИВНО       (МСK)</v>
          </cell>
          <cell r="D654">
            <v>25204</v>
          </cell>
          <cell r="E654">
            <v>34151</v>
          </cell>
          <cell r="I654" t="str">
            <v>деп</v>
          </cell>
          <cell r="J654">
            <v>35247</v>
          </cell>
        </row>
        <row r="655">
          <cell r="B655" t="str">
            <v>ДСУ-1 АВТОДОРСТРОЙТРЕСТА-3 Количество</v>
          </cell>
          <cell r="D655">
            <v>1</v>
          </cell>
        </row>
        <row r="656">
          <cell r="A656">
            <v>58001843</v>
          </cell>
          <cell r="B656" t="str">
            <v>ЕВРОБАЙК-2</v>
          </cell>
          <cell r="C656" t="str">
            <v>ЛЮБЛИНО-СОРТ (МСK)</v>
          </cell>
          <cell r="D656">
            <v>31533</v>
          </cell>
          <cell r="E656">
            <v>37410</v>
          </cell>
          <cell r="F656">
            <v>792</v>
          </cell>
          <cell r="G656">
            <v>36742</v>
          </cell>
          <cell r="H656">
            <v>792</v>
          </cell>
          <cell r="I656" t="str">
            <v>деп</v>
          </cell>
          <cell r="J656">
            <v>38141</v>
          </cell>
        </row>
        <row r="657">
          <cell r="A657">
            <v>58001850</v>
          </cell>
          <cell r="B657" t="str">
            <v>ЕВРОБАЙК-2</v>
          </cell>
          <cell r="C657" t="str">
            <v>ЛЮБЛИНО-СОРТ (МСK)</v>
          </cell>
          <cell r="D657">
            <v>31533</v>
          </cell>
          <cell r="E657">
            <v>37421</v>
          </cell>
          <cell r="F657">
            <v>792</v>
          </cell>
          <cell r="G657">
            <v>36761</v>
          </cell>
          <cell r="H657">
            <v>792</v>
          </cell>
          <cell r="I657" t="str">
            <v>деп</v>
          </cell>
          <cell r="J657">
            <v>38152</v>
          </cell>
        </row>
        <row r="658">
          <cell r="A658">
            <v>58001868</v>
          </cell>
          <cell r="B658" t="str">
            <v>ЕВРОБАЙК-2</v>
          </cell>
          <cell r="C658" t="str">
            <v>ЛЮБЛИНО-СОРТ (МСK)</v>
          </cell>
          <cell r="D658">
            <v>31533</v>
          </cell>
          <cell r="E658">
            <v>37421</v>
          </cell>
          <cell r="F658">
            <v>792</v>
          </cell>
          <cell r="G658">
            <v>36712</v>
          </cell>
          <cell r="H658">
            <v>792</v>
          </cell>
          <cell r="I658" t="str">
            <v>деп</v>
          </cell>
          <cell r="J658">
            <v>38152</v>
          </cell>
        </row>
        <row r="659">
          <cell r="A659">
            <v>58001876</v>
          </cell>
          <cell r="B659" t="str">
            <v>ЕВРОБАЙК-2</v>
          </cell>
          <cell r="C659" t="str">
            <v>ЛЮБЛИНО-СОРТ (МСK)</v>
          </cell>
          <cell r="D659">
            <v>31533</v>
          </cell>
          <cell r="E659">
            <v>37410</v>
          </cell>
          <cell r="F659">
            <v>792</v>
          </cell>
          <cell r="G659">
            <v>36712</v>
          </cell>
          <cell r="H659">
            <v>792</v>
          </cell>
          <cell r="I659" t="str">
            <v>деп</v>
          </cell>
          <cell r="J659">
            <v>38141</v>
          </cell>
        </row>
        <row r="660">
          <cell r="A660">
            <v>58001884</v>
          </cell>
          <cell r="B660" t="str">
            <v>ЕВРОБАЙК-2</v>
          </cell>
          <cell r="C660" t="str">
            <v>ЛЮБЛИНО-СОРТ (МСK)</v>
          </cell>
          <cell r="D660">
            <v>31533</v>
          </cell>
          <cell r="E660">
            <v>37410</v>
          </cell>
          <cell r="F660">
            <v>792</v>
          </cell>
          <cell r="G660">
            <v>36712</v>
          </cell>
          <cell r="H660">
            <v>792</v>
          </cell>
          <cell r="I660" t="str">
            <v>деп</v>
          </cell>
          <cell r="J660">
            <v>38141</v>
          </cell>
        </row>
        <row r="661">
          <cell r="A661">
            <v>58001900</v>
          </cell>
          <cell r="B661" t="str">
            <v>ЕВРОБАЙК-2</v>
          </cell>
          <cell r="C661" t="str">
            <v>ЛЮБЛИНО-СОРТ (МСK)</v>
          </cell>
          <cell r="D661">
            <v>31533</v>
          </cell>
          <cell r="E661">
            <v>37421</v>
          </cell>
          <cell r="F661">
            <v>792</v>
          </cell>
          <cell r="G661">
            <v>36784</v>
          </cell>
          <cell r="H661">
            <v>792</v>
          </cell>
          <cell r="I661" t="str">
            <v>деп</v>
          </cell>
          <cell r="J661">
            <v>38152</v>
          </cell>
        </row>
        <row r="662">
          <cell r="A662">
            <v>58001918</v>
          </cell>
          <cell r="B662" t="str">
            <v>ЕВРОБАЙК-2</v>
          </cell>
          <cell r="C662" t="str">
            <v>ЛЮБЛИНО-СОРТ (МСK)</v>
          </cell>
          <cell r="D662">
            <v>31533</v>
          </cell>
          <cell r="E662">
            <v>37421</v>
          </cell>
          <cell r="F662">
            <v>792</v>
          </cell>
          <cell r="G662">
            <v>36787</v>
          </cell>
          <cell r="H662">
            <v>792</v>
          </cell>
          <cell r="I662" t="str">
            <v>деп</v>
          </cell>
          <cell r="J662">
            <v>38152</v>
          </cell>
        </row>
        <row r="663">
          <cell r="A663">
            <v>58001926</v>
          </cell>
          <cell r="B663" t="str">
            <v>ЕВРОБАЙК-2</v>
          </cell>
          <cell r="C663" t="str">
            <v>ЛЮБЛИНО-СОРТ (МСK)</v>
          </cell>
          <cell r="D663">
            <v>31533</v>
          </cell>
          <cell r="E663">
            <v>37410</v>
          </cell>
          <cell r="F663">
            <v>792</v>
          </cell>
          <cell r="G663">
            <v>36787</v>
          </cell>
          <cell r="H663">
            <v>792</v>
          </cell>
          <cell r="I663" t="str">
            <v>деп</v>
          </cell>
          <cell r="J663">
            <v>38141</v>
          </cell>
        </row>
        <row r="664">
          <cell r="A664">
            <v>58001934</v>
          </cell>
          <cell r="B664" t="str">
            <v>ЕВРОБАЙК-2</v>
          </cell>
          <cell r="C664" t="str">
            <v>ЛЮБЛИНО-СОРТ (МСK)</v>
          </cell>
          <cell r="D664">
            <v>31533</v>
          </cell>
          <cell r="E664">
            <v>37421</v>
          </cell>
          <cell r="F664">
            <v>792</v>
          </cell>
          <cell r="G664">
            <v>36787</v>
          </cell>
          <cell r="H664">
            <v>792</v>
          </cell>
          <cell r="I664" t="str">
            <v>деп</v>
          </cell>
          <cell r="J664">
            <v>38152</v>
          </cell>
        </row>
        <row r="665">
          <cell r="A665">
            <v>58001942</v>
          </cell>
          <cell r="B665" t="str">
            <v>ЕВРОБАЙК-2</v>
          </cell>
          <cell r="C665" t="str">
            <v>ЛЮБЛИНО-СОРТ (МСK)</v>
          </cell>
          <cell r="D665">
            <v>31533</v>
          </cell>
          <cell r="E665">
            <v>37410</v>
          </cell>
          <cell r="F665">
            <v>792</v>
          </cell>
          <cell r="G665">
            <v>36787</v>
          </cell>
          <cell r="H665">
            <v>792</v>
          </cell>
          <cell r="I665" t="str">
            <v>деп</v>
          </cell>
          <cell r="J665">
            <v>38141</v>
          </cell>
        </row>
        <row r="666">
          <cell r="B666" t="str">
            <v>ЕВРОБАЙК-2 Количество</v>
          </cell>
          <cell r="D666">
            <v>10</v>
          </cell>
        </row>
        <row r="667">
          <cell r="A667">
            <v>58332313</v>
          </cell>
          <cell r="B667" t="str">
            <v>ЕВРОСАЙТ</v>
          </cell>
          <cell r="C667" t="str">
            <v>ВИХОРЕВКА    (ВСБ)</v>
          </cell>
          <cell r="D667">
            <v>31934</v>
          </cell>
          <cell r="E667">
            <v>36978</v>
          </cell>
          <cell r="F667">
            <v>231</v>
          </cell>
          <cell r="H667">
            <v>0</v>
          </cell>
          <cell r="I667" t="str">
            <v>кап</v>
          </cell>
          <cell r="J667">
            <v>37708</v>
          </cell>
        </row>
        <row r="668">
          <cell r="B668" t="str">
            <v>ЕВРОСАЙТ Количество</v>
          </cell>
          <cell r="D668">
            <v>1</v>
          </cell>
        </row>
        <row r="669">
          <cell r="A669">
            <v>53402020</v>
          </cell>
          <cell r="B669" t="str">
            <v>ЖДТРАНС</v>
          </cell>
          <cell r="C669" t="str">
            <v>ЧЕМСКОЙ      (ЗСБ)</v>
          </cell>
          <cell r="D669">
            <v>32021</v>
          </cell>
          <cell r="E669">
            <v>34765</v>
          </cell>
          <cell r="F669">
            <v>635</v>
          </cell>
          <cell r="G669">
            <v>37337</v>
          </cell>
          <cell r="H669">
            <v>579</v>
          </cell>
          <cell r="I669" t="str">
            <v>деп</v>
          </cell>
          <cell r="J669">
            <v>38068</v>
          </cell>
        </row>
        <row r="670">
          <cell r="B670" t="str">
            <v>ЖДТРАНС Количество</v>
          </cell>
          <cell r="D670">
            <v>1</v>
          </cell>
        </row>
        <row r="671">
          <cell r="A671">
            <v>53400925</v>
          </cell>
          <cell r="B671" t="str">
            <v>ЖЕЛДОРТРЕСТ ГУП СМТ МПС РФ</v>
          </cell>
          <cell r="C671" t="str">
            <v>ХОВРИНО      (ОКТ)</v>
          </cell>
          <cell r="D671">
            <v>29281</v>
          </cell>
          <cell r="E671">
            <v>37494</v>
          </cell>
          <cell r="F671">
            <v>819</v>
          </cell>
          <cell r="G671">
            <v>33604</v>
          </cell>
          <cell r="H671">
            <v>819</v>
          </cell>
          <cell r="I671" t="str">
            <v>деп</v>
          </cell>
          <cell r="J671">
            <v>38043</v>
          </cell>
        </row>
        <row r="672">
          <cell r="A672">
            <v>53400933</v>
          </cell>
          <cell r="B672" t="str">
            <v>ЖЕЛДОРТРЕСТ ГУП СМТ МПС РФ</v>
          </cell>
          <cell r="C672" t="str">
            <v>ХОВРИНО      (ОКТ)</v>
          </cell>
          <cell r="D672">
            <v>29281</v>
          </cell>
          <cell r="E672">
            <v>37494</v>
          </cell>
          <cell r="F672">
            <v>819</v>
          </cell>
          <cell r="G672">
            <v>33604</v>
          </cell>
          <cell r="H672">
            <v>819</v>
          </cell>
          <cell r="I672" t="str">
            <v>деп</v>
          </cell>
          <cell r="J672">
            <v>38043</v>
          </cell>
        </row>
        <row r="673">
          <cell r="A673">
            <v>53702767</v>
          </cell>
          <cell r="B673" t="str">
            <v>ЖЕЛДОРТРЕСТ ГУП СМТ МПС РФ</v>
          </cell>
          <cell r="C673" t="str">
            <v>ХОВРИНО      (ОКТ)</v>
          </cell>
          <cell r="D673">
            <v>25934</v>
          </cell>
          <cell r="E673">
            <v>35309</v>
          </cell>
          <cell r="F673">
            <v>0</v>
          </cell>
          <cell r="G673">
            <v>33239</v>
          </cell>
          <cell r="H673">
            <v>0</v>
          </cell>
          <cell r="I673" t="str">
            <v>деп</v>
          </cell>
          <cell r="J673">
            <v>36404</v>
          </cell>
        </row>
        <row r="674">
          <cell r="A674">
            <v>53704227</v>
          </cell>
          <cell r="B674" t="str">
            <v>ЖЕЛДОРТРЕСТ ГУП СМТ МПС РФ</v>
          </cell>
          <cell r="C674" t="str">
            <v>ХОВРИНО      (ОКТ)</v>
          </cell>
          <cell r="D674">
            <v>25934</v>
          </cell>
          <cell r="E674">
            <v>38008</v>
          </cell>
          <cell r="F674">
            <v>350</v>
          </cell>
          <cell r="G674">
            <v>33543</v>
          </cell>
          <cell r="H674">
            <v>0</v>
          </cell>
          <cell r="I674" t="str">
            <v>деп</v>
          </cell>
          <cell r="J674">
            <v>39104</v>
          </cell>
        </row>
        <row r="675">
          <cell r="A675">
            <v>53704243</v>
          </cell>
          <cell r="B675" t="str">
            <v>ЖЕЛДОРТРЕСТ ГУП СМТ МПС РФ</v>
          </cell>
          <cell r="C675" t="str">
            <v>ХОВРИНО      (ОКТ)</v>
          </cell>
          <cell r="D675">
            <v>26115</v>
          </cell>
          <cell r="E675">
            <v>37828</v>
          </cell>
          <cell r="F675">
            <v>350</v>
          </cell>
          <cell r="G675">
            <v>33482</v>
          </cell>
          <cell r="H675">
            <v>0</v>
          </cell>
          <cell r="I675" t="str">
            <v>деп</v>
          </cell>
          <cell r="J675">
            <v>38924</v>
          </cell>
        </row>
        <row r="676">
          <cell r="B676" t="str">
            <v>ЖЕЛДОРТРЕСТ ГУП СМТ МПС РФ Количество</v>
          </cell>
          <cell r="D676">
            <v>5</v>
          </cell>
        </row>
        <row r="677">
          <cell r="A677">
            <v>53700928</v>
          </cell>
          <cell r="B677" t="str">
            <v>ЖЕЛДОРЭКСПЕДИЦИЯ</v>
          </cell>
          <cell r="C677" t="str">
            <v>МОС-ПАС-ЯРОС (МСK)</v>
          </cell>
          <cell r="D677">
            <v>33356</v>
          </cell>
          <cell r="E677">
            <v>37200</v>
          </cell>
          <cell r="F677">
            <v>350</v>
          </cell>
          <cell r="H677">
            <v>0</v>
          </cell>
          <cell r="I677" t="str">
            <v>деп</v>
          </cell>
          <cell r="J677">
            <v>37746</v>
          </cell>
        </row>
        <row r="678">
          <cell r="A678">
            <v>53701009</v>
          </cell>
          <cell r="B678" t="str">
            <v>ЖЕЛДОРЭКСПЕДИЦИЯ</v>
          </cell>
          <cell r="C678" t="str">
            <v>МОС-ПАС-ЯРОС (МСK)</v>
          </cell>
          <cell r="D678">
            <v>33390</v>
          </cell>
          <cell r="E678">
            <v>37085</v>
          </cell>
          <cell r="F678">
            <v>819</v>
          </cell>
          <cell r="H678">
            <v>0</v>
          </cell>
          <cell r="I678" t="str">
            <v>деп</v>
          </cell>
          <cell r="J678">
            <v>37634</v>
          </cell>
        </row>
        <row r="679">
          <cell r="A679">
            <v>53701132</v>
          </cell>
          <cell r="B679" t="str">
            <v>ЖЕЛДОРЭКСПЕДИЦИЯ</v>
          </cell>
          <cell r="C679" t="str">
            <v>МОС-ПАС-ЯРОС (МСK)</v>
          </cell>
          <cell r="D679">
            <v>33543</v>
          </cell>
          <cell r="E679">
            <v>37889</v>
          </cell>
          <cell r="F679">
            <v>163</v>
          </cell>
          <cell r="H679">
            <v>0</v>
          </cell>
          <cell r="I679" t="str">
            <v>деп</v>
          </cell>
          <cell r="J679">
            <v>38436</v>
          </cell>
        </row>
        <row r="680">
          <cell r="A680">
            <v>53701439</v>
          </cell>
          <cell r="B680" t="str">
            <v>ЖЕЛДОРЭКСПЕДИЦИЯ</v>
          </cell>
          <cell r="C680" t="str">
            <v>МОС-ПАС-ЯРОС (МСK)</v>
          </cell>
          <cell r="D680">
            <v>33025</v>
          </cell>
          <cell r="E680">
            <v>37076</v>
          </cell>
          <cell r="F680">
            <v>350</v>
          </cell>
          <cell r="H680">
            <v>0</v>
          </cell>
          <cell r="I680" t="str">
            <v>деп</v>
          </cell>
          <cell r="J680">
            <v>37625</v>
          </cell>
        </row>
        <row r="681">
          <cell r="A681">
            <v>53705521</v>
          </cell>
          <cell r="B681" t="str">
            <v>ЖЕЛДОРЭКСПЕДИЦИЯ</v>
          </cell>
          <cell r="C681" t="str">
            <v>МОС-ПАС-ЯРОС (МСK)</v>
          </cell>
          <cell r="D681">
            <v>33086</v>
          </cell>
          <cell r="E681">
            <v>37082</v>
          </cell>
          <cell r="F681">
            <v>0</v>
          </cell>
          <cell r="H681">
            <v>0</v>
          </cell>
          <cell r="I681" t="str">
            <v>деп</v>
          </cell>
          <cell r="J681">
            <v>37631</v>
          </cell>
        </row>
        <row r="682">
          <cell r="A682">
            <v>58728668</v>
          </cell>
          <cell r="B682" t="str">
            <v>ЖЕЛДОРЭКСПЕДИЦИЯ</v>
          </cell>
          <cell r="C682" t="str">
            <v>МОС-ПАС-ЯРОС (МСK)</v>
          </cell>
          <cell r="D682">
            <v>33055</v>
          </cell>
          <cell r="E682">
            <v>37076</v>
          </cell>
          <cell r="F682">
            <v>350</v>
          </cell>
          <cell r="H682">
            <v>0</v>
          </cell>
          <cell r="I682" t="str">
            <v>деп</v>
          </cell>
          <cell r="J682">
            <v>37625</v>
          </cell>
        </row>
        <row r="683">
          <cell r="A683">
            <v>58728676</v>
          </cell>
          <cell r="B683" t="str">
            <v>ЖЕЛДОРЭКСПЕДИЦИЯ</v>
          </cell>
          <cell r="C683" t="str">
            <v>МОС-ПАС-ЯРОС (МСK)</v>
          </cell>
          <cell r="D683">
            <v>32964</v>
          </cell>
          <cell r="E683">
            <v>37076</v>
          </cell>
          <cell r="F683">
            <v>350</v>
          </cell>
          <cell r="H683">
            <v>0</v>
          </cell>
          <cell r="I683" t="str">
            <v>деп</v>
          </cell>
          <cell r="J683">
            <v>37625</v>
          </cell>
        </row>
        <row r="684">
          <cell r="A684">
            <v>58728684</v>
          </cell>
          <cell r="B684" t="str">
            <v>ЖЕЛДОРЭКСПЕДИЦИЯ</v>
          </cell>
          <cell r="C684" t="str">
            <v>МОС-ПАС-ЯРОС (МСK)</v>
          </cell>
          <cell r="D684">
            <v>32994</v>
          </cell>
          <cell r="E684">
            <v>37076</v>
          </cell>
          <cell r="F684">
            <v>350</v>
          </cell>
          <cell r="H684">
            <v>0</v>
          </cell>
          <cell r="I684" t="str">
            <v>деп</v>
          </cell>
          <cell r="J684">
            <v>37625</v>
          </cell>
        </row>
        <row r="685">
          <cell r="A685">
            <v>58728700</v>
          </cell>
          <cell r="B685" t="str">
            <v>ЖЕЛДОРЭКСПЕДИЦИЯ</v>
          </cell>
          <cell r="C685" t="str">
            <v>МОС-ПАС-ЯРОС (МСK)</v>
          </cell>
          <cell r="D685">
            <v>33055</v>
          </cell>
          <cell r="E685">
            <v>37076</v>
          </cell>
          <cell r="F685">
            <v>350</v>
          </cell>
          <cell r="H685">
            <v>0</v>
          </cell>
          <cell r="I685" t="str">
            <v>деп</v>
          </cell>
          <cell r="J685">
            <v>37625</v>
          </cell>
        </row>
        <row r="686">
          <cell r="A686">
            <v>58729260</v>
          </cell>
          <cell r="B686" t="str">
            <v>ЖЕЛДОРЭКСПЕДИЦИЯ</v>
          </cell>
          <cell r="C686" t="str">
            <v>МОС-ПАС-ЯРОС (МСK)</v>
          </cell>
          <cell r="D686">
            <v>33086</v>
          </cell>
          <cell r="E686">
            <v>37082</v>
          </cell>
          <cell r="F686">
            <v>0</v>
          </cell>
          <cell r="H686">
            <v>0</v>
          </cell>
          <cell r="I686" t="str">
            <v>деп</v>
          </cell>
          <cell r="J686">
            <v>37631</v>
          </cell>
        </row>
        <row r="687">
          <cell r="A687">
            <v>58729278</v>
          </cell>
          <cell r="B687" t="str">
            <v>ЖЕЛДОРЭКСПЕДИЦИЯ</v>
          </cell>
          <cell r="C687" t="str">
            <v>МОС-ПАС-ЯРОС (МСK)</v>
          </cell>
          <cell r="D687">
            <v>33086</v>
          </cell>
          <cell r="E687">
            <v>37082</v>
          </cell>
          <cell r="F687">
            <v>0</v>
          </cell>
          <cell r="H687">
            <v>0</v>
          </cell>
          <cell r="I687" t="str">
            <v>деп</v>
          </cell>
          <cell r="J687">
            <v>37631</v>
          </cell>
        </row>
        <row r="688">
          <cell r="A688">
            <v>58729286</v>
          </cell>
          <cell r="B688" t="str">
            <v>ЖЕЛДОРЭКСПЕДИЦИЯ</v>
          </cell>
          <cell r="C688" t="str">
            <v>МОС-ПАС-ЯРОС (МСK)</v>
          </cell>
          <cell r="D688">
            <v>33086</v>
          </cell>
          <cell r="E688">
            <v>37082</v>
          </cell>
          <cell r="F688">
            <v>0</v>
          </cell>
          <cell r="H688">
            <v>0</v>
          </cell>
          <cell r="I688" t="str">
            <v>деп</v>
          </cell>
          <cell r="J688">
            <v>37631</v>
          </cell>
        </row>
        <row r="689">
          <cell r="A689">
            <v>58729302</v>
          </cell>
          <cell r="B689" t="str">
            <v>ЖЕЛДОРЭКСПЕДИЦИЯ</v>
          </cell>
          <cell r="C689" t="str">
            <v>МОС-ПАС-ЯРОС (МСK)</v>
          </cell>
          <cell r="D689">
            <v>33086</v>
          </cell>
          <cell r="E689">
            <v>37082</v>
          </cell>
          <cell r="F689">
            <v>0</v>
          </cell>
          <cell r="H689">
            <v>0</v>
          </cell>
          <cell r="I689" t="str">
            <v>деп</v>
          </cell>
          <cell r="J689">
            <v>37631</v>
          </cell>
        </row>
        <row r="690">
          <cell r="A690">
            <v>58741737</v>
          </cell>
          <cell r="B690" t="str">
            <v>ЖЕЛДОРЭКСПЕДИЦИЯ</v>
          </cell>
          <cell r="C690" t="str">
            <v>МОС-ПАС-ЯРОС (МСK)</v>
          </cell>
          <cell r="D690">
            <v>33543</v>
          </cell>
          <cell r="E690">
            <v>37889</v>
          </cell>
          <cell r="F690">
            <v>163</v>
          </cell>
          <cell r="H690">
            <v>0</v>
          </cell>
          <cell r="I690" t="str">
            <v>деп</v>
          </cell>
          <cell r="J690">
            <v>38436</v>
          </cell>
        </row>
        <row r="691">
          <cell r="A691">
            <v>58741745</v>
          </cell>
          <cell r="B691" t="str">
            <v>ЖЕЛДОРЭКСПЕДИЦИЯ</v>
          </cell>
          <cell r="C691" t="str">
            <v>МОС-ПАС-ЯРОС (МСK)</v>
          </cell>
          <cell r="D691">
            <v>33543</v>
          </cell>
          <cell r="E691">
            <v>37889</v>
          </cell>
          <cell r="F691">
            <v>163</v>
          </cell>
          <cell r="H691">
            <v>0</v>
          </cell>
          <cell r="I691" t="str">
            <v>деп</v>
          </cell>
          <cell r="J691">
            <v>38436</v>
          </cell>
        </row>
        <row r="692">
          <cell r="A692">
            <v>58741752</v>
          </cell>
          <cell r="B692" t="str">
            <v>ЖЕЛДОРЭКСПЕДИЦИЯ</v>
          </cell>
          <cell r="C692" t="str">
            <v>МОС-ПАС-ЯРОС (МСK)</v>
          </cell>
          <cell r="D692">
            <v>33543</v>
          </cell>
          <cell r="E692">
            <v>37889</v>
          </cell>
          <cell r="F692">
            <v>163</v>
          </cell>
          <cell r="H692">
            <v>0</v>
          </cell>
          <cell r="I692" t="str">
            <v>деп</v>
          </cell>
          <cell r="J692">
            <v>38436</v>
          </cell>
        </row>
        <row r="693">
          <cell r="A693">
            <v>58741760</v>
          </cell>
          <cell r="B693" t="str">
            <v>ЖЕЛДОРЭКСПЕДИЦИЯ</v>
          </cell>
          <cell r="C693" t="str">
            <v>МОС-ПАС-ЯРОС (МСK)</v>
          </cell>
          <cell r="D693">
            <v>33543</v>
          </cell>
          <cell r="E693">
            <v>37889</v>
          </cell>
          <cell r="F693">
            <v>163</v>
          </cell>
          <cell r="H693">
            <v>0</v>
          </cell>
          <cell r="I693" t="str">
            <v>деп</v>
          </cell>
          <cell r="J693">
            <v>38436</v>
          </cell>
        </row>
        <row r="694">
          <cell r="A694">
            <v>58741778</v>
          </cell>
          <cell r="B694" t="str">
            <v>ЖЕЛДОРЭКСПЕДИЦИЯ</v>
          </cell>
          <cell r="C694" t="str">
            <v>МОС-ПАС-ЯРОС (МСK)</v>
          </cell>
          <cell r="D694">
            <v>33390</v>
          </cell>
          <cell r="E694">
            <v>37085</v>
          </cell>
          <cell r="F694">
            <v>819</v>
          </cell>
          <cell r="H694">
            <v>0</v>
          </cell>
          <cell r="I694" t="str">
            <v>деп</v>
          </cell>
          <cell r="J694">
            <v>37634</v>
          </cell>
        </row>
        <row r="695">
          <cell r="A695">
            <v>58741786</v>
          </cell>
          <cell r="B695" t="str">
            <v>ЖЕЛДОРЭКСПЕДИЦИЯ</v>
          </cell>
          <cell r="C695" t="str">
            <v>МОС-ПАС-ЯРОС (МСK)</v>
          </cell>
          <cell r="D695">
            <v>33390</v>
          </cell>
          <cell r="E695">
            <v>37085</v>
          </cell>
          <cell r="F695">
            <v>819</v>
          </cell>
          <cell r="H695">
            <v>0</v>
          </cell>
          <cell r="I695" t="str">
            <v>деп</v>
          </cell>
          <cell r="J695">
            <v>37634</v>
          </cell>
        </row>
        <row r="696">
          <cell r="A696">
            <v>58741802</v>
          </cell>
          <cell r="B696" t="str">
            <v>ЖЕЛДОРЭКСПЕДИЦИЯ</v>
          </cell>
          <cell r="C696" t="str">
            <v>МОС-ПАС-ЯРОС (МСK)</v>
          </cell>
          <cell r="D696">
            <v>33388</v>
          </cell>
          <cell r="E696">
            <v>37200</v>
          </cell>
          <cell r="F696">
            <v>350</v>
          </cell>
          <cell r="H696">
            <v>0</v>
          </cell>
          <cell r="I696" t="str">
            <v>деп</v>
          </cell>
          <cell r="J696">
            <v>37746</v>
          </cell>
        </row>
        <row r="697">
          <cell r="A697">
            <v>58741810</v>
          </cell>
          <cell r="B697" t="str">
            <v>ЖЕЛДОРЭКСПЕДИЦИЯ</v>
          </cell>
          <cell r="C697" t="str">
            <v>МОС-ПАС-ЯРОС (МСK)</v>
          </cell>
          <cell r="D697">
            <v>33388</v>
          </cell>
          <cell r="E697">
            <v>37200</v>
          </cell>
          <cell r="F697">
            <v>350</v>
          </cell>
          <cell r="H697">
            <v>0</v>
          </cell>
          <cell r="I697" t="str">
            <v>деп</v>
          </cell>
          <cell r="J697">
            <v>37746</v>
          </cell>
        </row>
        <row r="698">
          <cell r="B698" t="str">
            <v>ЖЕЛДОРЭКСПЕДИЦИЯ Количество</v>
          </cell>
          <cell r="D698">
            <v>21</v>
          </cell>
        </row>
        <row r="699">
          <cell r="A699">
            <v>58333402</v>
          </cell>
          <cell r="B699" t="str">
            <v>ЗАВОЛЖСКИЙ ХИМЗАВОД</v>
          </cell>
          <cell r="C699" t="str">
            <v>ЗАВОЛЖСК     (СЕВ)</v>
          </cell>
          <cell r="D699">
            <v>24108</v>
          </cell>
        </row>
        <row r="700">
          <cell r="A700">
            <v>58333428</v>
          </cell>
          <cell r="B700" t="str">
            <v>ЗАВОЛЖСКИЙ ХИМЗАВОД</v>
          </cell>
          <cell r="C700" t="str">
            <v>ЗАВОЛЖСК     (СЕВ)</v>
          </cell>
          <cell r="D700">
            <v>24108</v>
          </cell>
          <cell r="E700">
            <v>33939</v>
          </cell>
        </row>
        <row r="701">
          <cell r="B701" t="str">
            <v>ЗАВОЛЖСКИЙ ХИМЗАВОД Количество</v>
          </cell>
          <cell r="D701">
            <v>2</v>
          </cell>
        </row>
        <row r="702">
          <cell r="A702">
            <v>58724980</v>
          </cell>
          <cell r="B702" t="str">
            <v>ЗАПСИБМЕТКОМБИНАТ</v>
          </cell>
          <cell r="C702" t="str">
            <v>НОВОКУЗ.-СЕВ (ЗСБ)</v>
          </cell>
          <cell r="D702">
            <v>33604</v>
          </cell>
          <cell r="F702">
            <v>0</v>
          </cell>
          <cell r="H702">
            <v>0</v>
          </cell>
          <cell r="I702" t="str">
            <v>деп</v>
          </cell>
          <cell r="J702">
            <v>34516</v>
          </cell>
        </row>
        <row r="703">
          <cell r="A703">
            <v>58725003</v>
          </cell>
          <cell r="B703" t="str">
            <v>ЗАПСИБМЕТКОМБИНАТ</v>
          </cell>
          <cell r="C703" t="str">
            <v>НОВОКУЗ.-СЕВ (ЗСБ)</v>
          </cell>
          <cell r="D703">
            <v>33604</v>
          </cell>
          <cell r="F703">
            <v>0</v>
          </cell>
          <cell r="H703">
            <v>0</v>
          </cell>
          <cell r="I703" t="str">
            <v>деп</v>
          </cell>
          <cell r="J703">
            <v>34516</v>
          </cell>
        </row>
        <row r="704">
          <cell r="A704">
            <v>58725011</v>
          </cell>
          <cell r="B704" t="str">
            <v>ЗАПСИБМЕТКОМБИНАТ</v>
          </cell>
          <cell r="C704" t="str">
            <v>НОВОКУЗ.-СЕВ (ЗСБ)</v>
          </cell>
          <cell r="D704">
            <v>33604</v>
          </cell>
          <cell r="F704">
            <v>0</v>
          </cell>
          <cell r="H704">
            <v>0</v>
          </cell>
          <cell r="I704" t="str">
            <v>деп</v>
          </cell>
          <cell r="J704">
            <v>34516</v>
          </cell>
        </row>
        <row r="705">
          <cell r="A705">
            <v>58725029</v>
          </cell>
          <cell r="B705" t="str">
            <v>ЗАПСИБМЕТКОМБИНАТ</v>
          </cell>
          <cell r="C705" t="str">
            <v>НОВОКУЗ.-СЕВ (ЗСБ)</v>
          </cell>
          <cell r="D705">
            <v>33604</v>
          </cell>
          <cell r="F705">
            <v>0</v>
          </cell>
          <cell r="H705">
            <v>0</v>
          </cell>
          <cell r="I705" t="str">
            <v>деп</v>
          </cell>
          <cell r="J705">
            <v>34516</v>
          </cell>
        </row>
        <row r="706">
          <cell r="B706" t="str">
            <v>ЗАПСИБМЕТКОМБИНАТ Количество</v>
          </cell>
          <cell r="D706">
            <v>4</v>
          </cell>
        </row>
        <row r="707">
          <cell r="A707">
            <v>53702122</v>
          </cell>
          <cell r="B707" t="str">
            <v>ИНДИВИД.ПРЕДПР.ЛАТУХОВ В.А</v>
          </cell>
          <cell r="C707" t="str">
            <v>ШАРТАШ       (СВР)</v>
          </cell>
          <cell r="D707">
            <v>33694</v>
          </cell>
          <cell r="E707">
            <v>37840</v>
          </cell>
          <cell r="F707">
            <v>819</v>
          </cell>
          <cell r="H707">
            <v>0</v>
          </cell>
          <cell r="I707" t="str">
            <v>деп</v>
          </cell>
          <cell r="J707">
            <v>38390</v>
          </cell>
        </row>
        <row r="708">
          <cell r="A708">
            <v>58339896</v>
          </cell>
          <cell r="B708" t="str">
            <v>ИНДИВИД.ПРЕДПР.ЛАТУХОВ В.А</v>
          </cell>
          <cell r="C708" t="str">
            <v>ШАРТАШ       (СВР)</v>
          </cell>
          <cell r="D708">
            <v>34040</v>
          </cell>
          <cell r="E708">
            <v>37840</v>
          </cell>
          <cell r="F708">
            <v>819</v>
          </cell>
          <cell r="H708">
            <v>0</v>
          </cell>
          <cell r="I708" t="str">
            <v>деп</v>
          </cell>
          <cell r="J708">
            <v>38390</v>
          </cell>
        </row>
        <row r="709">
          <cell r="A709">
            <v>58339912</v>
          </cell>
          <cell r="B709" t="str">
            <v>ИНДИВИД.ПРЕДПР.ЛАТУХОВ В.А</v>
          </cell>
          <cell r="C709" t="str">
            <v>ШАРТАШ       (СВР)</v>
          </cell>
          <cell r="D709">
            <v>34040</v>
          </cell>
          <cell r="E709">
            <v>37840</v>
          </cell>
          <cell r="F709">
            <v>819</v>
          </cell>
          <cell r="H709">
            <v>0</v>
          </cell>
          <cell r="I709" t="str">
            <v>деп</v>
          </cell>
          <cell r="J709">
            <v>38390</v>
          </cell>
        </row>
        <row r="710">
          <cell r="B710" t="str">
            <v>ИНДИВИД.ПРЕДПР.ЛАТУХОВ В.А Количество</v>
          </cell>
          <cell r="D710">
            <v>3</v>
          </cell>
        </row>
        <row r="711">
          <cell r="A711">
            <v>53703377</v>
          </cell>
          <cell r="B711" t="str">
            <v>ИНЕЙ МП</v>
          </cell>
          <cell r="C711" t="str">
            <v>БЕКАСОВО-СРТ (МСK)</v>
          </cell>
          <cell r="D711">
            <v>26299</v>
          </cell>
          <cell r="E711">
            <v>34081</v>
          </cell>
        </row>
        <row r="712">
          <cell r="A712">
            <v>58722307</v>
          </cell>
          <cell r="B712" t="str">
            <v>ИНЕЙ МП</v>
          </cell>
          <cell r="C712" t="str">
            <v>БЕКАСОВО-СРТ (МСK)</v>
          </cell>
          <cell r="D712">
            <v>26299</v>
          </cell>
          <cell r="E712">
            <v>34081</v>
          </cell>
        </row>
        <row r="713">
          <cell r="A713">
            <v>58722315</v>
          </cell>
          <cell r="B713" t="str">
            <v>ИНЕЙ МП</v>
          </cell>
          <cell r="C713" t="str">
            <v>БЕКАСОВО-СРТ (МСK)</v>
          </cell>
          <cell r="D713">
            <v>26299</v>
          </cell>
          <cell r="E713">
            <v>34081</v>
          </cell>
        </row>
        <row r="714">
          <cell r="A714">
            <v>58722323</v>
          </cell>
          <cell r="B714" t="str">
            <v>ИНЕЙ МП</v>
          </cell>
          <cell r="C714" t="str">
            <v>БЕКАСОВО-СРТ (МСK)</v>
          </cell>
          <cell r="D714">
            <v>26299</v>
          </cell>
          <cell r="E714">
            <v>33983</v>
          </cell>
        </row>
        <row r="715">
          <cell r="A715">
            <v>58722331</v>
          </cell>
          <cell r="B715" t="str">
            <v>ИНЕЙ МП</v>
          </cell>
          <cell r="C715" t="str">
            <v>БЕКАСОВО-СРТ (МСK)</v>
          </cell>
          <cell r="D715">
            <v>26299</v>
          </cell>
          <cell r="E715">
            <v>34081</v>
          </cell>
        </row>
        <row r="716">
          <cell r="B716" t="str">
            <v>ИНЕЙ МП Количество</v>
          </cell>
          <cell r="D716">
            <v>5</v>
          </cell>
        </row>
        <row r="717">
          <cell r="A717">
            <v>53704276</v>
          </cell>
          <cell r="B717" t="str">
            <v>ИНФОТЕХ</v>
          </cell>
          <cell r="C717" t="str">
            <v>ОРДЖОНИКИДЗЕ (МСK)</v>
          </cell>
          <cell r="D717">
            <v>28307</v>
          </cell>
          <cell r="E717">
            <v>37060</v>
          </cell>
          <cell r="F717">
            <v>335</v>
          </cell>
          <cell r="G717">
            <v>37680</v>
          </cell>
          <cell r="H717">
            <v>886</v>
          </cell>
          <cell r="I717" t="str">
            <v>деп</v>
          </cell>
          <cell r="J717">
            <v>38776</v>
          </cell>
        </row>
        <row r="718">
          <cell r="A718">
            <v>58721143</v>
          </cell>
          <cell r="B718" t="str">
            <v>ИНФОТЕХ</v>
          </cell>
          <cell r="C718" t="str">
            <v>ОРДЖОНИКИДЗЕ (МСK)</v>
          </cell>
          <cell r="D718">
            <v>28307</v>
          </cell>
          <cell r="E718">
            <v>36914</v>
          </cell>
          <cell r="F718">
            <v>335</v>
          </cell>
          <cell r="G718">
            <v>37680</v>
          </cell>
          <cell r="H718">
            <v>886</v>
          </cell>
          <cell r="I718" t="str">
            <v>деп</v>
          </cell>
          <cell r="J718">
            <v>38411</v>
          </cell>
        </row>
        <row r="719">
          <cell r="A719">
            <v>58724444</v>
          </cell>
          <cell r="B719" t="str">
            <v>ИНФОТЕХ</v>
          </cell>
          <cell r="C719" t="str">
            <v>ОРДЖОНИКИДЗЕ (МСK)</v>
          </cell>
          <cell r="D719">
            <v>28307</v>
          </cell>
          <cell r="E719">
            <v>37060</v>
          </cell>
          <cell r="F719">
            <v>335</v>
          </cell>
          <cell r="G719">
            <v>37680</v>
          </cell>
          <cell r="H719">
            <v>886</v>
          </cell>
          <cell r="I719" t="str">
            <v>деп</v>
          </cell>
          <cell r="J719">
            <v>38411</v>
          </cell>
        </row>
        <row r="720">
          <cell r="A720">
            <v>58724451</v>
          </cell>
          <cell r="B720" t="str">
            <v>ИНФОТЕХ</v>
          </cell>
          <cell r="C720" t="str">
            <v>ОРДЖОНИКИДЗЕ (МСK)</v>
          </cell>
          <cell r="D720">
            <v>28307</v>
          </cell>
          <cell r="E720">
            <v>37060</v>
          </cell>
          <cell r="F720">
            <v>335</v>
          </cell>
          <cell r="G720">
            <v>37680</v>
          </cell>
          <cell r="H720">
            <v>886</v>
          </cell>
          <cell r="I720" t="str">
            <v>деп</v>
          </cell>
          <cell r="J720">
            <v>38411</v>
          </cell>
        </row>
        <row r="721">
          <cell r="A721">
            <v>58724469</v>
          </cell>
          <cell r="B721" t="str">
            <v>ИНФОТЕХ</v>
          </cell>
          <cell r="C721" t="str">
            <v>ОРДЖОНИКИДЗЕ (МСK)</v>
          </cell>
          <cell r="D721">
            <v>28307</v>
          </cell>
          <cell r="E721">
            <v>36916</v>
          </cell>
          <cell r="F721">
            <v>335</v>
          </cell>
          <cell r="G721">
            <v>37680</v>
          </cell>
          <cell r="H721">
            <v>886</v>
          </cell>
          <cell r="I721" t="str">
            <v>деп</v>
          </cell>
          <cell r="J721">
            <v>38411</v>
          </cell>
        </row>
        <row r="722">
          <cell r="B722" t="str">
            <v>ИНФОТЕХ Количество</v>
          </cell>
          <cell r="D722">
            <v>5</v>
          </cell>
        </row>
        <row r="723">
          <cell r="A723">
            <v>58724816</v>
          </cell>
          <cell r="B723" t="str">
            <v>КАУРИ</v>
          </cell>
          <cell r="C723" t="str">
            <v>БУГАЧ        (КРС)</v>
          </cell>
          <cell r="D723">
            <v>33512</v>
          </cell>
          <cell r="E723">
            <v>35423</v>
          </cell>
          <cell r="F723">
            <v>633</v>
          </cell>
          <cell r="H723">
            <v>0</v>
          </cell>
          <cell r="I723" t="str">
            <v>деп</v>
          </cell>
          <cell r="J723">
            <v>35970</v>
          </cell>
        </row>
        <row r="724">
          <cell r="A724">
            <v>58724824</v>
          </cell>
          <cell r="B724" t="str">
            <v>КАУРИ</v>
          </cell>
          <cell r="C724" t="str">
            <v>БУГАЧ        (КРС)</v>
          </cell>
          <cell r="D724">
            <v>33512</v>
          </cell>
          <cell r="E724">
            <v>35423</v>
          </cell>
          <cell r="F724">
            <v>633</v>
          </cell>
          <cell r="H724">
            <v>0</v>
          </cell>
          <cell r="I724" t="str">
            <v>деп</v>
          </cell>
          <cell r="J724">
            <v>35970</v>
          </cell>
        </row>
        <row r="725">
          <cell r="B725" t="str">
            <v>КАУРИ Количество</v>
          </cell>
          <cell r="D725">
            <v>2</v>
          </cell>
        </row>
        <row r="726">
          <cell r="A726">
            <v>53701611</v>
          </cell>
          <cell r="B726" t="str">
            <v>КБ СПЕЦМАШИНОСТРОЕНИЯ</v>
          </cell>
          <cell r="C726" t="str">
            <v>С-ПЕТЕР-БАЛТ (ОКТ)</v>
          </cell>
          <cell r="D726">
            <v>28550</v>
          </cell>
          <cell r="E726">
            <v>35493</v>
          </cell>
          <cell r="G726">
            <v>34840</v>
          </cell>
          <cell r="I726" t="str">
            <v>деп</v>
          </cell>
          <cell r="J726">
            <v>36589</v>
          </cell>
        </row>
        <row r="727">
          <cell r="A727">
            <v>53703575</v>
          </cell>
          <cell r="B727" t="str">
            <v>КБ СПЕЦМАШИНОСТРОЕНИЯ</v>
          </cell>
          <cell r="C727" t="str">
            <v>С-ПЕТЕР-БАЛТ (ОКТ)</v>
          </cell>
          <cell r="D727">
            <v>27485</v>
          </cell>
          <cell r="E727">
            <v>34775</v>
          </cell>
          <cell r="I727" t="str">
            <v>деп</v>
          </cell>
          <cell r="J727">
            <v>35871</v>
          </cell>
        </row>
        <row r="728">
          <cell r="A728">
            <v>53703583</v>
          </cell>
          <cell r="B728" t="str">
            <v>КБ СПЕЦМАШИНОСТРОЕНИЯ</v>
          </cell>
          <cell r="C728" t="str">
            <v>С-ПЕТЕР-БАЛТ (ОКТ)</v>
          </cell>
          <cell r="D728">
            <v>27426</v>
          </cell>
          <cell r="E728">
            <v>34776</v>
          </cell>
          <cell r="I728" t="str">
            <v>деп</v>
          </cell>
          <cell r="J728">
            <v>35872</v>
          </cell>
        </row>
        <row r="729">
          <cell r="B729" t="str">
            <v>КБ СПЕЦМАШИНОСТРОЕНИЯ Количество</v>
          </cell>
          <cell r="D729">
            <v>3</v>
          </cell>
        </row>
        <row r="730">
          <cell r="A730">
            <v>53702460</v>
          </cell>
          <cell r="B730" t="str">
            <v>КЕДР</v>
          </cell>
          <cell r="C730" t="str">
            <v>НИЖНЯЯ ТУРА  (СВР)</v>
          </cell>
          <cell r="D730">
            <v>26993</v>
          </cell>
          <cell r="E730">
            <v>35869</v>
          </cell>
          <cell r="G730">
            <v>37042</v>
          </cell>
          <cell r="H730">
            <v>557</v>
          </cell>
          <cell r="I730" t="str">
            <v>деп</v>
          </cell>
          <cell r="J730">
            <v>38138</v>
          </cell>
        </row>
        <row r="731">
          <cell r="A731">
            <v>58720939</v>
          </cell>
          <cell r="B731" t="str">
            <v>КЕДР</v>
          </cell>
          <cell r="C731" t="str">
            <v>НИЖНЯЯ ТУРА  (СВР)</v>
          </cell>
          <cell r="D731">
            <v>26993</v>
          </cell>
          <cell r="E731">
            <v>35869</v>
          </cell>
          <cell r="G731">
            <v>37042</v>
          </cell>
          <cell r="H731">
            <v>557</v>
          </cell>
          <cell r="I731" t="str">
            <v>деп</v>
          </cell>
          <cell r="J731">
            <v>37772</v>
          </cell>
        </row>
        <row r="732">
          <cell r="A732">
            <v>58720947</v>
          </cell>
          <cell r="B732" t="str">
            <v>КЕДР</v>
          </cell>
          <cell r="C732" t="str">
            <v>НИЖНЯЯ ТУРА  (СВР)</v>
          </cell>
          <cell r="D732">
            <v>26993</v>
          </cell>
          <cell r="E732">
            <v>35869</v>
          </cell>
          <cell r="G732">
            <v>37042</v>
          </cell>
          <cell r="H732">
            <v>557</v>
          </cell>
          <cell r="I732" t="str">
            <v>деп</v>
          </cell>
          <cell r="J732">
            <v>37772</v>
          </cell>
        </row>
        <row r="733">
          <cell r="A733">
            <v>58720954</v>
          </cell>
          <cell r="B733" t="str">
            <v>КЕДР</v>
          </cell>
          <cell r="C733" t="str">
            <v>НИЖНЯЯ ТУРА  (СВР)</v>
          </cell>
          <cell r="D733">
            <v>26993</v>
          </cell>
          <cell r="E733">
            <v>35869</v>
          </cell>
          <cell r="G733">
            <v>37042</v>
          </cell>
          <cell r="H733">
            <v>557</v>
          </cell>
          <cell r="I733" t="str">
            <v>деп</v>
          </cell>
          <cell r="J733">
            <v>37772</v>
          </cell>
        </row>
        <row r="734">
          <cell r="A734">
            <v>58720962</v>
          </cell>
          <cell r="B734" t="str">
            <v>КЕДР</v>
          </cell>
          <cell r="C734" t="str">
            <v>НИЖНЯЯ ТУРА  (СВР)</v>
          </cell>
          <cell r="D734">
            <v>26993</v>
          </cell>
          <cell r="E734">
            <v>35869</v>
          </cell>
          <cell r="G734">
            <v>37042</v>
          </cell>
          <cell r="H734">
            <v>557</v>
          </cell>
          <cell r="I734" t="str">
            <v>деп</v>
          </cell>
          <cell r="J734">
            <v>37772</v>
          </cell>
        </row>
        <row r="735">
          <cell r="B735" t="str">
            <v>КЕДР Количество</v>
          </cell>
          <cell r="D735">
            <v>5</v>
          </cell>
        </row>
        <row r="736">
          <cell r="A736">
            <v>58140807</v>
          </cell>
          <cell r="B736" t="str">
            <v>КИЗЛЯРСКИЙ ВИНСОВХОЗ</v>
          </cell>
          <cell r="C736" t="str">
            <v>КИЗЛЯР       (СКВ)</v>
          </cell>
          <cell r="D736">
            <v>22282</v>
          </cell>
          <cell r="E736">
            <v>36745</v>
          </cell>
          <cell r="F736">
            <v>557</v>
          </cell>
          <cell r="G736">
            <v>33430</v>
          </cell>
          <cell r="I736" t="str">
            <v>деп</v>
          </cell>
          <cell r="J736">
            <v>37475</v>
          </cell>
        </row>
        <row r="737">
          <cell r="A737">
            <v>58140815</v>
          </cell>
          <cell r="B737" t="str">
            <v>КИЗЛЯРСКИЙ ВИНСОВХОЗ</v>
          </cell>
          <cell r="C737" t="str">
            <v>КИЗЛЯР       (СКВ)</v>
          </cell>
          <cell r="D737">
            <v>22282</v>
          </cell>
          <cell r="E737">
            <v>35794</v>
          </cell>
          <cell r="G737">
            <v>35885</v>
          </cell>
          <cell r="I737" t="str">
            <v>деп</v>
          </cell>
          <cell r="J737">
            <v>36616</v>
          </cell>
        </row>
        <row r="738">
          <cell r="A738">
            <v>58140823</v>
          </cell>
          <cell r="B738" t="str">
            <v>КИЗЛЯРСКИЙ ВИНСОВХОЗ</v>
          </cell>
          <cell r="C738" t="str">
            <v>КИЗЛЯР       (СКВ)</v>
          </cell>
          <cell r="D738">
            <v>22282</v>
          </cell>
          <cell r="E738">
            <v>36745</v>
          </cell>
          <cell r="F738">
            <v>557</v>
          </cell>
          <cell r="G738">
            <v>35289</v>
          </cell>
          <cell r="I738" t="str">
            <v>деп</v>
          </cell>
          <cell r="J738">
            <v>37475</v>
          </cell>
        </row>
        <row r="739">
          <cell r="A739">
            <v>58140831</v>
          </cell>
          <cell r="B739" t="str">
            <v>КИЗЛЯРСКИЙ ВИНСОВХОЗ</v>
          </cell>
          <cell r="C739" t="str">
            <v>КИЗЛЯР       (СКВ)</v>
          </cell>
          <cell r="D739">
            <v>22282</v>
          </cell>
          <cell r="E739">
            <v>35864</v>
          </cell>
          <cell r="G739">
            <v>33876</v>
          </cell>
          <cell r="I739" t="str">
            <v>деп</v>
          </cell>
          <cell r="J739">
            <v>36595</v>
          </cell>
        </row>
        <row r="740">
          <cell r="A740">
            <v>58140849</v>
          </cell>
          <cell r="B740" t="str">
            <v>КИЗЛЯРСКИЙ ВИНСОВХОЗ</v>
          </cell>
          <cell r="C740" t="str">
            <v>КИЗЛЯР       (СКВ)</v>
          </cell>
          <cell r="D740">
            <v>22282</v>
          </cell>
          <cell r="E740">
            <v>36745</v>
          </cell>
          <cell r="F740">
            <v>557</v>
          </cell>
          <cell r="G740">
            <v>33430</v>
          </cell>
          <cell r="I740" t="str">
            <v>деп</v>
          </cell>
          <cell r="J740">
            <v>37475</v>
          </cell>
        </row>
        <row r="741">
          <cell r="B741" t="str">
            <v>КИЗЛЯРСКИЙ ВИНСОВХОЗ Количество</v>
          </cell>
          <cell r="D741">
            <v>5</v>
          </cell>
        </row>
        <row r="742">
          <cell r="A742">
            <v>58725789</v>
          </cell>
          <cell r="B742" t="str">
            <v>КИРОВ.ДИСТ.ВОДОСНАБЖ.ГОРЖД</v>
          </cell>
          <cell r="C742" t="str">
            <v>МУРАШИ       (ГOР)</v>
          </cell>
          <cell r="D742">
            <v>33198</v>
          </cell>
          <cell r="E742">
            <v>36465</v>
          </cell>
        </row>
        <row r="743">
          <cell r="B743" t="str">
            <v>КИРОВ.ДИСТ.ВОДОСНАБЖ.ГОРЖД Количество</v>
          </cell>
          <cell r="D743">
            <v>1</v>
          </cell>
        </row>
        <row r="744">
          <cell r="A744">
            <v>53402087</v>
          </cell>
          <cell r="B744" t="str">
            <v>КОЛОРТРАНС</v>
          </cell>
          <cell r="C744" t="str">
            <v>ПОДЛИПКИ-ДАЧ (МСK)</v>
          </cell>
          <cell r="D744">
            <v>29587</v>
          </cell>
          <cell r="F744">
            <v>0</v>
          </cell>
          <cell r="G744">
            <v>37790</v>
          </cell>
          <cell r="H744">
            <v>492</v>
          </cell>
          <cell r="I744" t="str">
            <v>деп</v>
          </cell>
          <cell r="J744">
            <v>38521</v>
          </cell>
        </row>
        <row r="745">
          <cell r="B745" t="str">
            <v>КОЛОРТРАНС Количество</v>
          </cell>
          <cell r="D745">
            <v>1</v>
          </cell>
        </row>
        <row r="746">
          <cell r="A746">
            <v>58330978</v>
          </cell>
          <cell r="B746" t="str">
            <v>КОМИТОРГНЕФТЬ</v>
          </cell>
          <cell r="C746" t="str">
            <v>УХТА         (СЕВ)</v>
          </cell>
          <cell r="D746">
            <v>31778</v>
          </cell>
          <cell r="E746">
            <v>35326</v>
          </cell>
        </row>
        <row r="747">
          <cell r="A747">
            <v>58331034</v>
          </cell>
          <cell r="B747" t="str">
            <v>КОМИТОРГНЕФТЬ</v>
          </cell>
          <cell r="C747" t="str">
            <v>УХТА         (СЕВ)</v>
          </cell>
          <cell r="D747">
            <v>31778</v>
          </cell>
          <cell r="E747">
            <v>35326</v>
          </cell>
        </row>
        <row r="748">
          <cell r="B748" t="str">
            <v>КОМИТОРГНЕФТЬ Количество</v>
          </cell>
          <cell r="D748">
            <v>2</v>
          </cell>
        </row>
        <row r="749">
          <cell r="A749">
            <v>53706719</v>
          </cell>
          <cell r="B749" t="str">
            <v>КОМП.ВОСТОЧНЫЙ МЕРИДИАН</v>
          </cell>
          <cell r="C749" t="str">
            <v>ВОЛКОВСКАЯ   (ОКТ)</v>
          </cell>
          <cell r="D749">
            <v>31472</v>
          </cell>
          <cell r="E749">
            <v>36358</v>
          </cell>
          <cell r="F749">
            <v>886</v>
          </cell>
          <cell r="G749">
            <v>37807</v>
          </cell>
          <cell r="H749">
            <v>886</v>
          </cell>
          <cell r="I749" t="str">
            <v>деп</v>
          </cell>
          <cell r="J749">
            <v>38357</v>
          </cell>
        </row>
        <row r="750">
          <cell r="A750">
            <v>53706842</v>
          </cell>
          <cell r="B750" t="str">
            <v>КОМП.ВОСТОЧНЫЙ МЕРИДИАН</v>
          </cell>
          <cell r="C750" t="str">
            <v>ВОЛКОВСКАЯ   (ОКТ)</v>
          </cell>
          <cell r="D750">
            <v>31472</v>
          </cell>
          <cell r="E750">
            <v>36140</v>
          </cell>
          <cell r="F750">
            <v>0</v>
          </cell>
          <cell r="G750">
            <v>37928</v>
          </cell>
          <cell r="H750">
            <v>0</v>
          </cell>
          <cell r="I750" t="str">
            <v>деп</v>
          </cell>
          <cell r="J750">
            <v>38475</v>
          </cell>
        </row>
        <row r="751">
          <cell r="A751">
            <v>53706859</v>
          </cell>
          <cell r="B751" t="str">
            <v>КОМП.ВОСТОЧНЫЙ МЕРИДИАН</v>
          </cell>
          <cell r="C751" t="str">
            <v>ВОЛКОВСКАЯ   (ОКТ)</v>
          </cell>
          <cell r="D751">
            <v>31444</v>
          </cell>
          <cell r="E751">
            <v>36834</v>
          </cell>
          <cell r="F751">
            <v>0</v>
          </cell>
          <cell r="G751">
            <v>37928</v>
          </cell>
          <cell r="H751">
            <v>0</v>
          </cell>
          <cell r="I751" t="str">
            <v>деп</v>
          </cell>
          <cell r="J751">
            <v>38475</v>
          </cell>
        </row>
        <row r="752">
          <cell r="A752">
            <v>53706867</v>
          </cell>
          <cell r="B752" t="str">
            <v>КОМП.ВОСТОЧНЫЙ МЕРИДИАН</v>
          </cell>
          <cell r="C752" t="str">
            <v>ВОЛКОВСКАЯ   (ОКТ)</v>
          </cell>
          <cell r="D752">
            <v>31444</v>
          </cell>
          <cell r="E752">
            <v>36355</v>
          </cell>
          <cell r="F752">
            <v>886</v>
          </cell>
          <cell r="G752">
            <v>37928</v>
          </cell>
          <cell r="H752">
            <v>0</v>
          </cell>
          <cell r="I752" t="str">
            <v>деп</v>
          </cell>
          <cell r="J752">
            <v>38475</v>
          </cell>
        </row>
        <row r="753">
          <cell r="A753">
            <v>58741604</v>
          </cell>
          <cell r="B753" t="str">
            <v>КОМП.ВОСТОЧНЫЙ МЕРИДИАН</v>
          </cell>
          <cell r="C753" t="str">
            <v>ВОЛКОВСКАЯ   (ОКТ)</v>
          </cell>
          <cell r="D753">
            <v>31472</v>
          </cell>
          <cell r="E753">
            <v>36358</v>
          </cell>
          <cell r="F753">
            <v>886</v>
          </cell>
          <cell r="G753">
            <v>37807</v>
          </cell>
          <cell r="H753">
            <v>886</v>
          </cell>
          <cell r="I753" t="str">
            <v>деп</v>
          </cell>
          <cell r="J753">
            <v>38357</v>
          </cell>
        </row>
        <row r="754">
          <cell r="A754">
            <v>58741612</v>
          </cell>
          <cell r="B754" t="str">
            <v>КОМП.ВОСТОЧНЫЙ МЕРИДИАН</v>
          </cell>
          <cell r="C754" t="str">
            <v>ВОЛКОВСКАЯ   (ОКТ)</v>
          </cell>
          <cell r="D754">
            <v>31444</v>
          </cell>
          <cell r="E754">
            <v>36358</v>
          </cell>
          <cell r="F754">
            <v>886</v>
          </cell>
          <cell r="G754">
            <v>37807</v>
          </cell>
          <cell r="H754">
            <v>886</v>
          </cell>
          <cell r="I754" t="str">
            <v>деп</v>
          </cell>
          <cell r="J754">
            <v>38357</v>
          </cell>
        </row>
        <row r="755">
          <cell r="A755">
            <v>58741620</v>
          </cell>
          <cell r="B755" t="str">
            <v>КОМП.ВОСТОЧНЫЙ МЕРИДИАН</v>
          </cell>
          <cell r="C755" t="str">
            <v>ВОЛКОВСКАЯ   (ОКТ)</v>
          </cell>
          <cell r="D755">
            <v>31472</v>
          </cell>
          <cell r="E755">
            <v>36358</v>
          </cell>
          <cell r="F755">
            <v>886</v>
          </cell>
          <cell r="G755">
            <v>37807</v>
          </cell>
          <cell r="H755">
            <v>886</v>
          </cell>
          <cell r="I755" t="str">
            <v>деп</v>
          </cell>
          <cell r="J755">
            <v>38357</v>
          </cell>
        </row>
        <row r="756">
          <cell r="A756">
            <v>58741638</v>
          </cell>
          <cell r="B756" t="str">
            <v>КОМП.ВОСТОЧНЫЙ МЕРИДИАН</v>
          </cell>
          <cell r="C756" t="str">
            <v>ВОЛКОВСКАЯ   (ОКТ)</v>
          </cell>
          <cell r="D756">
            <v>31472</v>
          </cell>
          <cell r="E756">
            <v>36358</v>
          </cell>
          <cell r="F756">
            <v>886</v>
          </cell>
          <cell r="G756">
            <v>37807</v>
          </cell>
          <cell r="H756">
            <v>886</v>
          </cell>
          <cell r="I756" t="str">
            <v>деп</v>
          </cell>
          <cell r="J756">
            <v>38357</v>
          </cell>
        </row>
        <row r="757">
          <cell r="A757">
            <v>58742180</v>
          </cell>
          <cell r="B757" t="str">
            <v>КОМП.ВОСТОЧНЫЙ МЕРИДИАН</v>
          </cell>
          <cell r="C757" t="str">
            <v>ВОЛКОВСКАЯ   (ОКТ)</v>
          </cell>
          <cell r="D757">
            <v>31472</v>
          </cell>
          <cell r="E757">
            <v>36140</v>
          </cell>
          <cell r="F757">
            <v>0</v>
          </cell>
          <cell r="G757">
            <v>37928</v>
          </cell>
          <cell r="H757">
            <v>0</v>
          </cell>
          <cell r="I757" t="str">
            <v>деп</v>
          </cell>
          <cell r="J757">
            <v>38475</v>
          </cell>
        </row>
        <row r="758">
          <cell r="A758">
            <v>58742206</v>
          </cell>
          <cell r="B758" t="str">
            <v>КОМП.ВОСТОЧНЫЙ МЕРИДИАН</v>
          </cell>
          <cell r="C758" t="str">
            <v>ВОЛКОВСКАЯ   (ОКТ)</v>
          </cell>
          <cell r="D758">
            <v>31472</v>
          </cell>
          <cell r="E758">
            <v>36140</v>
          </cell>
          <cell r="F758">
            <v>0</v>
          </cell>
          <cell r="G758">
            <v>37928</v>
          </cell>
          <cell r="H758">
            <v>0</v>
          </cell>
          <cell r="I758" t="str">
            <v>деп</v>
          </cell>
          <cell r="J758">
            <v>38475</v>
          </cell>
        </row>
        <row r="759">
          <cell r="A759">
            <v>58742214</v>
          </cell>
          <cell r="B759" t="str">
            <v>КОМП.ВОСТОЧНЫЙ МЕРИДИАН</v>
          </cell>
          <cell r="C759" t="str">
            <v>ВОЛКОВСКАЯ   (ОКТ)</v>
          </cell>
          <cell r="D759">
            <v>31472</v>
          </cell>
          <cell r="E759">
            <v>36140</v>
          </cell>
          <cell r="F759">
            <v>0</v>
          </cell>
          <cell r="G759">
            <v>37928</v>
          </cell>
          <cell r="H759">
            <v>0</v>
          </cell>
          <cell r="I759" t="str">
            <v>деп</v>
          </cell>
          <cell r="J759">
            <v>38475</v>
          </cell>
        </row>
        <row r="760">
          <cell r="A760">
            <v>58742222</v>
          </cell>
          <cell r="B760" t="str">
            <v>КОМП.ВОСТОЧНЫЙ МЕРИДИАН</v>
          </cell>
          <cell r="C760" t="str">
            <v>ВОЛКОВСКАЯ   (ОКТ)</v>
          </cell>
          <cell r="D760">
            <v>31472</v>
          </cell>
          <cell r="E760">
            <v>36140</v>
          </cell>
          <cell r="F760">
            <v>0</v>
          </cell>
          <cell r="G760">
            <v>37928</v>
          </cell>
          <cell r="H760">
            <v>0</v>
          </cell>
          <cell r="I760" t="str">
            <v>деп</v>
          </cell>
          <cell r="J760">
            <v>38475</v>
          </cell>
        </row>
        <row r="761">
          <cell r="A761">
            <v>58742230</v>
          </cell>
          <cell r="B761" t="str">
            <v>КОМП.ВОСТОЧНЫЙ МЕРИДИАН</v>
          </cell>
          <cell r="C761" t="str">
            <v>ВОЛКОВСКАЯ   (ОКТ)</v>
          </cell>
          <cell r="D761">
            <v>31444</v>
          </cell>
          <cell r="E761">
            <v>36529</v>
          </cell>
          <cell r="F761">
            <v>0</v>
          </cell>
          <cell r="G761">
            <v>37928</v>
          </cell>
          <cell r="H761">
            <v>0</v>
          </cell>
          <cell r="I761" t="str">
            <v>деп</v>
          </cell>
          <cell r="J761">
            <v>38475</v>
          </cell>
        </row>
        <row r="762">
          <cell r="A762">
            <v>58742248</v>
          </cell>
          <cell r="B762" t="str">
            <v>КОМП.ВОСТОЧНЫЙ МЕРИДИАН</v>
          </cell>
          <cell r="C762" t="str">
            <v>ВОЛКОВСКАЯ   (ОКТ)</v>
          </cell>
          <cell r="D762">
            <v>31444</v>
          </cell>
          <cell r="E762">
            <v>36529</v>
          </cell>
          <cell r="F762">
            <v>0</v>
          </cell>
          <cell r="G762">
            <v>37928</v>
          </cell>
          <cell r="H762">
            <v>0</v>
          </cell>
          <cell r="I762" t="str">
            <v>деп</v>
          </cell>
          <cell r="J762">
            <v>38475</v>
          </cell>
        </row>
        <row r="763">
          <cell r="A763">
            <v>58742255</v>
          </cell>
          <cell r="B763" t="str">
            <v>КОМП.ВОСТОЧНЫЙ МЕРИДИАН</v>
          </cell>
          <cell r="C763" t="str">
            <v>ВОЛКОВСКАЯ   (ОКТ)</v>
          </cell>
          <cell r="D763">
            <v>31444</v>
          </cell>
          <cell r="E763">
            <v>36529</v>
          </cell>
          <cell r="F763">
            <v>0</v>
          </cell>
          <cell r="G763">
            <v>37928</v>
          </cell>
          <cell r="H763">
            <v>0</v>
          </cell>
          <cell r="I763" t="str">
            <v>деп</v>
          </cell>
          <cell r="J763">
            <v>38475</v>
          </cell>
        </row>
        <row r="764">
          <cell r="A764">
            <v>58742263</v>
          </cell>
          <cell r="B764" t="str">
            <v>КОМП.ВОСТОЧНЫЙ МЕРИДИАН</v>
          </cell>
          <cell r="C764" t="str">
            <v>ВОЛКОВСКАЯ   (ОКТ)</v>
          </cell>
          <cell r="D764">
            <v>31444</v>
          </cell>
          <cell r="E764">
            <v>36529</v>
          </cell>
          <cell r="F764">
            <v>0</v>
          </cell>
          <cell r="G764">
            <v>37928</v>
          </cell>
          <cell r="H764">
            <v>0</v>
          </cell>
          <cell r="I764" t="str">
            <v>деп</v>
          </cell>
          <cell r="J764">
            <v>38475</v>
          </cell>
        </row>
        <row r="765">
          <cell r="A765">
            <v>58742271</v>
          </cell>
          <cell r="B765" t="str">
            <v>КОМП.ВОСТОЧНЫЙ МЕРИДИАН</v>
          </cell>
          <cell r="C765" t="str">
            <v>ВОЛКОВСКАЯ   (ОКТ)</v>
          </cell>
          <cell r="D765">
            <v>31444</v>
          </cell>
          <cell r="E765">
            <v>36355</v>
          </cell>
          <cell r="F765">
            <v>0</v>
          </cell>
          <cell r="G765">
            <v>37928</v>
          </cell>
          <cell r="H765">
            <v>0</v>
          </cell>
          <cell r="I765" t="str">
            <v>деп</v>
          </cell>
          <cell r="J765">
            <v>38475</v>
          </cell>
        </row>
        <row r="766">
          <cell r="A766">
            <v>58742289</v>
          </cell>
          <cell r="B766" t="str">
            <v>КОМП.ВОСТОЧНЫЙ МЕРИДИАН</v>
          </cell>
          <cell r="C766" t="str">
            <v>ВОЛКОВСКАЯ   (ОКТ)</v>
          </cell>
          <cell r="D766">
            <v>31444</v>
          </cell>
          <cell r="E766">
            <v>36355</v>
          </cell>
          <cell r="F766">
            <v>0</v>
          </cell>
          <cell r="G766">
            <v>37928</v>
          </cell>
          <cell r="H766">
            <v>0</v>
          </cell>
          <cell r="I766" t="str">
            <v>деп</v>
          </cell>
          <cell r="J766">
            <v>38475</v>
          </cell>
        </row>
        <row r="767">
          <cell r="A767">
            <v>58742305</v>
          </cell>
          <cell r="B767" t="str">
            <v>КОМП.ВОСТОЧНЫЙ МЕРИДИАН</v>
          </cell>
          <cell r="C767" t="str">
            <v>ВОЛКОВСКАЯ   (ОКТ)</v>
          </cell>
          <cell r="D767">
            <v>31444</v>
          </cell>
          <cell r="E767">
            <v>36355</v>
          </cell>
          <cell r="F767">
            <v>0</v>
          </cell>
          <cell r="G767">
            <v>37928</v>
          </cell>
          <cell r="H767">
            <v>0</v>
          </cell>
          <cell r="I767" t="str">
            <v>деп</v>
          </cell>
          <cell r="J767">
            <v>38475</v>
          </cell>
        </row>
        <row r="768">
          <cell r="A768">
            <v>58742313</v>
          </cell>
          <cell r="B768" t="str">
            <v>КОМП.ВОСТОЧНЫЙ МЕРИДИАН</v>
          </cell>
          <cell r="C768" t="str">
            <v>ВОЛКОВСКАЯ   (ОКТ)</v>
          </cell>
          <cell r="D768">
            <v>31444</v>
          </cell>
          <cell r="E768">
            <v>36355</v>
          </cell>
          <cell r="F768">
            <v>0</v>
          </cell>
          <cell r="G768">
            <v>37928</v>
          </cell>
          <cell r="H768">
            <v>0</v>
          </cell>
          <cell r="I768" t="str">
            <v>деп</v>
          </cell>
          <cell r="J768">
            <v>38475</v>
          </cell>
        </row>
        <row r="769">
          <cell r="B769" t="str">
            <v>КОМП.ВОСТОЧНЫЙ МЕРИДИАН Количество</v>
          </cell>
          <cell r="D769">
            <v>20</v>
          </cell>
        </row>
        <row r="770">
          <cell r="A770">
            <v>53400016</v>
          </cell>
          <cell r="B770" t="str">
            <v>КОМПАНИЯ ВОСТОЧН.МЕРИДИАН</v>
          </cell>
          <cell r="C770" t="str">
            <v>МЫС-ЧУРКИН   (ДВС)</v>
          </cell>
          <cell r="D770">
            <v>29526</v>
          </cell>
          <cell r="E770">
            <v>37668</v>
          </cell>
          <cell r="F770">
            <v>819</v>
          </cell>
          <cell r="G770">
            <v>37071</v>
          </cell>
          <cell r="H770">
            <v>163</v>
          </cell>
          <cell r="I770" t="str">
            <v>деп</v>
          </cell>
          <cell r="J770">
            <v>38215</v>
          </cell>
        </row>
        <row r="771">
          <cell r="A771">
            <v>53400065</v>
          </cell>
          <cell r="B771" t="str">
            <v>КОМПАНИЯ ВОСТОЧН.МЕРИДИАН</v>
          </cell>
          <cell r="C771" t="str">
            <v>МЫС-ЧУРКИН   (ДВС)</v>
          </cell>
          <cell r="D771">
            <v>30713</v>
          </cell>
          <cell r="E771">
            <v>37127</v>
          </cell>
          <cell r="F771">
            <v>330</v>
          </cell>
          <cell r="G771">
            <v>37651</v>
          </cell>
          <cell r="H771">
            <v>819</v>
          </cell>
          <cell r="I771" t="str">
            <v>деп</v>
          </cell>
          <cell r="J771">
            <v>38198</v>
          </cell>
        </row>
        <row r="772">
          <cell r="A772">
            <v>53400115</v>
          </cell>
          <cell r="B772" t="str">
            <v>КОМПАНИЯ ВОСТОЧН.МЕРИДИАН</v>
          </cell>
          <cell r="C772" t="str">
            <v>МЫС-ЧУРКИН   (ДВС)</v>
          </cell>
          <cell r="D772">
            <v>28369</v>
          </cell>
          <cell r="E772">
            <v>37741</v>
          </cell>
          <cell r="F772">
            <v>819</v>
          </cell>
          <cell r="G772">
            <v>32417</v>
          </cell>
          <cell r="H772">
            <v>0</v>
          </cell>
          <cell r="I772" t="str">
            <v>деп</v>
          </cell>
          <cell r="J772">
            <v>38290</v>
          </cell>
        </row>
        <row r="773">
          <cell r="A773">
            <v>53400123</v>
          </cell>
          <cell r="B773" t="str">
            <v>КОМПАНИЯ ВОСТОЧН.МЕРИДИАН</v>
          </cell>
          <cell r="C773" t="str">
            <v>МЫС-ЧУРКИН   (ДВС)</v>
          </cell>
          <cell r="D773">
            <v>28399</v>
          </cell>
          <cell r="E773">
            <v>37741</v>
          </cell>
          <cell r="F773">
            <v>819</v>
          </cell>
          <cell r="G773">
            <v>32426</v>
          </cell>
          <cell r="H773">
            <v>840</v>
          </cell>
          <cell r="I773" t="str">
            <v>деп</v>
          </cell>
          <cell r="J773">
            <v>38290</v>
          </cell>
        </row>
        <row r="774">
          <cell r="A774">
            <v>53400131</v>
          </cell>
          <cell r="B774" t="str">
            <v>КОМПАНИЯ ВОСТОЧН.МЕРИДИАН</v>
          </cell>
          <cell r="C774" t="str">
            <v>МЫС-ЧУРКИН   (ДВС)</v>
          </cell>
          <cell r="D774">
            <v>28369</v>
          </cell>
          <cell r="E774">
            <v>37818</v>
          </cell>
          <cell r="F774">
            <v>163</v>
          </cell>
          <cell r="G774">
            <v>33359</v>
          </cell>
          <cell r="H774">
            <v>0</v>
          </cell>
          <cell r="I774" t="str">
            <v>деп</v>
          </cell>
          <cell r="J774">
            <v>38368</v>
          </cell>
        </row>
        <row r="775">
          <cell r="A775">
            <v>53400149</v>
          </cell>
          <cell r="B775" t="str">
            <v>КОМПАНИЯ ВОСТОЧН.МЕРИДИАН</v>
          </cell>
          <cell r="C775" t="str">
            <v>МЫС-ЧУРКИН   (ДВС)</v>
          </cell>
          <cell r="D775">
            <v>28399</v>
          </cell>
          <cell r="E775">
            <v>37918</v>
          </cell>
          <cell r="F775">
            <v>163</v>
          </cell>
          <cell r="G775">
            <v>32143</v>
          </cell>
          <cell r="H775">
            <v>840</v>
          </cell>
          <cell r="I775" t="str">
            <v>деп</v>
          </cell>
          <cell r="J775">
            <v>38466</v>
          </cell>
        </row>
        <row r="776">
          <cell r="A776">
            <v>53400164</v>
          </cell>
          <cell r="B776" t="str">
            <v>КОМПАНИЯ ВОСТОЧН.МЕРИДИАН</v>
          </cell>
          <cell r="C776" t="str">
            <v>МЫС-ЧУРКИН   (ДВС)</v>
          </cell>
          <cell r="D776">
            <v>28430</v>
          </cell>
          <cell r="E776">
            <v>37746</v>
          </cell>
          <cell r="F776">
            <v>163</v>
          </cell>
          <cell r="G776">
            <v>33584</v>
          </cell>
          <cell r="H776">
            <v>840</v>
          </cell>
          <cell r="I776" t="str">
            <v>деп</v>
          </cell>
          <cell r="J776">
            <v>38296</v>
          </cell>
        </row>
        <row r="777">
          <cell r="A777">
            <v>53400172</v>
          </cell>
          <cell r="B777" t="str">
            <v>КОМПАНИЯ ВОСТОЧН.МЕРИДИАН</v>
          </cell>
          <cell r="C777" t="str">
            <v>МЫС-ЧУРКИН   (ДВС)</v>
          </cell>
          <cell r="D777">
            <v>28460</v>
          </cell>
          <cell r="E777">
            <v>37882</v>
          </cell>
          <cell r="F777">
            <v>163</v>
          </cell>
          <cell r="G777">
            <v>37315</v>
          </cell>
          <cell r="H777">
            <v>840</v>
          </cell>
          <cell r="I777" t="str">
            <v>деп</v>
          </cell>
          <cell r="J777">
            <v>38429</v>
          </cell>
        </row>
        <row r="778">
          <cell r="A778">
            <v>53703427</v>
          </cell>
          <cell r="B778" t="str">
            <v>КОМПАНИЯ ВОСТОЧН.МЕРИДИАН</v>
          </cell>
          <cell r="C778" t="str">
            <v>МЫС-ЧУРКИН   (ДВС)</v>
          </cell>
          <cell r="D778">
            <v>33786</v>
          </cell>
          <cell r="E778">
            <v>37777</v>
          </cell>
          <cell r="F778">
            <v>163</v>
          </cell>
          <cell r="H778">
            <v>0</v>
          </cell>
          <cell r="I778" t="str">
            <v>деп</v>
          </cell>
          <cell r="J778">
            <v>38326</v>
          </cell>
        </row>
        <row r="779">
          <cell r="A779">
            <v>53705661</v>
          </cell>
          <cell r="B779" t="str">
            <v>КОМПАНИЯ ВОСТОЧН.МЕРИДИАН</v>
          </cell>
          <cell r="C779" t="str">
            <v>МЫС-ЧУРКИН   (ДВС)</v>
          </cell>
          <cell r="D779">
            <v>33359</v>
          </cell>
          <cell r="E779">
            <v>37769</v>
          </cell>
          <cell r="F779">
            <v>163</v>
          </cell>
          <cell r="H779">
            <v>0</v>
          </cell>
          <cell r="I779" t="str">
            <v>деп</v>
          </cell>
          <cell r="J779">
            <v>38319</v>
          </cell>
        </row>
        <row r="780">
          <cell r="A780">
            <v>53706180</v>
          </cell>
          <cell r="B780" t="str">
            <v>КОМПАНИЯ ВОСТОЧН.МЕРИДИАН</v>
          </cell>
          <cell r="C780" t="str">
            <v>МЫС-ЧУРКИН   (ДВС)</v>
          </cell>
          <cell r="D780">
            <v>33543</v>
          </cell>
          <cell r="E780">
            <v>37952</v>
          </cell>
          <cell r="F780">
            <v>350</v>
          </cell>
          <cell r="H780">
            <v>0</v>
          </cell>
          <cell r="I780" t="str">
            <v>деп</v>
          </cell>
          <cell r="J780">
            <v>38499</v>
          </cell>
        </row>
        <row r="781">
          <cell r="A781">
            <v>53706206</v>
          </cell>
          <cell r="B781" t="str">
            <v>КОМПАНИЯ ВОСТОЧН.МЕРИДИАН</v>
          </cell>
          <cell r="C781" t="str">
            <v>МЫС-ЧУРКИН   (ДВС)</v>
          </cell>
          <cell r="D781">
            <v>33512</v>
          </cell>
          <cell r="E781">
            <v>37953</v>
          </cell>
          <cell r="F781">
            <v>163</v>
          </cell>
          <cell r="H781">
            <v>0</v>
          </cell>
          <cell r="I781" t="str">
            <v>деп</v>
          </cell>
          <cell r="J781">
            <v>38500</v>
          </cell>
        </row>
        <row r="782">
          <cell r="A782">
            <v>53706602</v>
          </cell>
          <cell r="B782" t="str">
            <v>КОМПАНИЯ ВОСТОЧН.МЕРИДИАН</v>
          </cell>
          <cell r="C782" t="str">
            <v>МЫС-ЧУРКИН   (ДВС)</v>
          </cell>
          <cell r="D782">
            <v>32078</v>
          </cell>
          <cell r="E782">
            <v>34090</v>
          </cell>
          <cell r="F782">
            <v>0</v>
          </cell>
          <cell r="G782">
            <v>37772</v>
          </cell>
          <cell r="H782">
            <v>557</v>
          </cell>
          <cell r="I782" t="str">
            <v>деп</v>
          </cell>
          <cell r="J782">
            <v>38321</v>
          </cell>
        </row>
        <row r="783">
          <cell r="A783">
            <v>53706768</v>
          </cell>
          <cell r="B783" t="str">
            <v>КОМПАНИЯ ВОСТОЧН.МЕРИДИАН</v>
          </cell>
          <cell r="C783" t="str">
            <v>МЫС-ЧУРКИН   (ДВС)</v>
          </cell>
          <cell r="D783">
            <v>33872</v>
          </cell>
          <cell r="E783">
            <v>37921</v>
          </cell>
          <cell r="F783">
            <v>163</v>
          </cell>
          <cell r="H783">
            <v>0</v>
          </cell>
          <cell r="I783" t="str">
            <v>деп</v>
          </cell>
          <cell r="J783">
            <v>38469</v>
          </cell>
        </row>
        <row r="784">
          <cell r="A784">
            <v>58722455</v>
          </cell>
          <cell r="B784" t="str">
            <v>КОМПАНИЯ ВОСТОЧН.МЕРИДИАН</v>
          </cell>
          <cell r="C784" t="str">
            <v>УССУРИЙСК    (ДВС)</v>
          </cell>
          <cell r="D784">
            <v>33786</v>
          </cell>
          <cell r="E784">
            <v>37777</v>
          </cell>
          <cell r="F784">
            <v>163</v>
          </cell>
          <cell r="H784">
            <v>0</v>
          </cell>
          <cell r="I784" t="str">
            <v>деп</v>
          </cell>
          <cell r="J784">
            <v>38508</v>
          </cell>
        </row>
        <row r="785">
          <cell r="A785">
            <v>58722463</v>
          </cell>
          <cell r="B785" t="str">
            <v>КОМПАНИЯ ВОСТОЧН.МЕРИДИАН</v>
          </cell>
          <cell r="C785" t="str">
            <v>УССУРИЙСК    (ДВС)</v>
          </cell>
          <cell r="D785">
            <v>33786</v>
          </cell>
          <cell r="E785">
            <v>37777</v>
          </cell>
          <cell r="F785">
            <v>163</v>
          </cell>
          <cell r="H785">
            <v>0</v>
          </cell>
          <cell r="I785" t="str">
            <v>деп</v>
          </cell>
          <cell r="J785">
            <v>38508</v>
          </cell>
        </row>
        <row r="786">
          <cell r="A786">
            <v>58722471</v>
          </cell>
          <cell r="B786" t="str">
            <v>КОМПАНИЯ ВОСТОЧН.МЕРИДИАН</v>
          </cell>
          <cell r="C786" t="str">
            <v>УССУРИЙСК    (ДВС)</v>
          </cell>
          <cell r="D786">
            <v>33786</v>
          </cell>
          <cell r="E786">
            <v>37777</v>
          </cell>
          <cell r="F786">
            <v>163</v>
          </cell>
          <cell r="H786">
            <v>0</v>
          </cell>
          <cell r="I786" t="str">
            <v>деп</v>
          </cell>
          <cell r="J786">
            <v>38508</v>
          </cell>
        </row>
        <row r="787">
          <cell r="A787">
            <v>58722489</v>
          </cell>
          <cell r="B787" t="str">
            <v>КОМПАНИЯ ВОСТОЧН.МЕРИДИАН</v>
          </cell>
          <cell r="C787" t="str">
            <v>УССУРИЙСК    (ДВС)</v>
          </cell>
          <cell r="D787">
            <v>33786</v>
          </cell>
          <cell r="E787">
            <v>37777</v>
          </cell>
          <cell r="F787">
            <v>163</v>
          </cell>
          <cell r="H787">
            <v>0</v>
          </cell>
          <cell r="I787" t="str">
            <v>деп</v>
          </cell>
          <cell r="J787">
            <v>38508</v>
          </cell>
        </row>
        <row r="788">
          <cell r="A788">
            <v>58724691</v>
          </cell>
          <cell r="B788" t="str">
            <v>КОМПАНИЯ ВОСТОЧН.МЕРИДИАН</v>
          </cell>
          <cell r="C788" t="str">
            <v>МЫС-ЧУРКИН   (ДВС)</v>
          </cell>
          <cell r="D788">
            <v>33543</v>
          </cell>
          <cell r="E788">
            <v>37952</v>
          </cell>
          <cell r="F788">
            <v>350</v>
          </cell>
          <cell r="H788">
            <v>0</v>
          </cell>
          <cell r="I788" t="str">
            <v>деп</v>
          </cell>
          <cell r="J788">
            <v>38499</v>
          </cell>
        </row>
        <row r="789">
          <cell r="A789">
            <v>58724790</v>
          </cell>
          <cell r="B789" t="str">
            <v>КОМПАНИЯ ВОСТОЧН.МЕРИДИАН</v>
          </cell>
          <cell r="C789" t="str">
            <v>МЫС-ЧУРКИН   (ДВС)</v>
          </cell>
          <cell r="D789">
            <v>33543</v>
          </cell>
          <cell r="E789">
            <v>37769</v>
          </cell>
          <cell r="F789">
            <v>163</v>
          </cell>
          <cell r="H789">
            <v>0</v>
          </cell>
          <cell r="I789" t="str">
            <v>деп</v>
          </cell>
          <cell r="J789">
            <v>38319</v>
          </cell>
        </row>
        <row r="790">
          <cell r="A790">
            <v>58724899</v>
          </cell>
          <cell r="B790" t="str">
            <v>КОМПАНИЯ ВОСТОЧН.МЕРИДИАН</v>
          </cell>
          <cell r="C790" t="str">
            <v>МЫС-ЧУРКИН   (ДВС)</v>
          </cell>
          <cell r="D790">
            <v>33543</v>
          </cell>
          <cell r="E790">
            <v>37952</v>
          </cell>
          <cell r="F790">
            <v>350</v>
          </cell>
          <cell r="H790">
            <v>0</v>
          </cell>
          <cell r="I790" t="str">
            <v>деп</v>
          </cell>
          <cell r="J790">
            <v>38499</v>
          </cell>
        </row>
        <row r="791">
          <cell r="A791">
            <v>58724907</v>
          </cell>
          <cell r="B791" t="str">
            <v>КОМПАНИЯ ВОСТОЧН.МЕРИДИАН</v>
          </cell>
          <cell r="C791" t="str">
            <v>МЫС-ЧУРКИН   (ДВС)</v>
          </cell>
          <cell r="D791">
            <v>33359</v>
          </cell>
          <cell r="E791">
            <v>37769</v>
          </cell>
          <cell r="F791">
            <v>163</v>
          </cell>
          <cell r="H791">
            <v>0</v>
          </cell>
          <cell r="I791" t="str">
            <v>деп</v>
          </cell>
          <cell r="J791">
            <v>38319</v>
          </cell>
        </row>
        <row r="792">
          <cell r="A792">
            <v>58724915</v>
          </cell>
          <cell r="B792" t="str">
            <v>КОМПАНИЯ ВОСТОЧН.МЕРИДИАН</v>
          </cell>
          <cell r="C792" t="str">
            <v>МЫС-ЧУРКИН   (ДВС)</v>
          </cell>
          <cell r="D792">
            <v>33359</v>
          </cell>
          <cell r="E792">
            <v>37769</v>
          </cell>
          <cell r="F792">
            <v>163</v>
          </cell>
          <cell r="H792">
            <v>0</v>
          </cell>
          <cell r="I792" t="str">
            <v>деп</v>
          </cell>
          <cell r="J792">
            <v>38319</v>
          </cell>
        </row>
        <row r="793">
          <cell r="A793">
            <v>58724923</v>
          </cell>
          <cell r="B793" t="str">
            <v>КОМПАНИЯ ВОСТОЧН.МЕРИДИАН</v>
          </cell>
          <cell r="C793" t="str">
            <v>МЫС-ЧУРКИН   (ДВС)</v>
          </cell>
          <cell r="D793">
            <v>33359</v>
          </cell>
          <cell r="E793">
            <v>37769</v>
          </cell>
          <cell r="F793">
            <v>163</v>
          </cell>
          <cell r="H793">
            <v>0</v>
          </cell>
          <cell r="I793" t="str">
            <v>деп</v>
          </cell>
          <cell r="J793">
            <v>38319</v>
          </cell>
        </row>
        <row r="794">
          <cell r="A794">
            <v>58724931</v>
          </cell>
          <cell r="B794" t="str">
            <v>КОМПАНИЯ ВОСТОЧН.МЕРИДИАН</v>
          </cell>
          <cell r="C794" t="str">
            <v>МЫС-ЧУРКИН   (ДВС)</v>
          </cell>
          <cell r="D794">
            <v>33359</v>
          </cell>
          <cell r="E794">
            <v>37769</v>
          </cell>
          <cell r="F794">
            <v>163</v>
          </cell>
          <cell r="H794">
            <v>0</v>
          </cell>
          <cell r="I794" t="str">
            <v>деп</v>
          </cell>
          <cell r="J794">
            <v>38319</v>
          </cell>
        </row>
        <row r="795">
          <cell r="A795">
            <v>58724998</v>
          </cell>
          <cell r="B795" t="str">
            <v>КОМПАНИЯ ВОСТОЧН.МЕРИДИАН</v>
          </cell>
          <cell r="C795" t="str">
            <v>МЫС-ЧУРКИН   (ДВС)</v>
          </cell>
          <cell r="D795">
            <v>33543</v>
          </cell>
          <cell r="E795">
            <v>37952</v>
          </cell>
          <cell r="F795">
            <v>350</v>
          </cell>
          <cell r="H795">
            <v>0</v>
          </cell>
          <cell r="I795" t="str">
            <v>деп</v>
          </cell>
          <cell r="J795">
            <v>38499</v>
          </cell>
        </row>
        <row r="796">
          <cell r="A796">
            <v>58725094</v>
          </cell>
          <cell r="B796" t="str">
            <v>КОМПАНИЯ ВОСТОЧН.МЕРИДИАН</v>
          </cell>
          <cell r="C796" t="str">
            <v>МЫС-ЧУРКИН   (ДВС)</v>
          </cell>
          <cell r="D796">
            <v>33543</v>
          </cell>
          <cell r="E796">
            <v>37952</v>
          </cell>
          <cell r="F796">
            <v>350</v>
          </cell>
          <cell r="H796">
            <v>0</v>
          </cell>
          <cell r="I796" t="str">
            <v>деп</v>
          </cell>
          <cell r="J796">
            <v>38499</v>
          </cell>
        </row>
        <row r="797">
          <cell r="A797">
            <v>58725193</v>
          </cell>
          <cell r="B797" t="str">
            <v>КОМПАНИЯ ВОСТОЧН.МЕРИДИАН</v>
          </cell>
          <cell r="C797" t="str">
            <v>МЫС-ЧУРКИН   (ДВС)</v>
          </cell>
          <cell r="D797">
            <v>33512</v>
          </cell>
          <cell r="E797">
            <v>37953</v>
          </cell>
          <cell r="F797">
            <v>163</v>
          </cell>
          <cell r="H797">
            <v>0</v>
          </cell>
          <cell r="I797" t="str">
            <v>деп</v>
          </cell>
          <cell r="J797">
            <v>38500</v>
          </cell>
        </row>
        <row r="798">
          <cell r="A798">
            <v>58725292</v>
          </cell>
          <cell r="B798" t="str">
            <v>КОМПАНИЯ ВОСТОЧН.МЕРИДИАН</v>
          </cell>
          <cell r="C798" t="str">
            <v>МЫС-ЧУРКИН   (ДВС)</v>
          </cell>
          <cell r="D798">
            <v>33512</v>
          </cell>
          <cell r="E798">
            <v>37953</v>
          </cell>
          <cell r="F798">
            <v>163</v>
          </cell>
          <cell r="H798">
            <v>0</v>
          </cell>
          <cell r="I798" t="str">
            <v>деп</v>
          </cell>
          <cell r="J798">
            <v>38500</v>
          </cell>
        </row>
        <row r="799">
          <cell r="A799">
            <v>58725391</v>
          </cell>
          <cell r="B799" t="str">
            <v>КОМПАНИЯ ВОСТОЧН.МЕРИДИАН</v>
          </cell>
          <cell r="C799" t="str">
            <v>МЫС-ЧУРКИН   (ДВС)</v>
          </cell>
          <cell r="D799">
            <v>33512</v>
          </cell>
          <cell r="E799">
            <v>37953</v>
          </cell>
          <cell r="F799">
            <v>163</v>
          </cell>
          <cell r="H799">
            <v>0</v>
          </cell>
          <cell r="I799" t="str">
            <v>деп</v>
          </cell>
          <cell r="J799">
            <v>38500</v>
          </cell>
        </row>
        <row r="800">
          <cell r="A800">
            <v>58725490</v>
          </cell>
          <cell r="B800" t="str">
            <v>КОМПАНИЯ ВОСТОЧН.МЕРИДИАН</v>
          </cell>
          <cell r="C800" t="str">
            <v>МЫС-ЧУРКИН   (ДВС)</v>
          </cell>
          <cell r="D800">
            <v>33512</v>
          </cell>
          <cell r="E800">
            <v>37953</v>
          </cell>
          <cell r="F800">
            <v>163</v>
          </cell>
          <cell r="H800">
            <v>0</v>
          </cell>
          <cell r="I800" t="str">
            <v>деп</v>
          </cell>
          <cell r="J800">
            <v>38500</v>
          </cell>
        </row>
        <row r="801">
          <cell r="A801">
            <v>58728833</v>
          </cell>
          <cell r="B801" t="str">
            <v>КОМПАНИЯ ВОСТОЧН.МЕРИДИАН</v>
          </cell>
          <cell r="C801" t="str">
            <v>МЫС-ЧУРКИН   (ДВС)</v>
          </cell>
          <cell r="D801">
            <v>29526</v>
          </cell>
          <cell r="E801">
            <v>37183</v>
          </cell>
          <cell r="F801">
            <v>352</v>
          </cell>
          <cell r="G801">
            <v>37651</v>
          </cell>
          <cell r="H801">
            <v>819</v>
          </cell>
          <cell r="I801" t="str">
            <v>деп</v>
          </cell>
          <cell r="J801">
            <v>38198</v>
          </cell>
        </row>
        <row r="802">
          <cell r="A802">
            <v>58728841</v>
          </cell>
          <cell r="B802" t="str">
            <v>КОМПАНИЯ ВОСТОЧН.МЕРИДИАН</v>
          </cell>
          <cell r="C802" t="str">
            <v>МЫС-ЧУРКИН   (ДВС)</v>
          </cell>
          <cell r="D802">
            <v>29526</v>
          </cell>
          <cell r="E802">
            <v>37183</v>
          </cell>
          <cell r="F802">
            <v>352</v>
          </cell>
          <cell r="G802">
            <v>37651</v>
          </cell>
          <cell r="H802">
            <v>819</v>
          </cell>
          <cell r="I802" t="str">
            <v>деп</v>
          </cell>
          <cell r="J802">
            <v>38198</v>
          </cell>
        </row>
        <row r="803">
          <cell r="A803">
            <v>58728858</v>
          </cell>
          <cell r="B803" t="str">
            <v>КОМПАНИЯ ВОСТОЧН.МЕРИДИАН</v>
          </cell>
          <cell r="C803" t="str">
            <v>МЫС-ЧУРКИН   (ДВС)</v>
          </cell>
          <cell r="D803">
            <v>29526</v>
          </cell>
          <cell r="E803">
            <v>37183</v>
          </cell>
          <cell r="F803">
            <v>352</v>
          </cell>
          <cell r="G803">
            <v>37651</v>
          </cell>
          <cell r="H803">
            <v>819</v>
          </cell>
          <cell r="I803" t="str">
            <v>деп</v>
          </cell>
          <cell r="J803">
            <v>38198</v>
          </cell>
        </row>
        <row r="804">
          <cell r="A804">
            <v>58728866</v>
          </cell>
          <cell r="B804" t="str">
            <v>КОМПАНИЯ ВОСТОЧН.МЕРИДИАН</v>
          </cell>
          <cell r="C804" t="str">
            <v>МЫС-ЧУРКИН   (ДВС)</v>
          </cell>
          <cell r="D804">
            <v>29526</v>
          </cell>
          <cell r="E804">
            <v>37183</v>
          </cell>
          <cell r="F804">
            <v>352</v>
          </cell>
          <cell r="G804">
            <v>37651</v>
          </cell>
          <cell r="H804">
            <v>819</v>
          </cell>
          <cell r="I804" t="str">
            <v>деп</v>
          </cell>
          <cell r="J804">
            <v>38198</v>
          </cell>
        </row>
        <row r="805">
          <cell r="A805">
            <v>58728874</v>
          </cell>
          <cell r="B805" t="str">
            <v>КОМПАНИЯ ВОСТОЧН.МЕРИДИАН</v>
          </cell>
          <cell r="C805" t="str">
            <v>МЫС-ЧУРКИН   (ДВС)</v>
          </cell>
          <cell r="D805">
            <v>29526</v>
          </cell>
          <cell r="E805">
            <v>37668</v>
          </cell>
          <cell r="F805">
            <v>819</v>
          </cell>
          <cell r="G805">
            <v>37071</v>
          </cell>
          <cell r="H805">
            <v>163</v>
          </cell>
          <cell r="I805" t="str">
            <v>деп</v>
          </cell>
          <cell r="J805">
            <v>38215</v>
          </cell>
        </row>
        <row r="806">
          <cell r="A806">
            <v>58728882</v>
          </cell>
          <cell r="B806" t="str">
            <v>КОМПАНИЯ ВОСТОЧН.МЕРИДИАН</v>
          </cell>
          <cell r="C806" t="str">
            <v>МЫС-ЧУРКИН   (ДВС)</v>
          </cell>
          <cell r="D806">
            <v>29526</v>
          </cell>
          <cell r="E806">
            <v>37668</v>
          </cell>
          <cell r="F806">
            <v>819</v>
          </cell>
          <cell r="G806">
            <v>37071</v>
          </cell>
          <cell r="H806">
            <v>163</v>
          </cell>
          <cell r="I806" t="str">
            <v>деп</v>
          </cell>
          <cell r="J806">
            <v>38215</v>
          </cell>
        </row>
        <row r="807">
          <cell r="A807">
            <v>58728908</v>
          </cell>
          <cell r="B807" t="str">
            <v>КОМПАНИЯ ВОСТОЧН.МЕРИДИАН</v>
          </cell>
          <cell r="C807" t="str">
            <v>МЫС-ЧУРКИН   (ДВС)</v>
          </cell>
          <cell r="D807">
            <v>29526</v>
          </cell>
          <cell r="E807">
            <v>37668</v>
          </cell>
          <cell r="F807">
            <v>819</v>
          </cell>
          <cell r="G807">
            <v>37071</v>
          </cell>
          <cell r="H807">
            <v>163</v>
          </cell>
          <cell r="I807" t="str">
            <v>деп</v>
          </cell>
          <cell r="J807">
            <v>38215</v>
          </cell>
        </row>
        <row r="808">
          <cell r="A808">
            <v>58728916</v>
          </cell>
          <cell r="B808" t="str">
            <v>КОМПАНИЯ ВОСТОЧН.МЕРИДИАН</v>
          </cell>
          <cell r="C808" t="str">
            <v>МЫС-ЧУРКИН   (ДВС)</v>
          </cell>
          <cell r="D808">
            <v>29526</v>
          </cell>
          <cell r="E808">
            <v>37668</v>
          </cell>
          <cell r="F808">
            <v>819</v>
          </cell>
          <cell r="G808">
            <v>37071</v>
          </cell>
          <cell r="H808">
            <v>163</v>
          </cell>
          <cell r="I808" t="str">
            <v>деп</v>
          </cell>
          <cell r="J808">
            <v>38215</v>
          </cell>
        </row>
        <row r="809">
          <cell r="A809">
            <v>58729187</v>
          </cell>
          <cell r="B809" t="str">
            <v>КОМПАНИЯ ВОСТОЧН.МЕРИДИАН</v>
          </cell>
          <cell r="C809" t="str">
            <v>МЫС-ЧУРКИН   (ДВС)</v>
          </cell>
          <cell r="D809">
            <v>30713</v>
          </cell>
          <cell r="E809">
            <v>37183</v>
          </cell>
          <cell r="F809">
            <v>352</v>
          </cell>
          <cell r="G809">
            <v>37651</v>
          </cell>
          <cell r="H809">
            <v>819</v>
          </cell>
          <cell r="I809" t="str">
            <v>деп</v>
          </cell>
          <cell r="J809">
            <v>38198</v>
          </cell>
        </row>
        <row r="810">
          <cell r="A810">
            <v>58730086</v>
          </cell>
          <cell r="B810" t="str">
            <v>КОМПАНИЯ ВОСТОЧН.МЕРИДИАН</v>
          </cell>
          <cell r="C810" t="str">
            <v>МЫС-ЧУРКИН   (ДВС)</v>
          </cell>
          <cell r="D810">
            <v>28369</v>
          </cell>
          <cell r="E810">
            <v>37741</v>
          </cell>
          <cell r="F810">
            <v>819</v>
          </cell>
          <cell r="G810">
            <v>32417</v>
          </cell>
          <cell r="H810">
            <v>840</v>
          </cell>
          <cell r="I810" t="str">
            <v>деп</v>
          </cell>
          <cell r="J810">
            <v>38290</v>
          </cell>
        </row>
        <row r="811">
          <cell r="A811">
            <v>58730094</v>
          </cell>
          <cell r="B811" t="str">
            <v>КОМПАНИЯ ВОСТОЧН.МЕРИДИАН</v>
          </cell>
          <cell r="C811" t="str">
            <v>МЫС-ЧУРКИН   (ДВС)</v>
          </cell>
          <cell r="D811">
            <v>28369</v>
          </cell>
          <cell r="E811">
            <v>37741</v>
          </cell>
          <cell r="F811">
            <v>819</v>
          </cell>
          <cell r="G811">
            <v>32417</v>
          </cell>
          <cell r="H811">
            <v>840</v>
          </cell>
          <cell r="I811" t="str">
            <v>деп</v>
          </cell>
          <cell r="J811">
            <v>38290</v>
          </cell>
        </row>
        <row r="812">
          <cell r="A812">
            <v>58730102</v>
          </cell>
          <cell r="B812" t="str">
            <v>КОМПАНИЯ ВОСТОЧН.МЕРИДИАН</v>
          </cell>
          <cell r="C812" t="str">
            <v>МЫС-ЧУРКИН   (ДВС)</v>
          </cell>
          <cell r="D812">
            <v>28369</v>
          </cell>
          <cell r="E812">
            <v>37741</v>
          </cell>
          <cell r="F812">
            <v>819</v>
          </cell>
          <cell r="G812">
            <v>32417</v>
          </cell>
          <cell r="H812">
            <v>840</v>
          </cell>
          <cell r="I812" t="str">
            <v>деп</v>
          </cell>
          <cell r="J812">
            <v>38290</v>
          </cell>
        </row>
        <row r="813">
          <cell r="A813">
            <v>58730110</v>
          </cell>
          <cell r="B813" t="str">
            <v>КОМПАНИЯ ВОСТОЧН.МЕРИДИАН</v>
          </cell>
          <cell r="C813" t="str">
            <v>МЫС-ЧУРКИН   (ДВС)</v>
          </cell>
          <cell r="D813">
            <v>28369</v>
          </cell>
          <cell r="E813">
            <v>37741</v>
          </cell>
          <cell r="F813">
            <v>819</v>
          </cell>
          <cell r="G813">
            <v>32417</v>
          </cell>
          <cell r="H813">
            <v>840</v>
          </cell>
          <cell r="I813" t="str">
            <v>деп</v>
          </cell>
          <cell r="J813">
            <v>38290</v>
          </cell>
        </row>
        <row r="814">
          <cell r="A814">
            <v>58730128</v>
          </cell>
          <cell r="B814" t="str">
            <v>КОМПАНИЯ ВОСТОЧН.МЕРИДИАН</v>
          </cell>
          <cell r="C814" t="str">
            <v>МЫС-ЧУРКИН   (ДВС)</v>
          </cell>
          <cell r="D814">
            <v>28399</v>
          </cell>
          <cell r="E814">
            <v>37741</v>
          </cell>
          <cell r="F814">
            <v>819</v>
          </cell>
          <cell r="G814">
            <v>32426</v>
          </cell>
          <cell r="H814">
            <v>840</v>
          </cell>
          <cell r="I814" t="str">
            <v>деп</v>
          </cell>
          <cell r="J814">
            <v>38290</v>
          </cell>
        </row>
        <row r="815">
          <cell r="A815">
            <v>58730136</v>
          </cell>
          <cell r="B815" t="str">
            <v>КОМПАНИЯ ВОСТОЧН.МЕРИДИАН</v>
          </cell>
          <cell r="C815" t="str">
            <v>МЫС-ЧУРКИН   (ДВС)</v>
          </cell>
          <cell r="D815">
            <v>28399</v>
          </cell>
          <cell r="E815">
            <v>37741</v>
          </cell>
          <cell r="F815">
            <v>819</v>
          </cell>
          <cell r="G815">
            <v>32426</v>
          </cell>
          <cell r="H815">
            <v>840</v>
          </cell>
          <cell r="I815" t="str">
            <v>деп</v>
          </cell>
          <cell r="J815">
            <v>38290</v>
          </cell>
        </row>
        <row r="816">
          <cell r="A816">
            <v>58730144</v>
          </cell>
          <cell r="B816" t="str">
            <v>КОМПАНИЯ ВОСТОЧН.МЕРИДИАН</v>
          </cell>
          <cell r="C816" t="str">
            <v>МЫС-ЧУРКИН   (ДВС)</v>
          </cell>
          <cell r="D816">
            <v>28399</v>
          </cell>
          <cell r="E816">
            <v>37741</v>
          </cell>
          <cell r="F816">
            <v>819</v>
          </cell>
          <cell r="G816">
            <v>32426</v>
          </cell>
          <cell r="H816">
            <v>840</v>
          </cell>
          <cell r="I816" t="str">
            <v>деп</v>
          </cell>
          <cell r="J816">
            <v>38290</v>
          </cell>
        </row>
        <row r="817">
          <cell r="A817">
            <v>58730151</v>
          </cell>
          <cell r="B817" t="str">
            <v>КОМПАНИЯ ВОСТОЧН.МЕРИДИАН</v>
          </cell>
          <cell r="C817" t="str">
            <v>МЫС-ЧУРКИН   (ДВС)</v>
          </cell>
          <cell r="D817">
            <v>28399</v>
          </cell>
          <cell r="E817">
            <v>37741</v>
          </cell>
          <cell r="F817">
            <v>819</v>
          </cell>
          <cell r="G817">
            <v>32426</v>
          </cell>
          <cell r="H817">
            <v>840</v>
          </cell>
          <cell r="I817" t="str">
            <v>деп</v>
          </cell>
          <cell r="J817">
            <v>38290</v>
          </cell>
        </row>
        <row r="818">
          <cell r="A818">
            <v>58730169</v>
          </cell>
          <cell r="B818" t="str">
            <v>КОМПАНИЯ ВОСТОЧН.МЕРИДИАН</v>
          </cell>
          <cell r="C818" t="str">
            <v>МЫС-ЧУРКИН   (ДВС)</v>
          </cell>
          <cell r="D818">
            <v>28369</v>
          </cell>
          <cell r="E818">
            <v>37818</v>
          </cell>
          <cell r="F818">
            <v>163</v>
          </cell>
          <cell r="G818">
            <v>33359</v>
          </cell>
          <cell r="H818">
            <v>840</v>
          </cell>
          <cell r="I818" t="str">
            <v>деп</v>
          </cell>
          <cell r="J818">
            <v>38368</v>
          </cell>
        </row>
        <row r="819">
          <cell r="A819">
            <v>58730177</v>
          </cell>
          <cell r="B819" t="str">
            <v>КОМПАНИЯ ВОСТОЧН.МЕРИДИАН</v>
          </cell>
          <cell r="C819" t="str">
            <v>МЫС-ЧУРКИН   (ДВС)</v>
          </cell>
          <cell r="D819">
            <v>28369</v>
          </cell>
          <cell r="E819">
            <v>37818</v>
          </cell>
          <cell r="F819">
            <v>163</v>
          </cell>
          <cell r="G819">
            <v>33359</v>
          </cell>
          <cell r="H819">
            <v>840</v>
          </cell>
          <cell r="I819" t="str">
            <v>деп</v>
          </cell>
          <cell r="J819">
            <v>38368</v>
          </cell>
        </row>
        <row r="820">
          <cell r="A820">
            <v>58730185</v>
          </cell>
          <cell r="B820" t="str">
            <v>КОМПАНИЯ ВОСТОЧН.МЕРИДИАН</v>
          </cell>
          <cell r="C820" t="str">
            <v>МЫС-ЧУРКИН   (ДВС)</v>
          </cell>
          <cell r="D820">
            <v>28369</v>
          </cell>
          <cell r="E820">
            <v>37818</v>
          </cell>
          <cell r="F820">
            <v>163</v>
          </cell>
          <cell r="G820">
            <v>33359</v>
          </cell>
          <cell r="H820">
            <v>840</v>
          </cell>
          <cell r="I820" t="str">
            <v>деп</v>
          </cell>
          <cell r="J820">
            <v>38368</v>
          </cell>
        </row>
        <row r="821">
          <cell r="A821">
            <v>58730193</v>
          </cell>
          <cell r="B821" t="str">
            <v>КОМПАНИЯ ВОСТОЧН.МЕРИДИАН</v>
          </cell>
          <cell r="C821" t="str">
            <v>МЫС-ЧУРКИН   (ДВС)</v>
          </cell>
          <cell r="D821">
            <v>28369</v>
          </cell>
          <cell r="E821">
            <v>37818</v>
          </cell>
          <cell r="F821">
            <v>163</v>
          </cell>
          <cell r="G821">
            <v>33359</v>
          </cell>
          <cell r="H821">
            <v>840</v>
          </cell>
          <cell r="I821" t="str">
            <v>деп</v>
          </cell>
          <cell r="J821">
            <v>38368</v>
          </cell>
        </row>
        <row r="822">
          <cell r="A822">
            <v>58730201</v>
          </cell>
          <cell r="B822" t="str">
            <v>КОМПАНИЯ ВОСТОЧН.МЕРИДИАН</v>
          </cell>
          <cell r="C822" t="str">
            <v>МЫС-ЧУРКИН   (ДВС)</v>
          </cell>
          <cell r="D822">
            <v>28399</v>
          </cell>
          <cell r="E822">
            <v>37918</v>
          </cell>
          <cell r="F822">
            <v>163</v>
          </cell>
          <cell r="G822">
            <v>32143</v>
          </cell>
          <cell r="H822">
            <v>840</v>
          </cell>
          <cell r="I822" t="str">
            <v>деп</v>
          </cell>
          <cell r="J822">
            <v>38466</v>
          </cell>
        </row>
        <row r="823">
          <cell r="A823">
            <v>58730219</v>
          </cell>
          <cell r="B823" t="str">
            <v>КОМПАНИЯ ВОСТОЧН.МЕРИДИАН</v>
          </cell>
          <cell r="C823" t="str">
            <v>МЫС-ЧУРКИН   (ДВС)</v>
          </cell>
          <cell r="D823">
            <v>28399</v>
          </cell>
          <cell r="E823">
            <v>37918</v>
          </cell>
          <cell r="F823">
            <v>163</v>
          </cell>
          <cell r="G823">
            <v>32143</v>
          </cell>
          <cell r="H823">
            <v>840</v>
          </cell>
          <cell r="I823" t="str">
            <v>деп</v>
          </cell>
          <cell r="J823">
            <v>38466</v>
          </cell>
        </row>
        <row r="824">
          <cell r="A824">
            <v>58730227</v>
          </cell>
          <cell r="B824" t="str">
            <v>КОМПАНИЯ ВОСТОЧН.МЕРИДИАН</v>
          </cell>
          <cell r="C824" t="str">
            <v>МЫС-ЧУРКИН   (ДВС)</v>
          </cell>
          <cell r="D824">
            <v>28399</v>
          </cell>
          <cell r="E824">
            <v>37918</v>
          </cell>
          <cell r="F824">
            <v>163</v>
          </cell>
          <cell r="G824">
            <v>32143</v>
          </cell>
          <cell r="H824">
            <v>840</v>
          </cell>
          <cell r="I824" t="str">
            <v>деп</v>
          </cell>
          <cell r="J824">
            <v>38466</v>
          </cell>
        </row>
        <row r="825">
          <cell r="A825">
            <v>58730235</v>
          </cell>
          <cell r="B825" t="str">
            <v>КОМПАНИЯ ВОСТОЧН.МЕРИДИАН</v>
          </cell>
          <cell r="C825" t="str">
            <v>МЫС-ЧУРКИН   (ДВС)</v>
          </cell>
          <cell r="D825">
            <v>28399</v>
          </cell>
          <cell r="E825">
            <v>37918</v>
          </cell>
          <cell r="F825">
            <v>163</v>
          </cell>
          <cell r="G825">
            <v>32143</v>
          </cell>
          <cell r="H825">
            <v>840</v>
          </cell>
          <cell r="I825" t="str">
            <v>деп</v>
          </cell>
          <cell r="J825">
            <v>38466</v>
          </cell>
        </row>
        <row r="826">
          <cell r="A826">
            <v>58730284</v>
          </cell>
          <cell r="B826" t="str">
            <v>КОМПАНИЯ ВОСТОЧН.МЕРИДИАН</v>
          </cell>
          <cell r="C826" t="str">
            <v>МЫС-ЧУРКИН   (ДВС)</v>
          </cell>
          <cell r="D826">
            <v>28430</v>
          </cell>
          <cell r="E826">
            <v>37746</v>
          </cell>
          <cell r="F826">
            <v>163</v>
          </cell>
          <cell r="G826">
            <v>33584</v>
          </cell>
          <cell r="H826">
            <v>840</v>
          </cell>
          <cell r="I826" t="str">
            <v>деп</v>
          </cell>
          <cell r="J826">
            <v>38296</v>
          </cell>
        </row>
        <row r="827">
          <cell r="A827">
            <v>58730292</v>
          </cell>
          <cell r="B827" t="str">
            <v>КОМПАНИЯ ВОСТОЧН.МЕРИДИАН</v>
          </cell>
          <cell r="C827" t="str">
            <v>МЫС-ЧУРКИН   (ДВС)</v>
          </cell>
          <cell r="D827">
            <v>28430</v>
          </cell>
          <cell r="E827">
            <v>37746</v>
          </cell>
          <cell r="F827">
            <v>163</v>
          </cell>
          <cell r="G827">
            <v>33584</v>
          </cell>
          <cell r="H827">
            <v>840</v>
          </cell>
          <cell r="I827" t="str">
            <v>деп</v>
          </cell>
          <cell r="J827">
            <v>38296</v>
          </cell>
        </row>
        <row r="828">
          <cell r="A828">
            <v>58730300</v>
          </cell>
          <cell r="B828" t="str">
            <v>КОМПАНИЯ ВОСТОЧН.МЕРИДИАН</v>
          </cell>
          <cell r="C828" t="str">
            <v>МЫС-ЧУРКИН   (ДВС)</v>
          </cell>
          <cell r="D828">
            <v>28430</v>
          </cell>
          <cell r="E828">
            <v>37746</v>
          </cell>
          <cell r="F828">
            <v>163</v>
          </cell>
          <cell r="G828">
            <v>33584</v>
          </cell>
          <cell r="H828">
            <v>840</v>
          </cell>
          <cell r="I828" t="str">
            <v>деп</v>
          </cell>
          <cell r="J828">
            <v>38296</v>
          </cell>
        </row>
        <row r="829">
          <cell r="A829">
            <v>58730318</v>
          </cell>
          <cell r="B829" t="str">
            <v>КОМПАНИЯ ВОСТОЧН.МЕРИДИАН</v>
          </cell>
          <cell r="C829" t="str">
            <v>МЫС-ЧУРКИН   (ДВС)</v>
          </cell>
          <cell r="D829">
            <v>28430</v>
          </cell>
          <cell r="E829">
            <v>37746</v>
          </cell>
          <cell r="F829">
            <v>163</v>
          </cell>
          <cell r="G829">
            <v>33584</v>
          </cell>
          <cell r="H829">
            <v>840</v>
          </cell>
          <cell r="I829" t="str">
            <v>деп</v>
          </cell>
          <cell r="J829">
            <v>38296</v>
          </cell>
        </row>
        <row r="830">
          <cell r="A830">
            <v>58730326</v>
          </cell>
          <cell r="B830" t="str">
            <v>КОМПАНИЯ ВОСТОЧН.МЕРИДИАН</v>
          </cell>
          <cell r="C830" t="str">
            <v>МЫС-ЧУРКИН   (ДВС)</v>
          </cell>
          <cell r="D830">
            <v>28460</v>
          </cell>
          <cell r="E830">
            <v>37882</v>
          </cell>
          <cell r="F830">
            <v>163</v>
          </cell>
          <cell r="G830">
            <v>37315</v>
          </cell>
          <cell r="H830">
            <v>840</v>
          </cell>
          <cell r="I830" t="str">
            <v>деп</v>
          </cell>
          <cell r="J830">
            <v>38429</v>
          </cell>
        </row>
        <row r="831">
          <cell r="A831">
            <v>58730334</v>
          </cell>
          <cell r="B831" t="str">
            <v>КОМПАНИЯ ВОСТОЧН.МЕРИДИАН</v>
          </cell>
          <cell r="C831" t="str">
            <v>МЫС-ЧУРКИН   (ДВС)</v>
          </cell>
          <cell r="D831">
            <v>28460</v>
          </cell>
          <cell r="E831">
            <v>37882</v>
          </cell>
          <cell r="F831">
            <v>163</v>
          </cell>
          <cell r="G831">
            <v>37315</v>
          </cell>
          <cell r="H831">
            <v>840</v>
          </cell>
          <cell r="I831" t="str">
            <v>деп</v>
          </cell>
          <cell r="J831">
            <v>38429</v>
          </cell>
        </row>
        <row r="832">
          <cell r="A832">
            <v>58730342</v>
          </cell>
          <cell r="B832" t="str">
            <v>КОМПАНИЯ ВОСТОЧН.МЕРИДИАН</v>
          </cell>
          <cell r="C832" t="str">
            <v>МЫС-ЧУРКИН   (ДВС)</v>
          </cell>
          <cell r="D832">
            <v>28460</v>
          </cell>
          <cell r="E832">
            <v>37882</v>
          </cell>
          <cell r="F832">
            <v>163</v>
          </cell>
          <cell r="G832">
            <v>37315</v>
          </cell>
          <cell r="H832">
            <v>840</v>
          </cell>
          <cell r="I832" t="str">
            <v>деп</v>
          </cell>
          <cell r="J832">
            <v>38429</v>
          </cell>
        </row>
        <row r="833">
          <cell r="A833">
            <v>58730359</v>
          </cell>
          <cell r="B833" t="str">
            <v>КОМПАНИЯ ВОСТОЧН.МЕРИДИАН</v>
          </cell>
          <cell r="C833" t="str">
            <v>МЫС-ЧУРКИН   (ДВС)</v>
          </cell>
          <cell r="D833">
            <v>28460</v>
          </cell>
          <cell r="E833">
            <v>37882</v>
          </cell>
          <cell r="F833">
            <v>163</v>
          </cell>
          <cell r="G833">
            <v>37315</v>
          </cell>
          <cell r="H833">
            <v>840</v>
          </cell>
          <cell r="I833" t="str">
            <v>деп</v>
          </cell>
          <cell r="J833">
            <v>38429</v>
          </cell>
        </row>
        <row r="834">
          <cell r="A834">
            <v>58741158</v>
          </cell>
          <cell r="B834" t="str">
            <v>КОМПАНИЯ ВОСТОЧН.МЕРИДИАН</v>
          </cell>
          <cell r="C834" t="str">
            <v>МЫС-ЧУРКИН   (ДВС)</v>
          </cell>
          <cell r="D834">
            <v>32078</v>
          </cell>
          <cell r="E834">
            <v>34090</v>
          </cell>
          <cell r="F834">
            <v>0</v>
          </cell>
          <cell r="G834">
            <v>37772</v>
          </cell>
          <cell r="H834">
            <v>557</v>
          </cell>
          <cell r="I834" t="str">
            <v>деп</v>
          </cell>
          <cell r="J834">
            <v>38321</v>
          </cell>
        </row>
        <row r="835">
          <cell r="A835">
            <v>58741166</v>
          </cell>
          <cell r="B835" t="str">
            <v>КОМПАНИЯ ВОСТОЧН.МЕРИДИАН</v>
          </cell>
          <cell r="C835" t="str">
            <v>МЫС-ЧУРКИН   (ДВС)</v>
          </cell>
          <cell r="D835">
            <v>32078</v>
          </cell>
          <cell r="E835">
            <v>34090</v>
          </cell>
          <cell r="F835">
            <v>0</v>
          </cell>
          <cell r="G835">
            <v>37772</v>
          </cell>
          <cell r="H835">
            <v>557</v>
          </cell>
          <cell r="I835" t="str">
            <v>деп</v>
          </cell>
          <cell r="J835">
            <v>38321</v>
          </cell>
        </row>
        <row r="836">
          <cell r="A836">
            <v>58741174</v>
          </cell>
          <cell r="B836" t="str">
            <v>КОМПАНИЯ ВОСТОЧН.МЕРИДИАН</v>
          </cell>
          <cell r="C836" t="str">
            <v>МЫС-ЧУРКИН   (ДВС)</v>
          </cell>
          <cell r="D836">
            <v>32078</v>
          </cell>
          <cell r="E836">
            <v>34090</v>
          </cell>
          <cell r="F836">
            <v>0</v>
          </cell>
          <cell r="G836">
            <v>37772</v>
          </cell>
          <cell r="H836">
            <v>557</v>
          </cell>
          <cell r="I836" t="str">
            <v>деп</v>
          </cell>
          <cell r="J836">
            <v>38321</v>
          </cell>
        </row>
        <row r="837">
          <cell r="A837">
            <v>58741182</v>
          </cell>
          <cell r="B837" t="str">
            <v>КОМПАНИЯ ВОСТОЧН.МЕРИДИАН</v>
          </cell>
          <cell r="C837" t="str">
            <v>МЫС-ЧУРКИН   (ДВС)</v>
          </cell>
          <cell r="D837">
            <v>32078</v>
          </cell>
          <cell r="E837">
            <v>34090</v>
          </cell>
          <cell r="F837">
            <v>0</v>
          </cell>
          <cell r="G837">
            <v>37772</v>
          </cell>
          <cell r="H837">
            <v>557</v>
          </cell>
          <cell r="I837" t="str">
            <v>деп</v>
          </cell>
          <cell r="J837">
            <v>38321</v>
          </cell>
        </row>
        <row r="838">
          <cell r="A838">
            <v>58741836</v>
          </cell>
          <cell r="B838" t="str">
            <v>КОМПАНИЯ ВОСТОЧН.МЕРИДИАН</v>
          </cell>
          <cell r="C838" t="str">
            <v>МЫС-ЧУРКИН   (ДВС)</v>
          </cell>
          <cell r="D838">
            <v>33931</v>
          </cell>
          <cell r="E838">
            <v>37921</v>
          </cell>
          <cell r="F838">
            <v>163</v>
          </cell>
          <cell r="H838">
            <v>0</v>
          </cell>
          <cell r="I838" t="str">
            <v>деп</v>
          </cell>
          <cell r="J838">
            <v>38469</v>
          </cell>
        </row>
        <row r="839">
          <cell r="A839">
            <v>58741844</v>
          </cell>
          <cell r="B839" t="str">
            <v>КОМПАНИЯ ВОСТОЧН.МЕРИДИАН</v>
          </cell>
          <cell r="C839" t="str">
            <v>МЫС-ЧУРКИН   (ДВС)</v>
          </cell>
          <cell r="D839">
            <v>33938</v>
          </cell>
          <cell r="E839">
            <v>37921</v>
          </cell>
          <cell r="F839">
            <v>163</v>
          </cell>
          <cell r="H839">
            <v>0</v>
          </cell>
          <cell r="I839" t="str">
            <v>деп</v>
          </cell>
          <cell r="J839">
            <v>38469</v>
          </cell>
        </row>
        <row r="840">
          <cell r="A840">
            <v>58741851</v>
          </cell>
          <cell r="B840" t="str">
            <v>КОМПАНИЯ ВОСТОЧН.МЕРИДИАН</v>
          </cell>
          <cell r="C840" t="str">
            <v>МЫС-ЧУРКИН   (ДВС)</v>
          </cell>
          <cell r="D840">
            <v>33984</v>
          </cell>
          <cell r="E840">
            <v>37921</v>
          </cell>
          <cell r="F840">
            <v>163</v>
          </cell>
          <cell r="H840">
            <v>0</v>
          </cell>
          <cell r="I840" t="str">
            <v>деп</v>
          </cell>
          <cell r="J840">
            <v>38469</v>
          </cell>
        </row>
        <row r="841">
          <cell r="A841">
            <v>58741869</v>
          </cell>
          <cell r="B841" t="str">
            <v>КОМПАНИЯ ВОСТОЧН.МЕРИДИАН</v>
          </cell>
          <cell r="C841" t="str">
            <v>МЫС-ЧУРКИН   (ДВС)</v>
          </cell>
          <cell r="D841">
            <v>33998</v>
          </cell>
          <cell r="E841">
            <v>37921</v>
          </cell>
          <cell r="F841">
            <v>163</v>
          </cell>
          <cell r="H841">
            <v>0</v>
          </cell>
          <cell r="I841" t="str">
            <v>деп</v>
          </cell>
          <cell r="J841">
            <v>38469</v>
          </cell>
        </row>
        <row r="842">
          <cell r="B842" t="str">
            <v>КОМПАНИЯ ВОСТОЧН.МЕРИДИАН Количество</v>
          </cell>
          <cell r="D842">
            <v>72</v>
          </cell>
        </row>
        <row r="843">
          <cell r="A843">
            <v>58720046</v>
          </cell>
          <cell r="B843" t="str">
            <v>КОМ-ФРИГО МУП</v>
          </cell>
          <cell r="C843" t="str">
            <v>ОРДЖОНИКИДЗЕ (МСK)</v>
          </cell>
          <cell r="D843">
            <v>33664</v>
          </cell>
          <cell r="F843">
            <v>0</v>
          </cell>
          <cell r="H843">
            <v>0</v>
          </cell>
        </row>
        <row r="844">
          <cell r="A844">
            <v>58720053</v>
          </cell>
          <cell r="B844" t="str">
            <v>КОМ-ФРИГО МУП</v>
          </cell>
          <cell r="C844" t="str">
            <v>ОРДЖОНИКИДЗЕ (МСK)</v>
          </cell>
          <cell r="D844">
            <v>33664</v>
          </cell>
          <cell r="F844">
            <v>0</v>
          </cell>
          <cell r="H844">
            <v>0</v>
          </cell>
        </row>
        <row r="845">
          <cell r="A845">
            <v>58720079</v>
          </cell>
          <cell r="B845" t="str">
            <v>КОМ-ФРИГО МУП</v>
          </cell>
          <cell r="C845" t="str">
            <v>ОРДЖОНИКИДЗЕ (МСK)</v>
          </cell>
          <cell r="D845">
            <v>33664</v>
          </cell>
          <cell r="F845">
            <v>0</v>
          </cell>
          <cell r="H845">
            <v>0</v>
          </cell>
        </row>
        <row r="846">
          <cell r="A846">
            <v>58720087</v>
          </cell>
          <cell r="B846" t="str">
            <v>КОМ-ФРИГО МУП</v>
          </cell>
          <cell r="C846" t="str">
            <v>ОРДЖОНИКИДЗЕ (МСK)</v>
          </cell>
          <cell r="D846">
            <v>33664</v>
          </cell>
          <cell r="F846">
            <v>0</v>
          </cell>
          <cell r="H846">
            <v>0</v>
          </cell>
        </row>
        <row r="847">
          <cell r="A847">
            <v>58720103</v>
          </cell>
          <cell r="B847" t="str">
            <v>КОМ-ФРИГО МУП</v>
          </cell>
          <cell r="C847" t="str">
            <v>ОРДЖОНИКИДЗЕ (МСK)</v>
          </cell>
          <cell r="D847">
            <v>33664</v>
          </cell>
          <cell r="F847">
            <v>0</v>
          </cell>
          <cell r="H847">
            <v>0</v>
          </cell>
        </row>
        <row r="848">
          <cell r="A848">
            <v>58720111</v>
          </cell>
          <cell r="B848" t="str">
            <v>КОМ-ФРИГО МУП</v>
          </cell>
          <cell r="C848" t="str">
            <v>ОРДЖОНИКИДЗЕ (МСK)</v>
          </cell>
          <cell r="D848">
            <v>33664</v>
          </cell>
          <cell r="F848">
            <v>0</v>
          </cell>
          <cell r="H848">
            <v>0</v>
          </cell>
        </row>
        <row r="849">
          <cell r="A849">
            <v>58720129</v>
          </cell>
          <cell r="B849" t="str">
            <v>КОМ-ФРИГО МУП</v>
          </cell>
          <cell r="C849" t="str">
            <v>ОРДЖОНИКИДЗЕ (МСK)</v>
          </cell>
          <cell r="D849">
            <v>33664</v>
          </cell>
          <cell r="F849">
            <v>0</v>
          </cell>
          <cell r="H849">
            <v>0</v>
          </cell>
        </row>
        <row r="850">
          <cell r="A850">
            <v>58720137</v>
          </cell>
          <cell r="B850" t="str">
            <v>КОМ-ФРИГО МУП</v>
          </cell>
          <cell r="C850" t="str">
            <v>ОРДЖОНИКИДЗЕ (МСK)</v>
          </cell>
          <cell r="D850">
            <v>33664</v>
          </cell>
          <cell r="F850">
            <v>0</v>
          </cell>
          <cell r="H850">
            <v>0</v>
          </cell>
        </row>
        <row r="851">
          <cell r="A851">
            <v>58720145</v>
          </cell>
          <cell r="B851" t="str">
            <v>КОМ-ФРИГО МУП</v>
          </cell>
          <cell r="C851" t="str">
            <v>ОРДЖОНИКИДЗЕ (МСK)</v>
          </cell>
          <cell r="D851">
            <v>33664</v>
          </cell>
          <cell r="F851">
            <v>0</v>
          </cell>
          <cell r="H851">
            <v>0</v>
          </cell>
        </row>
        <row r="852">
          <cell r="B852" t="str">
            <v>КОМ-ФРИГО МУП Количество</v>
          </cell>
          <cell r="D852">
            <v>9</v>
          </cell>
        </row>
        <row r="853">
          <cell r="A853">
            <v>53702205</v>
          </cell>
          <cell r="B853" t="str">
            <v>КОНДИНСКИЙ КЛПК</v>
          </cell>
          <cell r="C853" t="str">
            <v>УСТЬЕ-АХА    (СВР)</v>
          </cell>
          <cell r="D853">
            <v>33604</v>
          </cell>
        </row>
        <row r="854">
          <cell r="A854">
            <v>58720004</v>
          </cell>
          <cell r="B854" t="str">
            <v>КОНДИНСКИЙ КЛПК</v>
          </cell>
          <cell r="C854" t="str">
            <v>УСТЬЕ-АХА    (СВР)</v>
          </cell>
          <cell r="D854">
            <v>33604</v>
          </cell>
        </row>
        <row r="855">
          <cell r="A855">
            <v>58720012</v>
          </cell>
          <cell r="B855" t="str">
            <v>КОНДИНСКИЙ КЛПК</v>
          </cell>
          <cell r="C855" t="str">
            <v>УСТЬЕ-АХА    (СВР)</v>
          </cell>
          <cell r="D855">
            <v>33604</v>
          </cell>
        </row>
        <row r="856">
          <cell r="A856">
            <v>58720020</v>
          </cell>
          <cell r="B856" t="str">
            <v>КОНДИНСКИЙ КЛПК</v>
          </cell>
          <cell r="C856" t="str">
            <v>УСТЬЕ-АХА    (СВР)</v>
          </cell>
          <cell r="D856">
            <v>33604</v>
          </cell>
        </row>
        <row r="857">
          <cell r="A857">
            <v>58720038</v>
          </cell>
          <cell r="B857" t="str">
            <v>КОНДИНСКИЙ КЛПК</v>
          </cell>
          <cell r="C857" t="str">
            <v>УСТЬЕ-АХА    (СВР)</v>
          </cell>
          <cell r="D857">
            <v>33604</v>
          </cell>
        </row>
        <row r="858">
          <cell r="B858" t="str">
            <v>КОНДИНСКИЙ КЛПК Количество</v>
          </cell>
          <cell r="D858">
            <v>5</v>
          </cell>
        </row>
        <row r="859">
          <cell r="A859">
            <v>53700407</v>
          </cell>
          <cell r="B859" t="str">
            <v>КОТЛАССКИЙ ЦБК</v>
          </cell>
          <cell r="C859" t="str">
            <v>НИЗОВКА      (СЕВ)</v>
          </cell>
          <cell r="D859">
            <v>33939</v>
          </cell>
          <cell r="E859">
            <v>37547</v>
          </cell>
          <cell r="F859">
            <v>557</v>
          </cell>
          <cell r="I859" t="str">
            <v>деп</v>
          </cell>
          <cell r="J859">
            <v>38643</v>
          </cell>
        </row>
        <row r="860">
          <cell r="A860">
            <v>58335852</v>
          </cell>
          <cell r="B860" t="str">
            <v>КОТЛАССКИЙ ЦБК</v>
          </cell>
          <cell r="C860" t="str">
            <v>НИЗОВКА      (СЕВ)</v>
          </cell>
          <cell r="D860">
            <v>33939</v>
          </cell>
          <cell r="E860">
            <v>37547</v>
          </cell>
          <cell r="F860">
            <v>557</v>
          </cell>
          <cell r="I860" t="str">
            <v>деп</v>
          </cell>
          <cell r="J860">
            <v>38278</v>
          </cell>
        </row>
        <row r="861">
          <cell r="A861">
            <v>58335860</v>
          </cell>
          <cell r="B861" t="str">
            <v>КОТЛАССКИЙ ЦБК</v>
          </cell>
          <cell r="C861" t="str">
            <v>НИЗОВКА      (СЕВ)</v>
          </cell>
          <cell r="D861">
            <v>33939</v>
          </cell>
          <cell r="E861">
            <v>37547</v>
          </cell>
          <cell r="F861">
            <v>557</v>
          </cell>
          <cell r="I861" t="str">
            <v>деп</v>
          </cell>
          <cell r="J861">
            <v>38278</v>
          </cell>
        </row>
        <row r="862">
          <cell r="A862">
            <v>58335878</v>
          </cell>
          <cell r="B862" t="str">
            <v>КОТЛАССКИЙ ЦБК</v>
          </cell>
          <cell r="C862" t="str">
            <v>НИЗОВКА      (СЕВ)</v>
          </cell>
          <cell r="D862">
            <v>33939</v>
          </cell>
          <cell r="E862">
            <v>37547</v>
          </cell>
          <cell r="F862">
            <v>557</v>
          </cell>
          <cell r="I862" t="str">
            <v>деп</v>
          </cell>
          <cell r="J862">
            <v>38278</v>
          </cell>
        </row>
        <row r="863">
          <cell r="A863">
            <v>58335886</v>
          </cell>
          <cell r="B863" t="str">
            <v>КОТЛАССКИЙ ЦБК</v>
          </cell>
          <cell r="C863" t="str">
            <v>НИЗОВКА      (СЕВ)</v>
          </cell>
          <cell r="D863">
            <v>33939</v>
          </cell>
          <cell r="E863">
            <v>37547</v>
          </cell>
          <cell r="F863">
            <v>557</v>
          </cell>
          <cell r="I863" t="str">
            <v>деп</v>
          </cell>
          <cell r="J863">
            <v>38278</v>
          </cell>
        </row>
        <row r="864">
          <cell r="B864" t="str">
            <v>КОТЛАССКИЙ ЦБК Количество</v>
          </cell>
          <cell r="D864">
            <v>5</v>
          </cell>
        </row>
        <row r="865">
          <cell r="A865">
            <v>53402038</v>
          </cell>
          <cell r="B865" t="str">
            <v>КРАСМАШЗАВОД ФГУП</v>
          </cell>
          <cell r="C865" t="str">
            <v>ЗЛОБИНО      (КРС)</v>
          </cell>
          <cell r="D865">
            <v>28491</v>
          </cell>
          <cell r="F865">
            <v>0</v>
          </cell>
          <cell r="H865">
            <v>0</v>
          </cell>
          <cell r="I865" t="str">
            <v>кап</v>
          </cell>
          <cell r="J865">
            <v>32874</v>
          </cell>
        </row>
        <row r="866">
          <cell r="A866">
            <v>53402046</v>
          </cell>
          <cell r="B866" t="str">
            <v>КРАСМАШЗАВОД ФГУП</v>
          </cell>
          <cell r="C866" t="str">
            <v>ЗЛОБИНО      (КРС)</v>
          </cell>
          <cell r="D866">
            <v>28491</v>
          </cell>
          <cell r="F866">
            <v>0</v>
          </cell>
          <cell r="H866">
            <v>0</v>
          </cell>
          <cell r="I866" t="str">
            <v>кап</v>
          </cell>
          <cell r="J866">
            <v>33239</v>
          </cell>
        </row>
        <row r="867">
          <cell r="A867">
            <v>53402053</v>
          </cell>
          <cell r="B867" t="str">
            <v>КРАСМАШЗАВОД ФГУП</v>
          </cell>
          <cell r="C867" t="str">
            <v>ЗЛОБИНО      (КРС)</v>
          </cell>
          <cell r="D867">
            <v>29221</v>
          </cell>
          <cell r="E867">
            <v>38009</v>
          </cell>
          <cell r="F867">
            <v>633</v>
          </cell>
          <cell r="H867">
            <v>0</v>
          </cell>
          <cell r="I867" t="str">
            <v>деп</v>
          </cell>
          <cell r="J867">
            <v>38740</v>
          </cell>
        </row>
        <row r="868">
          <cell r="A868">
            <v>53402061</v>
          </cell>
          <cell r="B868" t="str">
            <v>КРАСМАШЗАВОД ФГУП</v>
          </cell>
          <cell r="C868" t="str">
            <v>ЗЛОБИНО      (КРС)</v>
          </cell>
          <cell r="D868">
            <v>29587</v>
          </cell>
          <cell r="F868">
            <v>0</v>
          </cell>
          <cell r="H868">
            <v>0</v>
          </cell>
          <cell r="I868" t="str">
            <v>кап</v>
          </cell>
          <cell r="J868">
            <v>33239</v>
          </cell>
        </row>
        <row r="869">
          <cell r="A869">
            <v>53402079</v>
          </cell>
          <cell r="B869" t="str">
            <v>КРАСМАШЗАВОД ФГУП</v>
          </cell>
          <cell r="C869" t="str">
            <v>ЗЛОБИНО      (КРС)</v>
          </cell>
          <cell r="D869">
            <v>29587</v>
          </cell>
          <cell r="F869">
            <v>0</v>
          </cell>
          <cell r="H869">
            <v>0</v>
          </cell>
          <cell r="I869" t="str">
            <v>кап</v>
          </cell>
          <cell r="J869">
            <v>33604</v>
          </cell>
        </row>
        <row r="870">
          <cell r="A870">
            <v>53402111</v>
          </cell>
          <cell r="B870" t="str">
            <v>КРАСМАШЗАВОД ФГУП</v>
          </cell>
          <cell r="C870" t="str">
            <v>ЗЛОБИНО      (КРС)</v>
          </cell>
          <cell r="D870">
            <v>32478</v>
          </cell>
          <cell r="F870">
            <v>0</v>
          </cell>
          <cell r="H870">
            <v>0</v>
          </cell>
        </row>
        <row r="871">
          <cell r="A871">
            <v>53402129</v>
          </cell>
          <cell r="B871" t="str">
            <v>КРАСМАШЗАВОД ФГУП</v>
          </cell>
          <cell r="C871" t="str">
            <v>ЗЛОБИНО      (КРС)</v>
          </cell>
          <cell r="D871">
            <v>32752</v>
          </cell>
          <cell r="F871">
            <v>0</v>
          </cell>
          <cell r="H871">
            <v>0</v>
          </cell>
        </row>
        <row r="872">
          <cell r="A872">
            <v>53402137</v>
          </cell>
          <cell r="B872" t="str">
            <v>КРАСМАШЗАВОД ФГУП</v>
          </cell>
          <cell r="C872" t="str">
            <v>ЗЛОБИНО      (КРС)</v>
          </cell>
          <cell r="D872">
            <v>32478</v>
          </cell>
          <cell r="F872">
            <v>0</v>
          </cell>
          <cell r="H872">
            <v>0</v>
          </cell>
        </row>
        <row r="873">
          <cell r="A873">
            <v>53402145</v>
          </cell>
          <cell r="B873" t="str">
            <v>КРАСМАШЗАВОД ФГУП</v>
          </cell>
          <cell r="C873" t="str">
            <v>ЗЛОБИНО      (КРС)</v>
          </cell>
          <cell r="D873">
            <v>32478</v>
          </cell>
          <cell r="F873">
            <v>0</v>
          </cell>
          <cell r="H873">
            <v>0</v>
          </cell>
        </row>
        <row r="874">
          <cell r="B874" t="str">
            <v>КРАСМАШЗАВОД ФГУП Количество</v>
          </cell>
          <cell r="D874">
            <v>9</v>
          </cell>
        </row>
        <row r="875">
          <cell r="A875">
            <v>53402012</v>
          </cell>
          <cell r="B875" t="str">
            <v>КУБАНЬДОРБЛАГОУСТРОЙСТВО</v>
          </cell>
          <cell r="C875" t="str">
            <v>КРАСНОДАР 2  (СКВ)</v>
          </cell>
          <cell r="D875">
            <v>30773</v>
          </cell>
          <cell r="E875">
            <v>37953</v>
          </cell>
          <cell r="F875">
            <v>555</v>
          </cell>
          <cell r="G875">
            <v>34547</v>
          </cell>
          <cell r="H875">
            <v>0</v>
          </cell>
          <cell r="I875" t="str">
            <v>деп</v>
          </cell>
          <cell r="J875">
            <v>38684</v>
          </cell>
        </row>
        <row r="876">
          <cell r="A876">
            <v>53700035</v>
          </cell>
          <cell r="B876" t="str">
            <v>КУБАНЬДОРБЛАГОУСТРОЙСТВО</v>
          </cell>
          <cell r="C876" t="str">
            <v>КРАСНОДАР 2  (СКВ)</v>
          </cell>
          <cell r="D876">
            <v>23651</v>
          </cell>
          <cell r="E876">
            <v>37028</v>
          </cell>
          <cell r="F876">
            <v>565</v>
          </cell>
          <cell r="G876">
            <v>36320</v>
          </cell>
          <cell r="H876">
            <v>565</v>
          </cell>
          <cell r="I876" t="str">
            <v>деп</v>
          </cell>
          <cell r="J876">
            <v>38124</v>
          </cell>
        </row>
        <row r="877">
          <cell r="A877">
            <v>53700043</v>
          </cell>
          <cell r="B877" t="str">
            <v>КУБАНЬДОРБЛАГОУСТРОЙСТВО</v>
          </cell>
          <cell r="C877" t="str">
            <v>КРАСНОДАР 2  (СКВ)</v>
          </cell>
          <cell r="D877">
            <v>23682</v>
          </cell>
          <cell r="E877">
            <v>37010</v>
          </cell>
          <cell r="F877">
            <v>565</v>
          </cell>
          <cell r="G877">
            <v>36342</v>
          </cell>
          <cell r="H877">
            <v>0</v>
          </cell>
          <cell r="I877" t="str">
            <v>деп</v>
          </cell>
          <cell r="J877">
            <v>38106</v>
          </cell>
        </row>
        <row r="878">
          <cell r="B878" t="str">
            <v>КУБАНЬДОРБЛАГОУСТРОЙСТВО Количество</v>
          </cell>
          <cell r="D878">
            <v>3</v>
          </cell>
        </row>
        <row r="879">
          <cell r="A879">
            <v>58728197</v>
          </cell>
          <cell r="B879" t="str">
            <v>КУРЬЕР</v>
          </cell>
          <cell r="C879" t="str">
            <v>ТОМСК2       (ЗСБ)</v>
          </cell>
          <cell r="D879">
            <v>33055</v>
          </cell>
          <cell r="F879">
            <v>0</v>
          </cell>
          <cell r="H879">
            <v>0</v>
          </cell>
          <cell r="I879" t="str">
            <v>деп</v>
          </cell>
          <cell r="J879">
            <v>33970</v>
          </cell>
        </row>
        <row r="880">
          <cell r="B880" t="str">
            <v>КУРЬЕР Количество</v>
          </cell>
          <cell r="D880">
            <v>1</v>
          </cell>
        </row>
        <row r="881">
          <cell r="A881">
            <v>58336892</v>
          </cell>
          <cell r="B881" t="str">
            <v>ЛАМИНА</v>
          </cell>
          <cell r="C881" t="str">
            <v>УССУРИЙСК    (ДВС)</v>
          </cell>
          <cell r="D881">
            <v>29646</v>
          </cell>
          <cell r="E881">
            <v>37925</v>
          </cell>
          <cell r="F881">
            <v>163</v>
          </cell>
          <cell r="G881">
            <v>33970</v>
          </cell>
          <cell r="H881">
            <v>0</v>
          </cell>
          <cell r="I881" t="str">
            <v>деп</v>
          </cell>
          <cell r="J881">
            <v>38472</v>
          </cell>
        </row>
        <row r="882">
          <cell r="A882">
            <v>58337551</v>
          </cell>
          <cell r="B882" t="str">
            <v>ЛАМИНА</v>
          </cell>
          <cell r="C882" t="str">
            <v>УССУРИЙСК    (ДВС)</v>
          </cell>
          <cell r="D882">
            <v>30042</v>
          </cell>
          <cell r="E882">
            <v>37833</v>
          </cell>
          <cell r="F882">
            <v>163</v>
          </cell>
          <cell r="G882">
            <v>33970</v>
          </cell>
          <cell r="H882">
            <v>0</v>
          </cell>
          <cell r="I882" t="str">
            <v>деп</v>
          </cell>
          <cell r="J882">
            <v>38383</v>
          </cell>
        </row>
        <row r="883">
          <cell r="A883">
            <v>58337569</v>
          </cell>
          <cell r="B883" t="str">
            <v>ЛАМИНА</v>
          </cell>
          <cell r="C883" t="str">
            <v>УССУРИЙСК    (ДВС)</v>
          </cell>
          <cell r="D883">
            <v>29007</v>
          </cell>
          <cell r="E883">
            <v>37925</v>
          </cell>
          <cell r="F883">
            <v>163</v>
          </cell>
          <cell r="G883">
            <v>32874</v>
          </cell>
          <cell r="H883">
            <v>0</v>
          </cell>
          <cell r="I883" t="str">
            <v>деп</v>
          </cell>
          <cell r="J883">
            <v>38472</v>
          </cell>
        </row>
        <row r="884">
          <cell r="A884">
            <v>58337791</v>
          </cell>
          <cell r="B884" t="str">
            <v>ЛАМИНА</v>
          </cell>
          <cell r="C884" t="str">
            <v>УССУРИЙСК    (ДВС)</v>
          </cell>
          <cell r="D884">
            <v>29007</v>
          </cell>
          <cell r="E884">
            <v>38016</v>
          </cell>
          <cell r="F884">
            <v>163</v>
          </cell>
          <cell r="G884">
            <v>32509</v>
          </cell>
          <cell r="H884">
            <v>1097</v>
          </cell>
          <cell r="I884" t="str">
            <v>деп</v>
          </cell>
          <cell r="J884">
            <v>38563</v>
          </cell>
        </row>
        <row r="885">
          <cell r="A885">
            <v>58337890</v>
          </cell>
          <cell r="B885" t="str">
            <v>ЛАМИНА</v>
          </cell>
          <cell r="C885" t="str">
            <v>УССУРИЙСК    (ДВС)</v>
          </cell>
          <cell r="D885">
            <v>29007</v>
          </cell>
          <cell r="E885">
            <v>38012</v>
          </cell>
          <cell r="F885">
            <v>163</v>
          </cell>
          <cell r="G885">
            <v>32509</v>
          </cell>
          <cell r="H885">
            <v>0</v>
          </cell>
          <cell r="I885" t="str">
            <v>деп</v>
          </cell>
          <cell r="J885">
            <v>38559</v>
          </cell>
        </row>
        <row r="886">
          <cell r="B886" t="str">
            <v>ЛАМИНА Количество</v>
          </cell>
          <cell r="D886">
            <v>5</v>
          </cell>
        </row>
        <row r="887">
          <cell r="A887">
            <v>53702486</v>
          </cell>
          <cell r="B887" t="str">
            <v>ЛИТЕР</v>
          </cell>
          <cell r="C887" t="str">
            <v>БАЛАШИХА     (МСK)</v>
          </cell>
          <cell r="D887">
            <v>34090</v>
          </cell>
          <cell r="E887">
            <v>37463</v>
          </cell>
          <cell r="F887">
            <v>886</v>
          </cell>
          <cell r="H887">
            <v>0</v>
          </cell>
          <cell r="I887" t="str">
            <v>деп</v>
          </cell>
          <cell r="J887">
            <v>38559</v>
          </cell>
        </row>
        <row r="888">
          <cell r="A888">
            <v>53706222</v>
          </cell>
          <cell r="B888" t="str">
            <v>ЛИТЕР</v>
          </cell>
          <cell r="C888" t="str">
            <v>БАДАЕВСКАЯ   (ОКТ)</v>
          </cell>
          <cell r="D888">
            <v>33442</v>
          </cell>
          <cell r="E888">
            <v>37481</v>
          </cell>
          <cell r="F888">
            <v>886</v>
          </cell>
          <cell r="H888">
            <v>0</v>
          </cell>
          <cell r="I888" t="str">
            <v>деп</v>
          </cell>
          <cell r="J888">
            <v>38030</v>
          </cell>
        </row>
        <row r="889">
          <cell r="A889">
            <v>53706289</v>
          </cell>
          <cell r="B889" t="str">
            <v>ЛИТЕР</v>
          </cell>
          <cell r="C889" t="str">
            <v>БАДАЕВСКАЯ   (ОКТ)</v>
          </cell>
          <cell r="D889">
            <v>33390</v>
          </cell>
          <cell r="E889">
            <v>37560</v>
          </cell>
          <cell r="F889">
            <v>886</v>
          </cell>
          <cell r="H889">
            <v>0</v>
          </cell>
          <cell r="I889" t="str">
            <v>деп</v>
          </cell>
          <cell r="J889">
            <v>38107</v>
          </cell>
        </row>
        <row r="890">
          <cell r="A890">
            <v>53706412</v>
          </cell>
          <cell r="B890" t="str">
            <v>ЛИТЕР</v>
          </cell>
          <cell r="C890" t="str">
            <v>БАДАЕВСКАЯ   (ОКТ)</v>
          </cell>
          <cell r="D890">
            <v>33373</v>
          </cell>
          <cell r="F890">
            <v>0</v>
          </cell>
          <cell r="G890">
            <v>37680</v>
          </cell>
          <cell r="H890">
            <v>886</v>
          </cell>
          <cell r="I890" t="str">
            <v>деп</v>
          </cell>
          <cell r="J890">
            <v>38227</v>
          </cell>
        </row>
        <row r="891">
          <cell r="A891">
            <v>53706727</v>
          </cell>
          <cell r="B891" t="str">
            <v>ЛИТЕР</v>
          </cell>
          <cell r="C891" t="str">
            <v>БАДАЕВСКАЯ   (ОКТ)</v>
          </cell>
          <cell r="D891">
            <v>30621</v>
          </cell>
          <cell r="E891">
            <v>35844</v>
          </cell>
          <cell r="F891">
            <v>886</v>
          </cell>
          <cell r="G891">
            <v>37875</v>
          </cell>
          <cell r="H891">
            <v>886</v>
          </cell>
          <cell r="I891" t="str">
            <v>деп</v>
          </cell>
          <cell r="J891">
            <v>38422</v>
          </cell>
        </row>
        <row r="892">
          <cell r="A892">
            <v>58721028</v>
          </cell>
          <cell r="B892" t="str">
            <v>ЛИТЕР</v>
          </cell>
          <cell r="C892" t="str">
            <v>БАЛАШИХА     (МСK)</v>
          </cell>
          <cell r="D892">
            <v>34090</v>
          </cell>
          <cell r="E892">
            <v>37463</v>
          </cell>
          <cell r="F892">
            <v>886</v>
          </cell>
          <cell r="H892">
            <v>0</v>
          </cell>
          <cell r="I892" t="str">
            <v>деп</v>
          </cell>
          <cell r="J892">
            <v>38194</v>
          </cell>
        </row>
        <row r="893">
          <cell r="A893">
            <v>58721036</v>
          </cell>
          <cell r="B893" t="str">
            <v>ЛИТЕР</v>
          </cell>
          <cell r="C893" t="str">
            <v>БАЛАШИХА     (МСK)</v>
          </cell>
          <cell r="D893">
            <v>34090</v>
          </cell>
          <cell r="E893">
            <v>37463</v>
          </cell>
          <cell r="F893">
            <v>886</v>
          </cell>
          <cell r="H893">
            <v>0</v>
          </cell>
          <cell r="I893" t="str">
            <v>деп</v>
          </cell>
          <cell r="J893">
            <v>38194</v>
          </cell>
        </row>
        <row r="894">
          <cell r="A894">
            <v>58721051</v>
          </cell>
          <cell r="B894" t="str">
            <v>ЛИТЕР</v>
          </cell>
          <cell r="C894" t="str">
            <v>БАЛАШИХА     (МСK)</v>
          </cell>
          <cell r="D894">
            <v>34090</v>
          </cell>
          <cell r="E894">
            <v>37463</v>
          </cell>
          <cell r="F894">
            <v>886</v>
          </cell>
          <cell r="H894">
            <v>0</v>
          </cell>
          <cell r="I894" t="str">
            <v>деп</v>
          </cell>
          <cell r="J894">
            <v>38194</v>
          </cell>
        </row>
        <row r="895">
          <cell r="A895">
            <v>58725730</v>
          </cell>
          <cell r="B895" t="str">
            <v>ЛИТЕР</v>
          </cell>
          <cell r="C895" t="str">
            <v>БАЛАШИХА     (МСK)</v>
          </cell>
          <cell r="D895">
            <v>34090</v>
          </cell>
          <cell r="E895">
            <v>37463</v>
          </cell>
          <cell r="F895">
            <v>886</v>
          </cell>
          <cell r="H895">
            <v>0</v>
          </cell>
          <cell r="I895" t="str">
            <v>деп</v>
          </cell>
          <cell r="J895">
            <v>38194</v>
          </cell>
        </row>
        <row r="896">
          <cell r="A896">
            <v>58726498</v>
          </cell>
          <cell r="B896" t="str">
            <v>ЛИТЕР</v>
          </cell>
          <cell r="C896" t="str">
            <v>БАДАЕВСКАЯ   (ОКТ)</v>
          </cell>
          <cell r="D896">
            <v>33401</v>
          </cell>
          <cell r="E896">
            <v>37481</v>
          </cell>
          <cell r="F896">
            <v>886</v>
          </cell>
          <cell r="H896">
            <v>0</v>
          </cell>
          <cell r="I896" t="str">
            <v>деп</v>
          </cell>
          <cell r="J896">
            <v>38030</v>
          </cell>
        </row>
        <row r="897">
          <cell r="A897">
            <v>58726597</v>
          </cell>
          <cell r="B897" t="str">
            <v>ЛИТЕР</v>
          </cell>
          <cell r="C897" t="str">
            <v>БАДАЕВСКАЯ   (ОКТ)</v>
          </cell>
          <cell r="D897">
            <v>33406</v>
          </cell>
          <cell r="E897">
            <v>37481</v>
          </cell>
          <cell r="F897">
            <v>886</v>
          </cell>
          <cell r="H897">
            <v>0</v>
          </cell>
          <cell r="I897" t="str">
            <v>деп</v>
          </cell>
          <cell r="J897">
            <v>38030</v>
          </cell>
        </row>
        <row r="898">
          <cell r="A898">
            <v>58726696</v>
          </cell>
          <cell r="B898" t="str">
            <v>ЛИТЕР</v>
          </cell>
          <cell r="C898" t="str">
            <v>БАДАЕВСКАЯ   (ОКТ)</v>
          </cell>
          <cell r="D898">
            <v>33459</v>
          </cell>
          <cell r="E898">
            <v>37481</v>
          </cell>
          <cell r="F898">
            <v>886</v>
          </cell>
          <cell r="H898">
            <v>0</v>
          </cell>
          <cell r="I898" t="str">
            <v>деп</v>
          </cell>
          <cell r="J898">
            <v>38030</v>
          </cell>
        </row>
        <row r="899">
          <cell r="A899">
            <v>58726795</v>
          </cell>
          <cell r="B899" t="str">
            <v>ЛИТЕР</v>
          </cell>
          <cell r="C899" t="str">
            <v>БАДАЕВСКАЯ   (ОКТ)</v>
          </cell>
          <cell r="D899">
            <v>33464</v>
          </cell>
          <cell r="E899">
            <v>37481</v>
          </cell>
          <cell r="F899">
            <v>886</v>
          </cell>
          <cell r="H899">
            <v>0</v>
          </cell>
          <cell r="I899" t="str">
            <v>деп</v>
          </cell>
          <cell r="J899">
            <v>38030</v>
          </cell>
        </row>
        <row r="900">
          <cell r="A900">
            <v>58727793</v>
          </cell>
          <cell r="B900" t="str">
            <v>ЛИТЕР</v>
          </cell>
          <cell r="C900" t="str">
            <v>БАДАЕВСКАЯ   (ОКТ)</v>
          </cell>
          <cell r="D900">
            <v>33390</v>
          </cell>
          <cell r="E900">
            <v>38008</v>
          </cell>
          <cell r="F900">
            <v>886</v>
          </cell>
          <cell r="H900">
            <v>0</v>
          </cell>
          <cell r="I900" t="str">
            <v>деп</v>
          </cell>
          <cell r="J900">
            <v>38555</v>
          </cell>
        </row>
        <row r="901">
          <cell r="A901">
            <v>58727892</v>
          </cell>
          <cell r="B901" t="str">
            <v>ЛИТЕР</v>
          </cell>
          <cell r="C901" t="str">
            <v>БАДАЕВСКАЯ   (ОКТ)</v>
          </cell>
          <cell r="D901">
            <v>33390</v>
          </cell>
          <cell r="E901">
            <v>38008</v>
          </cell>
          <cell r="F901">
            <v>886</v>
          </cell>
          <cell r="H901">
            <v>0</v>
          </cell>
          <cell r="I901" t="str">
            <v>деп</v>
          </cell>
          <cell r="J901">
            <v>38555</v>
          </cell>
        </row>
        <row r="902">
          <cell r="A902">
            <v>58727991</v>
          </cell>
          <cell r="B902" t="str">
            <v>ЛИТЕР</v>
          </cell>
          <cell r="C902" t="str">
            <v>БАДАЕВСКАЯ   (ОКТ)</v>
          </cell>
          <cell r="D902">
            <v>33390</v>
          </cell>
          <cell r="E902">
            <v>38008</v>
          </cell>
          <cell r="F902">
            <v>886</v>
          </cell>
          <cell r="H902">
            <v>0</v>
          </cell>
          <cell r="I902" t="str">
            <v>деп</v>
          </cell>
          <cell r="J902">
            <v>38555</v>
          </cell>
        </row>
        <row r="903">
          <cell r="A903">
            <v>58728098</v>
          </cell>
          <cell r="B903" t="str">
            <v>ЛИТЕР</v>
          </cell>
          <cell r="C903" t="str">
            <v>БАДАЕВСКАЯ   (ОКТ)</v>
          </cell>
          <cell r="D903">
            <v>33390</v>
          </cell>
          <cell r="E903">
            <v>38008</v>
          </cell>
          <cell r="F903">
            <v>886</v>
          </cell>
          <cell r="H903">
            <v>0</v>
          </cell>
          <cell r="I903" t="str">
            <v>деп</v>
          </cell>
          <cell r="J903">
            <v>38555</v>
          </cell>
        </row>
        <row r="904">
          <cell r="A904">
            <v>58740432</v>
          </cell>
          <cell r="B904" t="str">
            <v>ЛИТЕР</v>
          </cell>
          <cell r="C904" t="str">
            <v>БАДАЕВСКАЯ   (ОКТ)</v>
          </cell>
          <cell r="D904">
            <v>33390</v>
          </cell>
          <cell r="F904">
            <v>0</v>
          </cell>
          <cell r="G904">
            <v>37680</v>
          </cell>
          <cell r="H904">
            <v>886</v>
          </cell>
          <cell r="I904" t="str">
            <v>деп</v>
          </cell>
          <cell r="J904">
            <v>38227</v>
          </cell>
        </row>
        <row r="905">
          <cell r="A905">
            <v>58740440</v>
          </cell>
          <cell r="B905" t="str">
            <v>ЛИТЕР</v>
          </cell>
          <cell r="C905" t="str">
            <v>БАДАЕВСКАЯ   (ОКТ)</v>
          </cell>
          <cell r="D905">
            <v>33390</v>
          </cell>
          <cell r="F905">
            <v>0</v>
          </cell>
          <cell r="G905">
            <v>37680</v>
          </cell>
          <cell r="H905">
            <v>886</v>
          </cell>
          <cell r="I905" t="str">
            <v>деп</v>
          </cell>
          <cell r="J905">
            <v>38227</v>
          </cell>
        </row>
        <row r="906">
          <cell r="A906">
            <v>58740457</v>
          </cell>
          <cell r="B906" t="str">
            <v>ЛИТЕР</v>
          </cell>
          <cell r="C906" t="str">
            <v>БАДАЕВСКАЯ   (ОКТ)</v>
          </cell>
          <cell r="D906">
            <v>33390</v>
          </cell>
          <cell r="F906">
            <v>0</v>
          </cell>
          <cell r="G906">
            <v>37680</v>
          </cell>
          <cell r="H906">
            <v>886</v>
          </cell>
          <cell r="I906" t="str">
            <v>деп</v>
          </cell>
          <cell r="J906">
            <v>38227</v>
          </cell>
        </row>
        <row r="907">
          <cell r="A907">
            <v>58740465</v>
          </cell>
          <cell r="B907" t="str">
            <v>ЛИТЕР</v>
          </cell>
          <cell r="C907" t="str">
            <v>БАДАЕВСКАЯ   (ОКТ)</v>
          </cell>
          <cell r="D907">
            <v>33390</v>
          </cell>
          <cell r="F907">
            <v>0</v>
          </cell>
          <cell r="G907">
            <v>37680</v>
          </cell>
          <cell r="H907">
            <v>886</v>
          </cell>
          <cell r="I907" t="str">
            <v>деп</v>
          </cell>
          <cell r="J907">
            <v>38227</v>
          </cell>
        </row>
        <row r="908">
          <cell r="A908">
            <v>58741646</v>
          </cell>
          <cell r="B908" t="str">
            <v>ЛИТЕР</v>
          </cell>
          <cell r="C908" t="str">
            <v>БАДАЕВСКАЯ   (ОКТ)</v>
          </cell>
          <cell r="D908">
            <v>30621</v>
          </cell>
          <cell r="E908">
            <v>34925</v>
          </cell>
          <cell r="F908">
            <v>0</v>
          </cell>
          <cell r="G908">
            <v>37875</v>
          </cell>
          <cell r="H908">
            <v>886</v>
          </cell>
          <cell r="I908" t="str">
            <v>деп</v>
          </cell>
          <cell r="J908">
            <v>38422</v>
          </cell>
        </row>
        <row r="909">
          <cell r="A909">
            <v>58741653</v>
          </cell>
          <cell r="B909" t="str">
            <v>ЛИТЕР</v>
          </cell>
          <cell r="C909" t="str">
            <v>БАДАЕВСКАЯ   (ОКТ)</v>
          </cell>
          <cell r="D909">
            <v>30621</v>
          </cell>
          <cell r="E909">
            <v>34925</v>
          </cell>
          <cell r="F909">
            <v>0</v>
          </cell>
          <cell r="G909">
            <v>37875</v>
          </cell>
          <cell r="H909">
            <v>886</v>
          </cell>
          <cell r="I909" t="str">
            <v>деп</v>
          </cell>
          <cell r="J909">
            <v>38422</v>
          </cell>
        </row>
        <row r="910">
          <cell r="A910">
            <v>58741661</v>
          </cell>
          <cell r="B910" t="str">
            <v>ЛИТЕР</v>
          </cell>
          <cell r="C910" t="str">
            <v>БАДАЕВСКАЯ   (ОКТ)</v>
          </cell>
          <cell r="D910">
            <v>30621</v>
          </cell>
          <cell r="E910">
            <v>34925</v>
          </cell>
          <cell r="F910">
            <v>0</v>
          </cell>
          <cell r="G910">
            <v>37875</v>
          </cell>
          <cell r="H910">
            <v>886</v>
          </cell>
          <cell r="I910" t="str">
            <v>деп</v>
          </cell>
          <cell r="J910">
            <v>38422</v>
          </cell>
        </row>
        <row r="911">
          <cell r="A911">
            <v>58741679</v>
          </cell>
          <cell r="B911" t="str">
            <v>ЛИТЕР</v>
          </cell>
          <cell r="C911" t="str">
            <v>БАДАЕВСКАЯ   (ОКТ)</v>
          </cell>
          <cell r="D911">
            <v>30621</v>
          </cell>
          <cell r="E911">
            <v>35844</v>
          </cell>
          <cell r="F911">
            <v>886</v>
          </cell>
          <cell r="G911">
            <v>37875</v>
          </cell>
          <cell r="H911">
            <v>886</v>
          </cell>
          <cell r="I911" t="str">
            <v>деп</v>
          </cell>
          <cell r="J911">
            <v>38422</v>
          </cell>
        </row>
        <row r="912">
          <cell r="A912">
            <v>58741687</v>
          </cell>
          <cell r="B912" t="str">
            <v>ЛИТЕР</v>
          </cell>
          <cell r="C912" t="str">
            <v>БАДАЕВСКАЯ   (ОКТ)</v>
          </cell>
          <cell r="D912">
            <v>30621</v>
          </cell>
          <cell r="E912">
            <v>35844</v>
          </cell>
          <cell r="F912">
            <v>886</v>
          </cell>
          <cell r="G912">
            <v>37875</v>
          </cell>
          <cell r="H912">
            <v>886</v>
          </cell>
          <cell r="I912" t="str">
            <v>деп</v>
          </cell>
          <cell r="J912">
            <v>38422</v>
          </cell>
        </row>
        <row r="913">
          <cell r="A913">
            <v>58741703</v>
          </cell>
          <cell r="B913" t="str">
            <v>ЛИТЕР</v>
          </cell>
          <cell r="C913" t="str">
            <v>БАДАЕВСКАЯ   (ОКТ)</v>
          </cell>
          <cell r="D913">
            <v>30621</v>
          </cell>
          <cell r="E913">
            <v>34925</v>
          </cell>
          <cell r="F913">
            <v>0</v>
          </cell>
          <cell r="G913">
            <v>37875</v>
          </cell>
          <cell r="H913">
            <v>886</v>
          </cell>
          <cell r="I913" t="str">
            <v>деп</v>
          </cell>
          <cell r="J913">
            <v>38422</v>
          </cell>
        </row>
        <row r="914">
          <cell r="A914">
            <v>58741711</v>
          </cell>
          <cell r="B914" t="str">
            <v>ЛИТЕР</v>
          </cell>
          <cell r="C914" t="str">
            <v>БАДАЕВСКАЯ   (ОКТ)</v>
          </cell>
          <cell r="D914">
            <v>30621</v>
          </cell>
          <cell r="E914">
            <v>35844</v>
          </cell>
          <cell r="F914">
            <v>886</v>
          </cell>
          <cell r="G914">
            <v>37875</v>
          </cell>
          <cell r="H914">
            <v>886</v>
          </cell>
          <cell r="I914" t="str">
            <v>деп</v>
          </cell>
          <cell r="J914">
            <v>38422</v>
          </cell>
        </row>
        <row r="915">
          <cell r="A915">
            <v>58741729</v>
          </cell>
          <cell r="B915" t="str">
            <v>ЛИТЕР</v>
          </cell>
          <cell r="C915" t="str">
            <v>БАДАЕВСКАЯ   (ОКТ)</v>
          </cell>
          <cell r="D915">
            <v>30621</v>
          </cell>
          <cell r="E915">
            <v>35844</v>
          </cell>
          <cell r="F915">
            <v>886</v>
          </cell>
          <cell r="G915">
            <v>37875</v>
          </cell>
          <cell r="H915">
            <v>886</v>
          </cell>
          <cell r="I915" t="str">
            <v>деп</v>
          </cell>
          <cell r="J915">
            <v>38422</v>
          </cell>
        </row>
        <row r="916">
          <cell r="B916" t="str">
            <v>ЛИТЕР Количество</v>
          </cell>
          <cell r="D916">
            <v>29</v>
          </cell>
        </row>
        <row r="917">
          <cell r="A917">
            <v>53706925</v>
          </cell>
          <cell r="B917" t="str">
            <v>ЛОКОТРАНС</v>
          </cell>
          <cell r="C917" t="str">
            <v>ЯРОСЛАВЛЬ    (СЕВ)</v>
          </cell>
          <cell r="D917">
            <v>31471</v>
          </cell>
          <cell r="E917">
            <v>36308</v>
          </cell>
          <cell r="F917">
            <v>886</v>
          </cell>
          <cell r="G917">
            <v>37985</v>
          </cell>
          <cell r="H917">
            <v>886</v>
          </cell>
          <cell r="I917" t="str">
            <v>деп</v>
          </cell>
          <cell r="J917">
            <v>38533</v>
          </cell>
        </row>
        <row r="918">
          <cell r="A918">
            <v>58728296</v>
          </cell>
          <cell r="B918" t="str">
            <v>ЛОКОТРАНС</v>
          </cell>
          <cell r="C918" t="str">
            <v>ЯРОСЛАВЛЬ    (СЕВ)</v>
          </cell>
          <cell r="D918">
            <v>33239</v>
          </cell>
          <cell r="E918">
            <v>37756</v>
          </cell>
          <cell r="F918">
            <v>350</v>
          </cell>
          <cell r="H918">
            <v>0</v>
          </cell>
          <cell r="I918" t="str">
            <v>деп</v>
          </cell>
          <cell r="J918">
            <v>38306</v>
          </cell>
        </row>
        <row r="919">
          <cell r="A919">
            <v>58742602</v>
          </cell>
          <cell r="B919" t="str">
            <v>ЛОКОТРАНС</v>
          </cell>
          <cell r="C919" t="str">
            <v>ЯРОСЛАВЛЬ    (СЕВ)</v>
          </cell>
          <cell r="D919">
            <v>31471</v>
          </cell>
          <cell r="E919">
            <v>36308</v>
          </cell>
          <cell r="F919">
            <v>886</v>
          </cell>
          <cell r="G919">
            <v>37985</v>
          </cell>
          <cell r="H919">
            <v>886</v>
          </cell>
          <cell r="I919" t="str">
            <v>деп</v>
          </cell>
          <cell r="J919">
            <v>38533</v>
          </cell>
        </row>
        <row r="920">
          <cell r="A920">
            <v>58742610</v>
          </cell>
          <cell r="B920" t="str">
            <v>ЛОКОТРАНС</v>
          </cell>
          <cell r="C920" t="str">
            <v>ЯРОСЛАВЛЬ    (СЕВ)</v>
          </cell>
          <cell r="D920">
            <v>31471</v>
          </cell>
          <cell r="E920">
            <v>36308</v>
          </cell>
          <cell r="F920">
            <v>886</v>
          </cell>
          <cell r="G920">
            <v>37985</v>
          </cell>
          <cell r="H920">
            <v>886</v>
          </cell>
          <cell r="I920" t="str">
            <v>деп</v>
          </cell>
          <cell r="J920">
            <v>38533</v>
          </cell>
        </row>
        <row r="921">
          <cell r="A921">
            <v>58742628</v>
          </cell>
          <cell r="B921" t="str">
            <v>ЛОКОТРАНС</v>
          </cell>
          <cell r="C921" t="str">
            <v>ЯРОСЛАВЛЬ    (СЕВ)</v>
          </cell>
          <cell r="D921">
            <v>31471</v>
          </cell>
          <cell r="E921">
            <v>36308</v>
          </cell>
          <cell r="F921">
            <v>886</v>
          </cell>
          <cell r="G921">
            <v>37985</v>
          </cell>
          <cell r="H921">
            <v>886</v>
          </cell>
          <cell r="I921" t="str">
            <v>деп</v>
          </cell>
          <cell r="J921">
            <v>38533</v>
          </cell>
        </row>
        <row r="922">
          <cell r="A922">
            <v>58742636</v>
          </cell>
          <cell r="B922" t="str">
            <v>ЛОКОТРАНС</v>
          </cell>
          <cell r="C922" t="str">
            <v>ЯРОСЛАВЛЬ    (СЕВ)</v>
          </cell>
          <cell r="D922">
            <v>31471</v>
          </cell>
          <cell r="E922">
            <v>36308</v>
          </cell>
          <cell r="F922">
            <v>886</v>
          </cell>
          <cell r="G922">
            <v>37985</v>
          </cell>
          <cell r="H922">
            <v>886</v>
          </cell>
          <cell r="I922" t="str">
            <v>деп</v>
          </cell>
          <cell r="J922">
            <v>38533</v>
          </cell>
        </row>
        <row r="923">
          <cell r="B923" t="str">
            <v>ЛОКОТРАНС Количество</v>
          </cell>
          <cell r="D923">
            <v>6</v>
          </cell>
        </row>
        <row r="924">
          <cell r="A924">
            <v>53700969</v>
          </cell>
          <cell r="B924" t="str">
            <v>ЛОУД</v>
          </cell>
          <cell r="C924" t="str">
            <v>НИЖНЕВАРТ. 1 (СВР)</v>
          </cell>
          <cell r="D924">
            <v>33239</v>
          </cell>
          <cell r="E924">
            <v>35260</v>
          </cell>
          <cell r="I924" t="str">
            <v>кап</v>
          </cell>
          <cell r="J924">
            <v>36355</v>
          </cell>
        </row>
        <row r="925">
          <cell r="A925">
            <v>58337171</v>
          </cell>
          <cell r="B925" t="str">
            <v>ЛОУД</v>
          </cell>
          <cell r="C925" t="str">
            <v>НИЖНЕВАРТ. 1 (СВР)</v>
          </cell>
          <cell r="D925">
            <v>33435</v>
          </cell>
          <cell r="E925">
            <v>35260</v>
          </cell>
        </row>
        <row r="926">
          <cell r="A926">
            <v>58337189</v>
          </cell>
          <cell r="B926" t="str">
            <v>ЛОУД</v>
          </cell>
          <cell r="C926" t="str">
            <v>НИЖНЕВАРТ. 1 (СВР)</v>
          </cell>
          <cell r="D926">
            <v>33435</v>
          </cell>
          <cell r="E926">
            <v>35260</v>
          </cell>
        </row>
        <row r="927">
          <cell r="A927">
            <v>58337205</v>
          </cell>
          <cell r="B927" t="str">
            <v>ЛОУД</v>
          </cell>
          <cell r="C927" t="str">
            <v>НИЖНЕВАРТ. 1 (СВР)</v>
          </cell>
          <cell r="D927">
            <v>33435</v>
          </cell>
          <cell r="E927">
            <v>35260</v>
          </cell>
        </row>
        <row r="928">
          <cell r="A928">
            <v>58337213</v>
          </cell>
          <cell r="B928" t="str">
            <v>ЛОУД</v>
          </cell>
          <cell r="C928" t="str">
            <v>НИЖНЕВАРТ. 1 (СВР)</v>
          </cell>
          <cell r="D928">
            <v>33435</v>
          </cell>
          <cell r="E928">
            <v>35260</v>
          </cell>
        </row>
        <row r="929">
          <cell r="B929" t="str">
            <v>ЛОУД Количество</v>
          </cell>
          <cell r="D929">
            <v>5</v>
          </cell>
        </row>
        <row r="930">
          <cell r="A930">
            <v>53704235</v>
          </cell>
          <cell r="B930" t="str">
            <v>М/КОЛ.N59 ЦЕНТРСТРОЙМЕХАН.</v>
          </cell>
          <cell r="C930" t="str">
            <v>КУБИНКА 1    (МСK)</v>
          </cell>
          <cell r="D930">
            <v>26877</v>
          </cell>
          <cell r="E930">
            <v>37868</v>
          </cell>
          <cell r="F930">
            <v>350</v>
          </cell>
          <cell r="G930">
            <v>36055</v>
          </cell>
          <cell r="I930" t="str">
            <v>деп</v>
          </cell>
          <cell r="J930">
            <v>38964</v>
          </cell>
        </row>
        <row r="931">
          <cell r="B931" t="str">
            <v>М/КОЛ.N59 ЦЕНТРСТРОЙМЕХАН. Количество</v>
          </cell>
          <cell r="D931">
            <v>1</v>
          </cell>
        </row>
        <row r="932">
          <cell r="A932">
            <v>53704383</v>
          </cell>
          <cell r="B932" t="str">
            <v>МАКС</v>
          </cell>
          <cell r="C932" t="str">
            <v>ФАРАФНТЬЕВСК (СВР)</v>
          </cell>
          <cell r="D932">
            <v>34335</v>
          </cell>
          <cell r="E932">
            <v>37588</v>
          </cell>
          <cell r="F932">
            <v>819</v>
          </cell>
          <cell r="H932">
            <v>0</v>
          </cell>
          <cell r="I932" t="str">
            <v>деп</v>
          </cell>
          <cell r="J932">
            <v>38135</v>
          </cell>
        </row>
        <row r="933">
          <cell r="B933" t="str">
            <v>МАКС Количество</v>
          </cell>
          <cell r="D933">
            <v>1</v>
          </cell>
        </row>
        <row r="934">
          <cell r="A934">
            <v>53706883</v>
          </cell>
          <cell r="B934" t="str">
            <v>МАРИПРОДУКТ КОМПАНИЯ</v>
          </cell>
          <cell r="C934" t="str">
            <v>ПЕРВАЯ РЕЧКА (ДВС)</v>
          </cell>
          <cell r="D934">
            <v>31472</v>
          </cell>
          <cell r="E934">
            <v>36432</v>
          </cell>
          <cell r="F934">
            <v>886</v>
          </cell>
          <cell r="G934">
            <v>37944</v>
          </cell>
          <cell r="H934">
            <v>886</v>
          </cell>
          <cell r="I934" t="str">
            <v>деп</v>
          </cell>
          <cell r="J934">
            <v>38491</v>
          </cell>
        </row>
        <row r="935">
          <cell r="A935">
            <v>53706909</v>
          </cell>
          <cell r="B935" t="str">
            <v>МАРИПРОДУКТ КОМПАНИЯ</v>
          </cell>
          <cell r="C935" t="str">
            <v>ПЕРВАЯ РЕЧКА (ДВС)</v>
          </cell>
          <cell r="D935">
            <v>31472</v>
          </cell>
          <cell r="E935">
            <v>36644</v>
          </cell>
          <cell r="F935">
            <v>886</v>
          </cell>
          <cell r="G935">
            <v>37956</v>
          </cell>
          <cell r="H935">
            <v>886</v>
          </cell>
          <cell r="I935" t="str">
            <v>деп</v>
          </cell>
          <cell r="J935">
            <v>38504</v>
          </cell>
        </row>
        <row r="936">
          <cell r="A936">
            <v>58742453</v>
          </cell>
          <cell r="B936" t="str">
            <v>МАРИПРОДУКТ КОМПАНИЯ</v>
          </cell>
          <cell r="C936" t="str">
            <v>ПЕРВАЯ РЕЧКА (ДВС)</v>
          </cell>
          <cell r="D936">
            <v>31472</v>
          </cell>
          <cell r="E936">
            <v>36432</v>
          </cell>
          <cell r="F936">
            <v>886</v>
          </cell>
          <cell r="G936">
            <v>37944</v>
          </cell>
          <cell r="H936">
            <v>886</v>
          </cell>
          <cell r="I936" t="str">
            <v>деп</v>
          </cell>
          <cell r="J936">
            <v>38491</v>
          </cell>
        </row>
        <row r="937">
          <cell r="A937">
            <v>58742461</v>
          </cell>
          <cell r="B937" t="str">
            <v>МАРИПРОДУКТ КОМПАНИЯ</v>
          </cell>
          <cell r="C937" t="str">
            <v>ПЕРВАЯ РЕЧКА (ДВС)</v>
          </cell>
          <cell r="D937">
            <v>31472</v>
          </cell>
          <cell r="E937">
            <v>36432</v>
          </cell>
          <cell r="F937">
            <v>886</v>
          </cell>
          <cell r="G937">
            <v>37944</v>
          </cell>
          <cell r="H937">
            <v>886</v>
          </cell>
          <cell r="I937" t="str">
            <v>деп</v>
          </cell>
          <cell r="J937">
            <v>38491</v>
          </cell>
        </row>
        <row r="938">
          <cell r="A938">
            <v>58742479</v>
          </cell>
          <cell r="B938" t="str">
            <v>МАРИПРОДУКТ КОМПАНИЯ</v>
          </cell>
          <cell r="C938" t="str">
            <v>ПЕРВАЯ РЕЧКА (ДВС)</v>
          </cell>
          <cell r="D938">
            <v>31472</v>
          </cell>
          <cell r="E938">
            <v>36432</v>
          </cell>
          <cell r="F938">
            <v>886</v>
          </cell>
          <cell r="G938">
            <v>37944</v>
          </cell>
          <cell r="H938">
            <v>886</v>
          </cell>
          <cell r="I938" t="str">
            <v>деп</v>
          </cell>
          <cell r="J938">
            <v>38491</v>
          </cell>
        </row>
        <row r="939">
          <cell r="A939">
            <v>58742487</v>
          </cell>
          <cell r="B939" t="str">
            <v>МАРИПРОДУКТ КОМПАНИЯ</v>
          </cell>
          <cell r="C939" t="str">
            <v>ПЕРВАЯ РЕЧКА (ДВС)</v>
          </cell>
          <cell r="D939">
            <v>31472</v>
          </cell>
          <cell r="E939">
            <v>36432</v>
          </cell>
          <cell r="F939">
            <v>886</v>
          </cell>
          <cell r="G939">
            <v>37944</v>
          </cell>
          <cell r="H939">
            <v>886</v>
          </cell>
          <cell r="I939" t="str">
            <v>деп</v>
          </cell>
          <cell r="J939">
            <v>38491</v>
          </cell>
        </row>
        <row r="940">
          <cell r="A940">
            <v>58742503</v>
          </cell>
          <cell r="B940" t="str">
            <v>МАРИПРОДУКТ КОМПАНИЯ</v>
          </cell>
          <cell r="C940" t="str">
            <v>ПЕРВАЯ РЕЧКА (ДВС)</v>
          </cell>
          <cell r="D940">
            <v>31472</v>
          </cell>
          <cell r="E940">
            <v>36644</v>
          </cell>
          <cell r="F940">
            <v>886</v>
          </cell>
          <cell r="G940">
            <v>37956</v>
          </cell>
          <cell r="H940">
            <v>886</v>
          </cell>
          <cell r="I940" t="str">
            <v>деп</v>
          </cell>
          <cell r="J940">
            <v>38504</v>
          </cell>
        </row>
        <row r="941">
          <cell r="A941">
            <v>58742511</v>
          </cell>
          <cell r="B941" t="str">
            <v>МАРИПРОДУКТ КОМПАНИЯ</v>
          </cell>
          <cell r="C941" t="str">
            <v>ПЕРВАЯ РЕЧКА (ДВС)</v>
          </cell>
          <cell r="D941">
            <v>31472</v>
          </cell>
          <cell r="E941">
            <v>36644</v>
          </cell>
          <cell r="F941">
            <v>886</v>
          </cell>
          <cell r="G941">
            <v>37956</v>
          </cell>
          <cell r="H941">
            <v>886</v>
          </cell>
          <cell r="I941" t="str">
            <v>деп</v>
          </cell>
          <cell r="J941">
            <v>38504</v>
          </cell>
        </row>
        <row r="942">
          <cell r="A942">
            <v>58742529</v>
          </cell>
          <cell r="B942" t="str">
            <v>МАРИПРОДУКТ КОМПАНИЯ</v>
          </cell>
          <cell r="C942" t="str">
            <v>ПЕРВАЯ РЕЧКА (ДВС)</v>
          </cell>
          <cell r="D942">
            <v>31472</v>
          </cell>
          <cell r="E942">
            <v>36644</v>
          </cell>
          <cell r="F942">
            <v>886</v>
          </cell>
          <cell r="G942">
            <v>37956</v>
          </cell>
          <cell r="H942">
            <v>886</v>
          </cell>
          <cell r="I942" t="str">
            <v>деп</v>
          </cell>
          <cell r="J942">
            <v>38504</v>
          </cell>
        </row>
        <row r="943">
          <cell r="A943">
            <v>58742537</v>
          </cell>
          <cell r="B943" t="str">
            <v>МАРИПРОДУКТ КОМПАНИЯ</v>
          </cell>
          <cell r="C943" t="str">
            <v>ПЕРВАЯ РЕЧКА (ДВС)</v>
          </cell>
          <cell r="D943">
            <v>31472</v>
          </cell>
          <cell r="E943">
            <v>36644</v>
          </cell>
          <cell r="F943">
            <v>886</v>
          </cell>
          <cell r="G943">
            <v>37956</v>
          </cell>
          <cell r="H943">
            <v>886</v>
          </cell>
          <cell r="I943" t="str">
            <v>деп</v>
          </cell>
          <cell r="J943">
            <v>38504</v>
          </cell>
        </row>
        <row r="944">
          <cell r="B944" t="str">
            <v>МАРИПРОДУКТ КОМПАНИЯ Количество</v>
          </cell>
          <cell r="D944">
            <v>10</v>
          </cell>
        </row>
        <row r="945">
          <cell r="A945">
            <v>53705554</v>
          </cell>
          <cell r="B945" t="str">
            <v>МАЯК ТМО</v>
          </cell>
          <cell r="C945" t="str">
            <v>КЕРАМИК      (СВР)</v>
          </cell>
          <cell r="D945">
            <v>33584</v>
          </cell>
          <cell r="E945">
            <v>37828</v>
          </cell>
          <cell r="F945">
            <v>594</v>
          </cell>
          <cell r="H945">
            <v>0</v>
          </cell>
          <cell r="I945" t="str">
            <v>кап</v>
          </cell>
          <cell r="J945">
            <v>38924</v>
          </cell>
        </row>
        <row r="946">
          <cell r="A946">
            <v>58338559</v>
          </cell>
          <cell r="B946" t="str">
            <v>МАЯК ТМО</v>
          </cell>
          <cell r="C946" t="str">
            <v>КЕРАМИК      (СВР)</v>
          </cell>
          <cell r="D946">
            <v>33535</v>
          </cell>
          <cell r="E946">
            <v>37828</v>
          </cell>
          <cell r="F946">
            <v>594</v>
          </cell>
          <cell r="H946">
            <v>0</v>
          </cell>
          <cell r="I946" t="str">
            <v>деп</v>
          </cell>
          <cell r="J946">
            <v>38559</v>
          </cell>
        </row>
        <row r="947">
          <cell r="A947">
            <v>58338567</v>
          </cell>
          <cell r="B947" t="str">
            <v>МАЯК ТМО</v>
          </cell>
          <cell r="C947" t="str">
            <v>КЕРАМИК      (СВР)</v>
          </cell>
          <cell r="D947">
            <v>33535</v>
          </cell>
          <cell r="E947">
            <v>37828</v>
          </cell>
          <cell r="F947">
            <v>594</v>
          </cell>
          <cell r="H947">
            <v>0</v>
          </cell>
          <cell r="I947" t="str">
            <v>деп</v>
          </cell>
          <cell r="J947">
            <v>38559</v>
          </cell>
        </row>
        <row r="948">
          <cell r="A948">
            <v>58338575</v>
          </cell>
          <cell r="B948" t="str">
            <v>МАЯК ТМО</v>
          </cell>
          <cell r="C948" t="str">
            <v>КЕРАМИК      (СВР)</v>
          </cell>
          <cell r="D948">
            <v>33535</v>
          </cell>
          <cell r="E948">
            <v>37828</v>
          </cell>
          <cell r="F948">
            <v>594</v>
          </cell>
          <cell r="H948">
            <v>0</v>
          </cell>
          <cell r="I948" t="str">
            <v>деп</v>
          </cell>
          <cell r="J948">
            <v>38559</v>
          </cell>
        </row>
        <row r="949">
          <cell r="A949">
            <v>58338583</v>
          </cell>
          <cell r="B949" t="str">
            <v>МАЯК ТМО</v>
          </cell>
          <cell r="C949" t="str">
            <v>КЕРАМИК      (СВР)</v>
          </cell>
          <cell r="D949">
            <v>33535</v>
          </cell>
          <cell r="E949">
            <v>37828</v>
          </cell>
          <cell r="F949">
            <v>594</v>
          </cell>
          <cell r="H949">
            <v>0</v>
          </cell>
          <cell r="I949" t="str">
            <v>деп</v>
          </cell>
          <cell r="J949">
            <v>38559</v>
          </cell>
        </row>
        <row r="950">
          <cell r="B950" t="str">
            <v>МАЯК ТМО Количество</v>
          </cell>
          <cell r="D950">
            <v>5</v>
          </cell>
        </row>
        <row r="951">
          <cell r="A951">
            <v>53703666</v>
          </cell>
          <cell r="B951" t="str">
            <v>МВТРАНС</v>
          </cell>
          <cell r="C951" t="str">
            <v>СВЕРДЛВСК-СР (СВР)</v>
          </cell>
          <cell r="D951">
            <v>34425</v>
          </cell>
          <cell r="E951">
            <v>37794</v>
          </cell>
          <cell r="F951">
            <v>819</v>
          </cell>
          <cell r="H951">
            <v>0</v>
          </cell>
          <cell r="I951" t="str">
            <v>деп</v>
          </cell>
          <cell r="J951">
            <v>38343</v>
          </cell>
        </row>
        <row r="952">
          <cell r="B952" t="str">
            <v>МВТРАНС Количество</v>
          </cell>
          <cell r="D952">
            <v>1</v>
          </cell>
        </row>
        <row r="953">
          <cell r="A953">
            <v>53701223</v>
          </cell>
          <cell r="B953" t="str">
            <v>МЕЖРЕГИОНСНАБ</v>
          </cell>
          <cell r="C953" t="str">
            <v>УРШАК        (КБШ)</v>
          </cell>
          <cell r="D953">
            <v>33970</v>
          </cell>
          <cell r="E953">
            <v>37057</v>
          </cell>
          <cell r="F953">
            <v>681</v>
          </cell>
          <cell r="G953">
            <v>37651</v>
          </cell>
          <cell r="H953">
            <v>819</v>
          </cell>
          <cell r="I953" t="str">
            <v>деп</v>
          </cell>
          <cell r="J953">
            <v>38198</v>
          </cell>
        </row>
        <row r="954">
          <cell r="B954" t="str">
            <v>МЕЖРЕГИОНСНАБ Количество</v>
          </cell>
          <cell r="D954">
            <v>1</v>
          </cell>
        </row>
        <row r="955">
          <cell r="A955">
            <v>53706917</v>
          </cell>
          <cell r="B955" t="str">
            <v>МЕЖТРАНС</v>
          </cell>
          <cell r="C955" t="str">
            <v>ПОДМОСКОВНАЯ (МСK)</v>
          </cell>
          <cell r="D955">
            <v>31413</v>
          </cell>
          <cell r="E955">
            <v>36403</v>
          </cell>
          <cell r="F955">
            <v>886</v>
          </cell>
          <cell r="G955">
            <v>37994</v>
          </cell>
          <cell r="H955">
            <v>886</v>
          </cell>
          <cell r="I955" t="str">
            <v>деп</v>
          </cell>
          <cell r="J955">
            <v>38541</v>
          </cell>
        </row>
        <row r="956">
          <cell r="A956">
            <v>58742552</v>
          </cell>
          <cell r="B956" t="str">
            <v>МЕЖТРАНС</v>
          </cell>
          <cell r="C956" t="str">
            <v>ПОДМОСКОВНАЯ (МСK)</v>
          </cell>
          <cell r="D956">
            <v>31413</v>
          </cell>
          <cell r="E956">
            <v>36403</v>
          </cell>
          <cell r="F956">
            <v>886</v>
          </cell>
          <cell r="G956">
            <v>37994</v>
          </cell>
          <cell r="H956">
            <v>886</v>
          </cell>
          <cell r="I956" t="str">
            <v>деп</v>
          </cell>
          <cell r="J956">
            <v>38541</v>
          </cell>
        </row>
        <row r="957">
          <cell r="A957">
            <v>58742560</v>
          </cell>
          <cell r="B957" t="str">
            <v>МЕЖТРАНС</v>
          </cell>
          <cell r="C957" t="str">
            <v>ПОДМОСКОВНАЯ (МСK)</v>
          </cell>
          <cell r="D957">
            <v>31413</v>
          </cell>
          <cell r="E957">
            <v>36403</v>
          </cell>
          <cell r="F957">
            <v>886</v>
          </cell>
          <cell r="G957">
            <v>37994</v>
          </cell>
          <cell r="H957">
            <v>886</v>
          </cell>
          <cell r="I957" t="str">
            <v>деп</v>
          </cell>
          <cell r="J957">
            <v>38541</v>
          </cell>
        </row>
        <row r="958">
          <cell r="A958">
            <v>58742578</v>
          </cell>
          <cell r="B958" t="str">
            <v>МЕЖТРАНС</v>
          </cell>
          <cell r="C958" t="str">
            <v>ПОДМОСКОВНАЯ (МСK)</v>
          </cell>
          <cell r="D958">
            <v>31413</v>
          </cell>
          <cell r="E958">
            <v>36403</v>
          </cell>
          <cell r="F958">
            <v>886</v>
          </cell>
          <cell r="G958">
            <v>37994</v>
          </cell>
          <cell r="H958">
            <v>886</v>
          </cell>
          <cell r="I958" t="str">
            <v>деп</v>
          </cell>
          <cell r="J958">
            <v>38541</v>
          </cell>
        </row>
        <row r="959">
          <cell r="A959">
            <v>58742586</v>
          </cell>
          <cell r="B959" t="str">
            <v>МЕЖТРАНС</v>
          </cell>
          <cell r="C959" t="str">
            <v>ПОДМОСКОВНАЯ (МСK)</v>
          </cell>
          <cell r="D959">
            <v>31413</v>
          </cell>
          <cell r="E959">
            <v>36403</v>
          </cell>
          <cell r="F959">
            <v>886</v>
          </cell>
          <cell r="G959">
            <v>37994</v>
          </cell>
          <cell r="H959">
            <v>886</v>
          </cell>
          <cell r="I959" t="str">
            <v>деп</v>
          </cell>
          <cell r="J959">
            <v>38541</v>
          </cell>
        </row>
        <row r="960">
          <cell r="B960" t="str">
            <v>МЕЖТРАНС Количество</v>
          </cell>
          <cell r="D960">
            <v>5</v>
          </cell>
        </row>
        <row r="961">
          <cell r="A961">
            <v>53400628</v>
          </cell>
          <cell r="B961" t="str">
            <v>МЕЛЬКОМБИНАТ N3</v>
          </cell>
          <cell r="C961" t="str">
            <v>НОВОСИБ-ЗАП  (ЗСБ)</v>
          </cell>
          <cell r="D961">
            <v>28839</v>
          </cell>
          <cell r="E961">
            <v>37939</v>
          </cell>
          <cell r="F961">
            <v>350</v>
          </cell>
          <cell r="G961">
            <v>37363</v>
          </cell>
          <cell r="H961">
            <v>840</v>
          </cell>
          <cell r="I961" t="str">
            <v>деп</v>
          </cell>
          <cell r="J961">
            <v>38486</v>
          </cell>
        </row>
        <row r="962">
          <cell r="A962">
            <v>53400750</v>
          </cell>
          <cell r="B962" t="str">
            <v>МЕЛЬКОМБИНАТ N3</v>
          </cell>
          <cell r="C962" t="str">
            <v>НОВОСИБ-ЗАП  (ЗСБ)</v>
          </cell>
          <cell r="D962">
            <v>28839</v>
          </cell>
          <cell r="E962">
            <v>37980</v>
          </cell>
          <cell r="F962">
            <v>557</v>
          </cell>
          <cell r="G962">
            <v>37398</v>
          </cell>
          <cell r="H962">
            <v>840</v>
          </cell>
          <cell r="I962" t="str">
            <v>деп</v>
          </cell>
          <cell r="J962">
            <v>38528</v>
          </cell>
        </row>
        <row r="963">
          <cell r="A963">
            <v>58731928</v>
          </cell>
          <cell r="B963" t="str">
            <v>МЕЛЬКОМБИНАТ N3</v>
          </cell>
          <cell r="C963" t="str">
            <v>НОВОСИБ-ЗАП  (ЗСБ)</v>
          </cell>
          <cell r="D963">
            <v>28839</v>
          </cell>
          <cell r="E963">
            <v>37939</v>
          </cell>
          <cell r="F963">
            <v>350</v>
          </cell>
          <cell r="G963">
            <v>37363</v>
          </cell>
          <cell r="H963">
            <v>840</v>
          </cell>
          <cell r="I963" t="str">
            <v>деп</v>
          </cell>
          <cell r="J963">
            <v>38486</v>
          </cell>
        </row>
        <row r="964">
          <cell r="A964">
            <v>58731936</v>
          </cell>
          <cell r="B964" t="str">
            <v>МЕЛЬКОМБИНАТ N3</v>
          </cell>
          <cell r="C964" t="str">
            <v>НОВОСИБ-ЗАП  (ЗСБ)</v>
          </cell>
          <cell r="D964">
            <v>28839</v>
          </cell>
          <cell r="E964">
            <v>37939</v>
          </cell>
          <cell r="F964">
            <v>350</v>
          </cell>
          <cell r="G964">
            <v>37363</v>
          </cell>
          <cell r="H964">
            <v>840</v>
          </cell>
          <cell r="I964" t="str">
            <v>деп</v>
          </cell>
          <cell r="J964">
            <v>38486</v>
          </cell>
        </row>
        <row r="965">
          <cell r="A965">
            <v>58731944</v>
          </cell>
          <cell r="B965" t="str">
            <v>МЕЛЬКОМБИНАТ N3</v>
          </cell>
          <cell r="C965" t="str">
            <v>НОВОСИБ-ЗАП  (ЗСБ)</v>
          </cell>
          <cell r="D965">
            <v>28839</v>
          </cell>
          <cell r="E965">
            <v>37939</v>
          </cell>
          <cell r="F965">
            <v>350</v>
          </cell>
          <cell r="G965">
            <v>37363</v>
          </cell>
          <cell r="H965">
            <v>840</v>
          </cell>
          <cell r="I965" t="str">
            <v>деп</v>
          </cell>
          <cell r="J965">
            <v>38486</v>
          </cell>
        </row>
        <row r="966">
          <cell r="A966">
            <v>58731951</v>
          </cell>
          <cell r="B966" t="str">
            <v>МЕЛЬКОМБИНАТ N3</v>
          </cell>
          <cell r="C966" t="str">
            <v>НОВОСИБ-ЗАП  (ЗСБ)</v>
          </cell>
          <cell r="D966">
            <v>28839</v>
          </cell>
          <cell r="E966">
            <v>37939</v>
          </cell>
          <cell r="F966">
            <v>350</v>
          </cell>
          <cell r="G966">
            <v>37363</v>
          </cell>
          <cell r="H966">
            <v>840</v>
          </cell>
          <cell r="I966" t="str">
            <v>деп</v>
          </cell>
          <cell r="J966">
            <v>38486</v>
          </cell>
        </row>
        <row r="967">
          <cell r="A967">
            <v>58732363</v>
          </cell>
          <cell r="B967" t="str">
            <v>МЕЛЬКОМБИНАТ N3</v>
          </cell>
          <cell r="C967" t="str">
            <v>НОВОСИБ-ЗАП  (ЗСБ)</v>
          </cell>
          <cell r="D967">
            <v>28839</v>
          </cell>
          <cell r="E967">
            <v>37980</v>
          </cell>
          <cell r="F967">
            <v>557</v>
          </cell>
          <cell r="G967">
            <v>37398</v>
          </cell>
          <cell r="H967">
            <v>840</v>
          </cell>
          <cell r="I967" t="str">
            <v>деп</v>
          </cell>
          <cell r="J967">
            <v>38528</v>
          </cell>
        </row>
        <row r="968">
          <cell r="A968">
            <v>58732371</v>
          </cell>
          <cell r="B968" t="str">
            <v>МЕЛЬКОМБИНАТ N3</v>
          </cell>
          <cell r="C968" t="str">
            <v>НОВОСИБ-ЗАП  (ЗСБ)</v>
          </cell>
          <cell r="D968">
            <v>28839</v>
          </cell>
          <cell r="E968">
            <v>37980</v>
          </cell>
          <cell r="F968">
            <v>557</v>
          </cell>
          <cell r="G968">
            <v>37398</v>
          </cell>
          <cell r="H968">
            <v>840</v>
          </cell>
          <cell r="I968" t="str">
            <v>деп</v>
          </cell>
          <cell r="J968">
            <v>38528</v>
          </cell>
        </row>
        <row r="969">
          <cell r="A969">
            <v>58732389</v>
          </cell>
          <cell r="B969" t="str">
            <v>МЕЛЬКОМБИНАТ N3</v>
          </cell>
          <cell r="C969" t="str">
            <v>НОВОСИБ-ЗАП  (ЗСБ)</v>
          </cell>
          <cell r="D969">
            <v>28839</v>
          </cell>
          <cell r="E969">
            <v>37980</v>
          </cell>
          <cell r="F969">
            <v>557</v>
          </cell>
          <cell r="G969">
            <v>37398</v>
          </cell>
          <cell r="H969">
            <v>840</v>
          </cell>
          <cell r="I969" t="str">
            <v>деп</v>
          </cell>
          <cell r="J969">
            <v>38528</v>
          </cell>
        </row>
        <row r="970">
          <cell r="A970">
            <v>58732397</v>
          </cell>
          <cell r="B970" t="str">
            <v>МЕЛЬКОМБИНАТ N3</v>
          </cell>
          <cell r="C970" t="str">
            <v>НОВОСИБ-ЗАП  (ЗСБ)</v>
          </cell>
          <cell r="D970">
            <v>28839</v>
          </cell>
          <cell r="E970">
            <v>37980</v>
          </cell>
          <cell r="F970">
            <v>557</v>
          </cell>
          <cell r="G970">
            <v>37398</v>
          </cell>
          <cell r="H970">
            <v>840</v>
          </cell>
          <cell r="I970" t="str">
            <v>деп</v>
          </cell>
          <cell r="J970">
            <v>38528</v>
          </cell>
        </row>
        <row r="971">
          <cell r="B971" t="str">
            <v>МЕЛЬКОМБИНАТ N3 Количество</v>
          </cell>
          <cell r="D971">
            <v>10</v>
          </cell>
        </row>
        <row r="972">
          <cell r="A972">
            <v>53704763</v>
          </cell>
          <cell r="B972" t="str">
            <v>МЕХКОЛ-60 ЦЕНТРСТРОЙМЕХАН.</v>
          </cell>
          <cell r="C972" t="str">
            <v>РУЧЬИ        (ОКТ)</v>
          </cell>
          <cell r="D972">
            <v>32509</v>
          </cell>
          <cell r="E972">
            <v>36948</v>
          </cell>
          <cell r="F972">
            <v>330</v>
          </cell>
          <cell r="H972">
            <v>0</v>
          </cell>
          <cell r="I972" t="str">
            <v>кап</v>
          </cell>
          <cell r="J972">
            <v>38043</v>
          </cell>
        </row>
        <row r="973">
          <cell r="B973" t="str">
            <v>МЕХКОЛ-60 ЦЕНТРСТРОЙМЕХАН. Количество</v>
          </cell>
          <cell r="D973">
            <v>1</v>
          </cell>
        </row>
        <row r="974">
          <cell r="A974">
            <v>53701652</v>
          </cell>
          <cell r="B974" t="str">
            <v>ММЗ СЕРП И МОЛОТ</v>
          </cell>
          <cell r="C974" t="str">
            <v>МОС-ТОВ-КУР  (МСK)</v>
          </cell>
          <cell r="D974">
            <v>33329</v>
          </cell>
          <cell r="E974">
            <v>37764</v>
          </cell>
          <cell r="F974">
            <v>350</v>
          </cell>
          <cell r="H974">
            <v>0</v>
          </cell>
          <cell r="I974" t="str">
            <v>деп</v>
          </cell>
          <cell r="J974">
            <v>38679</v>
          </cell>
        </row>
        <row r="975">
          <cell r="A975">
            <v>58338815</v>
          </cell>
          <cell r="B975" t="str">
            <v>ММЗ СЕРП И МОЛОТ</v>
          </cell>
          <cell r="C975" t="str">
            <v>МОС-ТОВ-КУР  (МСK)</v>
          </cell>
          <cell r="D975">
            <v>33604</v>
          </cell>
          <cell r="E975">
            <v>37764</v>
          </cell>
          <cell r="F975">
            <v>350</v>
          </cell>
          <cell r="H975">
            <v>0</v>
          </cell>
          <cell r="I975" t="str">
            <v>деп</v>
          </cell>
          <cell r="J975">
            <v>38679</v>
          </cell>
        </row>
        <row r="976">
          <cell r="A976">
            <v>58338823</v>
          </cell>
          <cell r="B976" t="str">
            <v>ММЗ СЕРП И МОЛОТ</v>
          </cell>
          <cell r="C976" t="str">
            <v>МОС-ТОВ-КУР  (МСK)</v>
          </cell>
          <cell r="D976">
            <v>33604</v>
          </cell>
          <cell r="E976">
            <v>37764</v>
          </cell>
          <cell r="F976">
            <v>350</v>
          </cell>
          <cell r="H976">
            <v>0</v>
          </cell>
          <cell r="I976" t="str">
            <v>деп</v>
          </cell>
          <cell r="J976">
            <v>38679</v>
          </cell>
        </row>
        <row r="977">
          <cell r="A977">
            <v>58338831</v>
          </cell>
          <cell r="B977" t="str">
            <v>ММЗ СЕРП И МОЛОТ</v>
          </cell>
          <cell r="C977" t="str">
            <v>МОС-ТОВ-КУР  (МСK)</v>
          </cell>
          <cell r="D977">
            <v>33604</v>
          </cell>
          <cell r="E977">
            <v>37764</v>
          </cell>
          <cell r="F977">
            <v>350</v>
          </cell>
          <cell r="H977">
            <v>0</v>
          </cell>
          <cell r="I977" t="str">
            <v>деп</v>
          </cell>
          <cell r="J977">
            <v>38679</v>
          </cell>
        </row>
        <row r="978">
          <cell r="A978">
            <v>58338849</v>
          </cell>
          <cell r="B978" t="str">
            <v>ММЗ СЕРП И МОЛОТ</v>
          </cell>
          <cell r="C978" t="str">
            <v>МОС-ТОВ-КУР  (МСK)</v>
          </cell>
          <cell r="D978">
            <v>33573</v>
          </cell>
          <cell r="E978">
            <v>37764</v>
          </cell>
          <cell r="F978">
            <v>350</v>
          </cell>
          <cell r="H978">
            <v>0</v>
          </cell>
          <cell r="I978" t="str">
            <v>деп</v>
          </cell>
          <cell r="J978">
            <v>38679</v>
          </cell>
        </row>
        <row r="979">
          <cell r="B979" t="str">
            <v>ММЗ СЕРП И МОЛОТ Количество</v>
          </cell>
          <cell r="D979">
            <v>5</v>
          </cell>
        </row>
        <row r="980">
          <cell r="A980">
            <v>53706313</v>
          </cell>
          <cell r="B980" t="str">
            <v>МОСК.ГОС.УНИВ-Т ПУТЕЙ СООБ</v>
          </cell>
          <cell r="C980" t="str">
            <v>ПОДМОСКОВНАЯ (МСK)</v>
          </cell>
          <cell r="D980">
            <v>31856</v>
          </cell>
          <cell r="E980">
            <v>37154</v>
          </cell>
          <cell r="F980">
            <v>350</v>
          </cell>
          <cell r="G980">
            <v>37937</v>
          </cell>
          <cell r="H980">
            <v>886</v>
          </cell>
          <cell r="I980" t="str">
            <v>деп</v>
          </cell>
          <cell r="J980">
            <v>38849</v>
          </cell>
        </row>
        <row r="981">
          <cell r="A981">
            <v>53706321</v>
          </cell>
          <cell r="B981" t="str">
            <v>МОСК.ГОС.УНИВ-Т ПУТЕЙ СООБ</v>
          </cell>
          <cell r="C981" t="str">
            <v>ПОДМОСКОВНАЯ (МСK)</v>
          </cell>
          <cell r="D981">
            <v>32060</v>
          </cell>
          <cell r="E981">
            <v>37771</v>
          </cell>
          <cell r="F981">
            <v>350</v>
          </cell>
          <cell r="H981">
            <v>0</v>
          </cell>
          <cell r="I981" t="str">
            <v>кап</v>
          </cell>
          <cell r="J981">
            <v>38686</v>
          </cell>
        </row>
        <row r="982">
          <cell r="A982">
            <v>53706339</v>
          </cell>
          <cell r="B982" t="str">
            <v>МОСК.ГОС.УНИВ-Т ПУТЕЙ СООБ</v>
          </cell>
          <cell r="C982" t="str">
            <v>ПОДМОСКОВНАЯ (МСK)</v>
          </cell>
          <cell r="D982">
            <v>32091</v>
          </cell>
          <cell r="E982">
            <v>37554</v>
          </cell>
          <cell r="F982">
            <v>350</v>
          </cell>
          <cell r="H982">
            <v>0</v>
          </cell>
          <cell r="I982" t="str">
            <v>кап</v>
          </cell>
          <cell r="J982">
            <v>38467</v>
          </cell>
        </row>
        <row r="983">
          <cell r="A983">
            <v>53706354</v>
          </cell>
          <cell r="B983" t="str">
            <v>МОСК.ГОС.УНИВ-Т ПУТЕЙ СООБ</v>
          </cell>
          <cell r="C983" t="str">
            <v>ПОДМОСКОВНАЯ (МСK)</v>
          </cell>
          <cell r="D983">
            <v>32065</v>
          </cell>
          <cell r="E983">
            <v>37841</v>
          </cell>
          <cell r="F983">
            <v>350</v>
          </cell>
          <cell r="H983">
            <v>0</v>
          </cell>
          <cell r="I983" t="str">
            <v>кап</v>
          </cell>
          <cell r="J983">
            <v>38756</v>
          </cell>
        </row>
        <row r="984">
          <cell r="A984">
            <v>53706362</v>
          </cell>
          <cell r="B984" t="str">
            <v>МОСК.ГОС.УНИВ-Т ПУТЕЙ СООБ</v>
          </cell>
          <cell r="C984" t="str">
            <v>ПОДМОСКОВНАЯ (МСK)</v>
          </cell>
          <cell r="D984">
            <v>31837</v>
          </cell>
          <cell r="E984">
            <v>37670</v>
          </cell>
          <cell r="F984">
            <v>350</v>
          </cell>
          <cell r="H984">
            <v>0</v>
          </cell>
          <cell r="I984" t="str">
            <v>кап</v>
          </cell>
          <cell r="J984">
            <v>38582</v>
          </cell>
        </row>
        <row r="985">
          <cell r="A985">
            <v>53706370</v>
          </cell>
          <cell r="B985" t="str">
            <v>МОСК.ГОС.УНИВ-Т ПУТЕЙ СООБ</v>
          </cell>
          <cell r="C985" t="str">
            <v>ПОДМОСКОВНАЯ (МСK)</v>
          </cell>
          <cell r="D985">
            <v>31837</v>
          </cell>
          <cell r="E985">
            <v>37737</v>
          </cell>
          <cell r="F985">
            <v>350</v>
          </cell>
          <cell r="H985">
            <v>0</v>
          </cell>
          <cell r="I985" t="str">
            <v>кап</v>
          </cell>
          <cell r="J985">
            <v>38651</v>
          </cell>
        </row>
        <row r="986">
          <cell r="A986">
            <v>53706388</v>
          </cell>
          <cell r="B986" t="str">
            <v>МОСК.ГОС.УНИВ-Т ПУТЕЙ СООБ</v>
          </cell>
          <cell r="C986" t="str">
            <v>ПОДМОСКОВНАЯ (МСK)</v>
          </cell>
          <cell r="D986">
            <v>31837</v>
          </cell>
          <cell r="E986">
            <v>37111</v>
          </cell>
          <cell r="F986">
            <v>350</v>
          </cell>
          <cell r="G986">
            <v>37901</v>
          </cell>
          <cell r="H986">
            <v>886</v>
          </cell>
          <cell r="I986" t="str">
            <v>деп</v>
          </cell>
          <cell r="J986">
            <v>38814</v>
          </cell>
        </row>
        <row r="987">
          <cell r="A987">
            <v>53706404</v>
          </cell>
          <cell r="B987" t="str">
            <v>МОСК.ГОС.УНИВ-Т ПУТЕЙ СООБ</v>
          </cell>
          <cell r="C987" t="str">
            <v>ПОДМОСКОВНАЯ (МСK)</v>
          </cell>
          <cell r="D987">
            <v>31868</v>
          </cell>
          <cell r="E987">
            <v>37804</v>
          </cell>
          <cell r="F987">
            <v>350</v>
          </cell>
          <cell r="H987">
            <v>0</v>
          </cell>
          <cell r="I987" t="str">
            <v>кап</v>
          </cell>
          <cell r="J987">
            <v>38719</v>
          </cell>
        </row>
        <row r="988">
          <cell r="A988">
            <v>58740002</v>
          </cell>
          <cell r="B988" t="str">
            <v>МОСК.ГОС.УНИВ-Т ПУТЕЙ СООБ</v>
          </cell>
          <cell r="C988" t="str">
            <v>ПОДМОСКОВНАЯ (МСK)</v>
          </cell>
          <cell r="D988">
            <v>32065</v>
          </cell>
          <cell r="E988">
            <v>37841</v>
          </cell>
          <cell r="F988">
            <v>350</v>
          </cell>
          <cell r="H988">
            <v>0</v>
          </cell>
          <cell r="I988" t="str">
            <v>кап</v>
          </cell>
          <cell r="J988">
            <v>38756</v>
          </cell>
        </row>
        <row r="989">
          <cell r="A989">
            <v>58740010</v>
          </cell>
          <cell r="B989" t="str">
            <v>МОСК.ГОС.УНИВ-Т ПУТЕЙ СООБ</v>
          </cell>
          <cell r="C989" t="str">
            <v>ПОДМОСКОВНАЯ (МСK)</v>
          </cell>
          <cell r="D989">
            <v>32051</v>
          </cell>
          <cell r="E989">
            <v>37841</v>
          </cell>
          <cell r="F989">
            <v>350</v>
          </cell>
          <cell r="H989">
            <v>0</v>
          </cell>
          <cell r="I989" t="str">
            <v>кап</v>
          </cell>
          <cell r="J989">
            <v>38756</v>
          </cell>
        </row>
        <row r="990">
          <cell r="A990">
            <v>58740028</v>
          </cell>
          <cell r="B990" t="str">
            <v>МОСК.ГОС.УНИВ-Т ПУТЕЙ СООБ</v>
          </cell>
          <cell r="C990" t="str">
            <v>ПОДМОСКОВНАЯ (МСK)</v>
          </cell>
          <cell r="D990">
            <v>32065</v>
          </cell>
          <cell r="E990">
            <v>37841</v>
          </cell>
          <cell r="F990">
            <v>350</v>
          </cell>
          <cell r="H990">
            <v>0</v>
          </cell>
          <cell r="I990" t="str">
            <v>кап</v>
          </cell>
          <cell r="J990">
            <v>38756</v>
          </cell>
        </row>
        <row r="991">
          <cell r="A991">
            <v>58740036</v>
          </cell>
          <cell r="B991" t="str">
            <v>МОСК.ГОС.УНИВ-Т ПУТЕЙ СООБ</v>
          </cell>
          <cell r="C991" t="str">
            <v>ПОДМОСКОВНАЯ (МСK)</v>
          </cell>
          <cell r="D991">
            <v>32065</v>
          </cell>
          <cell r="E991">
            <v>37841</v>
          </cell>
          <cell r="F991">
            <v>350</v>
          </cell>
          <cell r="H991">
            <v>0</v>
          </cell>
          <cell r="I991" t="str">
            <v>кап</v>
          </cell>
          <cell r="J991">
            <v>38756</v>
          </cell>
        </row>
        <row r="992">
          <cell r="A992">
            <v>58740044</v>
          </cell>
          <cell r="B992" t="str">
            <v>МОСК.ГОС.УНИВ-Т ПУТЕЙ СООБ</v>
          </cell>
          <cell r="C992" t="str">
            <v>ПОДМОСКОВНАЯ (МСK)</v>
          </cell>
          <cell r="D992">
            <v>31856</v>
          </cell>
          <cell r="E992">
            <v>37154</v>
          </cell>
          <cell r="F992">
            <v>350</v>
          </cell>
          <cell r="G992">
            <v>37937</v>
          </cell>
          <cell r="H992">
            <v>886</v>
          </cell>
          <cell r="I992" t="str">
            <v>деп</v>
          </cell>
          <cell r="J992">
            <v>38849</v>
          </cell>
        </row>
        <row r="993">
          <cell r="A993">
            <v>58740051</v>
          </cell>
          <cell r="B993" t="str">
            <v>МОСК.ГОС.УНИВ-Т ПУТЕЙ СООБ</v>
          </cell>
          <cell r="C993" t="str">
            <v>ПОДМОСКОВНАЯ (МСK)</v>
          </cell>
          <cell r="D993">
            <v>31856</v>
          </cell>
          <cell r="E993">
            <v>37154</v>
          </cell>
          <cell r="F993">
            <v>350</v>
          </cell>
          <cell r="G993">
            <v>37937</v>
          </cell>
          <cell r="H993">
            <v>886</v>
          </cell>
          <cell r="I993" t="str">
            <v>деп</v>
          </cell>
          <cell r="J993">
            <v>38849</v>
          </cell>
        </row>
        <row r="994">
          <cell r="A994">
            <v>58740069</v>
          </cell>
          <cell r="B994" t="str">
            <v>МОСК.ГОС.УНИВ-Т ПУТЕЙ СООБ</v>
          </cell>
          <cell r="C994" t="str">
            <v>ПОДМОСКОВНАЯ (МСK)</v>
          </cell>
          <cell r="D994">
            <v>31856</v>
          </cell>
          <cell r="E994">
            <v>37154</v>
          </cell>
          <cell r="F994">
            <v>350</v>
          </cell>
          <cell r="G994">
            <v>37937</v>
          </cell>
          <cell r="H994">
            <v>886</v>
          </cell>
          <cell r="I994" t="str">
            <v>деп</v>
          </cell>
          <cell r="J994">
            <v>38849</v>
          </cell>
        </row>
        <row r="995">
          <cell r="A995">
            <v>58740077</v>
          </cell>
          <cell r="B995" t="str">
            <v>МОСК.ГОС.УНИВ-Т ПУТЕЙ СООБ</v>
          </cell>
          <cell r="C995" t="str">
            <v>ПОДМОСКОВНАЯ (МСK)</v>
          </cell>
          <cell r="D995">
            <v>31856</v>
          </cell>
          <cell r="E995">
            <v>37154</v>
          </cell>
          <cell r="F995">
            <v>350</v>
          </cell>
          <cell r="G995">
            <v>37937</v>
          </cell>
          <cell r="H995">
            <v>886</v>
          </cell>
          <cell r="I995" t="str">
            <v>деп</v>
          </cell>
          <cell r="J995">
            <v>38849</v>
          </cell>
        </row>
        <row r="996">
          <cell r="A996">
            <v>58740085</v>
          </cell>
          <cell r="B996" t="str">
            <v>МОСК.ГОС.УНИВ-Т ПУТЕЙ СООБ</v>
          </cell>
          <cell r="C996" t="str">
            <v>ПОДМОСКОВНАЯ (МСK)</v>
          </cell>
          <cell r="D996">
            <v>31856</v>
          </cell>
          <cell r="E996">
            <v>37771</v>
          </cell>
          <cell r="F996">
            <v>350</v>
          </cell>
          <cell r="H996">
            <v>0</v>
          </cell>
          <cell r="I996" t="str">
            <v>деп</v>
          </cell>
          <cell r="J996">
            <v>38686</v>
          </cell>
        </row>
        <row r="997">
          <cell r="A997">
            <v>58740101</v>
          </cell>
          <cell r="B997" t="str">
            <v>МОСК.ГОС.УНИВ-Т ПУТЕЙ СООБ</v>
          </cell>
          <cell r="C997" t="str">
            <v>ПОДМОСКОВНАЯ (МСK)</v>
          </cell>
          <cell r="D997">
            <v>31856</v>
          </cell>
          <cell r="E997">
            <v>37771</v>
          </cell>
          <cell r="F997">
            <v>350</v>
          </cell>
          <cell r="H997">
            <v>0</v>
          </cell>
          <cell r="I997" t="str">
            <v>деп</v>
          </cell>
          <cell r="J997">
            <v>38686</v>
          </cell>
        </row>
        <row r="998">
          <cell r="A998">
            <v>58740119</v>
          </cell>
          <cell r="B998" t="str">
            <v>МОСК.ГОС.УНИВ-Т ПУТЕЙ СООБ</v>
          </cell>
          <cell r="C998" t="str">
            <v>ПОДМОСКОВНАЯ (МСK)</v>
          </cell>
          <cell r="D998">
            <v>31856</v>
          </cell>
          <cell r="E998">
            <v>37771</v>
          </cell>
          <cell r="F998">
            <v>350</v>
          </cell>
          <cell r="H998">
            <v>0</v>
          </cell>
          <cell r="I998" t="str">
            <v>деп</v>
          </cell>
          <cell r="J998">
            <v>38686</v>
          </cell>
        </row>
        <row r="999">
          <cell r="A999">
            <v>58740127</v>
          </cell>
          <cell r="B999" t="str">
            <v>МОСК.ГОС.УНИВ-Т ПУТЕЙ СООБ</v>
          </cell>
          <cell r="C999" t="str">
            <v>ПОДМОСКОВНАЯ (МСK)</v>
          </cell>
          <cell r="D999">
            <v>31856</v>
          </cell>
          <cell r="E999">
            <v>37771</v>
          </cell>
          <cell r="F999">
            <v>350</v>
          </cell>
          <cell r="H999">
            <v>0</v>
          </cell>
          <cell r="I999" t="str">
            <v>деп</v>
          </cell>
          <cell r="J999">
            <v>38686</v>
          </cell>
        </row>
        <row r="1000">
          <cell r="A1000">
            <v>58740135</v>
          </cell>
          <cell r="B1000" t="str">
            <v>МОСК.ГОС.УНИВ-Т ПУТЕЙ СООБ</v>
          </cell>
          <cell r="C1000" t="str">
            <v>ПОДМОСКОВНАЯ (МСK)</v>
          </cell>
          <cell r="D1000">
            <v>32082</v>
          </cell>
          <cell r="E1000">
            <v>37554</v>
          </cell>
          <cell r="F1000">
            <v>350</v>
          </cell>
          <cell r="H1000">
            <v>0</v>
          </cell>
          <cell r="I1000" t="str">
            <v>кап</v>
          </cell>
          <cell r="J1000">
            <v>38467</v>
          </cell>
        </row>
        <row r="1001">
          <cell r="A1001">
            <v>58740143</v>
          </cell>
          <cell r="B1001" t="str">
            <v>МОСК.ГОС.УНИВ-Т ПУТЕЙ СООБ</v>
          </cell>
          <cell r="C1001" t="str">
            <v>ПОДМОСКОВНАЯ (МСK)</v>
          </cell>
          <cell r="D1001">
            <v>32082</v>
          </cell>
          <cell r="E1001">
            <v>37554</v>
          </cell>
          <cell r="F1001">
            <v>350</v>
          </cell>
          <cell r="H1001">
            <v>0</v>
          </cell>
          <cell r="J1001">
            <v>38467</v>
          </cell>
        </row>
        <row r="1002">
          <cell r="A1002">
            <v>58740150</v>
          </cell>
          <cell r="B1002" t="str">
            <v>МОСК.ГОС.УНИВ-Т ПУТЕЙ СООБ</v>
          </cell>
          <cell r="C1002" t="str">
            <v>ПОДМОСКОВНАЯ (МСK)</v>
          </cell>
          <cell r="D1002">
            <v>32082</v>
          </cell>
          <cell r="E1002">
            <v>37554</v>
          </cell>
          <cell r="F1002">
            <v>350</v>
          </cell>
          <cell r="H1002">
            <v>0</v>
          </cell>
          <cell r="J1002">
            <v>38467</v>
          </cell>
        </row>
        <row r="1003">
          <cell r="A1003">
            <v>58740168</v>
          </cell>
          <cell r="B1003" t="str">
            <v>МОСК.ГОС.УНИВ-Т ПУТЕЙ СООБ</v>
          </cell>
          <cell r="C1003" t="str">
            <v>ПОДМОСКОВНАЯ (МСK)</v>
          </cell>
          <cell r="D1003">
            <v>32082</v>
          </cell>
          <cell r="E1003">
            <v>37554</v>
          </cell>
          <cell r="F1003">
            <v>350</v>
          </cell>
          <cell r="H1003">
            <v>0</v>
          </cell>
          <cell r="J1003">
            <v>38467</v>
          </cell>
        </row>
        <row r="1004">
          <cell r="A1004">
            <v>58740259</v>
          </cell>
          <cell r="B1004" t="str">
            <v>МОСК.ГОС.УНИВ-Т ПУТЕЙ СООБ</v>
          </cell>
          <cell r="C1004" t="str">
            <v>ПОДМОСКОВНАЯ (МСK)</v>
          </cell>
          <cell r="D1004">
            <v>31837</v>
          </cell>
          <cell r="E1004">
            <v>37670</v>
          </cell>
          <cell r="F1004">
            <v>350</v>
          </cell>
          <cell r="H1004">
            <v>0</v>
          </cell>
          <cell r="I1004" t="str">
            <v>кап</v>
          </cell>
          <cell r="J1004">
            <v>38582</v>
          </cell>
        </row>
        <row r="1005">
          <cell r="A1005">
            <v>58740267</v>
          </cell>
          <cell r="B1005" t="str">
            <v>МОСК.ГОС.УНИВ-Т ПУТЕЙ СООБ</v>
          </cell>
          <cell r="C1005" t="str">
            <v>ПОДМОСКОВНАЯ (МСK)</v>
          </cell>
          <cell r="D1005">
            <v>31837</v>
          </cell>
          <cell r="E1005">
            <v>37670</v>
          </cell>
          <cell r="F1005">
            <v>350</v>
          </cell>
          <cell r="H1005">
            <v>0</v>
          </cell>
          <cell r="I1005" t="str">
            <v>кап</v>
          </cell>
          <cell r="J1005">
            <v>38582</v>
          </cell>
        </row>
        <row r="1006">
          <cell r="A1006">
            <v>58740275</v>
          </cell>
          <cell r="B1006" t="str">
            <v>МОСК.ГОС.УНИВ-Т ПУТЕЙ СООБ</v>
          </cell>
          <cell r="C1006" t="str">
            <v>ПОДМОСКОВНАЯ (МСK)</v>
          </cell>
          <cell r="D1006">
            <v>31837</v>
          </cell>
          <cell r="E1006">
            <v>37670</v>
          </cell>
          <cell r="F1006">
            <v>350</v>
          </cell>
          <cell r="H1006">
            <v>0</v>
          </cell>
          <cell r="I1006" t="str">
            <v>кап</v>
          </cell>
          <cell r="J1006">
            <v>38582</v>
          </cell>
        </row>
        <row r="1007">
          <cell r="A1007">
            <v>58740283</v>
          </cell>
          <cell r="B1007" t="str">
            <v>МОСК.ГОС.УНИВ-Т ПУТЕЙ СООБ</v>
          </cell>
          <cell r="C1007" t="str">
            <v>ПОДМОСКОВНАЯ (МСK)</v>
          </cell>
          <cell r="D1007">
            <v>31837</v>
          </cell>
          <cell r="E1007">
            <v>37670</v>
          </cell>
          <cell r="F1007">
            <v>350</v>
          </cell>
          <cell r="H1007">
            <v>0</v>
          </cell>
          <cell r="I1007" t="str">
            <v>кап</v>
          </cell>
          <cell r="J1007">
            <v>38582</v>
          </cell>
        </row>
        <row r="1008">
          <cell r="A1008">
            <v>58740309</v>
          </cell>
          <cell r="B1008" t="str">
            <v>МОСК.ГОС.УНИВ-Т ПУТЕЙ СООБ</v>
          </cell>
          <cell r="C1008" t="str">
            <v>ПОДМОСКОВНАЯ (МСK)</v>
          </cell>
          <cell r="D1008">
            <v>31837</v>
          </cell>
          <cell r="E1008">
            <v>37737</v>
          </cell>
          <cell r="F1008">
            <v>350</v>
          </cell>
          <cell r="H1008">
            <v>0</v>
          </cell>
          <cell r="I1008" t="str">
            <v>кап</v>
          </cell>
          <cell r="J1008">
            <v>38651</v>
          </cell>
        </row>
        <row r="1009">
          <cell r="A1009">
            <v>58740317</v>
          </cell>
          <cell r="B1009" t="str">
            <v>МОСК.ГОС.УНИВ-Т ПУТЕЙ СООБ</v>
          </cell>
          <cell r="C1009" t="str">
            <v>ПОДМОСКОВНАЯ (МСK)</v>
          </cell>
          <cell r="D1009">
            <v>31837</v>
          </cell>
          <cell r="E1009">
            <v>37737</v>
          </cell>
          <cell r="F1009">
            <v>350</v>
          </cell>
          <cell r="H1009">
            <v>0</v>
          </cell>
          <cell r="I1009" t="str">
            <v>кап</v>
          </cell>
          <cell r="J1009">
            <v>38651</v>
          </cell>
        </row>
        <row r="1010">
          <cell r="A1010">
            <v>58740325</v>
          </cell>
          <cell r="B1010" t="str">
            <v>МОСК.ГОС.УНИВ-Т ПУТЕЙ СООБ</v>
          </cell>
          <cell r="C1010" t="str">
            <v>ПОДМОСКОВНАЯ (МСK)</v>
          </cell>
          <cell r="D1010">
            <v>31837</v>
          </cell>
          <cell r="E1010">
            <v>37737</v>
          </cell>
          <cell r="F1010">
            <v>350</v>
          </cell>
          <cell r="H1010">
            <v>0</v>
          </cell>
          <cell r="I1010" t="str">
            <v>кап</v>
          </cell>
          <cell r="J1010">
            <v>38651</v>
          </cell>
        </row>
        <row r="1011">
          <cell r="A1011">
            <v>58740333</v>
          </cell>
          <cell r="B1011" t="str">
            <v>МОСК.ГОС.УНИВ-Т ПУТЕЙ СООБ</v>
          </cell>
          <cell r="C1011" t="str">
            <v>ПОДМОСКОВНАЯ (МСK)</v>
          </cell>
          <cell r="D1011">
            <v>31837</v>
          </cell>
          <cell r="E1011">
            <v>37737</v>
          </cell>
          <cell r="F1011">
            <v>350</v>
          </cell>
          <cell r="H1011">
            <v>0</v>
          </cell>
          <cell r="I1011" t="str">
            <v>кап</v>
          </cell>
          <cell r="J1011">
            <v>38651</v>
          </cell>
        </row>
        <row r="1012">
          <cell r="A1012">
            <v>58740341</v>
          </cell>
          <cell r="B1012" t="str">
            <v>МОСК.ГОС.УНИВ-Т ПУТЕЙ СООБ</v>
          </cell>
          <cell r="C1012" t="str">
            <v>ПОДМОСКОВНАЯ (МСK)</v>
          </cell>
          <cell r="D1012">
            <v>31837</v>
          </cell>
          <cell r="E1012">
            <v>37111</v>
          </cell>
          <cell r="F1012">
            <v>350</v>
          </cell>
          <cell r="G1012">
            <v>37901</v>
          </cell>
          <cell r="H1012">
            <v>886</v>
          </cell>
          <cell r="I1012" t="str">
            <v>деп</v>
          </cell>
          <cell r="J1012">
            <v>38814</v>
          </cell>
        </row>
        <row r="1013">
          <cell r="A1013">
            <v>58740358</v>
          </cell>
          <cell r="B1013" t="str">
            <v>МОСК.ГОС.УНИВ-Т ПУТЕЙ СООБ</v>
          </cell>
          <cell r="C1013" t="str">
            <v>ПОДМОСКОВНАЯ (МСK)</v>
          </cell>
          <cell r="D1013">
            <v>31837</v>
          </cell>
          <cell r="E1013">
            <v>37111</v>
          </cell>
          <cell r="F1013">
            <v>350</v>
          </cell>
          <cell r="G1013">
            <v>37901</v>
          </cell>
          <cell r="H1013">
            <v>886</v>
          </cell>
          <cell r="I1013" t="str">
            <v>деп</v>
          </cell>
          <cell r="J1013">
            <v>38814</v>
          </cell>
        </row>
        <row r="1014">
          <cell r="A1014">
            <v>58740366</v>
          </cell>
          <cell r="B1014" t="str">
            <v>МОСК.ГОС.УНИВ-Т ПУТЕЙ СООБ</v>
          </cell>
          <cell r="C1014" t="str">
            <v>ПОДМОСКОВНАЯ (МСK)</v>
          </cell>
          <cell r="D1014">
            <v>31837</v>
          </cell>
          <cell r="E1014">
            <v>37111</v>
          </cell>
          <cell r="F1014">
            <v>350</v>
          </cell>
          <cell r="G1014">
            <v>37901</v>
          </cell>
          <cell r="H1014">
            <v>886</v>
          </cell>
          <cell r="I1014" t="str">
            <v>деп</v>
          </cell>
          <cell r="J1014">
            <v>38814</v>
          </cell>
        </row>
        <row r="1015">
          <cell r="A1015">
            <v>58740374</v>
          </cell>
          <cell r="B1015" t="str">
            <v>МОСК.ГОС.УНИВ-Т ПУТЕЙ СООБ</v>
          </cell>
          <cell r="C1015" t="str">
            <v>ПОДМОСКОВНАЯ (МСK)</v>
          </cell>
          <cell r="D1015">
            <v>31837</v>
          </cell>
          <cell r="E1015">
            <v>37111</v>
          </cell>
          <cell r="F1015">
            <v>350</v>
          </cell>
          <cell r="G1015">
            <v>37901</v>
          </cell>
          <cell r="H1015">
            <v>886</v>
          </cell>
          <cell r="I1015" t="str">
            <v>деп</v>
          </cell>
          <cell r="J1015">
            <v>38814</v>
          </cell>
        </row>
        <row r="1016">
          <cell r="A1016">
            <v>58740382</v>
          </cell>
          <cell r="B1016" t="str">
            <v>МОСК.ГОС.УНИВ-Т ПУТЕЙ СООБ</v>
          </cell>
          <cell r="C1016" t="str">
            <v>ПОДМОСКОВНАЯ (МСK)</v>
          </cell>
          <cell r="D1016">
            <v>31868</v>
          </cell>
          <cell r="E1016">
            <v>37804</v>
          </cell>
          <cell r="F1016">
            <v>350</v>
          </cell>
          <cell r="H1016">
            <v>0</v>
          </cell>
          <cell r="I1016" t="str">
            <v>кап</v>
          </cell>
          <cell r="J1016">
            <v>38719</v>
          </cell>
        </row>
        <row r="1017">
          <cell r="A1017">
            <v>58740408</v>
          </cell>
          <cell r="B1017" t="str">
            <v>МОСК.ГОС.УНИВ-Т ПУТЕЙ СООБ</v>
          </cell>
          <cell r="C1017" t="str">
            <v>ПОДМОСКОВНАЯ (МСK)</v>
          </cell>
          <cell r="D1017">
            <v>31868</v>
          </cell>
          <cell r="E1017">
            <v>37804</v>
          </cell>
          <cell r="F1017">
            <v>350</v>
          </cell>
          <cell r="H1017">
            <v>0</v>
          </cell>
          <cell r="I1017" t="str">
            <v>кап</v>
          </cell>
          <cell r="J1017">
            <v>38719</v>
          </cell>
        </row>
        <row r="1018">
          <cell r="A1018">
            <v>58740416</v>
          </cell>
          <cell r="B1018" t="str">
            <v>МОСК.ГОС.УНИВ-Т ПУТЕЙ СООБ</v>
          </cell>
          <cell r="C1018" t="str">
            <v>ПОДМОСКОВНАЯ (МСK)</v>
          </cell>
          <cell r="D1018">
            <v>31868</v>
          </cell>
          <cell r="E1018">
            <v>37804</v>
          </cell>
          <cell r="F1018">
            <v>350</v>
          </cell>
          <cell r="H1018">
            <v>0</v>
          </cell>
          <cell r="I1018" t="str">
            <v>кап</v>
          </cell>
          <cell r="J1018">
            <v>38719</v>
          </cell>
        </row>
        <row r="1019">
          <cell r="A1019">
            <v>58740424</v>
          </cell>
          <cell r="B1019" t="str">
            <v>МОСК.ГОС.УНИВ-Т ПУТЕЙ СООБ</v>
          </cell>
          <cell r="C1019" t="str">
            <v>ПОДМОСКОВНАЯ (МСK)</v>
          </cell>
          <cell r="D1019">
            <v>31868</v>
          </cell>
          <cell r="E1019">
            <v>37804</v>
          </cell>
          <cell r="F1019">
            <v>350</v>
          </cell>
          <cell r="H1019">
            <v>0</v>
          </cell>
          <cell r="I1019" t="str">
            <v>кап</v>
          </cell>
          <cell r="J1019">
            <v>38719</v>
          </cell>
        </row>
        <row r="1020">
          <cell r="B1020" t="str">
            <v>МОСК.ГОС.УНИВ-Т ПУТЕЙ СООБ Количество</v>
          </cell>
          <cell r="D1020">
            <v>40</v>
          </cell>
        </row>
        <row r="1021">
          <cell r="A1021">
            <v>53700977</v>
          </cell>
          <cell r="B1021" t="str">
            <v>МОСТ</v>
          </cell>
          <cell r="C1021" t="str">
            <v>ЛИСИЙ НОС    (ОКТ)</v>
          </cell>
          <cell r="D1021">
            <v>33387</v>
          </cell>
          <cell r="E1021">
            <v>36642</v>
          </cell>
          <cell r="F1021">
            <v>332</v>
          </cell>
          <cell r="G1021">
            <v>37249</v>
          </cell>
          <cell r="H1021">
            <v>341</v>
          </cell>
          <cell r="I1021" t="str">
            <v>деп</v>
          </cell>
          <cell r="J1021">
            <v>38345</v>
          </cell>
        </row>
        <row r="1022">
          <cell r="A1022">
            <v>58340027</v>
          </cell>
          <cell r="B1022" t="str">
            <v>МОСТ</v>
          </cell>
          <cell r="C1022" t="str">
            <v>УЛАН-УДЭ     (ВСБ)</v>
          </cell>
          <cell r="D1022">
            <v>31478</v>
          </cell>
          <cell r="E1022">
            <v>37383</v>
          </cell>
          <cell r="F1022">
            <v>653</v>
          </cell>
          <cell r="G1022">
            <v>35891</v>
          </cell>
          <cell r="I1022" t="str">
            <v>деп</v>
          </cell>
          <cell r="J1022">
            <v>38114</v>
          </cell>
        </row>
        <row r="1023">
          <cell r="B1023" t="str">
            <v>МОСТ Количество</v>
          </cell>
          <cell r="D1023">
            <v>2</v>
          </cell>
        </row>
        <row r="1024">
          <cell r="A1024">
            <v>53702882</v>
          </cell>
          <cell r="B1024" t="str">
            <v>МОСЭНЕРГОСТРОЙ УЖТ</v>
          </cell>
          <cell r="C1024" t="str">
            <v>КР.СТРОИТЕЛЬ (МСK)</v>
          </cell>
          <cell r="D1024">
            <v>26451</v>
          </cell>
          <cell r="E1024">
            <v>37272</v>
          </cell>
          <cell r="F1024">
            <v>350</v>
          </cell>
          <cell r="G1024">
            <v>34310</v>
          </cell>
          <cell r="H1024">
            <v>0</v>
          </cell>
          <cell r="I1024" t="str">
            <v>деп</v>
          </cell>
          <cell r="J1024">
            <v>38002</v>
          </cell>
        </row>
        <row r="1025">
          <cell r="A1025">
            <v>53702908</v>
          </cell>
          <cell r="B1025" t="str">
            <v>МОСЭНЕРГОСТРОЙ УЖТ</v>
          </cell>
          <cell r="C1025" t="str">
            <v>КР.СТРОИТЕЛЬ (МСK)</v>
          </cell>
          <cell r="D1025">
            <v>26299</v>
          </cell>
          <cell r="E1025">
            <v>37508</v>
          </cell>
          <cell r="F1025">
            <v>350</v>
          </cell>
          <cell r="G1025">
            <v>34693</v>
          </cell>
          <cell r="H1025">
            <v>0</v>
          </cell>
          <cell r="I1025" t="str">
            <v>деп</v>
          </cell>
          <cell r="J1025">
            <v>38239</v>
          </cell>
        </row>
        <row r="1026">
          <cell r="A1026">
            <v>53702916</v>
          </cell>
          <cell r="B1026" t="str">
            <v>МОСЭНЕРГОСТРОЙ УЖТ</v>
          </cell>
          <cell r="C1026" t="str">
            <v>КР.СТРОИТЕЛЬ (МСK)</v>
          </cell>
          <cell r="D1026">
            <v>26299</v>
          </cell>
          <cell r="E1026">
            <v>37211</v>
          </cell>
          <cell r="F1026">
            <v>350</v>
          </cell>
          <cell r="G1026">
            <v>34673</v>
          </cell>
          <cell r="H1026">
            <v>0</v>
          </cell>
          <cell r="I1026" t="str">
            <v>деп</v>
          </cell>
          <cell r="J1026">
            <v>37941</v>
          </cell>
        </row>
        <row r="1027">
          <cell r="A1027">
            <v>53702924</v>
          </cell>
          <cell r="B1027" t="str">
            <v>МОСЭНЕРГОСТРОЙ УЖТ</v>
          </cell>
          <cell r="C1027" t="str">
            <v>КР.СТРОИТЕЛЬ (МСK)</v>
          </cell>
          <cell r="D1027">
            <v>26299</v>
          </cell>
          <cell r="E1027">
            <v>37985</v>
          </cell>
          <cell r="F1027">
            <v>350</v>
          </cell>
          <cell r="G1027">
            <v>34614</v>
          </cell>
          <cell r="H1027">
            <v>0</v>
          </cell>
          <cell r="I1027" t="str">
            <v>деп</v>
          </cell>
          <cell r="J1027">
            <v>38716</v>
          </cell>
        </row>
        <row r="1028">
          <cell r="A1028">
            <v>53704433</v>
          </cell>
          <cell r="B1028" t="str">
            <v>МОСЭНЕРГОСТРОЙ УЖТ</v>
          </cell>
          <cell r="C1028" t="str">
            <v>КР.СТРОИТЕЛЬ (МСK)</v>
          </cell>
          <cell r="D1028">
            <v>29952</v>
          </cell>
          <cell r="E1028">
            <v>37869</v>
          </cell>
          <cell r="F1028">
            <v>350</v>
          </cell>
          <cell r="G1028">
            <v>32417</v>
          </cell>
          <cell r="H1028">
            <v>0</v>
          </cell>
          <cell r="I1028" t="str">
            <v>деп</v>
          </cell>
          <cell r="J1028">
            <v>38600</v>
          </cell>
        </row>
        <row r="1029">
          <cell r="A1029">
            <v>53704441</v>
          </cell>
          <cell r="B1029" t="str">
            <v>МОСЭНЕРГОСТРОЙ УЖТ</v>
          </cell>
          <cell r="C1029" t="str">
            <v>КР.СТРОИТЕЛЬ (МСK)</v>
          </cell>
          <cell r="D1029">
            <v>27760</v>
          </cell>
          <cell r="E1029">
            <v>36857</v>
          </cell>
          <cell r="F1029">
            <v>350</v>
          </cell>
          <cell r="G1029">
            <v>32417</v>
          </cell>
          <cell r="I1029" t="str">
            <v>деп</v>
          </cell>
          <cell r="J1029">
            <v>37952</v>
          </cell>
        </row>
        <row r="1030">
          <cell r="B1030" t="str">
            <v>МОСЭНЕРГОСТРОЙ УЖТ Количество</v>
          </cell>
          <cell r="D1030">
            <v>6</v>
          </cell>
        </row>
        <row r="1031">
          <cell r="A1031">
            <v>53402004</v>
          </cell>
          <cell r="B1031" t="str">
            <v>МОТО КЛУБ СОЮЗ</v>
          </cell>
          <cell r="C1031" t="str">
            <v>РОСТОВ-ЗАПАД (СКВ)</v>
          </cell>
          <cell r="D1031">
            <v>30590</v>
          </cell>
          <cell r="E1031">
            <v>37845</v>
          </cell>
          <cell r="F1031">
            <v>330</v>
          </cell>
          <cell r="G1031">
            <v>35330</v>
          </cell>
          <cell r="H1031">
            <v>490</v>
          </cell>
          <cell r="I1031" t="str">
            <v>деп</v>
          </cell>
          <cell r="J1031">
            <v>38576</v>
          </cell>
        </row>
        <row r="1032">
          <cell r="B1032" t="str">
            <v>МОТО КЛУБ СОЮЗ Количество</v>
          </cell>
          <cell r="D1032">
            <v>1</v>
          </cell>
        </row>
        <row r="1033">
          <cell r="A1033">
            <v>53706214</v>
          </cell>
          <cell r="B1033" t="str">
            <v>МЧ-3</v>
          </cell>
          <cell r="C1033" t="str">
            <v>КРАСНОЯРСК   (КРС)</v>
          </cell>
          <cell r="D1033">
            <v>31564</v>
          </cell>
          <cell r="E1033">
            <v>37454</v>
          </cell>
          <cell r="F1033">
            <v>633</v>
          </cell>
          <cell r="H1033">
            <v>0</v>
          </cell>
          <cell r="I1033" t="str">
            <v>кап</v>
          </cell>
          <cell r="J1033">
            <v>38003</v>
          </cell>
        </row>
        <row r="1034">
          <cell r="A1034">
            <v>58726092</v>
          </cell>
          <cell r="B1034" t="str">
            <v>МЧ-3</v>
          </cell>
          <cell r="C1034" t="str">
            <v>КРАСНОЯРСК   (КРС)</v>
          </cell>
          <cell r="D1034">
            <v>31564</v>
          </cell>
          <cell r="E1034">
            <v>37454</v>
          </cell>
          <cell r="F1034">
            <v>633</v>
          </cell>
          <cell r="H1034">
            <v>0</v>
          </cell>
          <cell r="I1034" t="str">
            <v>кап</v>
          </cell>
          <cell r="J1034">
            <v>38003</v>
          </cell>
        </row>
        <row r="1035">
          <cell r="A1035">
            <v>58726191</v>
          </cell>
          <cell r="B1035" t="str">
            <v>МЧ-3</v>
          </cell>
          <cell r="C1035" t="str">
            <v>КРАСНОЯРСК   (КРС)</v>
          </cell>
          <cell r="D1035">
            <v>31564</v>
          </cell>
          <cell r="E1035">
            <v>37454</v>
          </cell>
          <cell r="F1035">
            <v>633</v>
          </cell>
          <cell r="H1035">
            <v>0</v>
          </cell>
          <cell r="I1035" t="str">
            <v>кап</v>
          </cell>
          <cell r="J1035">
            <v>38003</v>
          </cell>
        </row>
        <row r="1036">
          <cell r="A1036">
            <v>58726290</v>
          </cell>
          <cell r="B1036" t="str">
            <v>МЧ-3</v>
          </cell>
          <cell r="C1036" t="str">
            <v>КРАСНОЯРСК   (КРС)</v>
          </cell>
          <cell r="D1036">
            <v>31564</v>
          </cell>
          <cell r="E1036">
            <v>37454</v>
          </cell>
          <cell r="F1036">
            <v>633</v>
          </cell>
          <cell r="H1036">
            <v>0</v>
          </cell>
          <cell r="I1036" t="str">
            <v>кап</v>
          </cell>
          <cell r="J1036">
            <v>38003</v>
          </cell>
        </row>
        <row r="1037">
          <cell r="A1037">
            <v>58726399</v>
          </cell>
          <cell r="B1037" t="str">
            <v>МЧ-3</v>
          </cell>
          <cell r="C1037" t="str">
            <v>КРАСНОЯРСК   (КРС)</v>
          </cell>
          <cell r="D1037">
            <v>31564</v>
          </cell>
          <cell r="E1037">
            <v>37454</v>
          </cell>
          <cell r="F1037">
            <v>633</v>
          </cell>
          <cell r="H1037">
            <v>0</v>
          </cell>
          <cell r="I1037" t="str">
            <v>кап</v>
          </cell>
          <cell r="J1037">
            <v>38003</v>
          </cell>
        </row>
        <row r="1038">
          <cell r="B1038" t="str">
            <v>МЧ-3 Количество</v>
          </cell>
          <cell r="D1038">
            <v>5</v>
          </cell>
        </row>
        <row r="1039">
          <cell r="A1039">
            <v>53702379</v>
          </cell>
          <cell r="B1039" t="str">
            <v>НАДЫМГАЗСНАБКОМПЛЕКТ</v>
          </cell>
          <cell r="C1039" t="str">
            <v>ПАНГОДЫ      (СВР)</v>
          </cell>
          <cell r="D1039">
            <v>33970</v>
          </cell>
          <cell r="E1039">
            <v>37056</v>
          </cell>
          <cell r="F1039">
            <v>1016</v>
          </cell>
          <cell r="G1039">
            <v>37793</v>
          </cell>
          <cell r="H1039">
            <v>586</v>
          </cell>
          <cell r="I1039" t="str">
            <v>деп</v>
          </cell>
          <cell r="J1039">
            <v>38889</v>
          </cell>
        </row>
        <row r="1040">
          <cell r="B1040" t="str">
            <v>НАДЫМГАЗСНАБКОМПЛЕКТ Количество</v>
          </cell>
          <cell r="D1040">
            <v>1</v>
          </cell>
        </row>
        <row r="1041">
          <cell r="A1041">
            <v>58724873</v>
          </cell>
          <cell r="B1041" t="str">
            <v>НАХОДКА ФИШИНГ СЕРВИС</v>
          </cell>
          <cell r="C1041" t="str">
            <v>УССУРИЙСК    (ДВС)</v>
          </cell>
          <cell r="D1041">
            <v>33249</v>
          </cell>
          <cell r="E1041">
            <v>37953</v>
          </cell>
          <cell r="F1041">
            <v>163</v>
          </cell>
          <cell r="H1041">
            <v>0</v>
          </cell>
          <cell r="I1041" t="str">
            <v>деп</v>
          </cell>
          <cell r="J1041">
            <v>38500</v>
          </cell>
        </row>
        <row r="1042">
          <cell r="B1042" t="str">
            <v>НАХОДКА ФИШИНГ СЕРВИС Количество</v>
          </cell>
          <cell r="D1042">
            <v>1</v>
          </cell>
        </row>
        <row r="1043">
          <cell r="A1043">
            <v>58002296</v>
          </cell>
          <cell r="B1043" t="str">
            <v>НЕВАРЕФТРАНС ТК</v>
          </cell>
          <cell r="C1043" t="str">
            <v>СРЕДНЕРОГАТС (ОКТ)</v>
          </cell>
          <cell r="D1043">
            <v>29481</v>
          </cell>
          <cell r="E1043">
            <v>35765</v>
          </cell>
          <cell r="F1043">
            <v>1097</v>
          </cell>
          <cell r="G1043">
            <v>37946</v>
          </cell>
          <cell r="H1043">
            <v>1097</v>
          </cell>
          <cell r="I1043" t="str">
            <v>деп</v>
          </cell>
          <cell r="J1043">
            <v>38677</v>
          </cell>
        </row>
        <row r="1044">
          <cell r="A1044">
            <v>58002395</v>
          </cell>
          <cell r="B1044" t="str">
            <v>НЕВАРЕФТРАНС ТК</v>
          </cell>
          <cell r="C1044" t="str">
            <v>СРЕДНЕРОГАТС (ОКТ)</v>
          </cell>
          <cell r="D1044">
            <v>29651</v>
          </cell>
          <cell r="E1044">
            <v>33723</v>
          </cell>
          <cell r="F1044">
            <v>1097</v>
          </cell>
          <cell r="G1044">
            <v>37946</v>
          </cell>
          <cell r="H1044">
            <v>1097</v>
          </cell>
          <cell r="I1044" t="str">
            <v>деп</v>
          </cell>
          <cell r="J1044">
            <v>38677</v>
          </cell>
        </row>
        <row r="1045">
          <cell r="A1045">
            <v>58002494</v>
          </cell>
          <cell r="B1045" t="str">
            <v>НЕВАРЕФТРАНС ТК</v>
          </cell>
          <cell r="C1045" t="str">
            <v>СРЕДНЕРОГАТС (ОКТ)</v>
          </cell>
          <cell r="D1045">
            <v>29672</v>
          </cell>
          <cell r="E1045">
            <v>34568</v>
          </cell>
          <cell r="F1045">
            <v>1097</v>
          </cell>
          <cell r="G1045">
            <v>37946</v>
          </cell>
          <cell r="H1045">
            <v>1097</v>
          </cell>
          <cell r="I1045" t="str">
            <v>деп</v>
          </cell>
          <cell r="J1045">
            <v>38677</v>
          </cell>
        </row>
        <row r="1046">
          <cell r="A1046">
            <v>58002593</v>
          </cell>
          <cell r="B1046" t="str">
            <v>НЕВАРЕФТРАНС ТК</v>
          </cell>
          <cell r="C1046" t="str">
            <v>СРЕДНЕРОГАТС (ОКТ)</v>
          </cell>
          <cell r="D1046">
            <v>29672</v>
          </cell>
          <cell r="E1046">
            <v>33704</v>
          </cell>
          <cell r="F1046">
            <v>1097</v>
          </cell>
          <cell r="G1046">
            <v>37946</v>
          </cell>
          <cell r="H1046">
            <v>1097</v>
          </cell>
          <cell r="I1046" t="str">
            <v>деп</v>
          </cell>
          <cell r="J1046">
            <v>38677</v>
          </cell>
        </row>
        <row r="1047">
          <cell r="A1047">
            <v>58002692</v>
          </cell>
          <cell r="B1047" t="str">
            <v>НЕВАРЕФТРАНС ТК</v>
          </cell>
          <cell r="C1047" t="str">
            <v>СРЕДНЕРОГАТС (ОКТ)</v>
          </cell>
          <cell r="D1047">
            <v>29691</v>
          </cell>
          <cell r="E1047">
            <v>34577</v>
          </cell>
          <cell r="F1047">
            <v>1097</v>
          </cell>
          <cell r="G1047">
            <v>37946</v>
          </cell>
          <cell r="H1047">
            <v>1097</v>
          </cell>
          <cell r="I1047" t="str">
            <v>деп</v>
          </cell>
          <cell r="J1047">
            <v>38677</v>
          </cell>
        </row>
        <row r="1048">
          <cell r="A1048">
            <v>58002809</v>
          </cell>
          <cell r="B1048" t="str">
            <v>НЕВАРЕФТРАНС ТК</v>
          </cell>
          <cell r="C1048" t="str">
            <v>СРЕДНЕРОГАТС (ОКТ)</v>
          </cell>
          <cell r="D1048">
            <v>29426</v>
          </cell>
          <cell r="F1048">
            <v>0</v>
          </cell>
          <cell r="G1048">
            <v>37952</v>
          </cell>
          <cell r="H1048">
            <v>1097</v>
          </cell>
          <cell r="I1048" t="str">
            <v>деп</v>
          </cell>
          <cell r="J1048">
            <v>38683</v>
          </cell>
        </row>
        <row r="1049">
          <cell r="A1049">
            <v>58002817</v>
          </cell>
          <cell r="B1049" t="str">
            <v>НЕВАРЕФТРАНС ТК</v>
          </cell>
          <cell r="C1049" t="str">
            <v>СРЕДНЕРОГАТС (ОКТ)</v>
          </cell>
          <cell r="D1049">
            <v>29425</v>
          </cell>
          <cell r="F1049">
            <v>0</v>
          </cell>
          <cell r="G1049">
            <v>37951</v>
          </cell>
          <cell r="H1049">
            <v>1097</v>
          </cell>
          <cell r="I1049" t="str">
            <v>деп</v>
          </cell>
          <cell r="J1049">
            <v>38682</v>
          </cell>
        </row>
        <row r="1050">
          <cell r="A1050">
            <v>58002825</v>
          </cell>
          <cell r="B1050" t="str">
            <v>НЕВАРЕФТРАНС ТК</v>
          </cell>
          <cell r="C1050" t="str">
            <v>СРЕДНЕРОГАТС (ОКТ)</v>
          </cell>
          <cell r="D1050">
            <v>29425</v>
          </cell>
          <cell r="F1050">
            <v>0</v>
          </cell>
          <cell r="G1050">
            <v>37951</v>
          </cell>
          <cell r="H1050">
            <v>1097</v>
          </cell>
          <cell r="I1050" t="str">
            <v>деп</v>
          </cell>
          <cell r="J1050">
            <v>38682</v>
          </cell>
        </row>
        <row r="1051">
          <cell r="A1051">
            <v>58002833</v>
          </cell>
          <cell r="B1051" t="str">
            <v>НЕВАРЕФТРАНС ТК</v>
          </cell>
          <cell r="C1051" t="str">
            <v>СРЕДНЕРОГАТС (ОКТ)</v>
          </cell>
          <cell r="D1051">
            <v>29447</v>
          </cell>
          <cell r="F1051">
            <v>0</v>
          </cell>
          <cell r="G1051">
            <v>37970</v>
          </cell>
          <cell r="H1051">
            <v>1097</v>
          </cell>
          <cell r="I1051" t="str">
            <v>деп</v>
          </cell>
          <cell r="J1051">
            <v>38701</v>
          </cell>
        </row>
        <row r="1052">
          <cell r="A1052">
            <v>58002841</v>
          </cell>
          <cell r="B1052" t="str">
            <v>НЕВАРЕФТРАНС ТК</v>
          </cell>
          <cell r="C1052" t="str">
            <v>СРЕДНЕРОГАТС (ОКТ)</v>
          </cell>
          <cell r="D1052">
            <v>29481</v>
          </cell>
          <cell r="F1052">
            <v>0</v>
          </cell>
          <cell r="G1052">
            <v>37974</v>
          </cell>
          <cell r="H1052">
            <v>527</v>
          </cell>
          <cell r="I1052" t="str">
            <v>деп</v>
          </cell>
          <cell r="J1052">
            <v>38705</v>
          </cell>
        </row>
        <row r="1053">
          <cell r="A1053">
            <v>58002858</v>
          </cell>
          <cell r="B1053" t="str">
            <v>НЕВАРЕФТРАНС ТК</v>
          </cell>
          <cell r="C1053" t="str">
            <v>СРЕДНЕРОГАТС (ОКТ)</v>
          </cell>
          <cell r="D1053">
            <v>29494</v>
          </cell>
          <cell r="F1053">
            <v>0</v>
          </cell>
          <cell r="G1053">
            <v>37974</v>
          </cell>
          <cell r="H1053">
            <v>527</v>
          </cell>
          <cell r="I1053" t="str">
            <v>деп</v>
          </cell>
          <cell r="J1053">
            <v>38705</v>
          </cell>
        </row>
        <row r="1054">
          <cell r="A1054">
            <v>58002866</v>
          </cell>
          <cell r="B1054" t="str">
            <v>НЕВАРЕФТРАНС ТК</v>
          </cell>
          <cell r="C1054" t="str">
            <v>СРЕДНЕРОГАТС (ОКТ)</v>
          </cell>
          <cell r="D1054">
            <v>29494</v>
          </cell>
          <cell r="F1054">
            <v>0</v>
          </cell>
          <cell r="G1054">
            <v>37970</v>
          </cell>
          <cell r="H1054">
            <v>1097</v>
          </cell>
          <cell r="I1054" t="str">
            <v>деп</v>
          </cell>
          <cell r="J1054">
            <v>38701</v>
          </cell>
        </row>
        <row r="1055">
          <cell r="A1055">
            <v>58002874</v>
          </cell>
          <cell r="B1055" t="str">
            <v>НЕВАРЕФТРАНС ТК</v>
          </cell>
          <cell r="C1055" t="str">
            <v>СРЕДНЕРОГАТС (ОКТ)</v>
          </cell>
          <cell r="D1055">
            <v>29523</v>
          </cell>
          <cell r="F1055">
            <v>0</v>
          </cell>
          <cell r="G1055">
            <v>37952</v>
          </cell>
          <cell r="H1055">
            <v>1097</v>
          </cell>
          <cell r="I1055" t="str">
            <v>деп</v>
          </cell>
          <cell r="J1055">
            <v>38683</v>
          </cell>
        </row>
        <row r="1056">
          <cell r="A1056">
            <v>58002882</v>
          </cell>
          <cell r="B1056" t="str">
            <v>НЕВАРЕФТРАНС ТК</v>
          </cell>
          <cell r="C1056" t="str">
            <v>СРЕДНЕРОГАТС (ОКТ)</v>
          </cell>
          <cell r="D1056">
            <v>29543</v>
          </cell>
          <cell r="F1056">
            <v>0</v>
          </cell>
          <cell r="G1056">
            <v>37970</v>
          </cell>
          <cell r="H1056">
            <v>1097</v>
          </cell>
          <cell r="I1056" t="str">
            <v>деп</v>
          </cell>
          <cell r="J1056">
            <v>38701</v>
          </cell>
        </row>
        <row r="1057">
          <cell r="A1057">
            <v>58002908</v>
          </cell>
          <cell r="B1057" t="str">
            <v>НЕВАРЕФТРАНС ТК</v>
          </cell>
          <cell r="C1057" t="str">
            <v>СРЕДНЕРОГАТС (ОКТ)</v>
          </cell>
          <cell r="D1057">
            <v>29558</v>
          </cell>
          <cell r="F1057">
            <v>0</v>
          </cell>
          <cell r="G1057">
            <v>37970</v>
          </cell>
          <cell r="H1057">
            <v>1097</v>
          </cell>
          <cell r="I1057" t="str">
            <v>деп</v>
          </cell>
          <cell r="J1057">
            <v>38701</v>
          </cell>
        </row>
        <row r="1058">
          <cell r="A1058">
            <v>58002916</v>
          </cell>
          <cell r="B1058" t="str">
            <v>НЕВАРЕФТРАНС ТК</v>
          </cell>
          <cell r="C1058" t="str">
            <v>СРЕДНЕРОГАТС (ОКТ)</v>
          </cell>
          <cell r="D1058">
            <v>29672</v>
          </cell>
          <cell r="F1058">
            <v>0</v>
          </cell>
          <cell r="G1058">
            <v>37970</v>
          </cell>
          <cell r="H1058">
            <v>1097</v>
          </cell>
          <cell r="I1058" t="str">
            <v>деп</v>
          </cell>
          <cell r="J1058">
            <v>38701</v>
          </cell>
        </row>
        <row r="1059">
          <cell r="A1059">
            <v>58002924</v>
          </cell>
          <cell r="B1059" t="str">
            <v>НЕВАРЕФТРАНС ТК</v>
          </cell>
          <cell r="C1059" t="str">
            <v>СРЕДНЕРОГАТС (ОКТ)</v>
          </cell>
          <cell r="D1059">
            <v>29676</v>
          </cell>
          <cell r="F1059">
            <v>0</v>
          </cell>
          <cell r="G1059">
            <v>37974</v>
          </cell>
          <cell r="H1059">
            <v>527</v>
          </cell>
          <cell r="I1059" t="str">
            <v>деп</v>
          </cell>
          <cell r="J1059">
            <v>38705</v>
          </cell>
        </row>
        <row r="1060">
          <cell r="A1060">
            <v>58002932</v>
          </cell>
          <cell r="B1060" t="str">
            <v>НЕВАРЕФТРАНС ТК</v>
          </cell>
          <cell r="C1060" t="str">
            <v>СРЕДНЕРОГАТС (ОКТ)</v>
          </cell>
          <cell r="D1060">
            <v>29676</v>
          </cell>
          <cell r="F1060">
            <v>0</v>
          </cell>
          <cell r="G1060">
            <v>37951</v>
          </cell>
          <cell r="H1060">
            <v>1097</v>
          </cell>
          <cell r="I1060" t="str">
            <v>деп</v>
          </cell>
          <cell r="J1060">
            <v>38682</v>
          </cell>
        </row>
        <row r="1061">
          <cell r="A1061">
            <v>58002940</v>
          </cell>
          <cell r="B1061" t="str">
            <v>НЕВАРЕФТРАНС ТК</v>
          </cell>
          <cell r="C1061" t="str">
            <v>СРЕДНЕРОГАТС (ОКТ)</v>
          </cell>
          <cell r="D1061">
            <v>30064</v>
          </cell>
          <cell r="F1061">
            <v>0</v>
          </cell>
          <cell r="G1061">
            <v>37953</v>
          </cell>
          <cell r="H1061">
            <v>1097</v>
          </cell>
          <cell r="I1061" t="str">
            <v>деп</v>
          </cell>
          <cell r="J1061">
            <v>38684</v>
          </cell>
        </row>
        <row r="1062">
          <cell r="A1062">
            <v>58002957</v>
          </cell>
          <cell r="B1062" t="str">
            <v>НЕВАРЕФТРАНС ТК</v>
          </cell>
          <cell r="C1062" t="str">
            <v>СРЕДНЕРОГАТС (ОКТ)</v>
          </cell>
          <cell r="D1062">
            <v>30070</v>
          </cell>
          <cell r="F1062">
            <v>0</v>
          </cell>
          <cell r="G1062">
            <v>37946</v>
          </cell>
          <cell r="H1062">
            <v>1097</v>
          </cell>
          <cell r="I1062" t="str">
            <v>деп</v>
          </cell>
          <cell r="J1062">
            <v>38677</v>
          </cell>
        </row>
        <row r="1063">
          <cell r="A1063">
            <v>58002965</v>
          </cell>
          <cell r="B1063" t="str">
            <v>НЕВАРЕФТРАНС ТК</v>
          </cell>
          <cell r="C1063" t="str">
            <v>СРЕДНЕРОГАТС (ОКТ)</v>
          </cell>
          <cell r="D1063">
            <v>29419</v>
          </cell>
          <cell r="E1063">
            <v>34998</v>
          </cell>
          <cell r="F1063">
            <v>1097</v>
          </cell>
          <cell r="G1063">
            <v>37999</v>
          </cell>
          <cell r="H1063">
            <v>527</v>
          </cell>
          <cell r="I1063" t="str">
            <v>деп</v>
          </cell>
          <cell r="J1063">
            <v>38730</v>
          </cell>
        </row>
        <row r="1064">
          <cell r="A1064">
            <v>58002973</v>
          </cell>
          <cell r="B1064" t="str">
            <v>НЕВАРЕФТРАНС ТК</v>
          </cell>
          <cell r="C1064" t="str">
            <v>СРЕДНЕРОГАТС (ОКТ)</v>
          </cell>
          <cell r="D1064">
            <v>29447</v>
          </cell>
          <cell r="E1064">
            <v>35703</v>
          </cell>
          <cell r="F1064">
            <v>1097</v>
          </cell>
          <cell r="G1064">
            <v>37255</v>
          </cell>
          <cell r="H1064">
            <v>527</v>
          </cell>
          <cell r="I1064" t="str">
            <v>деп</v>
          </cell>
          <cell r="J1064">
            <v>38716</v>
          </cell>
        </row>
        <row r="1065">
          <cell r="A1065">
            <v>58002981</v>
          </cell>
          <cell r="B1065" t="str">
            <v>НЕВАРЕФТРАНС ТК</v>
          </cell>
          <cell r="C1065" t="str">
            <v>СРЕДНЕРОГАТС (ОКТ)</v>
          </cell>
          <cell r="D1065">
            <v>29459</v>
          </cell>
          <cell r="E1065">
            <v>35031</v>
          </cell>
          <cell r="F1065">
            <v>1097</v>
          </cell>
          <cell r="G1065">
            <v>37985</v>
          </cell>
          <cell r="H1065">
            <v>527</v>
          </cell>
          <cell r="I1065" t="str">
            <v>деп</v>
          </cell>
          <cell r="J1065">
            <v>38716</v>
          </cell>
        </row>
        <row r="1066">
          <cell r="A1066">
            <v>58003005</v>
          </cell>
          <cell r="B1066" t="str">
            <v>НЕВАРЕФТРАНС ТК</v>
          </cell>
          <cell r="C1066" t="str">
            <v>СРЕДНЕРОГАТС (ОКТ)</v>
          </cell>
          <cell r="D1066">
            <v>29488</v>
          </cell>
          <cell r="E1066">
            <v>35727</v>
          </cell>
          <cell r="F1066">
            <v>1097</v>
          </cell>
          <cell r="G1066">
            <v>37985</v>
          </cell>
          <cell r="H1066">
            <v>527</v>
          </cell>
          <cell r="I1066" t="str">
            <v>деп</v>
          </cell>
          <cell r="J1066">
            <v>38716</v>
          </cell>
        </row>
        <row r="1067">
          <cell r="A1067">
            <v>58003013</v>
          </cell>
          <cell r="B1067" t="str">
            <v>НЕВАРЕФТРАНС ТК</v>
          </cell>
          <cell r="C1067" t="str">
            <v>СРЕДНЕРОГАТС (ОКТ)</v>
          </cell>
          <cell r="D1067">
            <v>29543</v>
          </cell>
          <cell r="E1067">
            <v>35685</v>
          </cell>
          <cell r="F1067">
            <v>1097</v>
          </cell>
          <cell r="G1067">
            <v>37985</v>
          </cell>
          <cell r="H1067">
            <v>527</v>
          </cell>
          <cell r="I1067" t="str">
            <v>деп</v>
          </cell>
          <cell r="J1067">
            <v>38716</v>
          </cell>
        </row>
        <row r="1068">
          <cell r="A1068">
            <v>58003021</v>
          </cell>
          <cell r="B1068" t="str">
            <v>НЕВАРЕФТРАНС ТК</v>
          </cell>
          <cell r="C1068" t="str">
            <v>СРЕДНЕРОГАТС (ОКТ)</v>
          </cell>
          <cell r="D1068">
            <v>29558</v>
          </cell>
          <cell r="E1068">
            <v>35720</v>
          </cell>
          <cell r="F1068">
            <v>1097</v>
          </cell>
          <cell r="G1068">
            <v>37999</v>
          </cell>
          <cell r="H1068">
            <v>527</v>
          </cell>
          <cell r="I1068" t="str">
            <v>деп</v>
          </cell>
          <cell r="J1068">
            <v>38730</v>
          </cell>
        </row>
        <row r="1069">
          <cell r="A1069">
            <v>58003039</v>
          </cell>
          <cell r="B1069" t="str">
            <v>НЕВАРЕФТРАНС ТК</v>
          </cell>
          <cell r="C1069" t="str">
            <v>СРЕДНЕРОГАТС (ОКТ)</v>
          </cell>
          <cell r="D1069">
            <v>29662</v>
          </cell>
          <cell r="E1069">
            <v>34667</v>
          </cell>
          <cell r="F1069">
            <v>1097</v>
          </cell>
          <cell r="G1069">
            <v>37985</v>
          </cell>
          <cell r="H1069">
            <v>527</v>
          </cell>
          <cell r="I1069" t="str">
            <v>деп</v>
          </cell>
          <cell r="J1069">
            <v>38716</v>
          </cell>
        </row>
        <row r="1070">
          <cell r="B1070" t="str">
            <v>НЕВАРЕФТРАНС ТК Количество</v>
          </cell>
          <cell r="D1070">
            <v>27</v>
          </cell>
        </row>
        <row r="1071">
          <cell r="A1071">
            <v>53701660</v>
          </cell>
          <cell r="B1071" t="str">
            <v>НИЖНЕВАРТОВСКАЯ ГРЭС</v>
          </cell>
          <cell r="C1071" t="str">
            <v>НИЖНЕВАРТ. 1 (СВР)</v>
          </cell>
          <cell r="D1071">
            <v>33491</v>
          </cell>
          <cell r="E1071">
            <v>37036</v>
          </cell>
          <cell r="F1071">
            <v>819</v>
          </cell>
          <cell r="I1071" t="str">
            <v>деп</v>
          </cell>
          <cell r="J1071">
            <v>38132</v>
          </cell>
        </row>
        <row r="1072">
          <cell r="A1072">
            <v>58338666</v>
          </cell>
          <cell r="B1072" t="str">
            <v>НИЖНЕВАРТОВСКАЯ ГРЭС</v>
          </cell>
          <cell r="C1072" t="str">
            <v>НИЖНЕВАРТ. 1 (СВР)</v>
          </cell>
          <cell r="D1072">
            <v>33491</v>
          </cell>
          <cell r="E1072">
            <v>37800</v>
          </cell>
          <cell r="F1072">
            <v>163</v>
          </cell>
          <cell r="I1072" t="str">
            <v>деп</v>
          </cell>
          <cell r="J1072">
            <v>38531</v>
          </cell>
        </row>
        <row r="1073">
          <cell r="A1073">
            <v>58338674</v>
          </cell>
          <cell r="B1073" t="str">
            <v>НИЖНЕВАРТОВСКАЯ ГРЭС</v>
          </cell>
          <cell r="C1073" t="str">
            <v>НИЖНЕВАРТ. 1 (СВР)</v>
          </cell>
          <cell r="D1073">
            <v>33491</v>
          </cell>
          <cell r="E1073">
            <v>37802</v>
          </cell>
          <cell r="F1073">
            <v>163</v>
          </cell>
          <cell r="I1073" t="str">
            <v>деп</v>
          </cell>
          <cell r="J1073">
            <v>38533</v>
          </cell>
        </row>
        <row r="1074">
          <cell r="B1074" t="str">
            <v>НИЖНЕВАРТОВСКАЯ ГРЭС Количество</v>
          </cell>
          <cell r="D1074">
            <v>3</v>
          </cell>
        </row>
        <row r="1075">
          <cell r="A1075">
            <v>53701140</v>
          </cell>
          <cell r="B1075" t="str">
            <v>НОВОСИБИРСКРЕФСЕРВИС</v>
          </cell>
          <cell r="C1075" t="str">
            <v>КЛЕЩИХА      (ЗСБ)</v>
          </cell>
          <cell r="D1075">
            <v>33584</v>
          </cell>
          <cell r="E1075">
            <v>37789</v>
          </cell>
          <cell r="F1075">
            <v>819</v>
          </cell>
          <cell r="H1075">
            <v>0</v>
          </cell>
          <cell r="I1075" t="str">
            <v>деп</v>
          </cell>
          <cell r="J1075">
            <v>38338</v>
          </cell>
        </row>
        <row r="1076">
          <cell r="A1076">
            <v>53701645</v>
          </cell>
          <cell r="B1076" t="str">
            <v>НОВОСИБИРСКРЕФСЕРВИС</v>
          </cell>
          <cell r="C1076" t="str">
            <v>КЛЕЩИХА      (ЗСБ)</v>
          </cell>
          <cell r="D1076">
            <v>33239</v>
          </cell>
          <cell r="E1076">
            <v>37869</v>
          </cell>
          <cell r="F1076">
            <v>163</v>
          </cell>
          <cell r="G1076">
            <v>37298</v>
          </cell>
          <cell r="H1076">
            <v>594</v>
          </cell>
          <cell r="I1076" t="str">
            <v>деп</v>
          </cell>
          <cell r="J1076">
            <v>38416</v>
          </cell>
        </row>
        <row r="1077">
          <cell r="A1077">
            <v>53702387</v>
          </cell>
          <cell r="B1077" t="str">
            <v>НОВОСИБИРСКРЕФСЕРВИС</v>
          </cell>
          <cell r="C1077" t="str">
            <v>КЛЕЩИХА      (ЗСБ)</v>
          </cell>
          <cell r="D1077">
            <v>33604</v>
          </cell>
          <cell r="E1077">
            <v>37964</v>
          </cell>
          <cell r="F1077">
            <v>819</v>
          </cell>
          <cell r="H1077">
            <v>0</v>
          </cell>
          <cell r="I1077" t="str">
            <v>деп</v>
          </cell>
          <cell r="J1077">
            <v>38512</v>
          </cell>
        </row>
        <row r="1078">
          <cell r="A1078">
            <v>58338765</v>
          </cell>
          <cell r="B1078" t="str">
            <v>НОВОСИБИРСКРЕФСЕРВИС</v>
          </cell>
          <cell r="C1078" t="str">
            <v>КЛЕЩИХА      (ЗСБ)</v>
          </cell>
          <cell r="D1078">
            <v>33239</v>
          </cell>
          <cell r="E1078">
            <v>37869</v>
          </cell>
          <cell r="F1078">
            <v>163</v>
          </cell>
          <cell r="G1078">
            <v>37298</v>
          </cell>
          <cell r="H1078">
            <v>594</v>
          </cell>
          <cell r="I1078" t="str">
            <v>деп</v>
          </cell>
          <cell r="J1078">
            <v>38416</v>
          </cell>
        </row>
        <row r="1079">
          <cell r="A1079">
            <v>58338773</v>
          </cell>
          <cell r="B1079" t="str">
            <v>НОВОСИБИРСКРЕФСЕРВИС</v>
          </cell>
          <cell r="C1079" t="str">
            <v>КЛЕЩИХА      (ЗСБ)</v>
          </cell>
          <cell r="D1079">
            <v>33239</v>
          </cell>
          <cell r="E1079">
            <v>37869</v>
          </cell>
          <cell r="F1079">
            <v>163</v>
          </cell>
          <cell r="G1079">
            <v>37298</v>
          </cell>
          <cell r="H1079">
            <v>594</v>
          </cell>
          <cell r="I1079" t="str">
            <v>деп</v>
          </cell>
          <cell r="J1079">
            <v>38416</v>
          </cell>
        </row>
        <row r="1080">
          <cell r="A1080">
            <v>58338781</v>
          </cell>
          <cell r="B1080" t="str">
            <v>НОВОСИБИРСКРЕФСЕРВИС</v>
          </cell>
          <cell r="C1080" t="str">
            <v>КЛЕЩИХА      (ЗСБ)</v>
          </cell>
          <cell r="D1080">
            <v>33239</v>
          </cell>
          <cell r="E1080">
            <v>37869</v>
          </cell>
          <cell r="F1080">
            <v>163</v>
          </cell>
          <cell r="G1080">
            <v>37298</v>
          </cell>
          <cell r="H1080">
            <v>594</v>
          </cell>
          <cell r="I1080" t="str">
            <v>деп</v>
          </cell>
          <cell r="J1080">
            <v>38416</v>
          </cell>
        </row>
        <row r="1081">
          <cell r="A1081">
            <v>58338807</v>
          </cell>
          <cell r="B1081" t="str">
            <v>НОВОСИБИРСКРЕФСЕРВИС</v>
          </cell>
          <cell r="C1081" t="str">
            <v>КЛЕЩИХА      (ЗСБ)</v>
          </cell>
          <cell r="D1081">
            <v>33239</v>
          </cell>
          <cell r="E1081">
            <v>37869</v>
          </cell>
          <cell r="F1081">
            <v>163</v>
          </cell>
          <cell r="G1081">
            <v>37298</v>
          </cell>
          <cell r="H1081">
            <v>594</v>
          </cell>
          <cell r="I1081" t="str">
            <v>деп</v>
          </cell>
          <cell r="J1081">
            <v>38416</v>
          </cell>
        </row>
        <row r="1082">
          <cell r="A1082">
            <v>58740960</v>
          </cell>
          <cell r="B1082" t="str">
            <v>НОВОСИБИРСКРЕФСЕРВИС</v>
          </cell>
          <cell r="C1082" t="str">
            <v>КЛЕЩИХА      (ЗСБ)</v>
          </cell>
          <cell r="D1082">
            <v>33584</v>
          </cell>
          <cell r="E1082">
            <v>37789</v>
          </cell>
          <cell r="F1082">
            <v>819</v>
          </cell>
          <cell r="H1082">
            <v>0</v>
          </cell>
          <cell r="I1082" t="str">
            <v>деп</v>
          </cell>
          <cell r="J1082">
            <v>38338</v>
          </cell>
        </row>
        <row r="1083">
          <cell r="A1083">
            <v>58740978</v>
          </cell>
          <cell r="B1083" t="str">
            <v>НОВОСИБИРСКРЕФСЕРВИС</v>
          </cell>
          <cell r="C1083" t="str">
            <v>КЛЕЩИХА      (ЗСБ)</v>
          </cell>
          <cell r="D1083">
            <v>33584</v>
          </cell>
          <cell r="E1083">
            <v>37789</v>
          </cell>
          <cell r="F1083">
            <v>819</v>
          </cell>
          <cell r="H1083">
            <v>0</v>
          </cell>
          <cell r="I1083" t="str">
            <v>деп</v>
          </cell>
          <cell r="J1083">
            <v>38338</v>
          </cell>
        </row>
        <row r="1084">
          <cell r="A1084">
            <v>58740986</v>
          </cell>
          <cell r="B1084" t="str">
            <v>НОВОСИБИРСКРЕФСЕРВИС</v>
          </cell>
          <cell r="C1084" t="str">
            <v>КЛЕЩИХА      (ЗСБ)</v>
          </cell>
          <cell r="D1084">
            <v>33584</v>
          </cell>
          <cell r="E1084">
            <v>37789</v>
          </cell>
          <cell r="F1084">
            <v>819</v>
          </cell>
          <cell r="H1084">
            <v>0</v>
          </cell>
          <cell r="I1084" t="str">
            <v>деп</v>
          </cell>
          <cell r="J1084">
            <v>38338</v>
          </cell>
        </row>
        <row r="1085">
          <cell r="A1085">
            <v>58741000</v>
          </cell>
          <cell r="B1085" t="str">
            <v>НОВОСИБИРСКРЕФСЕРВИС</v>
          </cell>
          <cell r="C1085" t="str">
            <v>КЛЕЩИХА      (ЗСБ)</v>
          </cell>
          <cell r="D1085">
            <v>33584</v>
          </cell>
          <cell r="E1085">
            <v>37789</v>
          </cell>
          <cell r="F1085">
            <v>819</v>
          </cell>
          <cell r="H1085">
            <v>0</v>
          </cell>
          <cell r="I1085" t="str">
            <v>деп</v>
          </cell>
          <cell r="J1085">
            <v>38338</v>
          </cell>
        </row>
        <row r="1086">
          <cell r="A1086">
            <v>58742321</v>
          </cell>
          <cell r="B1086" t="str">
            <v>НОВОСИБИРСКРЕФСЕРВИС</v>
          </cell>
          <cell r="C1086" t="str">
            <v>КЛЕЩИХА      (ЗСБ)</v>
          </cell>
          <cell r="D1086">
            <v>33406</v>
          </cell>
          <cell r="E1086">
            <v>37964</v>
          </cell>
          <cell r="F1086">
            <v>819</v>
          </cell>
          <cell r="H1086">
            <v>0</v>
          </cell>
          <cell r="I1086" t="str">
            <v>деп</v>
          </cell>
          <cell r="J1086">
            <v>38512</v>
          </cell>
        </row>
        <row r="1087">
          <cell r="A1087">
            <v>58742339</v>
          </cell>
          <cell r="B1087" t="str">
            <v>НОВОСИБИРСКРЕФСЕРВИС</v>
          </cell>
          <cell r="C1087" t="str">
            <v>КЛЕЩИХА      (ЗСБ)</v>
          </cell>
          <cell r="D1087">
            <v>33409</v>
          </cell>
          <cell r="E1087">
            <v>37964</v>
          </cell>
          <cell r="F1087">
            <v>819</v>
          </cell>
          <cell r="H1087">
            <v>0</v>
          </cell>
          <cell r="I1087" t="str">
            <v>деп</v>
          </cell>
          <cell r="J1087">
            <v>38512</v>
          </cell>
        </row>
        <row r="1088">
          <cell r="A1088">
            <v>58742347</v>
          </cell>
          <cell r="B1088" t="str">
            <v>НОВОСИБИРСКРЕФСЕРВИС</v>
          </cell>
          <cell r="C1088" t="str">
            <v>КЛЕЩИХА      (ЗСБ)</v>
          </cell>
          <cell r="D1088">
            <v>33417</v>
          </cell>
          <cell r="E1088">
            <v>37964</v>
          </cell>
          <cell r="F1088">
            <v>819</v>
          </cell>
          <cell r="H1088">
            <v>0</v>
          </cell>
          <cell r="I1088" t="str">
            <v>деп</v>
          </cell>
          <cell r="J1088">
            <v>38512</v>
          </cell>
        </row>
        <row r="1089">
          <cell r="A1089">
            <v>58742354</v>
          </cell>
          <cell r="B1089" t="str">
            <v>НОВОСИБИРСКРЕФСЕРВИС</v>
          </cell>
          <cell r="C1089" t="str">
            <v>КЛЕЩИХА      (ЗСБ)</v>
          </cell>
          <cell r="D1089">
            <v>33419</v>
          </cell>
          <cell r="E1089">
            <v>37964</v>
          </cell>
          <cell r="F1089">
            <v>819</v>
          </cell>
          <cell r="H1089">
            <v>0</v>
          </cell>
          <cell r="I1089" t="str">
            <v>деп</v>
          </cell>
          <cell r="J1089">
            <v>38512</v>
          </cell>
        </row>
        <row r="1090">
          <cell r="B1090" t="str">
            <v>НОВОСИБИРСКРЕФСЕРВИС Количество</v>
          </cell>
          <cell r="D1090">
            <v>15</v>
          </cell>
        </row>
        <row r="1091">
          <cell r="A1091">
            <v>53706735</v>
          </cell>
          <cell r="B1091" t="str">
            <v>НОГИНСКОЕ ППЖТ</v>
          </cell>
          <cell r="C1091" t="str">
            <v>НОГИНСК      (МСK)</v>
          </cell>
          <cell r="D1091">
            <v>32507</v>
          </cell>
          <cell r="E1091">
            <v>34700</v>
          </cell>
          <cell r="F1091">
            <v>0</v>
          </cell>
          <cell r="G1091">
            <v>37873</v>
          </cell>
          <cell r="H1091">
            <v>332</v>
          </cell>
          <cell r="I1091" t="str">
            <v>деп</v>
          </cell>
          <cell r="J1091">
            <v>38420</v>
          </cell>
        </row>
        <row r="1092">
          <cell r="B1092" t="str">
            <v>НОГИНСКОЕ ППЖТ Количество</v>
          </cell>
          <cell r="D1092">
            <v>1</v>
          </cell>
        </row>
        <row r="1093">
          <cell r="A1093">
            <v>58330556</v>
          </cell>
          <cell r="B1093" t="str">
            <v>НОЯБРЬСКТОРГНЕФТЬ</v>
          </cell>
          <cell r="C1093" t="str">
            <v>НОЯБРЬСК 1   (СВР)</v>
          </cell>
          <cell r="D1093">
            <v>32509</v>
          </cell>
          <cell r="E1093">
            <v>37772</v>
          </cell>
          <cell r="F1093">
            <v>819</v>
          </cell>
          <cell r="G1093">
            <v>34849</v>
          </cell>
          <cell r="I1093" t="str">
            <v>деп</v>
          </cell>
          <cell r="J1093">
            <v>38503</v>
          </cell>
        </row>
        <row r="1094">
          <cell r="A1094">
            <v>58330564</v>
          </cell>
          <cell r="B1094" t="str">
            <v>НОЯБРЬСКТОРГНЕФТЬ</v>
          </cell>
          <cell r="C1094" t="str">
            <v>НОЯБРЬСК 1   (СВР)</v>
          </cell>
          <cell r="D1094">
            <v>30682</v>
          </cell>
          <cell r="E1094">
            <v>37772</v>
          </cell>
          <cell r="F1094">
            <v>819</v>
          </cell>
          <cell r="G1094">
            <v>34849</v>
          </cell>
          <cell r="I1094" t="str">
            <v>деп</v>
          </cell>
          <cell r="J1094">
            <v>38503</v>
          </cell>
        </row>
        <row r="1095">
          <cell r="A1095">
            <v>58330572</v>
          </cell>
          <cell r="B1095" t="str">
            <v>НОЯБРЬСКТОРГНЕФТЬ</v>
          </cell>
          <cell r="C1095" t="str">
            <v>НОЯБРЬСК 1   (СВР)</v>
          </cell>
          <cell r="D1095">
            <v>31048</v>
          </cell>
          <cell r="E1095">
            <v>37772</v>
          </cell>
          <cell r="F1095">
            <v>819</v>
          </cell>
          <cell r="G1095">
            <v>34849</v>
          </cell>
          <cell r="I1095" t="str">
            <v>деп</v>
          </cell>
          <cell r="J1095">
            <v>38503</v>
          </cell>
        </row>
        <row r="1096">
          <cell r="B1096" t="str">
            <v>НОЯБРЬСКТОРГНЕФТЬ Количество</v>
          </cell>
          <cell r="D1096">
            <v>3</v>
          </cell>
        </row>
        <row r="1097">
          <cell r="A1097">
            <v>53700357</v>
          </cell>
          <cell r="B1097" t="str">
            <v>ОКТЯБРЬ</v>
          </cell>
          <cell r="C1097" t="str">
            <v>КАМЕНСК-УРЛС (СВР)</v>
          </cell>
          <cell r="D1097">
            <v>33082</v>
          </cell>
          <cell r="E1097">
            <v>36970</v>
          </cell>
          <cell r="F1097">
            <v>819</v>
          </cell>
          <cell r="I1097" t="str">
            <v>кап</v>
          </cell>
          <cell r="J1097">
            <v>38066</v>
          </cell>
        </row>
        <row r="1098">
          <cell r="A1098">
            <v>53700365</v>
          </cell>
          <cell r="B1098" t="str">
            <v>ОКТЯБРЬ</v>
          </cell>
          <cell r="C1098" t="str">
            <v>КАМЕНСК-УРЛС (СВР)</v>
          </cell>
          <cell r="D1098">
            <v>33082</v>
          </cell>
          <cell r="E1098">
            <v>36970</v>
          </cell>
          <cell r="F1098">
            <v>819</v>
          </cell>
          <cell r="I1098" t="str">
            <v>кап</v>
          </cell>
          <cell r="J1098">
            <v>38066</v>
          </cell>
        </row>
        <row r="1099">
          <cell r="B1099" t="str">
            <v>ОКТЯБРЬ Количество</v>
          </cell>
          <cell r="D1099">
            <v>2</v>
          </cell>
        </row>
        <row r="1100">
          <cell r="A1100">
            <v>58726365</v>
          </cell>
          <cell r="B1100" t="str">
            <v>ОМСК.З-Д КОНСЕРВ.ПРОДУКЦИИ</v>
          </cell>
          <cell r="C1100" t="str">
            <v>ОМСК-ПАСС    (ЗСБ)</v>
          </cell>
          <cell r="D1100">
            <v>33526</v>
          </cell>
          <cell r="F1100">
            <v>0</v>
          </cell>
          <cell r="H1100">
            <v>0</v>
          </cell>
          <cell r="I1100" t="str">
            <v>деп</v>
          </cell>
          <cell r="J1100">
            <v>34622</v>
          </cell>
        </row>
        <row r="1101">
          <cell r="B1101" t="str">
            <v>ОМСК.З-Д КОНСЕРВ.ПРОДУКЦИИ Количество</v>
          </cell>
          <cell r="D1101">
            <v>1</v>
          </cell>
        </row>
        <row r="1102">
          <cell r="A1102">
            <v>53702361</v>
          </cell>
          <cell r="B1102" t="str">
            <v>ОМСКОЕ НПП ВНЕДРЕНИЕ</v>
          </cell>
          <cell r="C1102" t="str">
            <v>ОМСК-ПАСС    (ЗСБ)</v>
          </cell>
          <cell r="D1102">
            <v>33554</v>
          </cell>
          <cell r="E1102">
            <v>37613</v>
          </cell>
          <cell r="F1102">
            <v>609</v>
          </cell>
          <cell r="G1102">
            <v>35050</v>
          </cell>
          <cell r="I1102" t="str">
            <v>кап</v>
          </cell>
          <cell r="J1102">
            <v>38709</v>
          </cell>
        </row>
        <row r="1103">
          <cell r="A1103">
            <v>58720715</v>
          </cell>
          <cell r="B1103" t="str">
            <v>ОМСКОЕ НПП ВНЕДРЕНИЕ</v>
          </cell>
          <cell r="C1103" t="str">
            <v>ОМСК-ПАСС    (ЗСБ)</v>
          </cell>
          <cell r="D1103">
            <v>33522</v>
          </cell>
          <cell r="E1103">
            <v>37613</v>
          </cell>
          <cell r="F1103">
            <v>609</v>
          </cell>
          <cell r="G1103">
            <v>35050</v>
          </cell>
          <cell r="I1103" t="str">
            <v>деп</v>
          </cell>
          <cell r="J1103">
            <v>38344</v>
          </cell>
        </row>
        <row r="1104">
          <cell r="A1104">
            <v>58720723</v>
          </cell>
          <cell r="B1104" t="str">
            <v>ОМСКОЕ НПП ВНЕДРЕНИЕ</v>
          </cell>
          <cell r="C1104" t="str">
            <v>ОМСК-ПАСС    (ЗСБ)</v>
          </cell>
          <cell r="D1104">
            <v>33522</v>
          </cell>
          <cell r="E1104">
            <v>37613</v>
          </cell>
          <cell r="F1104">
            <v>609</v>
          </cell>
          <cell r="G1104">
            <v>35050</v>
          </cell>
          <cell r="I1104" t="str">
            <v>деп</v>
          </cell>
          <cell r="J1104">
            <v>38344</v>
          </cell>
        </row>
        <row r="1105">
          <cell r="A1105">
            <v>58720731</v>
          </cell>
          <cell r="B1105" t="str">
            <v>ОМСКОЕ НПП ВНЕДРЕНИЕ</v>
          </cell>
          <cell r="C1105" t="str">
            <v>ОМСК-ПАСС    (ЗСБ)</v>
          </cell>
          <cell r="D1105">
            <v>33553</v>
          </cell>
          <cell r="E1105">
            <v>37614</v>
          </cell>
          <cell r="F1105">
            <v>609</v>
          </cell>
          <cell r="G1105">
            <v>35050</v>
          </cell>
          <cell r="I1105" t="str">
            <v>деп</v>
          </cell>
          <cell r="J1105">
            <v>38345</v>
          </cell>
        </row>
        <row r="1106">
          <cell r="A1106">
            <v>58720749</v>
          </cell>
          <cell r="B1106" t="str">
            <v>ОМСКОЕ НПП ВНЕДРЕНИЕ</v>
          </cell>
          <cell r="C1106" t="str">
            <v>ОМСК-ПАСС    (ЗСБ)</v>
          </cell>
          <cell r="D1106">
            <v>33553</v>
          </cell>
          <cell r="E1106">
            <v>37614</v>
          </cell>
          <cell r="F1106">
            <v>609</v>
          </cell>
          <cell r="G1106">
            <v>35416</v>
          </cell>
          <cell r="I1106" t="str">
            <v>деп</v>
          </cell>
          <cell r="J1106">
            <v>38345</v>
          </cell>
        </row>
        <row r="1107">
          <cell r="B1107" t="str">
            <v>ОМСКОЕ НПП ВНЕДРЕНИЕ Количество</v>
          </cell>
          <cell r="D1107">
            <v>5</v>
          </cell>
        </row>
        <row r="1108">
          <cell r="A1108">
            <v>53702213</v>
          </cell>
          <cell r="B1108" t="str">
            <v>ОПЫТНЫЙ З-Д НИВА</v>
          </cell>
          <cell r="C1108" t="str">
            <v>ВОЛКОВСКАЯ   (ОКТ)</v>
          </cell>
          <cell r="D1108">
            <v>26665</v>
          </cell>
          <cell r="E1108">
            <v>34150</v>
          </cell>
          <cell r="F1108">
            <v>0</v>
          </cell>
          <cell r="G1108">
            <v>36640</v>
          </cell>
          <cell r="H1108">
            <v>0</v>
          </cell>
          <cell r="I1108" t="str">
            <v>деп</v>
          </cell>
          <cell r="J1108">
            <v>37735</v>
          </cell>
        </row>
        <row r="1109">
          <cell r="B1109" t="str">
            <v>ОПЫТНЫЙ З-Д НИВА Количество</v>
          </cell>
          <cell r="D1109">
            <v>1</v>
          </cell>
        </row>
        <row r="1110">
          <cell r="A1110">
            <v>58721879</v>
          </cell>
          <cell r="B1110" t="str">
            <v>ОРЛОВСКОЕ ГОРПО</v>
          </cell>
          <cell r="C1110" t="str">
            <v>САХАНСКАЯ    (МСK)</v>
          </cell>
          <cell r="D1110">
            <v>33557</v>
          </cell>
          <cell r="E1110">
            <v>37355</v>
          </cell>
          <cell r="F1110">
            <v>335</v>
          </cell>
        </row>
        <row r="1111">
          <cell r="A1111">
            <v>58724477</v>
          </cell>
          <cell r="B1111" t="str">
            <v>ОРЛОВСКОЕ ГОРПО</v>
          </cell>
          <cell r="C1111" t="str">
            <v>САХАНСКАЯ    (МСK)</v>
          </cell>
          <cell r="D1111">
            <v>32446</v>
          </cell>
          <cell r="E1111">
            <v>35409</v>
          </cell>
        </row>
        <row r="1112">
          <cell r="B1112" t="str">
            <v>ОРЛОВСКОЕ ГОРПО Количество</v>
          </cell>
          <cell r="D1112">
            <v>2</v>
          </cell>
        </row>
        <row r="1113">
          <cell r="A1113">
            <v>53702718</v>
          </cell>
          <cell r="B1113" t="str">
            <v>ОСКОЛЬСК.ЭЛЕКТРОМЕТКОМБ-Т</v>
          </cell>
          <cell r="C1113" t="str">
            <v>КОТЕЛ        (ЮВС)</v>
          </cell>
          <cell r="D1113">
            <v>33970</v>
          </cell>
          <cell r="E1113">
            <v>37594</v>
          </cell>
          <cell r="F1113">
            <v>492</v>
          </cell>
          <cell r="I1113" t="str">
            <v>деп</v>
          </cell>
          <cell r="J1113">
            <v>38690</v>
          </cell>
        </row>
        <row r="1114">
          <cell r="A1114">
            <v>53702726</v>
          </cell>
          <cell r="B1114" t="str">
            <v>ОСКОЛЬСК.ЭЛЕКТРОМЕТКОМБ-Т</v>
          </cell>
          <cell r="C1114" t="str">
            <v>КОТЕЛ        (ЮВС)</v>
          </cell>
          <cell r="D1114">
            <v>33970</v>
          </cell>
          <cell r="E1114">
            <v>37613</v>
          </cell>
          <cell r="F1114">
            <v>492</v>
          </cell>
          <cell r="I1114" t="str">
            <v>деп</v>
          </cell>
          <cell r="J1114">
            <v>38709</v>
          </cell>
        </row>
        <row r="1115">
          <cell r="A1115">
            <v>53702734</v>
          </cell>
          <cell r="B1115" t="str">
            <v>ОСКОЛЬСК.ЭЛЕКТРОМЕТКОМБ-Т</v>
          </cell>
          <cell r="C1115" t="str">
            <v>КОТЕЛ        (ЮВС)</v>
          </cell>
          <cell r="D1115">
            <v>33970</v>
          </cell>
          <cell r="E1115">
            <v>37616</v>
          </cell>
          <cell r="F1115">
            <v>492</v>
          </cell>
          <cell r="I1115" t="str">
            <v>деп</v>
          </cell>
          <cell r="J1115">
            <v>38712</v>
          </cell>
        </row>
        <row r="1116">
          <cell r="B1116" t="str">
            <v>ОСКОЛЬСК.ЭЛЕКТРОМЕТКОМБ-Т Количество</v>
          </cell>
          <cell r="D1116">
            <v>3</v>
          </cell>
        </row>
        <row r="1117">
          <cell r="A1117">
            <v>58000027</v>
          </cell>
          <cell r="B1117" t="str">
            <v>ПБОЮЛ ВЕТРОВ Е.И.</v>
          </cell>
          <cell r="C1117" t="str">
            <v>МОС-ТОВ-РЯЗ  (МСK)</v>
          </cell>
          <cell r="D1117">
            <v>32540</v>
          </cell>
          <cell r="E1117">
            <v>37525</v>
          </cell>
          <cell r="F1117">
            <v>634</v>
          </cell>
          <cell r="H1117">
            <v>0</v>
          </cell>
          <cell r="I1117" t="str">
            <v>кап</v>
          </cell>
          <cell r="J1117">
            <v>38256</v>
          </cell>
        </row>
        <row r="1118">
          <cell r="A1118">
            <v>58000035</v>
          </cell>
          <cell r="B1118" t="str">
            <v>ПБОЮЛ ВЕТРОВ Е.И.</v>
          </cell>
          <cell r="C1118" t="str">
            <v>МОС-ТОВ-РЯЗ  (МСK)</v>
          </cell>
          <cell r="D1118">
            <v>32540</v>
          </cell>
          <cell r="E1118">
            <v>37529</v>
          </cell>
          <cell r="F1118">
            <v>634</v>
          </cell>
          <cell r="H1118">
            <v>0</v>
          </cell>
          <cell r="I1118" t="str">
            <v>кап</v>
          </cell>
          <cell r="J1118">
            <v>38260</v>
          </cell>
        </row>
        <row r="1119">
          <cell r="A1119">
            <v>58000043</v>
          </cell>
          <cell r="B1119" t="str">
            <v>ПБОЮЛ ВЕТРОВ Е.И.</v>
          </cell>
          <cell r="C1119" t="str">
            <v>МОС-ТОВ-РЯЗ  (МСK)</v>
          </cell>
          <cell r="D1119">
            <v>32540</v>
          </cell>
          <cell r="E1119">
            <v>37517</v>
          </cell>
          <cell r="F1119">
            <v>634</v>
          </cell>
          <cell r="H1119">
            <v>0</v>
          </cell>
          <cell r="I1119" t="str">
            <v>кап</v>
          </cell>
          <cell r="J1119">
            <v>38248</v>
          </cell>
        </row>
        <row r="1120">
          <cell r="A1120">
            <v>58000050</v>
          </cell>
          <cell r="B1120" t="str">
            <v>ПБОЮЛ ВЕТРОВ Е.И.</v>
          </cell>
          <cell r="C1120" t="str">
            <v>МОС-ТОВ-РЯЗ  (МСK)</v>
          </cell>
          <cell r="D1120">
            <v>32540</v>
          </cell>
          <cell r="E1120">
            <v>37700</v>
          </cell>
          <cell r="F1120">
            <v>634</v>
          </cell>
          <cell r="H1120">
            <v>0</v>
          </cell>
          <cell r="I1120" t="str">
            <v>кап</v>
          </cell>
          <cell r="J1120">
            <v>38431</v>
          </cell>
        </row>
        <row r="1121">
          <cell r="A1121">
            <v>58000068</v>
          </cell>
          <cell r="B1121" t="str">
            <v>ПБОЮЛ ВЕТРОВ Е.И.</v>
          </cell>
          <cell r="C1121" t="str">
            <v>МОС-ТОВ-РЯЗ  (МСK)</v>
          </cell>
          <cell r="D1121">
            <v>32540</v>
          </cell>
          <cell r="E1121">
            <v>37543</v>
          </cell>
          <cell r="F1121">
            <v>634</v>
          </cell>
          <cell r="H1121">
            <v>0</v>
          </cell>
          <cell r="I1121" t="str">
            <v>кап</v>
          </cell>
          <cell r="J1121">
            <v>38274</v>
          </cell>
        </row>
        <row r="1122">
          <cell r="A1122">
            <v>58000076</v>
          </cell>
          <cell r="B1122" t="str">
            <v>ПБОЮЛ ВЕТРОВ Е.И.</v>
          </cell>
          <cell r="C1122" t="str">
            <v>МОС-ТОВ-РЯЗ  (МСK)</v>
          </cell>
          <cell r="D1122">
            <v>32540</v>
          </cell>
          <cell r="E1122">
            <v>37336</v>
          </cell>
          <cell r="F1122">
            <v>1065</v>
          </cell>
          <cell r="H1122">
            <v>0</v>
          </cell>
          <cell r="I1122" t="str">
            <v>кап</v>
          </cell>
          <cell r="J1122">
            <v>38067</v>
          </cell>
        </row>
        <row r="1123">
          <cell r="A1123">
            <v>58000084</v>
          </cell>
          <cell r="B1123" t="str">
            <v>ПБОЮЛ ВЕТРОВ Е.И.</v>
          </cell>
          <cell r="C1123" t="str">
            <v>МОС-ТОВ-РЯЗ  (МСK)</v>
          </cell>
          <cell r="D1123">
            <v>32540</v>
          </cell>
          <cell r="E1123">
            <v>37515</v>
          </cell>
          <cell r="F1123">
            <v>634</v>
          </cell>
          <cell r="H1123">
            <v>0</v>
          </cell>
          <cell r="I1123" t="str">
            <v>кап</v>
          </cell>
          <cell r="J1123">
            <v>38246</v>
          </cell>
        </row>
        <row r="1124">
          <cell r="A1124">
            <v>58000100</v>
          </cell>
          <cell r="B1124" t="str">
            <v>ПБОЮЛ ВЕТРОВ Е.И.</v>
          </cell>
          <cell r="C1124" t="str">
            <v>МОС-ТОВ-РЯЗ  (МСK)</v>
          </cell>
          <cell r="D1124">
            <v>32540</v>
          </cell>
          <cell r="E1124">
            <v>37536</v>
          </cell>
          <cell r="F1124">
            <v>634</v>
          </cell>
          <cell r="H1124">
            <v>0</v>
          </cell>
          <cell r="I1124" t="str">
            <v>кап</v>
          </cell>
          <cell r="J1124">
            <v>38267</v>
          </cell>
        </row>
        <row r="1125">
          <cell r="A1125">
            <v>58000118</v>
          </cell>
          <cell r="B1125" t="str">
            <v>ПБОЮЛ ВЕТРОВ Е.И.</v>
          </cell>
          <cell r="C1125" t="str">
            <v>МОС-ТОВ-РЯЗ  (МСK)</v>
          </cell>
          <cell r="D1125">
            <v>32540</v>
          </cell>
          <cell r="E1125">
            <v>37526</v>
          </cell>
          <cell r="F1125">
            <v>634</v>
          </cell>
          <cell r="H1125">
            <v>0</v>
          </cell>
          <cell r="I1125" t="str">
            <v>кап</v>
          </cell>
          <cell r="J1125">
            <v>38257</v>
          </cell>
        </row>
        <row r="1126">
          <cell r="A1126">
            <v>58000126</v>
          </cell>
          <cell r="B1126" t="str">
            <v>ПБОЮЛ ВЕТРОВ Е.И.</v>
          </cell>
          <cell r="C1126" t="str">
            <v>МОС-ТОВ-РЯЗ  (МСK)</v>
          </cell>
          <cell r="D1126">
            <v>32540</v>
          </cell>
          <cell r="E1126">
            <v>37523</v>
          </cell>
          <cell r="F1126">
            <v>634</v>
          </cell>
          <cell r="H1126">
            <v>0</v>
          </cell>
          <cell r="I1126" t="str">
            <v>кап</v>
          </cell>
          <cell r="J1126">
            <v>38254</v>
          </cell>
        </row>
        <row r="1127">
          <cell r="A1127">
            <v>58000134</v>
          </cell>
          <cell r="B1127" t="str">
            <v>ПБОЮЛ ВЕТРОВ Е.И.</v>
          </cell>
          <cell r="C1127" t="str">
            <v>МОС-ТОВ-РЯЗ  (МСK)</v>
          </cell>
          <cell r="D1127">
            <v>32540</v>
          </cell>
          <cell r="E1127">
            <v>37515</v>
          </cell>
          <cell r="F1127">
            <v>634</v>
          </cell>
          <cell r="H1127">
            <v>0</v>
          </cell>
          <cell r="I1127" t="str">
            <v>кап</v>
          </cell>
          <cell r="J1127">
            <v>38246</v>
          </cell>
        </row>
        <row r="1128">
          <cell r="A1128">
            <v>58000142</v>
          </cell>
          <cell r="B1128" t="str">
            <v>ПБОЮЛ ВЕТРОВ Е.И.</v>
          </cell>
          <cell r="C1128" t="str">
            <v>МОС-ТОВ-РЯЗ  (МСK)</v>
          </cell>
          <cell r="D1128">
            <v>32874</v>
          </cell>
          <cell r="E1128">
            <v>37524</v>
          </cell>
          <cell r="F1128">
            <v>634</v>
          </cell>
          <cell r="H1128">
            <v>0</v>
          </cell>
          <cell r="I1128" t="str">
            <v>деп</v>
          </cell>
          <cell r="J1128">
            <v>38255</v>
          </cell>
        </row>
        <row r="1129">
          <cell r="A1129">
            <v>58000159</v>
          </cell>
          <cell r="B1129" t="str">
            <v>ПБОЮЛ ВЕТРОВ Е.И.</v>
          </cell>
          <cell r="C1129" t="str">
            <v>МОС-ТОВ-РЯЗ  (МСK)</v>
          </cell>
          <cell r="D1129">
            <v>32874</v>
          </cell>
          <cell r="E1129">
            <v>37529</v>
          </cell>
          <cell r="F1129">
            <v>634</v>
          </cell>
          <cell r="H1129">
            <v>0</v>
          </cell>
          <cell r="I1129" t="str">
            <v>деп</v>
          </cell>
          <cell r="J1129">
            <v>38260</v>
          </cell>
        </row>
        <row r="1130">
          <cell r="A1130">
            <v>58000167</v>
          </cell>
          <cell r="B1130" t="str">
            <v>ПБОЮЛ ВЕТРОВ Е.И.</v>
          </cell>
          <cell r="C1130" t="str">
            <v>МОС-ТОВ-РЯЗ  (МСK)</v>
          </cell>
          <cell r="D1130">
            <v>32874</v>
          </cell>
          <cell r="E1130">
            <v>37529</v>
          </cell>
          <cell r="F1130">
            <v>634</v>
          </cell>
          <cell r="H1130">
            <v>0</v>
          </cell>
          <cell r="I1130" t="str">
            <v>деп</v>
          </cell>
          <cell r="J1130">
            <v>38260</v>
          </cell>
        </row>
        <row r="1131">
          <cell r="B1131" t="str">
            <v>ПБОЮЛ ВЕТРОВ Е.И. Количество</v>
          </cell>
          <cell r="D1131">
            <v>14</v>
          </cell>
        </row>
        <row r="1132">
          <cell r="A1132">
            <v>53701413</v>
          </cell>
          <cell r="B1132" t="str">
            <v>ПБОЮЛ ЛАБУНЦЕВ А.С.</v>
          </cell>
          <cell r="C1132" t="str">
            <v>КРАСНОЯРСК   (КРС)</v>
          </cell>
          <cell r="D1132">
            <v>33512</v>
          </cell>
          <cell r="E1132">
            <v>37650</v>
          </cell>
          <cell r="F1132">
            <v>819</v>
          </cell>
          <cell r="G1132">
            <v>35423</v>
          </cell>
          <cell r="H1132">
            <v>1108</v>
          </cell>
          <cell r="I1132" t="str">
            <v>деп</v>
          </cell>
          <cell r="J1132">
            <v>38197</v>
          </cell>
        </row>
        <row r="1133">
          <cell r="A1133">
            <v>58724782</v>
          </cell>
          <cell r="B1133" t="str">
            <v>ПБОЮЛ ЛАБУНЦЕВ А.С.</v>
          </cell>
          <cell r="C1133" t="str">
            <v>КРАСНОЯРСК   (КРС)</v>
          </cell>
          <cell r="D1133">
            <v>33512</v>
          </cell>
          <cell r="E1133">
            <v>37650</v>
          </cell>
          <cell r="F1133">
            <v>819</v>
          </cell>
          <cell r="G1133">
            <v>35423</v>
          </cell>
          <cell r="H1133">
            <v>0</v>
          </cell>
          <cell r="I1133" t="str">
            <v>деп</v>
          </cell>
          <cell r="J1133">
            <v>38197</v>
          </cell>
        </row>
        <row r="1134">
          <cell r="A1134">
            <v>58724808</v>
          </cell>
          <cell r="B1134" t="str">
            <v>ПБОЮЛ ЛАБУНЦЕВ А.С.</v>
          </cell>
          <cell r="C1134" t="str">
            <v>КРАСНОЯРСК   (КРС)</v>
          </cell>
          <cell r="D1134">
            <v>33512</v>
          </cell>
          <cell r="E1134">
            <v>37650</v>
          </cell>
          <cell r="F1134">
            <v>819</v>
          </cell>
          <cell r="G1134">
            <v>35423</v>
          </cell>
          <cell r="H1134">
            <v>0</v>
          </cell>
          <cell r="I1134" t="str">
            <v>деп</v>
          </cell>
          <cell r="J1134">
            <v>38197</v>
          </cell>
        </row>
        <row r="1135">
          <cell r="B1135" t="str">
            <v>ПБОЮЛ ЛАБУНЦЕВ А.С. Количество</v>
          </cell>
          <cell r="D1135">
            <v>3</v>
          </cell>
        </row>
        <row r="1136">
          <cell r="A1136">
            <v>58726894</v>
          </cell>
          <cell r="B1136" t="str">
            <v>ПБОЮЛ НИТЧЕНКО А.Ю.</v>
          </cell>
          <cell r="C1136" t="str">
            <v>УССУРИЙСК    (ДВС)</v>
          </cell>
          <cell r="D1136">
            <v>33326</v>
          </cell>
          <cell r="E1136">
            <v>38008</v>
          </cell>
          <cell r="F1136">
            <v>163</v>
          </cell>
          <cell r="H1136">
            <v>0</v>
          </cell>
          <cell r="I1136" t="str">
            <v>деп</v>
          </cell>
          <cell r="J1136">
            <v>38555</v>
          </cell>
        </row>
        <row r="1137">
          <cell r="A1137">
            <v>58727694</v>
          </cell>
          <cell r="B1137" t="str">
            <v>ПБОЮЛ НИТЧЕНКО А.Ю.</v>
          </cell>
          <cell r="C1137" t="str">
            <v>УССУРИЙСК    (ДВС)</v>
          </cell>
          <cell r="D1137">
            <v>33390</v>
          </cell>
          <cell r="E1137">
            <v>37526</v>
          </cell>
          <cell r="F1137">
            <v>163</v>
          </cell>
          <cell r="H1137">
            <v>0</v>
          </cell>
          <cell r="I1137" t="str">
            <v>деп</v>
          </cell>
          <cell r="J1137">
            <v>38073</v>
          </cell>
        </row>
        <row r="1138">
          <cell r="B1138" t="str">
            <v>ПБОЮЛ НИТЧЕНКО А.Ю. Количество</v>
          </cell>
          <cell r="D1138">
            <v>2</v>
          </cell>
        </row>
        <row r="1139">
          <cell r="A1139">
            <v>53706305</v>
          </cell>
          <cell r="B1139" t="str">
            <v>ПБОЮЛ РООТ Ю.Б.</v>
          </cell>
          <cell r="C1139" t="str">
            <v>ПОДСИНИЙ     (КРС)</v>
          </cell>
          <cell r="D1139">
            <v>33482</v>
          </cell>
          <cell r="E1139">
            <v>37805</v>
          </cell>
          <cell r="F1139">
            <v>634</v>
          </cell>
          <cell r="H1139">
            <v>0</v>
          </cell>
          <cell r="I1139" t="str">
            <v>деп</v>
          </cell>
          <cell r="J1139">
            <v>38355</v>
          </cell>
        </row>
        <row r="1140">
          <cell r="A1140">
            <v>53706560</v>
          </cell>
          <cell r="B1140" t="str">
            <v>ПБОЮЛ РООТ Ю.Б.</v>
          </cell>
          <cell r="C1140" t="str">
            <v>ПОДСИНИЙ     (КРС)</v>
          </cell>
          <cell r="D1140">
            <v>33848</v>
          </cell>
          <cell r="E1140">
            <v>37917</v>
          </cell>
          <cell r="F1140">
            <v>819</v>
          </cell>
          <cell r="H1140">
            <v>0</v>
          </cell>
          <cell r="I1140" t="str">
            <v>деп</v>
          </cell>
          <cell r="J1140">
            <v>38465</v>
          </cell>
        </row>
        <row r="1141">
          <cell r="A1141">
            <v>53706578</v>
          </cell>
          <cell r="B1141" t="str">
            <v>ПБОЮЛ РООТ Ю.Б.</v>
          </cell>
          <cell r="C1141" t="str">
            <v>ПОДСИНИЙ     (КРС)</v>
          </cell>
          <cell r="D1141">
            <v>33848</v>
          </cell>
          <cell r="E1141">
            <v>37953</v>
          </cell>
          <cell r="F1141">
            <v>819</v>
          </cell>
          <cell r="H1141">
            <v>0</v>
          </cell>
          <cell r="I1141" t="str">
            <v>деп</v>
          </cell>
          <cell r="J1141">
            <v>38500</v>
          </cell>
        </row>
        <row r="1142">
          <cell r="A1142">
            <v>58342445</v>
          </cell>
          <cell r="B1142" t="str">
            <v>ПБОЮЛ РООТ Ю.Б.</v>
          </cell>
          <cell r="C1142" t="str">
            <v>МИНУСИНСК    (КРС)</v>
          </cell>
          <cell r="D1142">
            <v>31813</v>
          </cell>
          <cell r="E1142">
            <v>37792</v>
          </cell>
          <cell r="F1142">
            <v>634</v>
          </cell>
          <cell r="G1142">
            <v>37984</v>
          </cell>
          <cell r="H1142">
            <v>819</v>
          </cell>
          <cell r="I1142" t="str">
            <v>деп</v>
          </cell>
          <cell r="J1142">
            <v>38715</v>
          </cell>
        </row>
        <row r="1143">
          <cell r="A1143">
            <v>58728395</v>
          </cell>
          <cell r="B1143" t="str">
            <v>ПБОЮЛ РООТ Ю.Б.</v>
          </cell>
          <cell r="C1143" t="str">
            <v>МИНУСИНСК    (КРС)</v>
          </cell>
          <cell r="D1143">
            <v>33482</v>
          </cell>
          <cell r="E1143">
            <v>37843</v>
          </cell>
          <cell r="F1143">
            <v>634</v>
          </cell>
          <cell r="H1143">
            <v>0</v>
          </cell>
          <cell r="I1143" t="str">
            <v>деп</v>
          </cell>
          <cell r="J1143">
            <v>38393</v>
          </cell>
        </row>
        <row r="1144">
          <cell r="A1144">
            <v>58728494</v>
          </cell>
          <cell r="B1144" t="str">
            <v>ПБОЮЛ РООТ Ю.Б.</v>
          </cell>
          <cell r="C1144" t="str">
            <v>МИНУСИНСК    (КРС)</v>
          </cell>
          <cell r="D1144">
            <v>33842</v>
          </cell>
          <cell r="E1144">
            <v>37844</v>
          </cell>
          <cell r="F1144">
            <v>634</v>
          </cell>
          <cell r="H1144">
            <v>0</v>
          </cell>
          <cell r="I1144" t="str">
            <v>деп</v>
          </cell>
          <cell r="J1144">
            <v>38394</v>
          </cell>
        </row>
        <row r="1145">
          <cell r="A1145">
            <v>58728593</v>
          </cell>
          <cell r="B1145" t="str">
            <v>ПБОЮЛ РООТ Ю.Б.</v>
          </cell>
          <cell r="C1145" t="str">
            <v>МИНУСИНСК    (КРС)</v>
          </cell>
          <cell r="D1145">
            <v>33482</v>
          </cell>
          <cell r="E1145">
            <v>37843</v>
          </cell>
          <cell r="F1145">
            <v>634</v>
          </cell>
          <cell r="H1145">
            <v>0</v>
          </cell>
          <cell r="I1145" t="str">
            <v>деп</v>
          </cell>
          <cell r="J1145">
            <v>38393</v>
          </cell>
        </row>
        <row r="1146">
          <cell r="A1146">
            <v>58728692</v>
          </cell>
          <cell r="B1146" t="str">
            <v>ПБОЮЛ РООТ Ю.Б.</v>
          </cell>
          <cell r="C1146" t="str">
            <v>МИНУСИНСК    (КРС)</v>
          </cell>
          <cell r="D1146">
            <v>33482</v>
          </cell>
          <cell r="E1146">
            <v>37812</v>
          </cell>
          <cell r="F1146">
            <v>634</v>
          </cell>
          <cell r="H1146">
            <v>0</v>
          </cell>
          <cell r="I1146" t="str">
            <v>деп</v>
          </cell>
          <cell r="J1146">
            <v>38362</v>
          </cell>
        </row>
        <row r="1147">
          <cell r="A1147">
            <v>58740481</v>
          </cell>
          <cell r="B1147" t="str">
            <v>ПБОЮЛ РООТ Ю.Б.</v>
          </cell>
          <cell r="C1147" t="str">
            <v>ПОДСИНИЙ     (КРС)</v>
          </cell>
          <cell r="D1147">
            <v>33763</v>
          </cell>
          <cell r="E1147">
            <v>37693</v>
          </cell>
          <cell r="F1147">
            <v>634</v>
          </cell>
          <cell r="H1147">
            <v>0</v>
          </cell>
          <cell r="I1147" t="str">
            <v>деп</v>
          </cell>
          <cell r="J1147">
            <v>38243</v>
          </cell>
        </row>
        <row r="1148">
          <cell r="A1148">
            <v>58740507</v>
          </cell>
          <cell r="B1148" t="str">
            <v>ПБОЮЛ РООТ Ю.Б.</v>
          </cell>
          <cell r="C1148" t="str">
            <v>ПОДСИНИЙ     (КРС)</v>
          </cell>
          <cell r="D1148">
            <v>33694</v>
          </cell>
          <cell r="E1148">
            <v>37709</v>
          </cell>
          <cell r="F1148">
            <v>634</v>
          </cell>
          <cell r="H1148">
            <v>0</v>
          </cell>
          <cell r="I1148" t="str">
            <v>деп</v>
          </cell>
          <cell r="J1148">
            <v>38259</v>
          </cell>
        </row>
        <row r="1149">
          <cell r="A1149">
            <v>58740515</v>
          </cell>
          <cell r="B1149" t="str">
            <v>ПБОЮЛ РООТ Ю.Б.</v>
          </cell>
          <cell r="C1149" t="str">
            <v>ПОДСИНИЙ     (КРС)</v>
          </cell>
          <cell r="D1149">
            <v>32959</v>
          </cell>
          <cell r="E1149">
            <v>37694</v>
          </cell>
          <cell r="F1149">
            <v>634</v>
          </cell>
          <cell r="H1149">
            <v>0</v>
          </cell>
          <cell r="I1149" t="str">
            <v>деп</v>
          </cell>
          <cell r="J1149">
            <v>38244</v>
          </cell>
        </row>
        <row r="1150">
          <cell r="A1150">
            <v>58740523</v>
          </cell>
          <cell r="B1150" t="str">
            <v>ПБОЮЛ РООТ Ю.Б.</v>
          </cell>
          <cell r="C1150" t="str">
            <v>ПОДСИНИЙ     (КРС)</v>
          </cell>
          <cell r="D1150">
            <v>33760</v>
          </cell>
          <cell r="E1150">
            <v>37717</v>
          </cell>
          <cell r="F1150">
            <v>634</v>
          </cell>
          <cell r="H1150">
            <v>0</v>
          </cell>
          <cell r="I1150" t="str">
            <v>деп</v>
          </cell>
          <cell r="J1150">
            <v>38266</v>
          </cell>
        </row>
        <row r="1151">
          <cell r="A1151">
            <v>58740531</v>
          </cell>
          <cell r="B1151" t="str">
            <v>ПБОЮЛ РООТ Ю.Б.</v>
          </cell>
          <cell r="C1151" t="str">
            <v>ПОДСИНИЙ     (КРС)</v>
          </cell>
          <cell r="D1151">
            <v>33722</v>
          </cell>
          <cell r="E1151">
            <v>37699</v>
          </cell>
          <cell r="F1151">
            <v>634</v>
          </cell>
          <cell r="H1151">
            <v>0</v>
          </cell>
          <cell r="I1151" t="str">
            <v>деп</v>
          </cell>
          <cell r="J1151">
            <v>38249</v>
          </cell>
        </row>
        <row r="1152">
          <cell r="A1152">
            <v>58740713</v>
          </cell>
          <cell r="B1152" t="str">
            <v>ПБОЮЛ РООТ Ю.Б.</v>
          </cell>
          <cell r="C1152" t="str">
            <v>ПОДСИНИЙ     (КРС)</v>
          </cell>
          <cell r="D1152">
            <v>33239</v>
          </cell>
          <cell r="E1152">
            <v>37953</v>
          </cell>
          <cell r="F1152">
            <v>819</v>
          </cell>
          <cell r="H1152">
            <v>0</v>
          </cell>
          <cell r="I1152" t="str">
            <v>деп</v>
          </cell>
          <cell r="J1152">
            <v>38500</v>
          </cell>
        </row>
        <row r="1153">
          <cell r="A1153">
            <v>58740721</v>
          </cell>
          <cell r="B1153" t="str">
            <v>ПБОЮЛ РООТ Ю.Б.</v>
          </cell>
          <cell r="C1153" t="str">
            <v>ПОДСИНИЙ     (КРС)</v>
          </cell>
          <cell r="D1153">
            <v>33482</v>
          </cell>
          <cell r="E1153">
            <v>37953</v>
          </cell>
          <cell r="F1153">
            <v>819</v>
          </cell>
          <cell r="H1153">
            <v>0</v>
          </cell>
          <cell r="I1153" t="str">
            <v>деп</v>
          </cell>
          <cell r="J1153">
            <v>38500</v>
          </cell>
        </row>
        <row r="1154">
          <cell r="A1154">
            <v>58740739</v>
          </cell>
          <cell r="B1154" t="str">
            <v>ПБОЮЛ РООТ Ю.Б.</v>
          </cell>
          <cell r="C1154" t="str">
            <v>ПОДСИНИЙ     (КРС)</v>
          </cell>
          <cell r="D1154">
            <v>33482</v>
          </cell>
          <cell r="E1154">
            <v>37953</v>
          </cell>
          <cell r="F1154">
            <v>819</v>
          </cell>
          <cell r="H1154">
            <v>0</v>
          </cell>
          <cell r="I1154" t="str">
            <v>деп</v>
          </cell>
          <cell r="J1154">
            <v>38500</v>
          </cell>
        </row>
        <row r="1155">
          <cell r="A1155">
            <v>58740747</v>
          </cell>
          <cell r="B1155" t="str">
            <v>ПБОЮЛ РООТ Ю.Б.</v>
          </cell>
          <cell r="C1155" t="str">
            <v>ПОДСИНИЙ     (КРС)</v>
          </cell>
          <cell r="D1155">
            <v>33482</v>
          </cell>
          <cell r="E1155">
            <v>37953</v>
          </cell>
          <cell r="F1155">
            <v>819</v>
          </cell>
          <cell r="H1155">
            <v>0</v>
          </cell>
          <cell r="I1155" t="str">
            <v>деп</v>
          </cell>
          <cell r="J1155">
            <v>38500</v>
          </cell>
        </row>
        <row r="1156">
          <cell r="A1156">
            <v>58740754</v>
          </cell>
          <cell r="B1156" t="str">
            <v>ПБОЮЛ РООТ Ю.Б.</v>
          </cell>
          <cell r="C1156" t="str">
            <v>ПОДСИНИЙ     (КРС)</v>
          </cell>
          <cell r="D1156">
            <v>33482</v>
          </cell>
          <cell r="E1156">
            <v>37741</v>
          </cell>
          <cell r="F1156">
            <v>819</v>
          </cell>
          <cell r="H1156">
            <v>0</v>
          </cell>
          <cell r="I1156" t="str">
            <v>деп</v>
          </cell>
          <cell r="J1156">
            <v>38290</v>
          </cell>
        </row>
        <row r="1157">
          <cell r="A1157">
            <v>58740762</v>
          </cell>
          <cell r="B1157" t="str">
            <v>ПБОЮЛ РООТ Ю.Б.</v>
          </cell>
          <cell r="C1157" t="str">
            <v>ПОДСИНИЙ     (КРС)</v>
          </cell>
          <cell r="D1157">
            <v>33482</v>
          </cell>
          <cell r="E1157">
            <v>37741</v>
          </cell>
          <cell r="F1157">
            <v>819</v>
          </cell>
          <cell r="H1157">
            <v>0</v>
          </cell>
          <cell r="I1157" t="str">
            <v>деп</v>
          </cell>
          <cell r="J1157">
            <v>38290</v>
          </cell>
        </row>
        <row r="1158">
          <cell r="B1158" t="str">
            <v>ПБОЮЛ РООТ Ю.Б. Количество</v>
          </cell>
          <cell r="D1158">
            <v>19</v>
          </cell>
        </row>
        <row r="1159">
          <cell r="A1159">
            <v>58727397</v>
          </cell>
          <cell r="B1159" t="str">
            <v>ПБОЮЛ САВОСТИНА В.Е.</v>
          </cell>
          <cell r="C1159" t="str">
            <v>ГАЙДАМАК     (ДВС)</v>
          </cell>
          <cell r="D1159">
            <v>33772</v>
          </cell>
          <cell r="E1159">
            <v>37482</v>
          </cell>
          <cell r="F1159">
            <v>669</v>
          </cell>
          <cell r="H1159">
            <v>0</v>
          </cell>
          <cell r="I1159" t="str">
            <v>деп</v>
          </cell>
          <cell r="J1159">
            <v>38031</v>
          </cell>
        </row>
        <row r="1160">
          <cell r="A1160">
            <v>58742545</v>
          </cell>
          <cell r="B1160" t="str">
            <v>ПБОЮЛ САВОСТИНА В.Е.</v>
          </cell>
          <cell r="C1160" t="str">
            <v>УССУРИЙСК    (ДВС)</v>
          </cell>
          <cell r="D1160">
            <v>33287</v>
          </cell>
          <cell r="E1160">
            <v>38012</v>
          </cell>
          <cell r="F1160">
            <v>163</v>
          </cell>
          <cell r="H1160">
            <v>0</v>
          </cell>
          <cell r="I1160" t="str">
            <v>деп</v>
          </cell>
          <cell r="J1160">
            <v>38559</v>
          </cell>
        </row>
        <row r="1161">
          <cell r="B1161" t="str">
            <v>ПБОЮЛ САВОСТИНА В.Е. Количество</v>
          </cell>
          <cell r="D1161">
            <v>2</v>
          </cell>
        </row>
        <row r="1162">
          <cell r="A1162">
            <v>58331174</v>
          </cell>
          <cell r="B1162" t="str">
            <v>ПБОЮЛ ЧУЕВ М.И.</v>
          </cell>
          <cell r="C1162" t="str">
            <v>ИРКУТСК-СОРТ (ВСБ)</v>
          </cell>
          <cell r="D1162">
            <v>31842</v>
          </cell>
          <cell r="E1162">
            <v>37999</v>
          </cell>
          <cell r="F1162">
            <v>647</v>
          </cell>
          <cell r="H1162">
            <v>0</v>
          </cell>
          <cell r="I1162" t="str">
            <v>кап</v>
          </cell>
          <cell r="J1162">
            <v>38546</v>
          </cell>
        </row>
        <row r="1163">
          <cell r="A1163">
            <v>58331208</v>
          </cell>
          <cell r="B1163" t="str">
            <v>ПБОЮЛ ЧУЕВ М.И.</v>
          </cell>
          <cell r="C1163" t="str">
            <v>ИРКУТСК-СОРТ (ВСБ)</v>
          </cell>
          <cell r="D1163">
            <v>31842</v>
          </cell>
          <cell r="E1163">
            <v>38011</v>
          </cell>
          <cell r="F1163">
            <v>647</v>
          </cell>
          <cell r="H1163">
            <v>0</v>
          </cell>
          <cell r="I1163" t="str">
            <v>кап</v>
          </cell>
          <cell r="J1163">
            <v>38558</v>
          </cell>
        </row>
        <row r="1164">
          <cell r="A1164">
            <v>58342676</v>
          </cell>
          <cell r="B1164" t="str">
            <v>ПБОЮЛ ЧУЕВ М.И.</v>
          </cell>
          <cell r="C1164" t="str">
            <v>ИРКУТСК-СОРТ (ВСБ)</v>
          </cell>
          <cell r="D1164">
            <v>30974</v>
          </cell>
          <cell r="F1164">
            <v>0</v>
          </cell>
          <cell r="H1164">
            <v>0</v>
          </cell>
          <cell r="I1164" t="str">
            <v>деп</v>
          </cell>
          <cell r="J1164">
            <v>31704</v>
          </cell>
        </row>
        <row r="1165">
          <cell r="A1165">
            <v>58342684</v>
          </cell>
          <cell r="B1165" t="str">
            <v>ПБОЮЛ ЧУЕВ М.И.</v>
          </cell>
          <cell r="C1165" t="str">
            <v>ИРКУТСК-СОРТ (ВСБ)</v>
          </cell>
          <cell r="D1165">
            <v>30974</v>
          </cell>
          <cell r="F1165">
            <v>0</v>
          </cell>
          <cell r="H1165">
            <v>0</v>
          </cell>
          <cell r="I1165" t="str">
            <v>деп</v>
          </cell>
          <cell r="J1165">
            <v>31704</v>
          </cell>
        </row>
        <row r="1166">
          <cell r="A1166">
            <v>58342692</v>
          </cell>
          <cell r="B1166" t="str">
            <v>ПБОЮЛ ЧУЕВ М.И.</v>
          </cell>
          <cell r="C1166" t="str">
            <v>ИРКУТСК-СОРТ (ВСБ)</v>
          </cell>
          <cell r="D1166">
            <v>30594</v>
          </cell>
          <cell r="F1166">
            <v>0</v>
          </cell>
          <cell r="H1166">
            <v>0</v>
          </cell>
          <cell r="I1166" t="str">
            <v>деп</v>
          </cell>
          <cell r="J1166">
            <v>31325</v>
          </cell>
        </row>
        <row r="1167">
          <cell r="A1167">
            <v>58342700</v>
          </cell>
          <cell r="B1167" t="str">
            <v>ПБОЮЛ ЧУЕВ М.И.</v>
          </cell>
          <cell r="C1167" t="str">
            <v>ИРКУТСК-СОРТ (ВСБ)</v>
          </cell>
          <cell r="D1167">
            <v>30602</v>
          </cell>
          <cell r="F1167">
            <v>0</v>
          </cell>
          <cell r="H1167">
            <v>0</v>
          </cell>
          <cell r="I1167" t="str">
            <v>деп</v>
          </cell>
          <cell r="J1167">
            <v>31333</v>
          </cell>
        </row>
        <row r="1168">
          <cell r="A1168">
            <v>58342718</v>
          </cell>
          <cell r="B1168" t="str">
            <v>ПБОЮЛ ЧУЕВ М.И.</v>
          </cell>
          <cell r="C1168" t="str">
            <v>ИРКУТСК-СОРТ (ВСБ)</v>
          </cell>
          <cell r="D1168">
            <v>30568</v>
          </cell>
          <cell r="E1168">
            <v>37969</v>
          </cell>
          <cell r="F1168">
            <v>647</v>
          </cell>
          <cell r="H1168">
            <v>0</v>
          </cell>
          <cell r="I1168" t="str">
            <v>кап</v>
          </cell>
          <cell r="J1168">
            <v>38517</v>
          </cell>
        </row>
        <row r="1169">
          <cell r="A1169">
            <v>58342726</v>
          </cell>
          <cell r="B1169" t="str">
            <v>ПБОЮЛ ЧУЕВ М.И.</v>
          </cell>
          <cell r="C1169" t="str">
            <v>ИРКУТСК-СОРТ (ВСБ)</v>
          </cell>
          <cell r="D1169">
            <v>30880</v>
          </cell>
          <cell r="E1169">
            <v>37969</v>
          </cell>
          <cell r="F1169">
            <v>647</v>
          </cell>
          <cell r="H1169">
            <v>0</v>
          </cell>
          <cell r="I1169" t="str">
            <v>кап</v>
          </cell>
          <cell r="J1169">
            <v>38517</v>
          </cell>
        </row>
        <row r="1170">
          <cell r="A1170">
            <v>58342734</v>
          </cell>
          <cell r="B1170" t="str">
            <v>ПБОЮЛ ЧУЕВ М.И.</v>
          </cell>
          <cell r="C1170" t="str">
            <v>ИРКУТСК-СОРТ (ВСБ)</v>
          </cell>
          <cell r="D1170">
            <v>30505</v>
          </cell>
          <cell r="E1170">
            <v>37963</v>
          </cell>
          <cell r="F1170">
            <v>647</v>
          </cell>
          <cell r="H1170">
            <v>0</v>
          </cell>
          <cell r="I1170" t="str">
            <v>кап</v>
          </cell>
          <cell r="J1170">
            <v>38511</v>
          </cell>
        </row>
        <row r="1171">
          <cell r="A1171">
            <v>58342742</v>
          </cell>
          <cell r="B1171" t="str">
            <v>ПБОЮЛ ЧУЕВ М.И.</v>
          </cell>
          <cell r="C1171" t="str">
            <v>ИРКУТСК-СОРТ (ВСБ)</v>
          </cell>
          <cell r="D1171">
            <v>31202</v>
          </cell>
          <cell r="E1171">
            <v>37951</v>
          </cell>
          <cell r="F1171">
            <v>647</v>
          </cell>
          <cell r="H1171">
            <v>0</v>
          </cell>
          <cell r="I1171" t="str">
            <v>кап</v>
          </cell>
          <cell r="J1171">
            <v>38498</v>
          </cell>
        </row>
        <row r="1172">
          <cell r="A1172">
            <v>58342759</v>
          </cell>
          <cell r="B1172" t="str">
            <v>ПБОЮЛ ЧУЕВ М.И.</v>
          </cell>
          <cell r="C1172" t="str">
            <v>ИРКУТСК-СОРТ (ВСБ)</v>
          </cell>
          <cell r="D1172">
            <v>30851</v>
          </cell>
          <cell r="E1172">
            <v>37963</v>
          </cell>
          <cell r="F1172">
            <v>647</v>
          </cell>
          <cell r="H1172">
            <v>0</v>
          </cell>
          <cell r="I1172" t="str">
            <v>кап</v>
          </cell>
          <cell r="J1172">
            <v>38511</v>
          </cell>
        </row>
        <row r="1173">
          <cell r="A1173">
            <v>58342767</v>
          </cell>
          <cell r="B1173" t="str">
            <v>ПБОЮЛ ЧУЕВ М.И.</v>
          </cell>
          <cell r="C1173" t="str">
            <v>ИРКУТСК-СОРТ (ВСБ)</v>
          </cell>
          <cell r="D1173">
            <v>30594</v>
          </cell>
          <cell r="E1173">
            <v>37950</v>
          </cell>
          <cell r="F1173">
            <v>647</v>
          </cell>
          <cell r="H1173">
            <v>0</v>
          </cell>
          <cell r="I1173" t="str">
            <v>кап</v>
          </cell>
          <cell r="J1173">
            <v>38497</v>
          </cell>
        </row>
        <row r="1174">
          <cell r="A1174">
            <v>58342775</v>
          </cell>
          <cell r="B1174" t="str">
            <v>ПБОЮЛ ЧУЕВ М.И.</v>
          </cell>
          <cell r="C1174" t="str">
            <v>ИРКУТСК-СОРТ (ВСБ)</v>
          </cell>
          <cell r="D1174">
            <v>30510</v>
          </cell>
          <cell r="F1174">
            <v>0</v>
          </cell>
          <cell r="H1174">
            <v>0</v>
          </cell>
          <cell r="I1174" t="str">
            <v>деп</v>
          </cell>
          <cell r="J1174">
            <v>31241</v>
          </cell>
        </row>
        <row r="1175">
          <cell r="A1175">
            <v>58342783</v>
          </cell>
          <cell r="B1175" t="str">
            <v>ПБОЮЛ ЧУЕВ М.И.</v>
          </cell>
          <cell r="C1175" t="str">
            <v>ИРКУТСК-СОРТ (ВСБ)</v>
          </cell>
          <cell r="D1175">
            <v>31184</v>
          </cell>
          <cell r="F1175">
            <v>0</v>
          </cell>
          <cell r="H1175">
            <v>0</v>
          </cell>
          <cell r="I1175" t="str">
            <v>деп</v>
          </cell>
          <cell r="J1175">
            <v>31914</v>
          </cell>
        </row>
        <row r="1176">
          <cell r="A1176">
            <v>58342791</v>
          </cell>
          <cell r="B1176" t="str">
            <v>ПБОЮЛ ЧУЕВ М.И.</v>
          </cell>
          <cell r="C1176" t="str">
            <v>ИРКУТСК-СОРТ (ВСБ)</v>
          </cell>
          <cell r="D1176">
            <v>31189</v>
          </cell>
          <cell r="F1176">
            <v>0</v>
          </cell>
          <cell r="H1176">
            <v>0</v>
          </cell>
          <cell r="I1176" t="str">
            <v>деп</v>
          </cell>
          <cell r="J1176">
            <v>31919</v>
          </cell>
        </row>
        <row r="1177">
          <cell r="A1177">
            <v>58342809</v>
          </cell>
          <cell r="B1177" t="str">
            <v>ПБОЮЛ ЧУЕВ М.И.</v>
          </cell>
          <cell r="C1177" t="str">
            <v>ИРКУТСК-СОРТ (ВСБ)</v>
          </cell>
          <cell r="D1177">
            <v>31240</v>
          </cell>
          <cell r="F1177">
            <v>0</v>
          </cell>
          <cell r="H1177">
            <v>0</v>
          </cell>
          <cell r="I1177" t="str">
            <v>деп</v>
          </cell>
          <cell r="J1177">
            <v>31970</v>
          </cell>
        </row>
        <row r="1178">
          <cell r="A1178">
            <v>58342817</v>
          </cell>
          <cell r="B1178" t="str">
            <v>ПБОЮЛ ЧУЕВ М.И.</v>
          </cell>
          <cell r="C1178" t="str">
            <v>ИРКУТСК-СОРТ (ВСБ)</v>
          </cell>
          <cell r="D1178">
            <v>31246</v>
          </cell>
          <cell r="F1178">
            <v>0</v>
          </cell>
          <cell r="H1178">
            <v>0</v>
          </cell>
          <cell r="I1178" t="str">
            <v>деп</v>
          </cell>
          <cell r="J1178">
            <v>31976</v>
          </cell>
        </row>
        <row r="1179">
          <cell r="A1179">
            <v>58342825</v>
          </cell>
          <cell r="B1179" t="str">
            <v>ПБОЮЛ ЧУЕВ М.И.</v>
          </cell>
          <cell r="C1179" t="str">
            <v>ИРКУТСК-СОРТ (ВСБ)</v>
          </cell>
          <cell r="D1179">
            <v>31253</v>
          </cell>
          <cell r="F1179">
            <v>0</v>
          </cell>
          <cell r="H1179">
            <v>0</v>
          </cell>
          <cell r="I1179" t="str">
            <v>деп</v>
          </cell>
          <cell r="J1179">
            <v>31983</v>
          </cell>
        </row>
        <row r="1180">
          <cell r="A1180">
            <v>58342833</v>
          </cell>
          <cell r="B1180" t="str">
            <v>ПБОЮЛ ЧУЕВ М.И.</v>
          </cell>
          <cell r="C1180" t="str">
            <v>ИРКУТСК-СОРТ (ВСБ)</v>
          </cell>
          <cell r="D1180">
            <v>31266</v>
          </cell>
          <cell r="F1180">
            <v>0</v>
          </cell>
          <cell r="H1180">
            <v>0</v>
          </cell>
          <cell r="I1180" t="str">
            <v>деп</v>
          </cell>
          <cell r="J1180">
            <v>31996</v>
          </cell>
        </row>
        <row r="1181">
          <cell r="A1181">
            <v>58342841</v>
          </cell>
          <cell r="B1181" t="str">
            <v>ПБОЮЛ ЧУЕВ М.И.</v>
          </cell>
          <cell r="C1181" t="str">
            <v>ИРКУТСК-СОРТ (ВСБ)</v>
          </cell>
          <cell r="D1181">
            <v>31273</v>
          </cell>
          <cell r="F1181">
            <v>0</v>
          </cell>
          <cell r="H1181">
            <v>0</v>
          </cell>
          <cell r="I1181" t="str">
            <v>деп</v>
          </cell>
          <cell r="J1181">
            <v>32003</v>
          </cell>
        </row>
        <row r="1182">
          <cell r="A1182">
            <v>58342858</v>
          </cell>
          <cell r="B1182" t="str">
            <v>ПБОЮЛ ЧУЕВ М.И.</v>
          </cell>
          <cell r="C1182" t="str">
            <v>ИРКУТСК-СОРТ (ВСБ)</v>
          </cell>
          <cell r="D1182">
            <v>31294</v>
          </cell>
          <cell r="F1182">
            <v>0</v>
          </cell>
          <cell r="H1182">
            <v>0</v>
          </cell>
          <cell r="I1182" t="str">
            <v>деп</v>
          </cell>
          <cell r="J1182">
            <v>32024</v>
          </cell>
        </row>
        <row r="1183">
          <cell r="A1183">
            <v>58342866</v>
          </cell>
          <cell r="B1183" t="str">
            <v>ПБОЮЛ ЧУЕВ М.И.</v>
          </cell>
          <cell r="C1183" t="str">
            <v>ИРКУТСК-СОРТ (ВСБ)</v>
          </cell>
          <cell r="D1183">
            <v>30561</v>
          </cell>
          <cell r="F1183">
            <v>0</v>
          </cell>
          <cell r="H1183">
            <v>0</v>
          </cell>
          <cell r="I1183" t="str">
            <v>деп</v>
          </cell>
          <cell r="J1183">
            <v>31292</v>
          </cell>
        </row>
        <row r="1184">
          <cell r="A1184">
            <v>58342874</v>
          </cell>
          <cell r="B1184" t="str">
            <v>ПБОЮЛ ЧУЕВ М.И.</v>
          </cell>
          <cell r="C1184" t="str">
            <v>ИРКУТСК-СОРТ (ВСБ)</v>
          </cell>
          <cell r="D1184">
            <v>30036</v>
          </cell>
          <cell r="F1184">
            <v>0</v>
          </cell>
          <cell r="H1184">
            <v>0</v>
          </cell>
          <cell r="I1184" t="str">
            <v>деп</v>
          </cell>
          <cell r="J1184">
            <v>30767</v>
          </cell>
        </row>
        <row r="1185">
          <cell r="A1185">
            <v>58342882</v>
          </cell>
          <cell r="B1185" t="str">
            <v>ПБОЮЛ ЧУЕВ М.И.</v>
          </cell>
          <cell r="C1185" t="str">
            <v>ИРКУТСК-СОРТ (ВСБ)</v>
          </cell>
          <cell r="D1185">
            <v>30946</v>
          </cell>
          <cell r="F1185">
            <v>0</v>
          </cell>
          <cell r="H1185">
            <v>0</v>
          </cell>
          <cell r="I1185" t="str">
            <v>деп</v>
          </cell>
          <cell r="J1185">
            <v>31676</v>
          </cell>
        </row>
        <row r="1186">
          <cell r="A1186">
            <v>58342890</v>
          </cell>
          <cell r="B1186" t="str">
            <v>ПБОЮЛ ЧУЕВ М.И.</v>
          </cell>
          <cell r="C1186" t="str">
            <v>ИРКУТСК-СОРТ (ВСБ)</v>
          </cell>
          <cell r="D1186">
            <v>30579</v>
          </cell>
          <cell r="F1186">
            <v>0</v>
          </cell>
          <cell r="H1186">
            <v>0</v>
          </cell>
          <cell r="I1186" t="str">
            <v>деп</v>
          </cell>
          <cell r="J1186">
            <v>31310</v>
          </cell>
        </row>
        <row r="1187">
          <cell r="A1187">
            <v>58342908</v>
          </cell>
          <cell r="B1187" t="str">
            <v>ПБОЮЛ ЧУЕВ М.И.</v>
          </cell>
          <cell r="C1187" t="str">
            <v>ИРКУТСК-СОРТ (ВСБ)</v>
          </cell>
          <cell r="D1187">
            <v>30859</v>
          </cell>
          <cell r="F1187">
            <v>0</v>
          </cell>
          <cell r="H1187">
            <v>0</v>
          </cell>
          <cell r="I1187" t="str">
            <v>деп</v>
          </cell>
          <cell r="J1187">
            <v>31589</v>
          </cell>
        </row>
        <row r="1188">
          <cell r="A1188">
            <v>58342916</v>
          </cell>
          <cell r="B1188" t="str">
            <v>ПБОЮЛ ЧУЕВ М.И.</v>
          </cell>
          <cell r="C1188" t="str">
            <v>ИРКУТСК-СОРТ (ВСБ)</v>
          </cell>
          <cell r="D1188">
            <v>30505</v>
          </cell>
          <cell r="F1188">
            <v>0</v>
          </cell>
          <cell r="H1188">
            <v>0</v>
          </cell>
          <cell r="I1188" t="str">
            <v>деп</v>
          </cell>
          <cell r="J1188">
            <v>31236</v>
          </cell>
        </row>
        <row r="1189">
          <cell r="A1189">
            <v>58342924</v>
          </cell>
          <cell r="B1189" t="str">
            <v>ПБОЮЛ ЧУЕВ М.И.</v>
          </cell>
          <cell r="C1189" t="str">
            <v>ИРКУТСК-СОРТ (ВСБ)</v>
          </cell>
          <cell r="D1189">
            <v>30510</v>
          </cell>
          <cell r="F1189">
            <v>0</v>
          </cell>
          <cell r="H1189">
            <v>0</v>
          </cell>
          <cell r="I1189" t="str">
            <v>деп</v>
          </cell>
          <cell r="J1189">
            <v>31241</v>
          </cell>
        </row>
        <row r="1190">
          <cell r="A1190">
            <v>58342932</v>
          </cell>
          <cell r="B1190" t="str">
            <v>ПБОЮЛ ЧУЕВ М.И.</v>
          </cell>
          <cell r="C1190" t="str">
            <v>ИРКУТСК-СОРТ (ВСБ)</v>
          </cell>
          <cell r="D1190">
            <v>29973</v>
          </cell>
          <cell r="E1190">
            <v>38002</v>
          </cell>
          <cell r="F1190">
            <v>647</v>
          </cell>
          <cell r="H1190">
            <v>0</v>
          </cell>
          <cell r="I1190" t="str">
            <v>кап</v>
          </cell>
          <cell r="J1190">
            <v>38549</v>
          </cell>
        </row>
        <row r="1191">
          <cell r="A1191">
            <v>58342940</v>
          </cell>
          <cell r="B1191" t="str">
            <v>ПБОЮЛ ЧУЕВ М.И.</v>
          </cell>
          <cell r="C1191" t="str">
            <v>ИРКУТСК-СОРТ (ВСБ)</v>
          </cell>
          <cell r="D1191">
            <v>30887</v>
          </cell>
          <cell r="F1191">
            <v>0</v>
          </cell>
          <cell r="H1191">
            <v>0</v>
          </cell>
          <cell r="I1191" t="str">
            <v>деп</v>
          </cell>
          <cell r="J1191">
            <v>31617</v>
          </cell>
        </row>
        <row r="1192">
          <cell r="A1192">
            <v>58342957</v>
          </cell>
          <cell r="B1192" t="str">
            <v>ПБОЮЛ ЧУЕВ М.И.</v>
          </cell>
          <cell r="C1192" t="str">
            <v>ИРКУТСК-СОРТ (ВСБ)</v>
          </cell>
          <cell r="D1192">
            <v>29936</v>
          </cell>
          <cell r="E1192">
            <v>38013</v>
          </cell>
          <cell r="F1192">
            <v>647</v>
          </cell>
          <cell r="H1192">
            <v>0</v>
          </cell>
          <cell r="I1192" t="str">
            <v>кап</v>
          </cell>
          <cell r="J1192">
            <v>38560</v>
          </cell>
        </row>
        <row r="1193">
          <cell r="B1193" t="str">
            <v>ПБОЮЛ ЧУЕВ М.И. Количество</v>
          </cell>
          <cell r="D1193">
            <v>31</v>
          </cell>
        </row>
        <row r="1194">
          <cell r="A1194">
            <v>53704516</v>
          </cell>
          <cell r="B1194" t="str">
            <v>ПЕРМСК.МАРГАРИН.З-Д СДОБРИ</v>
          </cell>
          <cell r="C1194" t="str">
            <v>ПЕРМЬ2       (СВР)</v>
          </cell>
          <cell r="D1194">
            <v>32962</v>
          </cell>
          <cell r="E1194">
            <v>36313</v>
          </cell>
          <cell r="F1194">
            <v>0</v>
          </cell>
          <cell r="G1194">
            <v>36691</v>
          </cell>
          <cell r="I1194" t="str">
            <v>деп</v>
          </cell>
          <cell r="J1194">
            <v>37786</v>
          </cell>
        </row>
        <row r="1195">
          <cell r="B1195" t="str">
            <v>ПЕРМСК.МАРГАРИН.З-Д СДОБРИ Количество</v>
          </cell>
          <cell r="D1195">
            <v>1</v>
          </cell>
        </row>
        <row r="1196">
          <cell r="A1196">
            <v>53702825</v>
          </cell>
          <cell r="B1196" t="str">
            <v>ПЕТРОВСК-ЗАБАЙКАЛ.МЕТ.З-Д</v>
          </cell>
          <cell r="C1196" t="str">
            <v>ПЕТРОВ.ЗАВОД (ЗАБ)</v>
          </cell>
          <cell r="D1196">
            <v>33604</v>
          </cell>
          <cell r="E1196">
            <v>35827</v>
          </cell>
        </row>
        <row r="1197">
          <cell r="B1197" t="str">
            <v>ПЕТРОВСК-ЗАБАЙКАЛ.МЕТ.З-Д Количество</v>
          </cell>
          <cell r="D1197">
            <v>1</v>
          </cell>
        </row>
        <row r="1198">
          <cell r="A1198">
            <v>53704326</v>
          </cell>
          <cell r="B1198" t="str">
            <v>ПМС-104</v>
          </cell>
          <cell r="C1198" t="str">
            <v>СТАЛЬН.КОНЬ  (МСK)</v>
          </cell>
          <cell r="D1198">
            <v>26604</v>
          </cell>
          <cell r="E1198">
            <v>37998</v>
          </cell>
          <cell r="F1198">
            <v>335</v>
          </cell>
          <cell r="G1198">
            <v>35735</v>
          </cell>
          <cell r="H1198">
            <v>335</v>
          </cell>
          <cell r="I1198" t="str">
            <v>деп</v>
          </cell>
          <cell r="J1198">
            <v>38545</v>
          </cell>
        </row>
        <row r="1199">
          <cell r="B1199" t="str">
            <v>ПМС-104 Количество</v>
          </cell>
          <cell r="D1199">
            <v>1</v>
          </cell>
        </row>
        <row r="1200">
          <cell r="A1200">
            <v>53703823</v>
          </cell>
          <cell r="B1200" t="str">
            <v>ПОДОЛЬСКОЕ ППЖТ</v>
          </cell>
          <cell r="C1200" t="str">
            <v>СИЛИКАТНАЯ   (МСK)</v>
          </cell>
          <cell r="D1200">
            <v>25355</v>
          </cell>
          <cell r="E1200">
            <v>34732</v>
          </cell>
          <cell r="G1200">
            <v>31989</v>
          </cell>
        </row>
        <row r="1201">
          <cell r="B1201" t="str">
            <v>ПОДОЛЬСКОЕ ППЖТ Количество</v>
          </cell>
          <cell r="D1201">
            <v>1</v>
          </cell>
        </row>
        <row r="1202">
          <cell r="A1202">
            <v>53703724</v>
          </cell>
          <cell r="B1202" t="str">
            <v>ПОДСОБН.ХОЗ-ВО ТЮМ.ЭНЕРГО</v>
          </cell>
          <cell r="C1202" t="str">
            <v>ОЗ.АНДРЕЕВСК (СВР)</v>
          </cell>
          <cell r="D1202">
            <v>34973</v>
          </cell>
          <cell r="E1202">
            <v>37999</v>
          </cell>
          <cell r="F1202">
            <v>886</v>
          </cell>
          <cell r="I1202" t="str">
            <v>деп</v>
          </cell>
          <cell r="J1202">
            <v>39095</v>
          </cell>
        </row>
        <row r="1203">
          <cell r="A1203">
            <v>58723040</v>
          </cell>
          <cell r="B1203" t="str">
            <v>ПОДСОБН.ХОЗ-ВО ТЮМ.ЭНЕРГО</v>
          </cell>
          <cell r="C1203" t="str">
            <v>ОЗ.АНДРЕЕВСК (СВР)</v>
          </cell>
          <cell r="D1203">
            <v>34973</v>
          </cell>
          <cell r="E1203">
            <v>37999</v>
          </cell>
          <cell r="F1203">
            <v>886</v>
          </cell>
          <cell r="I1203" t="str">
            <v>деп</v>
          </cell>
          <cell r="J1203">
            <v>38424</v>
          </cell>
        </row>
        <row r="1204">
          <cell r="A1204">
            <v>58723057</v>
          </cell>
          <cell r="B1204" t="str">
            <v>ПОДСОБН.ХОЗ-ВО ТЮМ.ЭНЕРГО</v>
          </cell>
          <cell r="C1204" t="str">
            <v>ОЗ.АНДРЕЕВСК (СВР)</v>
          </cell>
          <cell r="D1204">
            <v>34973</v>
          </cell>
          <cell r="E1204">
            <v>37999</v>
          </cell>
          <cell r="F1204">
            <v>886</v>
          </cell>
          <cell r="I1204" t="str">
            <v>деп</v>
          </cell>
          <cell r="J1204">
            <v>38424</v>
          </cell>
        </row>
        <row r="1205">
          <cell r="A1205">
            <v>58723065</v>
          </cell>
          <cell r="B1205" t="str">
            <v>ПОДСОБН.ХОЗ-ВО ТЮМ.ЭНЕРГО</v>
          </cell>
          <cell r="C1205" t="str">
            <v>ОЗ.АНДРЕЕВСК (СВР)</v>
          </cell>
          <cell r="D1205">
            <v>34973</v>
          </cell>
          <cell r="E1205">
            <v>37999</v>
          </cell>
          <cell r="F1205">
            <v>886</v>
          </cell>
          <cell r="I1205" t="str">
            <v>деп</v>
          </cell>
          <cell r="J1205">
            <v>38424</v>
          </cell>
        </row>
        <row r="1206">
          <cell r="A1206">
            <v>58723073</v>
          </cell>
          <cell r="B1206" t="str">
            <v>ПОДСОБН.ХОЗ-ВО ТЮМ.ЭНЕРГО</v>
          </cell>
          <cell r="C1206" t="str">
            <v>ОЗ.АНДРЕЕВСК (СВР)</v>
          </cell>
          <cell r="D1206">
            <v>34973</v>
          </cell>
          <cell r="E1206">
            <v>37999</v>
          </cell>
          <cell r="F1206">
            <v>886</v>
          </cell>
          <cell r="I1206" t="str">
            <v>деп</v>
          </cell>
          <cell r="J1206">
            <v>38424</v>
          </cell>
        </row>
        <row r="1207">
          <cell r="B1207" t="str">
            <v>ПОДСОБН.ХОЗ-ВО ТЮМ.ЭНЕРГО Количество</v>
          </cell>
          <cell r="D1207">
            <v>5</v>
          </cell>
        </row>
        <row r="1208">
          <cell r="A1208">
            <v>53703807</v>
          </cell>
          <cell r="B1208" t="str">
            <v>ППСК ТЭЦ-25</v>
          </cell>
          <cell r="C1208" t="str">
            <v>ОЧАКОВО 1    (МСK)</v>
          </cell>
          <cell r="D1208">
            <v>26053</v>
          </cell>
          <cell r="E1208">
            <v>35052</v>
          </cell>
        </row>
        <row r="1209">
          <cell r="A1209">
            <v>53703815</v>
          </cell>
          <cell r="B1209" t="str">
            <v>ППСК ТЭЦ-25</v>
          </cell>
          <cell r="C1209" t="str">
            <v>ОЧАКОВО 1    (МСK)</v>
          </cell>
          <cell r="D1209">
            <v>24555</v>
          </cell>
          <cell r="E1209">
            <v>34999</v>
          </cell>
        </row>
        <row r="1210">
          <cell r="B1210" t="str">
            <v>ППСК ТЭЦ-25 Количество</v>
          </cell>
          <cell r="D1210">
            <v>2</v>
          </cell>
        </row>
        <row r="1211">
          <cell r="A1211">
            <v>53701520</v>
          </cell>
          <cell r="B1211" t="str">
            <v>ПРАВО</v>
          </cell>
          <cell r="C1211" t="str">
            <v>КУМЕРТАУ     (КБШ)</v>
          </cell>
          <cell r="D1211">
            <v>33329</v>
          </cell>
          <cell r="F1211">
            <v>0</v>
          </cell>
          <cell r="H1211">
            <v>0</v>
          </cell>
          <cell r="I1211" t="str">
            <v>деп</v>
          </cell>
          <cell r="J1211">
            <v>34425</v>
          </cell>
        </row>
        <row r="1212">
          <cell r="A1212">
            <v>58338328</v>
          </cell>
          <cell r="B1212" t="str">
            <v>ПРАВО</v>
          </cell>
          <cell r="C1212" t="str">
            <v>КУМЕРТАУ     (КБШ)</v>
          </cell>
          <cell r="D1212">
            <v>33329</v>
          </cell>
          <cell r="F1212">
            <v>0</v>
          </cell>
          <cell r="H1212">
            <v>0</v>
          </cell>
          <cell r="I1212" t="str">
            <v>деп</v>
          </cell>
          <cell r="J1212">
            <v>34425</v>
          </cell>
        </row>
        <row r="1213">
          <cell r="A1213">
            <v>58338336</v>
          </cell>
          <cell r="B1213" t="str">
            <v>ПРАВО</v>
          </cell>
          <cell r="C1213" t="str">
            <v>КУМЕРТАУ     (КБШ)</v>
          </cell>
          <cell r="D1213">
            <v>33329</v>
          </cell>
          <cell r="F1213">
            <v>0</v>
          </cell>
          <cell r="H1213">
            <v>0</v>
          </cell>
          <cell r="I1213" t="str">
            <v>деп</v>
          </cell>
          <cell r="J1213">
            <v>34425</v>
          </cell>
        </row>
        <row r="1214">
          <cell r="A1214">
            <v>58338344</v>
          </cell>
          <cell r="B1214" t="str">
            <v>ПРАВО</v>
          </cell>
          <cell r="C1214" t="str">
            <v>КУМЕРТАУ     (КБШ)</v>
          </cell>
          <cell r="D1214">
            <v>33329</v>
          </cell>
          <cell r="F1214">
            <v>0</v>
          </cell>
          <cell r="H1214">
            <v>0</v>
          </cell>
          <cell r="I1214" t="str">
            <v>деп</v>
          </cell>
          <cell r="J1214">
            <v>34425</v>
          </cell>
        </row>
        <row r="1215">
          <cell r="A1215">
            <v>58338351</v>
          </cell>
          <cell r="B1215" t="str">
            <v>ПРАВО</v>
          </cell>
          <cell r="C1215" t="str">
            <v>КУМЕРТАУ     (КБШ)</v>
          </cell>
          <cell r="D1215">
            <v>33329</v>
          </cell>
          <cell r="F1215">
            <v>0</v>
          </cell>
          <cell r="H1215">
            <v>0</v>
          </cell>
          <cell r="I1215" t="str">
            <v>деп</v>
          </cell>
          <cell r="J1215">
            <v>34425</v>
          </cell>
        </row>
        <row r="1216">
          <cell r="B1216" t="str">
            <v>ПРАВО Количество</v>
          </cell>
          <cell r="D1216">
            <v>5</v>
          </cell>
        </row>
        <row r="1217">
          <cell r="A1217">
            <v>53703609</v>
          </cell>
          <cell r="B1217" t="str">
            <v>ПРАЙД</v>
          </cell>
          <cell r="C1217" t="str">
            <v>ТВЕРЬ        (ОКТ)</v>
          </cell>
          <cell r="D1217">
            <v>32143</v>
          </cell>
          <cell r="E1217">
            <v>37936</v>
          </cell>
          <cell r="F1217">
            <v>317</v>
          </cell>
          <cell r="I1217" t="str">
            <v>кап</v>
          </cell>
          <cell r="J1217">
            <v>39032</v>
          </cell>
        </row>
        <row r="1218">
          <cell r="B1218" t="str">
            <v>ПРАЙД Количество</v>
          </cell>
          <cell r="D1218">
            <v>1</v>
          </cell>
        </row>
        <row r="1219">
          <cell r="A1219">
            <v>53703831</v>
          </cell>
          <cell r="B1219" t="str">
            <v>ПРОМЖЕЛДОРТРАНС КОЛОМ.ОТД.</v>
          </cell>
          <cell r="C1219" t="str">
            <v>ЩУРОВО       (МСK)</v>
          </cell>
          <cell r="D1219">
            <v>25934</v>
          </cell>
          <cell r="E1219">
            <v>34973</v>
          </cell>
          <cell r="G1219">
            <v>31868</v>
          </cell>
        </row>
        <row r="1220">
          <cell r="A1220">
            <v>53703849</v>
          </cell>
          <cell r="B1220" t="str">
            <v>ПРОМЖЕЛДОРТРАНС КОЛОМ.ОТД.</v>
          </cell>
          <cell r="C1220" t="str">
            <v>ЩУРОВО       (МСK)</v>
          </cell>
          <cell r="D1220">
            <v>25204</v>
          </cell>
          <cell r="E1220">
            <v>37491</v>
          </cell>
          <cell r="F1220">
            <v>316</v>
          </cell>
          <cell r="G1220">
            <v>31868</v>
          </cell>
          <cell r="I1220" t="str">
            <v>деп</v>
          </cell>
          <cell r="J1220">
            <v>38587</v>
          </cell>
        </row>
        <row r="1221">
          <cell r="A1221">
            <v>53704557</v>
          </cell>
          <cell r="B1221" t="str">
            <v>ПРОМЖЕЛДОРТРАНС КОЛОМ.ОТД.</v>
          </cell>
          <cell r="C1221" t="str">
            <v>ЩУРОВО       (МСK)</v>
          </cell>
          <cell r="D1221">
            <v>29625</v>
          </cell>
          <cell r="E1221">
            <v>36602</v>
          </cell>
          <cell r="G1221">
            <v>37346</v>
          </cell>
          <cell r="H1221">
            <v>316</v>
          </cell>
          <cell r="I1221" t="str">
            <v>деп</v>
          </cell>
          <cell r="J1221">
            <v>38442</v>
          </cell>
        </row>
        <row r="1222">
          <cell r="B1222" t="str">
            <v>ПРОМЖЕЛДОРТРАНС КОЛОМ.ОТД. Количество</v>
          </cell>
          <cell r="D1222">
            <v>3</v>
          </cell>
        </row>
        <row r="1223">
          <cell r="A1223">
            <v>53703179</v>
          </cell>
          <cell r="B1223" t="str">
            <v>ПРОМЖЕЛДОРТРАНС МГАО</v>
          </cell>
          <cell r="C1223" t="str">
            <v>БЕСКУДНИКОВО (МСK)</v>
          </cell>
          <cell r="D1223">
            <v>32623</v>
          </cell>
          <cell r="E1223">
            <v>37349</v>
          </cell>
          <cell r="F1223">
            <v>350</v>
          </cell>
          <cell r="I1223" t="str">
            <v>кап</v>
          </cell>
          <cell r="J1223">
            <v>38445</v>
          </cell>
        </row>
        <row r="1224">
          <cell r="A1224">
            <v>53703187</v>
          </cell>
          <cell r="B1224" t="str">
            <v>ПРОМЖЕЛДОРТРАНС МГАО</v>
          </cell>
          <cell r="C1224" t="str">
            <v>БЕСКУДНИКОВО (МСK)</v>
          </cell>
          <cell r="D1224">
            <v>32808</v>
          </cell>
          <cell r="E1224">
            <v>37518</v>
          </cell>
          <cell r="F1224">
            <v>350</v>
          </cell>
          <cell r="I1224" t="str">
            <v>кап</v>
          </cell>
          <cell r="J1224">
            <v>38614</v>
          </cell>
        </row>
        <row r="1225">
          <cell r="A1225">
            <v>53703203</v>
          </cell>
          <cell r="B1225" t="str">
            <v>ПРОМЖЕЛДОРТРАНС МГАО</v>
          </cell>
          <cell r="C1225" t="str">
            <v>БЕСКУДНИКОВО (МСK)</v>
          </cell>
          <cell r="D1225">
            <v>32867</v>
          </cell>
          <cell r="E1225">
            <v>37418</v>
          </cell>
          <cell r="F1225">
            <v>350</v>
          </cell>
          <cell r="I1225" t="str">
            <v>кап</v>
          </cell>
          <cell r="J1225">
            <v>38514</v>
          </cell>
        </row>
        <row r="1226">
          <cell r="A1226">
            <v>53703211</v>
          </cell>
          <cell r="B1226" t="str">
            <v>ПРОМЖЕЛДОРТРАНС МГАО</v>
          </cell>
          <cell r="C1226" t="str">
            <v>БЕСКУДНИКОВО (МСK)</v>
          </cell>
          <cell r="D1226">
            <v>29076</v>
          </cell>
          <cell r="E1226">
            <v>37484</v>
          </cell>
          <cell r="F1226">
            <v>350</v>
          </cell>
          <cell r="I1226" t="str">
            <v>деп</v>
          </cell>
          <cell r="J1226">
            <v>38580</v>
          </cell>
        </row>
        <row r="1227">
          <cell r="A1227">
            <v>53703229</v>
          </cell>
          <cell r="B1227" t="str">
            <v>ПРОМЖЕЛДОРТРАНС МГАО</v>
          </cell>
          <cell r="C1227" t="str">
            <v>БЕСКУДНИКОВО (МСK)</v>
          </cell>
          <cell r="D1227">
            <v>29104</v>
          </cell>
          <cell r="E1227">
            <v>37393</v>
          </cell>
          <cell r="F1227">
            <v>350</v>
          </cell>
          <cell r="I1227" t="str">
            <v>деп</v>
          </cell>
          <cell r="J1227">
            <v>38489</v>
          </cell>
        </row>
        <row r="1228">
          <cell r="A1228">
            <v>53703237</v>
          </cell>
          <cell r="B1228" t="str">
            <v>ПРОМЖЕЛДОРТРАНС МГАО</v>
          </cell>
          <cell r="C1228" t="str">
            <v>БЕСКУДНИКОВО (МСK)</v>
          </cell>
          <cell r="D1228">
            <v>29185</v>
          </cell>
          <cell r="E1228">
            <v>37442</v>
          </cell>
          <cell r="F1228">
            <v>350</v>
          </cell>
          <cell r="I1228" t="str">
            <v>деп</v>
          </cell>
          <cell r="J1228">
            <v>38538</v>
          </cell>
        </row>
        <row r="1229">
          <cell r="A1229">
            <v>53706420</v>
          </cell>
          <cell r="B1229" t="str">
            <v>ПРОМЖЕЛДОРТРАНС МГАО</v>
          </cell>
          <cell r="C1229" t="str">
            <v>БЕСКУДНИКОВО (МСK)</v>
          </cell>
          <cell r="D1229">
            <v>32478</v>
          </cell>
          <cell r="F1229">
            <v>0</v>
          </cell>
          <cell r="G1229">
            <v>37859</v>
          </cell>
          <cell r="H1229">
            <v>332</v>
          </cell>
          <cell r="I1229" t="str">
            <v>деп</v>
          </cell>
          <cell r="J1229">
            <v>38409</v>
          </cell>
        </row>
        <row r="1230">
          <cell r="A1230">
            <v>53706438</v>
          </cell>
          <cell r="B1230" t="str">
            <v>ПРОМЖЕЛДОРТРАНС МГАО</v>
          </cell>
          <cell r="C1230" t="str">
            <v>БЕСКУДНИКОВО (МСK)</v>
          </cell>
          <cell r="D1230">
            <v>32478</v>
          </cell>
          <cell r="F1230">
            <v>0</v>
          </cell>
          <cell r="G1230">
            <v>37859</v>
          </cell>
          <cell r="H1230">
            <v>332</v>
          </cell>
          <cell r="I1230" t="str">
            <v>деп</v>
          </cell>
          <cell r="J1230">
            <v>38409</v>
          </cell>
        </row>
        <row r="1231">
          <cell r="B1231" t="str">
            <v>ПРОМЖЕЛДОРТРАНС МГАО Количество</v>
          </cell>
          <cell r="D1231">
            <v>8</v>
          </cell>
        </row>
        <row r="1232">
          <cell r="A1232">
            <v>53700647</v>
          </cell>
          <cell r="B1232" t="str">
            <v>ПУРНЕФТЕГАЗГЕОЛОГИЯ</v>
          </cell>
          <cell r="C1232" t="str">
            <v>ПУРОВСК      (СВР)</v>
          </cell>
          <cell r="D1232">
            <v>33115</v>
          </cell>
          <cell r="E1232">
            <v>37860</v>
          </cell>
          <cell r="F1232">
            <v>616</v>
          </cell>
          <cell r="I1232" t="str">
            <v>кап</v>
          </cell>
          <cell r="J1232">
            <v>38956</v>
          </cell>
        </row>
        <row r="1233">
          <cell r="A1233">
            <v>58336629</v>
          </cell>
          <cell r="B1233" t="str">
            <v>ПУРНЕФТЕГАЗГЕОЛОГИЯ</v>
          </cell>
          <cell r="C1233" t="str">
            <v>ПУРОВСК      (СВР)</v>
          </cell>
          <cell r="D1233">
            <v>33177</v>
          </cell>
          <cell r="E1233">
            <v>37857</v>
          </cell>
          <cell r="F1233">
            <v>616</v>
          </cell>
          <cell r="I1233" t="str">
            <v>деп</v>
          </cell>
          <cell r="J1233">
            <v>38588</v>
          </cell>
        </row>
        <row r="1234">
          <cell r="A1234">
            <v>58336637</v>
          </cell>
          <cell r="B1234" t="str">
            <v>ПУРНЕФТЕГАЗГЕОЛОГИЯ</v>
          </cell>
          <cell r="C1234" t="str">
            <v>ПУРОВСК      (СВР)</v>
          </cell>
          <cell r="D1234">
            <v>33177</v>
          </cell>
          <cell r="E1234">
            <v>37860</v>
          </cell>
          <cell r="F1234">
            <v>616</v>
          </cell>
          <cell r="I1234" t="str">
            <v>деп</v>
          </cell>
          <cell r="J1234">
            <v>38591</v>
          </cell>
        </row>
        <row r="1235">
          <cell r="A1235">
            <v>58336645</v>
          </cell>
          <cell r="B1235" t="str">
            <v>ПУРНЕФТЕГАЗГЕОЛОГИЯ</v>
          </cell>
          <cell r="C1235" t="str">
            <v>ПУРОВСК      (СВР)</v>
          </cell>
          <cell r="D1235">
            <v>33177</v>
          </cell>
          <cell r="E1235">
            <v>37860</v>
          </cell>
          <cell r="F1235">
            <v>616</v>
          </cell>
          <cell r="I1235" t="str">
            <v>деп</v>
          </cell>
          <cell r="J1235">
            <v>38591</v>
          </cell>
        </row>
        <row r="1236">
          <cell r="A1236">
            <v>58336652</v>
          </cell>
          <cell r="B1236" t="str">
            <v>ПУРНЕФТЕГАЗГЕОЛОГИЯ</v>
          </cell>
          <cell r="C1236" t="str">
            <v>ПУРОВСК      (СВР)</v>
          </cell>
          <cell r="D1236">
            <v>33177</v>
          </cell>
          <cell r="E1236">
            <v>37860</v>
          </cell>
          <cell r="F1236">
            <v>616</v>
          </cell>
          <cell r="I1236" t="str">
            <v>деп</v>
          </cell>
          <cell r="J1236">
            <v>38591</v>
          </cell>
        </row>
        <row r="1237">
          <cell r="B1237" t="str">
            <v>ПУРНЕФТЕГАЗГЕОЛОГИЯ Количество</v>
          </cell>
          <cell r="D1237">
            <v>5</v>
          </cell>
        </row>
        <row r="1238">
          <cell r="A1238">
            <v>58728809</v>
          </cell>
          <cell r="B1238" t="str">
            <v>РГУПС</v>
          </cell>
          <cell r="C1238" t="str">
            <v>РОСТОВ-ЗАПАД (СКВ)</v>
          </cell>
          <cell r="D1238">
            <v>32843</v>
          </cell>
          <cell r="E1238">
            <v>37095</v>
          </cell>
          <cell r="F1238">
            <v>555</v>
          </cell>
          <cell r="H1238">
            <v>0</v>
          </cell>
          <cell r="I1238" t="str">
            <v>деп</v>
          </cell>
          <cell r="J1238">
            <v>37825</v>
          </cell>
        </row>
        <row r="1239">
          <cell r="A1239">
            <v>58728817</v>
          </cell>
          <cell r="B1239" t="str">
            <v>РГУПС</v>
          </cell>
          <cell r="C1239" t="str">
            <v>РОСТОВ-ЗАПАД (СКВ)</v>
          </cell>
          <cell r="D1239">
            <v>32843</v>
          </cell>
          <cell r="E1239">
            <v>37095</v>
          </cell>
          <cell r="F1239">
            <v>555</v>
          </cell>
          <cell r="H1239">
            <v>0</v>
          </cell>
          <cell r="I1239" t="str">
            <v>деп</v>
          </cell>
          <cell r="J1239">
            <v>37825</v>
          </cell>
        </row>
        <row r="1240">
          <cell r="A1240">
            <v>58728825</v>
          </cell>
          <cell r="B1240" t="str">
            <v>РГУПС</v>
          </cell>
          <cell r="C1240" t="str">
            <v>РОСТОВ-ЗАПАД (СКВ)</v>
          </cell>
          <cell r="D1240">
            <v>27262</v>
          </cell>
          <cell r="E1240">
            <v>34213</v>
          </cell>
          <cell r="F1240">
            <v>557</v>
          </cell>
          <cell r="G1240">
            <v>37164</v>
          </cell>
          <cell r="H1240">
            <v>557</v>
          </cell>
          <cell r="I1240" t="str">
            <v>деп</v>
          </cell>
          <cell r="J1240">
            <v>37894</v>
          </cell>
        </row>
        <row r="1241">
          <cell r="B1241" t="str">
            <v>РГУПС Количество</v>
          </cell>
          <cell r="D1241">
            <v>3</v>
          </cell>
        </row>
        <row r="1242">
          <cell r="A1242">
            <v>53704425</v>
          </cell>
          <cell r="B1242" t="str">
            <v>РЕМПУТЬМАШ КАЛУЖСКИЙ З-Д</v>
          </cell>
          <cell r="C1242" t="str">
            <v>КАЛУГА 1     (МСK)</v>
          </cell>
          <cell r="D1242">
            <v>33512</v>
          </cell>
          <cell r="E1242">
            <v>37443</v>
          </cell>
          <cell r="F1242">
            <v>350</v>
          </cell>
          <cell r="H1242">
            <v>0</v>
          </cell>
          <cell r="I1242" t="str">
            <v>деп</v>
          </cell>
          <cell r="J1242">
            <v>38174</v>
          </cell>
        </row>
        <row r="1243">
          <cell r="B1243" t="str">
            <v>РЕМПУТЬМАШ КАЛУЖСКИЙ З-Д Количество</v>
          </cell>
          <cell r="D1243">
            <v>1</v>
          </cell>
        </row>
        <row r="1244">
          <cell r="A1244">
            <v>53400008</v>
          </cell>
          <cell r="B1244" t="str">
            <v>РЕФРИЖЕРАТОРНАЯ КОМПАНИЯ</v>
          </cell>
          <cell r="C1244" t="str">
            <v>ВОЛКОВСКАЯ   (ОКТ)</v>
          </cell>
          <cell r="D1244">
            <v>29526</v>
          </cell>
          <cell r="E1244">
            <v>37183</v>
          </cell>
          <cell r="F1244">
            <v>352</v>
          </cell>
          <cell r="G1244">
            <v>37652</v>
          </cell>
          <cell r="H1244">
            <v>897</v>
          </cell>
          <cell r="I1244" t="str">
            <v>деп</v>
          </cell>
          <cell r="J1244">
            <v>38383</v>
          </cell>
        </row>
        <row r="1245">
          <cell r="A1245">
            <v>53400024</v>
          </cell>
          <cell r="B1245" t="str">
            <v>РЕФРИЖЕРАТОРНАЯ КОМПАНИЯ</v>
          </cell>
          <cell r="C1245" t="str">
            <v>ВОЛКОВСКАЯ   (ОКТ)</v>
          </cell>
          <cell r="D1245">
            <v>29465</v>
          </cell>
          <cell r="E1245">
            <v>37894</v>
          </cell>
          <cell r="F1245">
            <v>792</v>
          </cell>
          <cell r="G1245">
            <v>37102</v>
          </cell>
          <cell r="H1245">
            <v>330</v>
          </cell>
          <cell r="I1245" t="str">
            <v>деп</v>
          </cell>
          <cell r="J1245">
            <v>38321</v>
          </cell>
        </row>
        <row r="1246">
          <cell r="A1246">
            <v>53400032</v>
          </cell>
          <cell r="B1246" t="str">
            <v>РЕФРИЖЕРАТОРНАЯ КОМПАНИЯ</v>
          </cell>
          <cell r="C1246" t="str">
            <v>ВОЛКОВСКАЯ   (ОКТ)</v>
          </cell>
          <cell r="D1246">
            <v>29495</v>
          </cell>
          <cell r="E1246">
            <v>37183</v>
          </cell>
          <cell r="F1246">
            <v>352</v>
          </cell>
          <cell r="H1246">
            <v>0</v>
          </cell>
          <cell r="I1246" t="str">
            <v>деп</v>
          </cell>
          <cell r="J1246">
            <v>37950</v>
          </cell>
        </row>
        <row r="1247">
          <cell r="A1247">
            <v>53400040</v>
          </cell>
          <cell r="B1247" t="str">
            <v>РЕФРИЖЕРАТОРНАЯ КОМПАНИЯ</v>
          </cell>
          <cell r="C1247" t="str">
            <v>ВОЛКОВСКАЯ   (ОКТ)</v>
          </cell>
          <cell r="D1247">
            <v>29526</v>
          </cell>
          <cell r="E1247">
            <v>37964</v>
          </cell>
          <cell r="F1247">
            <v>350</v>
          </cell>
          <cell r="H1247">
            <v>0</v>
          </cell>
          <cell r="I1247" t="str">
            <v>кап</v>
          </cell>
          <cell r="J1247">
            <v>38392</v>
          </cell>
        </row>
        <row r="1248">
          <cell r="A1248">
            <v>53400057</v>
          </cell>
          <cell r="B1248" t="str">
            <v>РЕФРИЖЕРАТОРНАЯ КОМПАНИЯ</v>
          </cell>
          <cell r="C1248" t="str">
            <v>ВОЛКОВСКАЯ   (ОКТ)</v>
          </cell>
          <cell r="D1248">
            <v>30651</v>
          </cell>
          <cell r="E1248">
            <v>37120</v>
          </cell>
          <cell r="F1248">
            <v>330</v>
          </cell>
          <cell r="H1248">
            <v>0</v>
          </cell>
          <cell r="I1248" t="str">
            <v>деп</v>
          </cell>
          <cell r="J1248">
            <v>37942</v>
          </cell>
        </row>
        <row r="1249">
          <cell r="A1249">
            <v>53400073</v>
          </cell>
          <cell r="B1249" t="str">
            <v>РЕФРИЖЕРАТОРНАЯ КОМПАНИЯ</v>
          </cell>
          <cell r="C1249" t="str">
            <v>ВОЛКОВСКАЯ   (ОКТ)</v>
          </cell>
          <cell r="D1249">
            <v>30682</v>
          </cell>
          <cell r="E1249">
            <v>37134</v>
          </cell>
          <cell r="F1249">
            <v>323</v>
          </cell>
          <cell r="G1249">
            <v>37798</v>
          </cell>
          <cell r="H1249">
            <v>492</v>
          </cell>
          <cell r="I1249" t="str">
            <v>деп</v>
          </cell>
          <cell r="J1249">
            <v>38347</v>
          </cell>
        </row>
        <row r="1250">
          <cell r="A1250">
            <v>53401030</v>
          </cell>
          <cell r="B1250" t="str">
            <v>РЕФРИЖЕРАТОРНАЯ КОМПАНИЯ</v>
          </cell>
          <cell r="C1250" t="str">
            <v>ВОЛКОВСКАЯ   (ОКТ)</v>
          </cell>
          <cell r="D1250">
            <v>30649</v>
          </cell>
          <cell r="E1250">
            <v>36557</v>
          </cell>
          <cell r="F1250">
            <v>897</v>
          </cell>
          <cell r="G1250">
            <v>37644</v>
          </cell>
          <cell r="H1250">
            <v>897</v>
          </cell>
          <cell r="I1250" t="str">
            <v>деп</v>
          </cell>
          <cell r="J1250">
            <v>38191</v>
          </cell>
        </row>
        <row r="1251">
          <cell r="A1251">
            <v>53401048</v>
          </cell>
          <cell r="B1251" t="str">
            <v>РЕФРИЖЕРАТОРНАЯ КОМПАНИЯ</v>
          </cell>
          <cell r="C1251" t="str">
            <v>ВОЛКОВСКАЯ   (ОКТ)</v>
          </cell>
          <cell r="D1251">
            <v>30682</v>
          </cell>
          <cell r="E1251">
            <v>36537</v>
          </cell>
          <cell r="F1251">
            <v>897</v>
          </cell>
          <cell r="G1251">
            <v>37643</v>
          </cell>
          <cell r="H1251">
            <v>897</v>
          </cell>
          <cell r="I1251" t="str">
            <v>деп</v>
          </cell>
          <cell r="J1251">
            <v>38190</v>
          </cell>
        </row>
        <row r="1252">
          <cell r="A1252">
            <v>53401055</v>
          </cell>
          <cell r="B1252" t="str">
            <v>РЕФРИЖЕРАТОРНАЯ КОМПАНИЯ</v>
          </cell>
          <cell r="C1252" t="str">
            <v>ВОЛКОВСКАЯ   (ОКТ)</v>
          </cell>
          <cell r="D1252">
            <v>30713</v>
          </cell>
          <cell r="E1252">
            <v>36592</v>
          </cell>
          <cell r="F1252">
            <v>897</v>
          </cell>
          <cell r="G1252">
            <v>37651</v>
          </cell>
          <cell r="H1252">
            <v>897</v>
          </cell>
          <cell r="I1252" t="str">
            <v>деп</v>
          </cell>
          <cell r="J1252">
            <v>38198</v>
          </cell>
        </row>
        <row r="1253">
          <cell r="A1253">
            <v>53401063</v>
          </cell>
          <cell r="B1253" t="str">
            <v>РЕФРИЖЕРАТОРНАЯ КОМПАНИЯ</v>
          </cell>
          <cell r="C1253" t="str">
            <v>ВОЛКОВСКАЯ   (ОКТ)</v>
          </cell>
          <cell r="D1253">
            <v>30713</v>
          </cell>
          <cell r="E1253">
            <v>36476</v>
          </cell>
          <cell r="F1253">
            <v>897</v>
          </cell>
          <cell r="G1253">
            <v>37648</v>
          </cell>
          <cell r="H1253">
            <v>897</v>
          </cell>
          <cell r="I1253" t="str">
            <v>деп</v>
          </cell>
          <cell r="J1253">
            <v>38195</v>
          </cell>
        </row>
        <row r="1254">
          <cell r="A1254">
            <v>53401071</v>
          </cell>
          <cell r="B1254" t="str">
            <v>РЕФРИЖЕРАТОРНАЯ КОМПАНИЯ</v>
          </cell>
          <cell r="C1254" t="str">
            <v>ВОЛКОВСКАЯ   (ОКТ)</v>
          </cell>
          <cell r="D1254">
            <v>31444</v>
          </cell>
          <cell r="E1254">
            <v>36340</v>
          </cell>
          <cell r="F1254">
            <v>897</v>
          </cell>
          <cell r="G1254">
            <v>37656</v>
          </cell>
          <cell r="H1254">
            <v>897</v>
          </cell>
          <cell r="I1254" t="str">
            <v>деп</v>
          </cell>
          <cell r="J1254">
            <v>38172</v>
          </cell>
        </row>
        <row r="1255">
          <cell r="A1255">
            <v>53401089</v>
          </cell>
          <cell r="B1255" t="str">
            <v>РЕФРИЖЕРАТОРНАЯ КОМПАНИЯ</v>
          </cell>
          <cell r="C1255" t="str">
            <v>ВОЛКОВСКАЯ   (ОКТ)</v>
          </cell>
          <cell r="D1255">
            <v>31472</v>
          </cell>
          <cell r="E1255">
            <v>36657</v>
          </cell>
          <cell r="F1255">
            <v>897</v>
          </cell>
          <cell r="G1255">
            <v>37657</v>
          </cell>
          <cell r="H1255">
            <v>897</v>
          </cell>
          <cell r="I1255" t="str">
            <v>деп</v>
          </cell>
          <cell r="J1255">
            <v>38173</v>
          </cell>
        </row>
        <row r="1256">
          <cell r="A1256">
            <v>53401105</v>
          </cell>
          <cell r="B1256" t="str">
            <v>РЕФРИЖЕРАТОРНАЯ КОМПАНИЯ</v>
          </cell>
          <cell r="C1256" t="str">
            <v>ВОЛКОВСКАЯ   (ОКТ)</v>
          </cell>
          <cell r="D1256">
            <v>31717</v>
          </cell>
          <cell r="E1256">
            <v>36504</v>
          </cell>
          <cell r="F1256">
            <v>897</v>
          </cell>
          <cell r="G1256">
            <v>37645</v>
          </cell>
          <cell r="H1256">
            <v>897</v>
          </cell>
          <cell r="I1256" t="str">
            <v>деп</v>
          </cell>
          <cell r="J1256">
            <v>38192</v>
          </cell>
        </row>
        <row r="1257">
          <cell r="A1257">
            <v>53401170</v>
          </cell>
          <cell r="B1257" t="str">
            <v>РЕФРИЖЕРАТОРНАЯ КОМПАНИЯ</v>
          </cell>
          <cell r="C1257" t="str">
            <v>ВОЛКОВСКАЯ   (ОКТ)</v>
          </cell>
          <cell r="D1257">
            <v>30621</v>
          </cell>
          <cell r="E1257">
            <v>37685</v>
          </cell>
          <cell r="F1257">
            <v>897</v>
          </cell>
          <cell r="G1257">
            <v>36279</v>
          </cell>
          <cell r="H1257">
            <v>897</v>
          </cell>
          <cell r="I1257" t="str">
            <v>деп</v>
          </cell>
          <cell r="J1257">
            <v>38235</v>
          </cell>
        </row>
        <row r="1258">
          <cell r="A1258">
            <v>53401188</v>
          </cell>
          <cell r="B1258" t="str">
            <v>РЕФРИЖЕРАТОРНАЯ КОМПАНИЯ</v>
          </cell>
          <cell r="C1258" t="str">
            <v>ВОЛКОВСКАЯ   (ОКТ)</v>
          </cell>
          <cell r="D1258">
            <v>30651</v>
          </cell>
          <cell r="E1258">
            <v>37679</v>
          </cell>
          <cell r="F1258">
            <v>897</v>
          </cell>
          <cell r="G1258">
            <v>36257</v>
          </cell>
          <cell r="H1258">
            <v>897</v>
          </cell>
          <cell r="I1258" t="str">
            <v>деп</v>
          </cell>
          <cell r="J1258">
            <v>38226</v>
          </cell>
        </row>
        <row r="1259">
          <cell r="A1259">
            <v>53401204</v>
          </cell>
          <cell r="B1259" t="str">
            <v>РЕФРИЖЕРАТОРНАЯ КОМПАНИЯ</v>
          </cell>
          <cell r="C1259" t="str">
            <v>ВОЛКОВСКАЯ   (ОКТ)</v>
          </cell>
          <cell r="D1259">
            <v>30651</v>
          </cell>
          <cell r="E1259">
            <v>37694</v>
          </cell>
          <cell r="F1259">
            <v>897</v>
          </cell>
          <cell r="G1259">
            <v>36333</v>
          </cell>
          <cell r="H1259">
            <v>897</v>
          </cell>
          <cell r="I1259" t="str">
            <v>деп</v>
          </cell>
          <cell r="J1259">
            <v>38244</v>
          </cell>
        </row>
        <row r="1260">
          <cell r="A1260">
            <v>53401212</v>
          </cell>
          <cell r="B1260" t="str">
            <v>РЕФРИЖЕРАТОРНАЯ КОМПАНИЯ</v>
          </cell>
          <cell r="C1260" t="str">
            <v>ВОЛКОВСКАЯ   (ОКТ)</v>
          </cell>
          <cell r="D1260">
            <v>31321</v>
          </cell>
          <cell r="E1260">
            <v>36623</v>
          </cell>
          <cell r="F1260">
            <v>897</v>
          </cell>
          <cell r="G1260">
            <v>37691</v>
          </cell>
          <cell r="H1260">
            <v>897</v>
          </cell>
          <cell r="I1260" t="str">
            <v>деп</v>
          </cell>
          <cell r="J1260">
            <v>38241</v>
          </cell>
        </row>
        <row r="1261">
          <cell r="A1261">
            <v>53401329</v>
          </cell>
          <cell r="B1261" t="str">
            <v>РЕФРИЖЕРАТОРНАЯ КОМПАНИЯ</v>
          </cell>
          <cell r="C1261" t="str">
            <v>ВОЛКОВСКАЯ   (ОКТ)</v>
          </cell>
          <cell r="D1261">
            <v>30621</v>
          </cell>
          <cell r="E1261">
            <v>37685</v>
          </cell>
          <cell r="F1261">
            <v>897</v>
          </cell>
          <cell r="G1261">
            <v>36279</v>
          </cell>
          <cell r="H1261">
            <v>897</v>
          </cell>
          <cell r="I1261" t="str">
            <v>деп</v>
          </cell>
          <cell r="J1261">
            <v>38235</v>
          </cell>
        </row>
        <row r="1262">
          <cell r="A1262">
            <v>53401337</v>
          </cell>
          <cell r="B1262" t="str">
            <v>РЕФРИЖЕРАТОРНАЯ КОМПАНИЯ</v>
          </cell>
          <cell r="C1262" t="str">
            <v>ВОЛКОВСКАЯ   (ОКТ)</v>
          </cell>
          <cell r="D1262">
            <v>30651</v>
          </cell>
          <cell r="E1262">
            <v>37679</v>
          </cell>
          <cell r="F1262">
            <v>897</v>
          </cell>
          <cell r="G1262">
            <v>35892</v>
          </cell>
          <cell r="H1262">
            <v>897</v>
          </cell>
          <cell r="I1262" t="str">
            <v>деп</v>
          </cell>
          <cell r="J1262">
            <v>38226</v>
          </cell>
        </row>
        <row r="1263">
          <cell r="A1263">
            <v>53401345</v>
          </cell>
          <cell r="B1263" t="str">
            <v>РЕФРИЖЕРАТОРНАЯ КОМПАНИЯ</v>
          </cell>
          <cell r="C1263" t="str">
            <v>ВОЛКОВСКАЯ   (ОКТ)</v>
          </cell>
          <cell r="D1263">
            <v>30713</v>
          </cell>
          <cell r="E1263">
            <v>37694</v>
          </cell>
          <cell r="F1263">
            <v>897</v>
          </cell>
          <cell r="G1263">
            <v>36333</v>
          </cell>
          <cell r="H1263">
            <v>897</v>
          </cell>
          <cell r="I1263" t="str">
            <v>кап</v>
          </cell>
          <cell r="J1263">
            <v>38244</v>
          </cell>
        </row>
        <row r="1264">
          <cell r="A1264">
            <v>53700605</v>
          </cell>
          <cell r="B1264" t="str">
            <v>РЕФРИЖЕРАТОРНАЯ КОМПАНИЯ</v>
          </cell>
          <cell r="C1264" t="str">
            <v>ВОЛКОВСКАЯ   (ОКТ)</v>
          </cell>
          <cell r="D1264">
            <v>33178</v>
          </cell>
          <cell r="E1264">
            <v>37985</v>
          </cell>
          <cell r="F1264">
            <v>163</v>
          </cell>
          <cell r="G1264">
            <v>37256</v>
          </cell>
          <cell r="H1264">
            <v>819</v>
          </cell>
          <cell r="I1264" t="str">
            <v>деп</v>
          </cell>
          <cell r="J1264">
            <v>39081</v>
          </cell>
        </row>
        <row r="1265">
          <cell r="A1265">
            <v>53700613</v>
          </cell>
          <cell r="B1265" t="str">
            <v>РЕФРИЖЕРАТОРНАЯ КОМПАНИЯ</v>
          </cell>
          <cell r="C1265" t="str">
            <v>ВОЛКОВСКАЯ   (ОКТ)</v>
          </cell>
          <cell r="D1265">
            <v>33178</v>
          </cell>
          <cell r="E1265">
            <v>37701</v>
          </cell>
          <cell r="F1265">
            <v>886</v>
          </cell>
          <cell r="H1265">
            <v>0</v>
          </cell>
          <cell r="I1265" t="str">
            <v>кап</v>
          </cell>
          <cell r="J1265">
            <v>38797</v>
          </cell>
        </row>
        <row r="1266">
          <cell r="A1266">
            <v>53701546</v>
          </cell>
          <cell r="B1266" t="str">
            <v>РЕФРИЖЕРАТОРНАЯ КОМПАНИЯ</v>
          </cell>
          <cell r="C1266" t="str">
            <v>ВОЛКОВСКАЯ   (ОКТ)</v>
          </cell>
          <cell r="D1266">
            <v>33239</v>
          </cell>
          <cell r="E1266">
            <v>37824</v>
          </cell>
          <cell r="F1266">
            <v>163</v>
          </cell>
          <cell r="H1266">
            <v>0</v>
          </cell>
          <cell r="I1266" t="str">
            <v>кап</v>
          </cell>
          <cell r="J1266">
            <v>38920</v>
          </cell>
        </row>
        <row r="1267">
          <cell r="A1267">
            <v>53706933</v>
          </cell>
          <cell r="B1267" t="str">
            <v>РЕФРИЖЕРАТОРНАЯ КОМПАНИЯ</v>
          </cell>
          <cell r="C1267" t="str">
            <v>ВОЛКОВСКАЯ   (ОКТ)</v>
          </cell>
          <cell r="D1267">
            <v>31444</v>
          </cell>
          <cell r="E1267">
            <v>37377</v>
          </cell>
          <cell r="F1267">
            <v>341</v>
          </cell>
          <cell r="G1267">
            <v>37981</v>
          </cell>
          <cell r="H1267">
            <v>886</v>
          </cell>
          <cell r="I1267" t="str">
            <v>деп</v>
          </cell>
          <cell r="J1267">
            <v>38529</v>
          </cell>
        </row>
        <row r="1268">
          <cell r="A1268">
            <v>53706941</v>
          </cell>
          <cell r="B1268" t="str">
            <v>РЕФРИЖЕРАТОРНАЯ КОМПАНИЯ</v>
          </cell>
          <cell r="C1268" t="str">
            <v>ВОЛКОВСКАЯ   (ОКТ)</v>
          </cell>
          <cell r="D1268">
            <v>31472</v>
          </cell>
          <cell r="E1268">
            <v>36602</v>
          </cell>
          <cell r="F1268">
            <v>886</v>
          </cell>
          <cell r="G1268">
            <v>37981</v>
          </cell>
          <cell r="H1268">
            <v>886</v>
          </cell>
          <cell r="I1268" t="str">
            <v>деп</v>
          </cell>
          <cell r="J1268">
            <v>38529</v>
          </cell>
        </row>
        <row r="1269">
          <cell r="A1269">
            <v>58000175</v>
          </cell>
          <cell r="B1269" t="str">
            <v>РЕФРИЖЕРАТОРНАЯ КОМПАНИЯ</v>
          </cell>
          <cell r="C1269" t="str">
            <v>ВОЛКОВСКАЯ   (ОКТ)</v>
          </cell>
          <cell r="D1269">
            <v>33329</v>
          </cell>
          <cell r="E1269">
            <v>37520</v>
          </cell>
          <cell r="F1269">
            <v>1058</v>
          </cell>
          <cell r="H1269">
            <v>0</v>
          </cell>
          <cell r="I1269" t="str">
            <v>деп</v>
          </cell>
          <cell r="J1269">
            <v>38251</v>
          </cell>
        </row>
        <row r="1270">
          <cell r="A1270">
            <v>58000183</v>
          </cell>
          <cell r="B1270" t="str">
            <v>РЕФРИЖЕРАТОРНАЯ КОМПАНИЯ</v>
          </cell>
          <cell r="C1270" t="str">
            <v>ВОЛКОВСКАЯ   (ОКТ)</v>
          </cell>
          <cell r="D1270">
            <v>33329</v>
          </cell>
          <cell r="E1270">
            <v>37501</v>
          </cell>
          <cell r="F1270">
            <v>1058</v>
          </cell>
          <cell r="H1270">
            <v>0</v>
          </cell>
          <cell r="I1270" t="str">
            <v>деп</v>
          </cell>
          <cell r="J1270">
            <v>38232</v>
          </cell>
        </row>
        <row r="1271">
          <cell r="A1271">
            <v>58000209</v>
          </cell>
          <cell r="B1271" t="str">
            <v>РЕФРИЖЕРАТОРНАЯ КОМПАНИЯ</v>
          </cell>
          <cell r="C1271" t="str">
            <v>ВОЛКОВСКАЯ   (ОКТ)</v>
          </cell>
          <cell r="D1271">
            <v>33329</v>
          </cell>
          <cell r="E1271">
            <v>37500</v>
          </cell>
          <cell r="F1271">
            <v>1058</v>
          </cell>
          <cell r="H1271">
            <v>0</v>
          </cell>
          <cell r="I1271" t="str">
            <v>деп</v>
          </cell>
          <cell r="J1271">
            <v>38231</v>
          </cell>
        </row>
        <row r="1272">
          <cell r="A1272">
            <v>58000217</v>
          </cell>
          <cell r="B1272" t="str">
            <v>РЕФРИЖЕРАТОРНАЯ КОМПАНИЯ</v>
          </cell>
          <cell r="C1272" t="str">
            <v>ВОЛКОВСКАЯ   (ОКТ)</v>
          </cell>
          <cell r="D1272">
            <v>33329</v>
          </cell>
          <cell r="E1272">
            <v>37491</v>
          </cell>
          <cell r="F1272">
            <v>1058</v>
          </cell>
          <cell r="H1272">
            <v>0</v>
          </cell>
          <cell r="I1272" t="str">
            <v>деп</v>
          </cell>
          <cell r="J1272">
            <v>38222</v>
          </cell>
        </row>
        <row r="1273">
          <cell r="A1273">
            <v>58000225</v>
          </cell>
          <cell r="B1273" t="str">
            <v>РЕФРИЖЕРАТОРНАЯ КОМПАНИЯ</v>
          </cell>
          <cell r="C1273" t="str">
            <v>ВОЛКОВСКАЯ   (ОКТ)</v>
          </cell>
          <cell r="D1273">
            <v>33329</v>
          </cell>
          <cell r="E1273">
            <v>37500</v>
          </cell>
          <cell r="F1273">
            <v>1058</v>
          </cell>
          <cell r="H1273">
            <v>0</v>
          </cell>
          <cell r="I1273" t="str">
            <v>деп</v>
          </cell>
          <cell r="J1273">
            <v>38231</v>
          </cell>
        </row>
        <row r="1274">
          <cell r="A1274">
            <v>58000233</v>
          </cell>
          <cell r="B1274" t="str">
            <v>РЕФРИЖЕРАТОРНАЯ КОМПАНИЯ</v>
          </cell>
          <cell r="C1274" t="str">
            <v>ВОЛКОВСКАЯ   (ОКТ)</v>
          </cell>
          <cell r="D1274">
            <v>33329</v>
          </cell>
          <cell r="E1274">
            <v>37516</v>
          </cell>
          <cell r="F1274">
            <v>1058</v>
          </cell>
          <cell r="H1274">
            <v>0</v>
          </cell>
          <cell r="I1274" t="str">
            <v>деп</v>
          </cell>
          <cell r="J1274">
            <v>38247</v>
          </cell>
        </row>
        <row r="1275">
          <cell r="A1275">
            <v>58000241</v>
          </cell>
          <cell r="B1275" t="str">
            <v>РЕФРИЖЕРАТОРНАЯ КОМПАНИЯ</v>
          </cell>
          <cell r="C1275" t="str">
            <v>ВОЛКОВСКАЯ   (ОКТ)</v>
          </cell>
          <cell r="D1275">
            <v>33329</v>
          </cell>
          <cell r="E1275">
            <v>37803</v>
          </cell>
          <cell r="F1275">
            <v>1099</v>
          </cell>
          <cell r="H1275">
            <v>0</v>
          </cell>
          <cell r="I1275" t="str">
            <v>деп</v>
          </cell>
          <cell r="J1275">
            <v>38534</v>
          </cell>
        </row>
        <row r="1276">
          <cell r="A1276">
            <v>58000258</v>
          </cell>
          <cell r="B1276" t="str">
            <v>РЕФРИЖЕРАТОРНАЯ КОМПАНИЯ</v>
          </cell>
          <cell r="C1276" t="str">
            <v>ВОЛКОВСКАЯ   (ОКТ)</v>
          </cell>
          <cell r="D1276">
            <v>33329</v>
          </cell>
          <cell r="E1276">
            <v>37833</v>
          </cell>
          <cell r="F1276">
            <v>1099</v>
          </cell>
          <cell r="H1276">
            <v>0</v>
          </cell>
          <cell r="I1276" t="str">
            <v>деп</v>
          </cell>
          <cell r="J1276">
            <v>38564</v>
          </cell>
        </row>
        <row r="1277">
          <cell r="A1277">
            <v>58000266</v>
          </cell>
          <cell r="B1277" t="str">
            <v>РЕФРИЖЕРАТОРНАЯ КОМПАНИЯ</v>
          </cell>
          <cell r="C1277" t="str">
            <v>ВОЛКОВСКАЯ   (ОКТ)</v>
          </cell>
          <cell r="D1277">
            <v>33329</v>
          </cell>
          <cell r="E1277">
            <v>37823</v>
          </cell>
          <cell r="F1277">
            <v>1099</v>
          </cell>
          <cell r="H1277">
            <v>0</v>
          </cell>
          <cell r="I1277" t="str">
            <v>деп</v>
          </cell>
          <cell r="J1277">
            <v>38554</v>
          </cell>
        </row>
        <row r="1278">
          <cell r="A1278">
            <v>58000274</v>
          </cell>
          <cell r="B1278" t="str">
            <v>РЕФРИЖЕРАТОРНАЯ КОМПАНИЯ</v>
          </cell>
          <cell r="C1278" t="str">
            <v>ВОЛКОВСКАЯ   (ОКТ)</v>
          </cell>
          <cell r="D1278">
            <v>33329</v>
          </cell>
          <cell r="E1278">
            <v>37826</v>
          </cell>
          <cell r="F1278">
            <v>1099</v>
          </cell>
          <cell r="H1278">
            <v>0</v>
          </cell>
          <cell r="I1278" t="str">
            <v>деп</v>
          </cell>
          <cell r="J1278">
            <v>38557</v>
          </cell>
        </row>
        <row r="1279">
          <cell r="A1279">
            <v>58000282</v>
          </cell>
          <cell r="B1279" t="str">
            <v>РЕФРИЖЕРАТОРНАЯ КОМПАНИЯ</v>
          </cell>
          <cell r="C1279" t="str">
            <v>ВОЛКОВСКАЯ   (ОКТ)</v>
          </cell>
          <cell r="D1279">
            <v>33329</v>
          </cell>
          <cell r="E1279">
            <v>37501</v>
          </cell>
          <cell r="F1279">
            <v>1058</v>
          </cell>
          <cell r="H1279">
            <v>0</v>
          </cell>
          <cell r="I1279" t="str">
            <v>деп</v>
          </cell>
          <cell r="J1279">
            <v>38232</v>
          </cell>
        </row>
        <row r="1280">
          <cell r="A1280">
            <v>58000308</v>
          </cell>
          <cell r="B1280" t="str">
            <v>РЕФРИЖЕРАТОРНАЯ КОМПАНИЯ</v>
          </cell>
          <cell r="C1280" t="str">
            <v>ВОЛКОВСКАЯ   (ОКТ)</v>
          </cell>
          <cell r="D1280">
            <v>33329</v>
          </cell>
          <cell r="E1280">
            <v>37803</v>
          </cell>
          <cell r="F1280">
            <v>1099</v>
          </cell>
          <cell r="H1280">
            <v>0</v>
          </cell>
          <cell r="I1280" t="str">
            <v>деп</v>
          </cell>
          <cell r="J1280">
            <v>38534</v>
          </cell>
        </row>
        <row r="1281">
          <cell r="A1281">
            <v>58000316</v>
          </cell>
          <cell r="B1281" t="str">
            <v>РЕФРИЖЕРАТОРНАЯ КОМПАНИЯ</v>
          </cell>
          <cell r="C1281" t="str">
            <v>ВОЛКОВСКАЯ   (ОКТ)</v>
          </cell>
          <cell r="D1281">
            <v>33329</v>
          </cell>
          <cell r="E1281">
            <v>37803</v>
          </cell>
          <cell r="F1281">
            <v>1099</v>
          </cell>
          <cell r="H1281">
            <v>0</v>
          </cell>
          <cell r="I1281" t="str">
            <v>деп</v>
          </cell>
          <cell r="J1281">
            <v>38534</v>
          </cell>
        </row>
        <row r="1282">
          <cell r="A1282">
            <v>58336447</v>
          </cell>
          <cell r="B1282" t="str">
            <v>РЕФРИЖЕРАТОРНАЯ КОМПАНИЯ</v>
          </cell>
          <cell r="C1282" t="str">
            <v>ВОЛКОВСКАЯ   (ОКТ)</v>
          </cell>
          <cell r="D1282">
            <v>33208</v>
          </cell>
          <cell r="E1282">
            <v>37985</v>
          </cell>
          <cell r="F1282">
            <v>163</v>
          </cell>
          <cell r="G1282">
            <v>37256</v>
          </cell>
          <cell r="H1282">
            <v>819</v>
          </cell>
          <cell r="I1282" t="str">
            <v>деп</v>
          </cell>
          <cell r="J1282">
            <v>38716</v>
          </cell>
        </row>
        <row r="1283">
          <cell r="A1283">
            <v>58336454</v>
          </cell>
          <cell r="B1283" t="str">
            <v>РЕФРИЖЕРАТОРНАЯ КОМПАНИЯ</v>
          </cell>
          <cell r="C1283" t="str">
            <v>ВОЛКОВСКАЯ   (ОКТ)</v>
          </cell>
          <cell r="D1283">
            <v>33208</v>
          </cell>
          <cell r="E1283">
            <v>37985</v>
          </cell>
          <cell r="F1283">
            <v>163</v>
          </cell>
          <cell r="G1283">
            <v>37256</v>
          </cell>
          <cell r="H1283">
            <v>819</v>
          </cell>
          <cell r="I1283" t="str">
            <v>деп</v>
          </cell>
          <cell r="J1283">
            <v>38716</v>
          </cell>
        </row>
        <row r="1284">
          <cell r="A1284">
            <v>58336462</v>
          </cell>
          <cell r="B1284" t="str">
            <v>РЕФРИЖЕРАТОРНАЯ КОМПАНИЯ</v>
          </cell>
          <cell r="C1284" t="str">
            <v>ВОЛКОВСКАЯ   (ОКТ)</v>
          </cell>
          <cell r="D1284">
            <v>33208</v>
          </cell>
          <cell r="E1284">
            <v>37985</v>
          </cell>
          <cell r="F1284">
            <v>163</v>
          </cell>
          <cell r="G1284">
            <v>37256</v>
          </cell>
          <cell r="H1284">
            <v>819</v>
          </cell>
          <cell r="I1284" t="str">
            <v>деп</v>
          </cell>
          <cell r="J1284">
            <v>38716</v>
          </cell>
        </row>
        <row r="1285">
          <cell r="A1285">
            <v>58336470</v>
          </cell>
          <cell r="B1285" t="str">
            <v>РЕФРИЖЕРАТОРНАЯ КОМПАНИЯ</v>
          </cell>
          <cell r="C1285" t="str">
            <v>ВОЛКОВСКАЯ   (ОКТ)</v>
          </cell>
          <cell r="D1285">
            <v>33208</v>
          </cell>
          <cell r="E1285">
            <v>37985</v>
          </cell>
          <cell r="F1285">
            <v>163</v>
          </cell>
          <cell r="G1285">
            <v>37256</v>
          </cell>
          <cell r="H1285">
            <v>819</v>
          </cell>
          <cell r="I1285" t="str">
            <v>деп</v>
          </cell>
          <cell r="J1285">
            <v>38716</v>
          </cell>
        </row>
        <row r="1286">
          <cell r="A1286">
            <v>58336488</v>
          </cell>
          <cell r="B1286" t="str">
            <v>РЕФРИЖЕРАТОРНАЯ КОМПАНИЯ</v>
          </cell>
          <cell r="C1286" t="str">
            <v>ВОЛКОВСКАЯ   (ОКТ)</v>
          </cell>
          <cell r="D1286">
            <v>33178</v>
          </cell>
          <cell r="E1286">
            <v>37701</v>
          </cell>
          <cell r="F1286">
            <v>886</v>
          </cell>
          <cell r="H1286">
            <v>0</v>
          </cell>
          <cell r="I1286" t="str">
            <v>деп</v>
          </cell>
          <cell r="J1286">
            <v>38432</v>
          </cell>
        </row>
        <row r="1287">
          <cell r="A1287">
            <v>58336496</v>
          </cell>
          <cell r="B1287" t="str">
            <v>РЕФРИЖЕРАТОРНАЯ КОМПАНИЯ</v>
          </cell>
          <cell r="C1287" t="str">
            <v>ВОЛКОВСКАЯ   (ОКТ)</v>
          </cell>
          <cell r="D1287">
            <v>33208</v>
          </cell>
          <cell r="E1287">
            <v>37701</v>
          </cell>
          <cell r="F1287">
            <v>886</v>
          </cell>
          <cell r="H1287">
            <v>0</v>
          </cell>
          <cell r="I1287" t="str">
            <v>деп</v>
          </cell>
          <cell r="J1287">
            <v>38432</v>
          </cell>
        </row>
        <row r="1288">
          <cell r="A1288">
            <v>58336504</v>
          </cell>
          <cell r="B1288" t="str">
            <v>РЕФРИЖЕРАТОРНАЯ КОМПАНИЯ</v>
          </cell>
          <cell r="C1288" t="str">
            <v>ВОЛКОВСКАЯ   (ОКТ)</v>
          </cell>
          <cell r="D1288">
            <v>33208</v>
          </cell>
          <cell r="E1288">
            <v>37701</v>
          </cell>
          <cell r="F1288">
            <v>886</v>
          </cell>
          <cell r="H1288">
            <v>0</v>
          </cell>
          <cell r="I1288" t="str">
            <v>деп</v>
          </cell>
          <cell r="J1288">
            <v>38432</v>
          </cell>
        </row>
        <row r="1289">
          <cell r="A1289">
            <v>58336512</v>
          </cell>
          <cell r="B1289" t="str">
            <v>РЕФРИЖЕРАТОРНАЯ КОМПАНИЯ</v>
          </cell>
          <cell r="C1289" t="str">
            <v>ВОЛКОВСКАЯ   (ОКТ)</v>
          </cell>
          <cell r="D1289">
            <v>33208</v>
          </cell>
          <cell r="E1289">
            <v>37701</v>
          </cell>
          <cell r="F1289">
            <v>886</v>
          </cell>
          <cell r="H1289">
            <v>0</v>
          </cell>
          <cell r="I1289" t="str">
            <v>деп</v>
          </cell>
          <cell r="J1289">
            <v>38432</v>
          </cell>
        </row>
        <row r="1290">
          <cell r="A1290">
            <v>58338419</v>
          </cell>
          <cell r="B1290" t="str">
            <v>РЕФРИЖЕРАТОРНАЯ КОМПАНИЯ</v>
          </cell>
          <cell r="C1290" t="str">
            <v>ВОЛКОВСКАЯ   (ОКТ)</v>
          </cell>
          <cell r="D1290">
            <v>33239</v>
          </cell>
          <cell r="E1290">
            <v>37824</v>
          </cell>
          <cell r="F1290">
            <v>163</v>
          </cell>
          <cell r="H1290">
            <v>0</v>
          </cell>
          <cell r="I1290" t="str">
            <v>деп</v>
          </cell>
          <cell r="J1290">
            <v>38555</v>
          </cell>
        </row>
        <row r="1291">
          <cell r="A1291">
            <v>58338427</v>
          </cell>
          <cell r="B1291" t="str">
            <v>РЕФРИЖЕРАТОРНАЯ КОМПАНИЯ</v>
          </cell>
          <cell r="C1291" t="str">
            <v>ВОЛКОВСКАЯ   (ОКТ)</v>
          </cell>
          <cell r="D1291">
            <v>33239</v>
          </cell>
          <cell r="E1291">
            <v>37824</v>
          </cell>
          <cell r="F1291">
            <v>163</v>
          </cell>
          <cell r="H1291">
            <v>0</v>
          </cell>
          <cell r="I1291" t="str">
            <v>деп</v>
          </cell>
          <cell r="J1291">
            <v>38555</v>
          </cell>
        </row>
        <row r="1292">
          <cell r="A1292">
            <v>58338435</v>
          </cell>
          <cell r="B1292" t="str">
            <v>РЕФРИЖЕРАТОРНАЯ КОМПАНИЯ</v>
          </cell>
          <cell r="C1292" t="str">
            <v>ВОЛКОВСКАЯ   (ОКТ)</v>
          </cell>
          <cell r="D1292">
            <v>33239</v>
          </cell>
          <cell r="E1292">
            <v>37824</v>
          </cell>
          <cell r="F1292">
            <v>163</v>
          </cell>
          <cell r="H1292">
            <v>0</v>
          </cell>
          <cell r="I1292" t="str">
            <v>деп</v>
          </cell>
          <cell r="J1292">
            <v>38555</v>
          </cell>
        </row>
        <row r="1293">
          <cell r="A1293">
            <v>58338443</v>
          </cell>
          <cell r="B1293" t="str">
            <v>РЕФРИЖЕРАТОРНАЯ КОМПАНИЯ</v>
          </cell>
          <cell r="C1293" t="str">
            <v>ВОЛКОВСКАЯ   (ОКТ)</v>
          </cell>
          <cell r="D1293">
            <v>33239</v>
          </cell>
          <cell r="E1293">
            <v>37824</v>
          </cell>
          <cell r="F1293">
            <v>163</v>
          </cell>
          <cell r="H1293">
            <v>0</v>
          </cell>
          <cell r="I1293" t="str">
            <v>деп</v>
          </cell>
          <cell r="J1293">
            <v>38555</v>
          </cell>
        </row>
        <row r="1294">
          <cell r="A1294">
            <v>58728924</v>
          </cell>
          <cell r="B1294" t="str">
            <v>РЕФРИЖЕРАТОРНАЯ КОМПАНИЯ</v>
          </cell>
          <cell r="C1294" t="str">
            <v>ВОЛКОВСКАЯ   (ОКТ)</v>
          </cell>
          <cell r="D1294">
            <v>29465</v>
          </cell>
          <cell r="E1294">
            <v>37894</v>
          </cell>
          <cell r="F1294">
            <v>792</v>
          </cell>
          <cell r="G1294">
            <v>37102</v>
          </cell>
          <cell r="H1294">
            <v>330</v>
          </cell>
          <cell r="I1294" t="str">
            <v>деп</v>
          </cell>
          <cell r="J1294">
            <v>38321</v>
          </cell>
        </row>
        <row r="1295">
          <cell r="A1295">
            <v>58728932</v>
          </cell>
          <cell r="B1295" t="str">
            <v>РЕФРИЖЕРАТОРНАЯ КОМПАНИЯ</v>
          </cell>
          <cell r="C1295" t="str">
            <v>ВОЛКОВСКАЯ   (ОКТ)</v>
          </cell>
          <cell r="D1295">
            <v>29465</v>
          </cell>
          <cell r="E1295">
            <v>37894</v>
          </cell>
          <cell r="F1295">
            <v>792</v>
          </cell>
          <cell r="G1295">
            <v>37099</v>
          </cell>
          <cell r="H1295">
            <v>330</v>
          </cell>
          <cell r="I1295" t="str">
            <v>деп</v>
          </cell>
          <cell r="J1295">
            <v>38321</v>
          </cell>
        </row>
        <row r="1296">
          <cell r="A1296">
            <v>58728940</v>
          </cell>
          <cell r="B1296" t="str">
            <v>РЕФРИЖЕРАТОРНАЯ КОМПАНИЯ</v>
          </cell>
          <cell r="C1296" t="str">
            <v>ВОЛКОВСКАЯ   (ОКТ)</v>
          </cell>
          <cell r="D1296">
            <v>29465</v>
          </cell>
          <cell r="E1296">
            <v>37894</v>
          </cell>
          <cell r="F1296">
            <v>792</v>
          </cell>
          <cell r="G1296">
            <v>37103</v>
          </cell>
          <cell r="H1296">
            <v>330</v>
          </cell>
          <cell r="I1296" t="str">
            <v>деп</v>
          </cell>
          <cell r="J1296">
            <v>38321</v>
          </cell>
        </row>
        <row r="1297">
          <cell r="A1297">
            <v>58728957</v>
          </cell>
          <cell r="B1297" t="str">
            <v>РЕФРИЖЕРАТОРНАЯ КОМПАНИЯ</v>
          </cell>
          <cell r="C1297" t="str">
            <v>ВОЛКОВСКАЯ   (ОКТ)</v>
          </cell>
          <cell r="D1297">
            <v>29465</v>
          </cell>
          <cell r="E1297">
            <v>37894</v>
          </cell>
          <cell r="F1297">
            <v>792</v>
          </cell>
          <cell r="G1297">
            <v>37103</v>
          </cell>
          <cell r="H1297">
            <v>330</v>
          </cell>
          <cell r="I1297" t="str">
            <v>деп</v>
          </cell>
          <cell r="J1297">
            <v>38321</v>
          </cell>
        </row>
        <row r="1298">
          <cell r="A1298">
            <v>58728965</v>
          </cell>
          <cell r="B1298" t="str">
            <v>РЕФРИЖЕРАТОРНАЯ КОМПАНИЯ</v>
          </cell>
          <cell r="C1298" t="str">
            <v>ВОЛКОВСКАЯ   (ОКТ)</v>
          </cell>
          <cell r="D1298">
            <v>29495</v>
          </cell>
          <cell r="E1298">
            <v>37183</v>
          </cell>
          <cell r="F1298">
            <v>352</v>
          </cell>
          <cell r="H1298">
            <v>0</v>
          </cell>
          <cell r="I1298" t="str">
            <v>деп</v>
          </cell>
          <cell r="J1298">
            <v>37950</v>
          </cell>
        </row>
        <row r="1299">
          <cell r="A1299">
            <v>58728973</v>
          </cell>
          <cell r="B1299" t="str">
            <v>РЕФРИЖЕРАТОРНАЯ КОМПАНИЯ</v>
          </cell>
          <cell r="C1299" t="str">
            <v>ВОЛКОВСКАЯ   (ОКТ)</v>
          </cell>
          <cell r="D1299">
            <v>29495</v>
          </cell>
          <cell r="E1299">
            <v>37183</v>
          </cell>
          <cell r="F1299">
            <v>352</v>
          </cell>
          <cell r="H1299">
            <v>0</v>
          </cell>
          <cell r="I1299" t="str">
            <v>деп</v>
          </cell>
          <cell r="J1299">
            <v>37950</v>
          </cell>
        </row>
        <row r="1300">
          <cell r="A1300">
            <v>58728981</v>
          </cell>
          <cell r="B1300" t="str">
            <v>РЕФРИЖЕРАТОРНАЯ КОМПАНИЯ</v>
          </cell>
          <cell r="C1300" t="str">
            <v>ВОЛКОВСКАЯ   (ОКТ)</v>
          </cell>
          <cell r="D1300">
            <v>29495</v>
          </cell>
          <cell r="E1300">
            <v>37183</v>
          </cell>
          <cell r="F1300">
            <v>352</v>
          </cell>
          <cell r="H1300">
            <v>0</v>
          </cell>
          <cell r="I1300" t="str">
            <v>деп</v>
          </cell>
          <cell r="J1300">
            <v>37950</v>
          </cell>
        </row>
        <row r="1301">
          <cell r="A1301">
            <v>58729005</v>
          </cell>
          <cell r="B1301" t="str">
            <v>РЕФРИЖЕРАТОРНАЯ КОМПАНИЯ</v>
          </cell>
          <cell r="C1301" t="str">
            <v>ВОЛКОВСКАЯ   (ОКТ)</v>
          </cell>
          <cell r="D1301">
            <v>29495</v>
          </cell>
          <cell r="E1301">
            <v>37183</v>
          </cell>
          <cell r="F1301">
            <v>352</v>
          </cell>
          <cell r="H1301">
            <v>0</v>
          </cell>
          <cell r="I1301" t="str">
            <v>деп</v>
          </cell>
          <cell r="J1301">
            <v>37950</v>
          </cell>
        </row>
        <row r="1302">
          <cell r="A1302">
            <v>58729013</v>
          </cell>
          <cell r="B1302" t="str">
            <v>РЕФРИЖЕРАТОРНАЯ КОМПАНИЯ</v>
          </cell>
          <cell r="C1302" t="str">
            <v>ВОЛКОВСКАЯ   (ОКТ)</v>
          </cell>
          <cell r="D1302">
            <v>29526</v>
          </cell>
          <cell r="E1302">
            <v>37964</v>
          </cell>
          <cell r="F1302">
            <v>350</v>
          </cell>
          <cell r="H1302">
            <v>0</v>
          </cell>
          <cell r="I1302" t="str">
            <v>кап</v>
          </cell>
          <cell r="J1302">
            <v>38392</v>
          </cell>
        </row>
        <row r="1303">
          <cell r="A1303">
            <v>58729021</v>
          </cell>
          <cell r="B1303" t="str">
            <v>РЕФРИЖЕРАТОРНАЯ КОМПАНИЯ</v>
          </cell>
          <cell r="C1303" t="str">
            <v>ВОЛКОВСКАЯ   (ОКТ)</v>
          </cell>
          <cell r="D1303">
            <v>29526</v>
          </cell>
          <cell r="E1303">
            <v>37964</v>
          </cell>
          <cell r="F1303">
            <v>350</v>
          </cell>
          <cell r="H1303">
            <v>0</v>
          </cell>
          <cell r="I1303" t="str">
            <v>кап</v>
          </cell>
          <cell r="J1303">
            <v>38392</v>
          </cell>
        </row>
        <row r="1304">
          <cell r="A1304">
            <v>58729039</v>
          </cell>
          <cell r="B1304" t="str">
            <v>РЕФРИЖЕРАТОРНАЯ КОМПАНИЯ</v>
          </cell>
          <cell r="C1304" t="str">
            <v>ВОЛКОВСКАЯ   (ОКТ)</v>
          </cell>
          <cell r="D1304">
            <v>29526</v>
          </cell>
          <cell r="E1304">
            <v>37964</v>
          </cell>
          <cell r="F1304">
            <v>350</v>
          </cell>
          <cell r="H1304">
            <v>0</v>
          </cell>
          <cell r="I1304" t="str">
            <v>кап</v>
          </cell>
          <cell r="J1304">
            <v>38392</v>
          </cell>
        </row>
        <row r="1305">
          <cell r="A1305">
            <v>58729047</v>
          </cell>
          <cell r="B1305" t="str">
            <v>РЕФРИЖЕРАТОРНАЯ КОМПАНИЯ</v>
          </cell>
          <cell r="C1305" t="str">
            <v>ВОЛКОВСКАЯ   (ОКТ)</v>
          </cell>
          <cell r="D1305">
            <v>29526</v>
          </cell>
          <cell r="E1305">
            <v>37133</v>
          </cell>
          <cell r="F1305">
            <v>323</v>
          </cell>
          <cell r="G1305">
            <v>37798</v>
          </cell>
          <cell r="H1305">
            <v>492</v>
          </cell>
          <cell r="I1305" t="str">
            <v>деп</v>
          </cell>
          <cell r="J1305">
            <v>38347</v>
          </cell>
        </row>
        <row r="1306">
          <cell r="A1306">
            <v>58729054</v>
          </cell>
          <cell r="B1306" t="str">
            <v>РЕФРИЖЕРАТОРНАЯ КОМПАНИЯ</v>
          </cell>
          <cell r="C1306" t="str">
            <v>ВОЛКОВСКАЯ   (ОКТ)</v>
          </cell>
          <cell r="D1306">
            <v>30621</v>
          </cell>
          <cell r="E1306">
            <v>37134</v>
          </cell>
          <cell r="F1306">
            <v>323</v>
          </cell>
          <cell r="G1306">
            <v>37795</v>
          </cell>
          <cell r="H1306">
            <v>492</v>
          </cell>
          <cell r="I1306" t="str">
            <v>деп</v>
          </cell>
          <cell r="J1306">
            <v>38344</v>
          </cell>
        </row>
        <row r="1307">
          <cell r="A1307">
            <v>58729062</v>
          </cell>
          <cell r="B1307" t="str">
            <v>РЕФРИЖЕРАТОРНАЯ КОМПАНИЯ</v>
          </cell>
          <cell r="C1307" t="str">
            <v>ВОЛКОВСКАЯ   (ОКТ)</v>
          </cell>
          <cell r="D1307">
            <v>30621</v>
          </cell>
          <cell r="E1307">
            <v>37134</v>
          </cell>
          <cell r="F1307">
            <v>323</v>
          </cell>
          <cell r="G1307">
            <v>37798</v>
          </cell>
          <cell r="H1307">
            <v>492</v>
          </cell>
          <cell r="I1307" t="str">
            <v>деп</v>
          </cell>
          <cell r="J1307">
            <v>38347</v>
          </cell>
        </row>
        <row r="1308">
          <cell r="A1308">
            <v>58729070</v>
          </cell>
          <cell r="B1308" t="str">
            <v>РЕФРИЖЕРАТОРНАЯ КОМПАНИЯ</v>
          </cell>
          <cell r="C1308" t="str">
            <v>ВОЛКОВСКАЯ   (ОКТ)</v>
          </cell>
          <cell r="D1308">
            <v>30621</v>
          </cell>
          <cell r="E1308">
            <v>37134</v>
          </cell>
          <cell r="F1308">
            <v>323</v>
          </cell>
          <cell r="G1308">
            <v>37795</v>
          </cell>
          <cell r="H1308">
            <v>492</v>
          </cell>
          <cell r="I1308" t="str">
            <v>деп</v>
          </cell>
          <cell r="J1308">
            <v>38344</v>
          </cell>
        </row>
        <row r="1309">
          <cell r="A1309">
            <v>58729088</v>
          </cell>
          <cell r="B1309" t="str">
            <v>РЕФРИЖЕРАТОРНАЯ КОМПАНИЯ</v>
          </cell>
          <cell r="C1309" t="str">
            <v>ВОЛКОВСКАЯ   (ОКТ)</v>
          </cell>
          <cell r="D1309">
            <v>30621</v>
          </cell>
          <cell r="E1309">
            <v>37159</v>
          </cell>
          <cell r="F1309">
            <v>330</v>
          </cell>
          <cell r="G1309">
            <v>37894</v>
          </cell>
          <cell r="H1309">
            <v>492</v>
          </cell>
          <cell r="I1309" t="str">
            <v>деп</v>
          </cell>
          <cell r="J1309">
            <v>38441</v>
          </cell>
        </row>
        <row r="1310">
          <cell r="A1310">
            <v>58729104</v>
          </cell>
          <cell r="B1310" t="str">
            <v>РЕФРИЖЕРАТОРНАЯ КОМПАНИЯ</v>
          </cell>
          <cell r="C1310" t="str">
            <v>ВОЛКОВСКАЯ   (ОКТ)</v>
          </cell>
          <cell r="D1310">
            <v>30651</v>
          </cell>
          <cell r="E1310">
            <v>37118</v>
          </cell>
          <cell r="F1310">
            <v>330</v>
          </cell>
          <cell r="H1310">
            <v>0</v>
          </cell>
          <cell r="I1310" t="str">
            <v>деп</v>
          </cell>
          <cell r="J1310">
            <v>37942</v>
          </cell>
        </row>
        <row r="1311">
          <cell r="A1311">
            <v>58729112</v>
          </cell>
          <cell r="B1311" t="str">
            <v>РЕФРИЖЕРАТОРНАЯ КОМПАНИЯ</v>
          </cell>
          <cell r="C1311" t="str">
            <v>ВОЛКОВСКАЯ   (ОКТ)</v>
          </cell>
          <cell r="D1311">
            <v>30651</v>
          </cell>
          <cell r="E1311">
            <v>37118</v>
          </cell>
          <cell r="F1311">
            <v>330</v>
          </cell>
          <cell r="H1311">
            <v>0</v>
          </cell>
          <cell r="I1311" t="str">
            <v>деп</v>
          </cell>
          <cell r="J1311">
            <v>37942</v>
          </cell>
        </row>
        <row r="1312">
          <cell r="A1312">
            <v>58729120</v>
          </cell>
          <cell r="B1312" t="str">
            <v>РЕФРИЖЕРАТОРНАЯ КОМПАНИЯ</v>
          </cell>
          <cell r="C1312" t="str">
            <v>ВОЛКОВСКАЯ   (ОКТ)</v>
          </cell>
          <cell r="D1312">
            <v>30651</v>
          </cell>
          <cell r="E1312">
            <v>37119</v>
          </cell>
          <cell r="F1312">
            <v>330</v>
          </cell>
          <cell r="H1312">
            <v>0</v>
          </cell>
          <cell r="I1312" t="str">
            <v>деп</v>
          </cell>
          <cell r="J1312">
            <v>37942</v>
          </cell>
        </row>
        <row r="1313">
          <cell r="A1313">
            <v>58729138</v>
          </cell>
          <cell r="B1313" t="str">
            <v>РЕФРИЖЕРАТОРНАЯ КОМПАНИЯ</v>
          </cell>
          <cell r="C1313" t="str">
            <v>ВОЛКОВСКАЯ   (ОКТ)</v>
          </cell>
          <cell r="D1313">
            <v>30651</v>
          </cell>
          <cell r="E1313">
            <v>37118</v>
          </cell>
          <cell r="F1313">
            <v>330</v>
          </cell>
          <cell r="H1313">
            <v>0</v>
          </cell>
          <cell r="I1313" t="str">
            <v>деп</v>
          </cell>
          <cell r="J1313">
            <v>37942</v>
          </cell>
        </row>
        <row r="1314">
          <cell r="A1314">
            <v>58729146</v>
          </cell>
          <cell r="B1314" t="str">
            <v>РЕФРИЖЕРАТОРНАЯ КОМПАНИЯ</v>
          </cell>
          <cell r="C1314" t="str">
            <v>ВОЛКОВСКАЯ   (ОКТ)</v>
          </cell>
          <cell r="D1314">
            <v>30682</v>
          </cell>
          <cell r="E1314">
            <v>37127</v>
          </cell>
          <cell r="F1314">
            <v>330</v>
          </cell>
          <cell r="G1314">
            <v>37652</v>
          </cell>
          <cell r="H1314">
            <v>897</v>
          </cell>
          <cell r="I1314" t="str">
            <v>деп</v>
          </cell>
          <cell r="J1314">
            <v>38383</v>
          </cell>
        </row>
        <row r="1315">
          <cell r="A1315">
            <v>58729153</v>
          </cell>
          <cell r="B1315" t="str">
            <v>РЕФРИЖЕРАТОРНАЯ КОМПАНИЯ</v>
          </cell>
          <cell r="C1315" t="str">
            <v>ВОЛКОВСКАЯ   (ОКТ)</v>
          </cell>
          <cell r="D1315">
            <v>30682</v>
          </cell>
          <cell r="E1315">
            <v>37964</v>
          </cell>
          <cell r="F1315">
            <v>350</v>
          </cell>
          <cell r="H1315">
            <v>0</v>
          </cell>
          <cell r="I1315" t="str">
            <v>кап</v>
          </cell>
          <cell r="J1315">
            <v>38392</v>
          </cell>
        </row>
        <row r="1316">
          <cell r="A1316">
            <v>58729161</v>
          </cell>
          <cell r="B1316" t="str">
            <v>РЕФРИЖЕРАТОРНАЯ КОМПАНИЯ</v>
          </cell>
          <cell r="C1316" t="str">
            <v>ВОЛКОВСКАЯ   (ОКТ)</v>
          </cell>
          <cell r="D1316">
            <v>30682</v>
          </cell>
          <cell r="E1316">
            <v>37134</v>
          </cell>
          <cell r="F1316">
            <v>323</v>
          </cell>
          <cell r="G1316">
            <v>37795</v>
          </cell>
          <cell r="H1316">
            <v>492</v>
          </cell>
          <cell r="I1316" t="str">
            <v>деп</v>
          </cell>
          <cell r="J1316">
            <v>38344</v>
          </cell>
        </row>
        <row r="1317">
          <cell r="A1317">
            <v>58729179</v>
          </cell>
          <cell r="B1317" t="str">
            <v>РЕФРИЖЕРАТОРНАЯ КОМПАНИЯ</v>
          </cell>
          <cell r="C1317" t="str">
            <v>ВОЛКОВСКАЯ   (ОКТ)</v>
          </cell>
          <cell r="D1317">
            <v>30682</v>
          </cell>
          <cell r="E1317">
            <v>37120</v>
          </cell>
          <cell r="F1317">
            <v>330</v>
          </cell>
          <cell r="G1317">
            <v>37754</v>
          </cell>
          <cell r="H1317">
            <v>492</v>
          </cell>
          <cell r="I1317" t="str">
            <v>деп</v>
          </cell>
          <cell r="J1317">
            <v>38485</v>
          </cell>
        </row>
        <row r="1318">
          <cell r="A1318">
            <v>58729203</v>
          </cell>
          <cell r="B1318" t="str">
            <v>РЕФРИЖЕРАТОРНАЯ КОМПАНИЯ</v>
          </cell>
          <cell r="C1318" t="str">
            <v>ВОЛКОВСКАЯ   (ОКТ)</v>
          </cell>
          <cell r="D1318">
            <v>30713</v>
          </cell>
          <cell r="E1318">
            <v>37894</v>
          </cell>
          <cell r="F1318">
            <v>792</v>
          </cell>
          <cell r="G1318">
            <v>37110</v>
          </cell>
          <cell r="H1318">
            <v>330</v>
          </cell>
          <cell r="I1318" t="str">
            <v>деп</v>
          </cell>
          <cell r="J1318">
            <v>38321</v>
          </cell>
        </row>
        <row r="1319">
          <cell r="A1319">
            <v>58729211</v>
          </cell>
          <cell r="B1319" t="str">
            <v>РЕФРИЖЕРАТОРНАЯ КОМПАНИЯ</v>
          </cell>
          <cell r="C1319" t="str">
            <v>ВОЛКОВСКАЯ   (ОКТ)</v>
          </cell>
          <cell r="D1319">
            <v>30713</v>
          </cell>
          <cell r="E1319">
            <v>37183</v>
          </cell>
          <cell r="F1319">
            <v>352</v>
          </cell>
          <cell r="H1319">
            <v>0</v>
          </cell>
          <cell r="I1319" t="str">
            <v>деп</v>
          </cell>
          <cell r="J1319">
            <v>37950</v>
          </cell>
        </row>
        <row r="1320">
          <cell r="A1320">
            <v>58729229</v>
          </cell>
          <cell r="B1320" t="str">
            <v>РЕФРИЖЕРАТОРНАЯ КОМПАНИЯ</v>
          </cell>
          <cell r="C1320" t="str">
            <v>ВОЛКОВСКАЯ   (ОКТ)</v>
          </cell>
          <cell r="D1320">
            <v>30713</v>
          </cell>
          <cell r="E1320">
            <v>37125</v>
          </cell>
          <cell r="F1320">
            <v>330</v>
          </cell>
          <cell r="G1320">
            <v>37652</v>
          </cell>
          <cell r="H1320">
            <v>897</v>
          </cell>
          <cell r="I1320" t="str">
            <v>деп</v>
          </cell>
          <cell r="J1320">
            <v>38383</v>
          </cell>
        </row>
        <row r="1321">
          <cell r="A1321">
            <v>58729237</v>
          </cell>
          <cell r="B1321" t="str">
            <v>РЕФРИЖЕРАТОРНАЯ КОМПАНИЯ</v>
          </cell>
          <cell r="C1321" t="str">
            <v>ВОЛКОВСКАЯ   (ОКТ)</v>
          </cell>
          <cell r="D1321">
            <v>30713</v>
          </cell>
          <cell r="E1321">
            <v>37125</v>
          </cell>
          <cell r="F1321">
            <v>330</v>
          </cell>
          <cell r="G1321">
            <v>37652</v>
          </cell>
          <cell r="H1321">
            <v>897</v>
          </cell>
          <cell r="I1321" t="str">
            <v>деп</v>
          </cell>
          <cell r="J1321">
            <v>38383</v>
          </cell>
        </row>
        <row r="1322">
          <cell r="A1322">
            <v>58729245</v>
          </cell>
          <cell r="B1322" t="str">
            <v>РЕФРИЖЕРАТОРНАЯ КОМПАНИЯ</v>
          </cell>
          <cell r="C1322" t="str">
            <v>ВОЛКОВСКАЯ   (ОКТ)</v>
          </cell>
          <cell r="D1322">
            <v>30713</v>
          </cell>
          <cell r="E1322">
            <v>37126</v>
          </cell>
          <cell r="F1322">
            <v>330</v>
          </cell>
          <cell r="G1322">
            <v>37652</v>
          </cell>
          <cell r="H1322">
            <v>897</v>
          </cell>
          <cell r="I1322" t="str">
            <v>деп</v>
          </cell>
          <cell r="J1322">
            <v>38383</v>
          </cell>
        </row>
        <row r="1323">
          <cell r="A1323">
            <v>58729252</v>
          </cell>
          <cell r="B1323" t="str">
            <v>РЕФРИЖЕРАТОРНАЯ КОМПАНИЯ</v>
          </cell>
          <cell r="C1323" t="str">
            <v>ВОЛКОВСКАЯ   (ОКТ)</v>
          </cell>
          <cell r="D1323">
            <v>30713</v>
          </cell>
          <cell r="E1323">
            <v>37126</v>
          </cell>
          <cell r="F1323">
            <v>330</v>
          </cell>
          <cell r="G1323">
            <v>37652</v>
          </cell>
          <cell r="H1323">
            <v>897</v>
          </cell>
          <cell r="I1323" t="str">
            <v>деп</v>
          </cell>
          <cell r="J1323">
            <v>38383</v>
          </cell>
        </row>
        <row r="1324">
          <cell r="A1324">
            <v>58733163</v>
          </cell>
          <cell r="B1324" t="str">
            <v>РЕФРИЖЕРАТОРНАЯ КОМПАНИЯ</v>
          </cell>
          <cell r="C1324" t="str">
            <v>ВОЛКОВСКАЯ   (ОКТ)</v>
          </cell>
          <cell r="D1324">
            <v>30317</v>
          </cell>
          <cell r="E1324">
            <v>36557</v>
          </cell>
          <cell r="F1324">
            <v>897</v>
          </cell>
          <cell r="G1324">
            <v>37644</v>
          </cell>
          <cell r="H1324">
            <v>897</v>
          </cell>
          <cell r="I1324" t="str">
            <v>деп</v>
          </cell>
          <cell r="J1324">
            <v>38191</v>
          </cell>
        </row>
        <row r="1325">
          <cell r="A1325">
            <v>58733171</v>
          </cell>
          <cell r="B1325" t="str">
            <v>РЕФРИЖЕРАТОРНАЯ КОМПАНИЯ</v>
          </cell>
          <cell r="C1325" t="str">
            <v>ВОЛКОВСКАЯ   (ОКТ)</v>
          </cell>
          <cell r="D1325">
            <v>30621</v>
          </cell>
          <cell r="E1325">
            <v>36557</v>
          </cell>
          <cell r="F1325">
            <v>897</v>
          </cell>
          <cell r="G1325">
            <v>37644</v>
          </cell>
          <cell r="H1325">
            <v>897</v>
          </cell>
          <cell r="I1325" t="str">
            <v>деп</v>
          </cell>
          <cell r="J1325">
            <v>38191</v>
          </cell>
        </row>
        <row r="1326">
          <cell r="A1326">
            <v>58733189</v>
          </cell>
          <cell r="B1326" t="str">
            <v>РЕФРИЖЕРАТОРНАЯ КОМПАНИЯ</v>
          </cell>
          <cell r="C1326" t="str">
            <v>ВОЛКОВСКАЯ   (ОКТ)</v>
          </cell>
          <cell r="D1326">
            <v>30621</v>
          </cell>
          <cell r="E1326">
            <v>36557</v>
          </cell>
          <cell r="F1326">
            <v>897</v>
          </cell>
          <cell r="G1326">
            <v>37644</v>
          </cell>
          <cell r="H1326">
            <v>897</v>
          </cell>
          <cell r="I1326" t="str">
            <v>деп</v>
          </cell>
          <cell r="J1326">
            <v>38191</v>
          </cell>
        </row>
        <row r="1327">
          <cell r="A1327">
            <v>58733205</v>
          </cell>
          <cell r="B1327" t="str">
            <v>РЕФРИЖЕРАТОРНАЯ КОМПАНИЯ</v>
          </cell>
          <cell r="C1327" t="str">
            <v>ВОЛКОВСКАЯ   (ОКТ)</v>
          </cell>
          <cell r="D1327">
            <v>30621</v>
          </cell>
          <cell r="E1327">
            <v>36557</v>
          </cell>
          <cell r="F1327">
            <v>897</v>
          </cell>
          <cell r="G1327">
            <v>37644</v>
          </cell>
          <cell r="H1327">
            <v>897</v>
          </cell>
          <cell r="I1327" t="str">
            <v>деп</v>
          </cell>
          <cell r="J1327">
            <v>38191</v>
          </cell>
        </row>
        <row r="1328">
          <cell r="A1328">
            <v>58733213</v>
          </cell>
          <cell r="B1328" t="str">
            <v>РЕФРИЖЕРАТОРНАЯ КОМПАНИЯ</v>
          </cell>
          <cell r="C1328" t="str">
            <v>ВОЛКОВСКАЯ   (ОКТ)</v>
          </cell>
          <cell r="D1328">
            <v>30987</v>
          </cell>
          <cell r="E1328">
            <v>36537</v>
          </cell>
          <cell r="F1328">
            <v>897</v>
          </cell>
          <cell r="G1328">
            <v>37644</v>
          </cell>
          <cell r="H1328">
            <v>897</v>
          </cell>
          <cell r="I1328" t="str">
            <v>деп</v>
          </cell>
          <cell r="J1328">
            <v>38191</v>
          </cell>
        </row>
        <row r="1329">
          <cell r="A1329">
            <v>58733221</v>
          </cell>
          <cell r="B1329" t="str">
            <v>РЕФРИЖЕРАТОРНАЯ КОМПАНИЯ</v>
          </cell>
          <cell r="C1329" t="str">
            <v>ВОЛКОВСКАЯ   (ОКТ)</v>
          </cell>
          <cell r="D1329">
            <v>30987</v>
          </cell>
          <cell r="E1329">
            <v>36537</v>
          </cell>
          <cell r="F1329">
            <v>897</v>
          </cell>
          <cell r="G1329">
            <v>37643</v>
          </cell>
          <cell r="H1329">
            <v>897</v>
          </cell>
          <cell r="I1329" t="str">
            <v>деп</v>
          </cell>
          <cell r="J1329">
            <v>38190</v>
          </cell>
        </row>
        <row r="1330">
          <cell r="A1330">
            <v>58733239</v>
          </cell>
          <cell r="B1330" t="str">
            <v>РЕФРИЖЕРАТОРНАЯ КОМПАНИЯ</v>
          </cell>
          <cell r="C1330" t="str">
            <v>ВОЛКОВСКАЯ   (ОКТ)</v>
          </cell>
          <cell r="D1330">
            <v>30987</v>
          </cell>
          <cell r="E1330">
            <v>36537</v>
          </cell>
          <cell r="F1330">
            <v>897</v>
          </cell>
          <cell r="G1330">
            <v>37643</v>
          </cell>
          <cell r="H1330">
            <v>897</v>
          </cell>
          <cell r="I1330" t="str">
            <v>деп</v>
          </cell>
          <cell r="J1330">
            <v>38190</v>
          </cell>
        </row>
        <row r="1331">
          <cell r="A1331">
            <v>58733247</v>
          </cell>
          <cell r="B1331" t="str">
            <v>РЕФРИЖЕРАТОРНАЯ КОМПАНИЯ</v>
          </cell>
          <cell r="C1331" t="str">
            <v>ВОЛКОВСКАЯ   (ОКТ)</v>
          </cell>
          <cell r="D1331">
            <v>30987</v>
          </cell>
          <cell r="E1331">
            <v>36537</v>
          </cell>
          <cell r="F1331">
            <v>897</v>
          </cell>
          <cell r="G1331">
            <v>37643</v>
          </cell>
          <cell r="H1331">
            <v>897</v>
          </cell>
          <cell r="I1331" t="str">
            <v>деп</v>
          </cell>
          <cell r="J1331">
            <v>38190</v>
          </cell>
        </row>
        <row r="1332">
          <cell r="A1332">
            <v>58733254</v>
          </cell>
          <cell r="B1332" t="str">
            <v>РЕФРИЖЕРАТОРНАЯ КОМПАНИЯ</v>
          </cell>
          <cell r="C1332" t="str">
            <v>ВОЛКОВСКАЯ   (ОКТ)</v>
          </cell>
          <cell r="D1332">
            <v>30987</v>
          </cell>
          <cell r="E1332">
            <v>36592</v>
          </cell>
          <cell r="F1332">
            <v>897</v>
          </cell>
          <cell r="G1332">
            <v>37651</v>
          </cell>
          <cell r="H1332">
            <v>897</v>
          </cell>
          <cell r="I1332" t="str">
            <v>деп</v>
          </cell>
          <cell r="J1332">
            <v>38198</v>
          </cell>
        </row>
        <row r="1333">
          <cell r="A1333">
            <v>58733262</v>
          </cell>
          <cell r="B1333" t="str">
            <v>РЕФРИЖЕРАТОРНАЯ КОМПАНИЯ</v>
          </cell>
          <cell r="C1333" t="str">
            <v>ВОЛКОВСКАЯ   (ОКТ)</v>
          </cell>
          <cell r="D1333">
            <v>30987</v>
          </cell>
          <cell r="E1333">
            <v>36592</v>
          </cell>
          <cell r="F1333">
            <v>897</v>
          </cell>
          <cell r="G1333">
            <v>37651</v>
          </cell>
          <cell r="H1333">
            <v>897</v>
          </cell>
          <cell r="I1333" t="str">
            <v>деп</v>
          </cell>
          <cell r="J1333">
            <v>38198</v>
          </cell>
        </row>
        <row r="1334">
          <cell r="A1334">
            <v>58733270</v>
          </cell>
          <cell r="B1334" t="str">
            <v>РЕФРИЖЕРАТОРНАЯ КОМПАНИЯ</v>
          </cell>
          <cell r="C1334" t="str">
            <v>ВОЛКОВСКАЯ   (ОКТ)</v>
          </cell>
          <cell r="D1334">
            <v>30987</v>
          </cell>
          <cell r="E1334">
            <v>36592</v>
          </cell>
          <cell r="F1334">
            <v>897</v>
          </cell>
          <cell r="G1334">
            <v>37651</v>
          </cell>
          <cell r="H1334">
            <v>897</v>
          </cell>
          <cell r="I1334" t="str">
            <v>деп</v>
          </cell>
          <cell r="J1334">
            <v>38198</v>
          </cell>
        </row>
        <row r="1335">
          <cell r="A1335">
            <v>58733288</v>
          </cell>
          <cell r="B1335" t="str">
            <v>РЕФРИЖЕРАТОРНАЯ КОМПАНИЯ</v>
          </cell>
          <cell r="C1335" t="str">
            <v>ВОЛКОВСКАЯ   (ОКТ)</v>
          </cell>
          <cell r="D1335">
            <v>30987</v>
          </cell>
          <cell r="E1335">
            <v>36592</v>
          </cell>
          <cell r="F1335">
            <v>897</v>
          </cell>
          <cell r="G1335">
            <v>37651</v>
          </cell>
          <cell r="H1335">
            <v>897</v>
          </cell>
          <cell r="I1335" t="str">
            <v>деп</v>
          </cell>
          <cell r="J1335">
            <v>38198</v>
          </cell>
        </row>
        <row r="1336">
          <cell r="A1336">
            <v>58733304</v>
          </cell>
          <cell r="B1336" t="str">
            <v>РЕФРИЖЕРАТОРНАЯ КОМПАНИЯ</v>
          </cell>
          <cell r="C1336" t="str">
            <v>ВОЛКОВСКАЯ   (ОКТ)</v>
          </cell>
          <cell r="D1336">
            <v>30987</v>
          </cell>
          <cell r="E1336">
            <v>36476</v>
          </cell>
          <cell r="F1336">
            <v>897</v>
          </cell>
          <cell r="G1336">
            <v>37648</v>
          </cell>
          <cell r="H1336">
            <v>897</v>
          </cell>
          <cell r="I1336" t="str">
            <v>деп</v>
          </cell>
          <cell r="J1336">
            <v>38195</v>
          </cell>
        </row>
        <row r="1337">
          <cell r="A1337">
            <v>58733312</v>
          </cell>
          <cell r="B1337" t="str">
            <v>РЕФРИЖЕРАТОРНАЯ КОМПАНИЯ</v>
          </cell>
          <cell r="C1337" t="str">
            <v>ВОЛКОВСКАЯ   (ОКТ)</v>
          </cell>
          <cell r="D1337">
            <v>30987</v>
          </cell>
          <cell r="E1337">
            <v>36476</v>
          </cell>
          <cell r="F1337">
            <v>897</v>
          </cell>
          <cell r="G1337">
            <v>37648</v>
          </cell>
          <cell r="H1337">
            <v>897</v>
          </cell>
          <cell r="I1337" t="str">
            <v>деп</v>
          </cell>
          <cell r="J1337">
            <v>38195</v>
          </cell>
        </row>
        <row r="1338">
          <cell r="A1338">
            <v>58733320</v>
          </cell>
          <cell r="B1338" t="str">
            <v>РЕФРИЖЕРАТОРНАЯ КОМПАНИЯ</v>
          </cell>
          <cell r="C1338" t="str">
            <v>ВОЛКОВСКАЯ   (ОКТ)</v>
          </cell>
          <cell r="D1338">
            <v>30987</v>
          </cell>
          <cell r="E1338">
            <v>36476</v>
          </cell>
          <cell r="F1338">
            <v>897</v>
          </cell>
          <cell r="G1338">
            <v>37648</v>
          </cell>
          <cell r="H1338">
            <v>897</v>
          </cell>
          <cell r="I1338" t="str">
            <v>деп</v>
          </cell>
          <cell r="J1338">
            <v>38195</v>
          </cell>
        </row>
        <row r="1339">
          <cell r="A1339">
            <v>58733338</v>
          </cell>
          <cell r="B1339" t="str">
            <v>РЕФРИЖЕРАТОРНАЯ КОМПАНИЯ</v>
          </cell>
          <cell r="C1339" t="str">
            <v>ВОЛКОВСКАЯ   (ОКТ)</v>
          </cell>
          <cell r="D1339">
            <v>30987</v>
          </cell>
          <cell r="E1339">
            <v>36476</v>
          </cell>
          <cell r="F1339">
            <v>897</v>
          </cell>
          <cell r="G1339">
            <v>37648</v>
          </cell>
          <cell r="H1339">
            <v>897</v>
          </cell>
          <cell r="I1339" t="str">
            <v>деп</v>
          </cell>
          <cell r="J1339">
            <v>38195</v>
          </cell>
        </row>
        <row r="1340">
          <cell r="A1340">
            <v>58733346</v>
          </cell>
          <cell r="B1340" t="str">
            <v>РЕФРИЖЕРАТОРНАЯ КОМПАНИЯ</v>
          </cell>
          <cell r="C1340" t="str">
            <v>ВОЛКОВСКАЯ   (ОКТ)</v>
          </cell>
          <cell r="D1340">
            <v>31413</v>
          </cell>
          <cell r="E1340">
            <v>36340</v>
          </cell>
          <cell r="F1340">
            <v>897</v>
          </cell>
          <cell r="G1340">
            <v>37656</v>
          </cell>
          <cell r="H1340">
            <v>897</v>
          </cell>
          <cell r="I1340" t="str">
            <v>деп</v>
          </cell>
          <cell r="J1340">
            <v>38203</v>
          </cell>
        </row>
        <row r="1341">
          <cell r="A1341">
            <v>58733353</v>
          </cell>
          <cell r="B1341" t="str">
            <v>РЕФРИЖЕРАТОРНАЯ КОМПАНИЯ</v>
          </cell>
          <cell r="C1341" t="str">
            <v>ВОЛКОВСКАЯ   (ОКТ)</v>
          </cell>
          <cell r="D1341">
            <v>31413</v>
          </cell>
          <cell r="E1341">
            <v>36340</v>
          </cell>
          <cell r="F1341">
            <v>897</v>
          </cell>
          <cell r="G1341">
            <v>37656</v>
          </cell>
          <cell r="H1341">
            <v>897</v>
          </cell>
          <cell r="I1341" t="str">
            <v>деп</v>
          </cell>
          <cell r="J1341">
            <v>38203</v>
          </cell>
        </row>
        <row r="1342">
          <cell r="A1342">
            <v>58733361</v>
          </cell>
          <cell r="B1342" t="str">
            <v>РЕФРИЖЕРАТОРНАЯ КОМПАНИЯ</v>
          </cell>
          <cell r="C1342" t="str">
            <v>ВОЛКОВСКАЯ   (ОКТ)</v>
          </cell>
          <cell r="D1342">
            <v>31413</v>
          </cell>
          <cell r="E1342">
            <v>36340</v>
          </cell>
          <cell r="F1342">
            <v>897</v>
          </cell>
          <cell r="G1342">
            <v>37656</v>
          </cell>
          <cell r="H1342">
            <v>897</v>
          </cell>
          <cell r="I1342" t="str">
            <v>деп</v>
          </cell>
          <cell r="J1342">
            <v>38203</v>
          </cell>
        </row>
        <row r="1343">
          <cell r="A1343">
            <v>58733379</v>
          </cell>
          <cell r="B1343" t="str">
            <v>РЕФРИЖЕРАТОРНАЯ КОМПАНИЯ</v>
          </cell>
          <cell r="C1343" t="str">
            <v>ВОЛКОВСКАЯ   (ОКТ)</v>
          </cell>
          <cell r="D1343">
            <v>31413</v>
          </cell>
          <cell r="E1343">
            <v>36340</v>
          </cell>
          <cell r="F1343">
            <v>897</v>
          </cell>
          <cell r="G1343">
            <v>37656</v>
          </cell>
          <cell r="H1343">
            <v>897</v>
          </cell>
          <cell r="I1343" t="str">
            <v>деп</v>
          </cell>
          <cell r="J1343">
            <v>38203</v>
          </cell>
        </row>
        <row r="1344">
          <cell r="A1344">
            <v>58733387</v>
          </cell>
          <cell r="B1344" t="str">
            <v>РЕФРИЖЕРАТОРНАЯ КОМПАНИЯ</v>
          </cell>
          <cell r="C1344" t="str">
            <v>ВОЛКОВСКАЯ   (ОКТ)</v>
          </cell>
          <cell r="D1344">
            <v>31413</v>
          </cell>
          <cell r="E1344">
            <v>36657</v>
          </cell>
          <cell r="F1344">
            <v>897</v>
          </cell>
          <cell r="G1344">
            <v>37657</v>
          </cell>
          <cell r="H1344">
            <v>897</v>
          </cell>
          <cell r="I1344" t="str">
            <v>деп</v>
          </cell>
          <cell r="J1344">
            <v>38204</v>
          </cell>
        </row>
        <row r="1345">
          <cell r="A1345">
            <v>58733403</v>
          </cell>
          <cell r="B1345" t="str">
            <v>РЕФРИЖЕРАТОРНАЯ КОМПАНИЯ</v>
          </cell>
          <cell r="C1345" t="str">
            <v>ВОЛКОВСКАЯ   (ОКТ)</v>
          </cell>
          <cell r="D1345">
            <v>31413</v>
          </cell>
          <cell r="E1345">
            <v>36657</v>
          </cell>
          <cell r="F1345">
            <v>897</v>
          </cell>
          <cell r="G1345">
            <v>37657</v>
          </cell>
          <cell r="H1345">
            <v>897</v>
          </cell>
          <cell r="I1345" t="str">
            <v>деп</v>
          </cell>
          <cell r="J1345">
            <v>38204</v>
          </cell>
        </row>
        <row r="1346">
          <cell r="A1346">
            <v>58733411</v>
          </cell>
          <cell r="B1346" t="str">
            <v>РЕФРИЖЕРАТОРНАЯ КОМПАНИЯ</v>
          </cell>
          <cell r="C1346" t="str">
            <v>ВОЛКОВСКАЯ   (ОКТ)</v>
          </cell>
          <cell r="D1346">
            <v>31413</v>
          </cell>
          <cell r="E1346">
            <v>36657</v>
          </cell>
          <cell r="F1346">
            <v>897</v>
          </cell>
          <cell r="G1346">
            <v>37657</v>
          </cell>
          <cell r="H1346">
            <v>897</v>
          </cell>
          <cell r="I1346" t="str">
            <v>деп</v>
          </cell>
          <cell r="J1346">
            <v>38204</v>
          </cell>
        </row>
        <row r="1347">
          <cell r="A1347">
            <v>58733429</v>
          </cell>
          <cell r="B1347" t="str">
            <v>РЕФРИЖЕРАТОРНАЯ КОМПАНИЯ</v>
          </cell>
          <cell r="C1347" t="str">
            <v>ВОЛКОВСКАЯ   (ОКТ)</v>
          </cell>
          <cell r="D1347">
            <v>31413</v>
          </cell>
          <cell r="E1347">
            <v>36657</v>
          </cell>
          <cell r="F1347">
            <v>897</v>
          </cell>
          <cell r="G1347">
            <v>37657</v>
          </cell>
          <cell r="H1347">
            <v>897</v>
          </cell>
          <cell r="I1347" t="str">
            <v>деп</v>
          </cell>
          <cell r="J1347">
            <v>38204</v>
          </cell>
        </row>
        <row r="1348">
          <cell r="A1348">
            <v>58733437</v>
          </cell>
          <cell r="B1348" t="str">
            <v>РЕФРИЖЕРАТОРНАЯ КОМПАНИЯ</v>
          </cell>
          <cell r="C1348" t="str">
            <v>ВОЛКОВСКАЯ   (ОКТ)</v>
          </cell>
          <cell r="D1348">
            <v>31413</v>
          </cell>
          <cell r="E1348">
            <v>36504</v>
          </cell>
          <cell r="F1348">
            <v>897</v>
          </cell>
          <cell r="G1348">
            <v>37645</v>
          </cell>
          <cell r="H1348">
            <v>897</v>
          </cell>
          <cell r="I1348" t="str">
            <v>деп</v>
          </cell>
          <cell r="J1348">
            <v>38192</v>
          </cell>
        </row>
        <row r="1349">
          <cell r="A1349">
            <v>58733445</v>
          </cell>
          <cell r="B1349" t="str">
            <v>РЕФРИЖЕРАТОРНАЯ КОМПАНИЯ</v>
          </cell>
          <cell r="C1349" t="str">
            <v>ВОЛКОВСКАЯ   (ОКТ)</v>
          </cell>
          <cell r="D1349">
            <v>31413</v>
          </cell>
          <cell r="E1349">
            <v>36504</v>
          </cell>
          <cell r="F1349">
            <v>897</v>
          </cell>
          <cell r="G1349">
            <v>37645</v>
          </cell>
          <cell r="H1349">
            <v>897</v>
          </cell>
          <cell r="I1349" t="str">
            <v>деп</v>
          </cell>
          <cell r="J1349">
            <v>38192</v>
          </cell>
        </row>
        <row r="1350">
          <cell r="A1350">
            <v>58733452</v>
          </cell>
          <cell r="B1350" t="str">
            <v>РЕФРИЖЕРАТОРНАЯ КОМПАНИЯ</v>
          </cell>
          <cell r="C1350" t="str">
            <v>ВОЛКОВСКАЯ   (ОКТ)</v>
          </cell>
          <cell r="D1350">
            <v>31413</v>
          </cell>
          <cell r="E1350">
            <v>36504</v>
          </cell>
          <cell r="F1350">
            <v>897</v>
          </cell>
          <cell r="G1350">
            <v>37645</v>
          </cell>
          <cell r="H1350">
            <v>897</v>
          </cell>
          <cell r="I1350" t="str">
            <v>деп</v>
          </cell>
          <cell r="J1350">
            <v>38192</v>
          </cell>
        </row>
        <row r="1351">
          <cell r="A1351">
            <v>58733460</v>
          </cell>
          <cell r="B1351" t="str">
            <v>РЕФРИЖЕРАТОРНАЯ КОМПАНИЯ</v>
          </cell>
          <cell r="C1351" t="str">
            <v>ВОЛКОВСКАЯ   (ОКТ)</v>
          </cell>
          <cell r="D1351">
            <v>31413</v>
          </cell>
          <cell r="E1351">
            <v>36504</v>
          </cell>
          <cell r="F1351">
            <v>897</v>
          </cell>
          <cell r="G1351">
            <v>37645</v>
          </cell>
          <cell r="H1351">
            <v>897</v>
          </cell>
          <cell r="I1351" t="str">
            <v>деп</v>
          </cell>
          <cell r="J1351">
            <v>38192</v>
          </cell>
        </row>
        <row r="1352">
          <cell r="A1352">
            <v>58733577</v>
          </cell>
          <cell r="B1352" t="str">
            <v>РЕФРИЖЕРАТОРНАЯ КОМПАНИЯ</v>
          </cell>
          <cell r="C1352" t="str">
            <v>ВОЛКОВСКАЯ   (ОКТ)</v>
          </cell>
          <cell r="D1352">
            <v>31321</v>
          </cell>
          <cell r="E1352">
            <v>36623</v>
          </cell>
          <cell r="F1352">
            <v>897</v>
          </cell>
          <cell r="G1352">
            <v>37691</v>
          </cell>
          <cell r="H1352">
            <v>897</v>
          </cell>
          <cell r="I1352" t="str">
            <v>деп</v>
          </cell>
          <cell r="J1352">
            <v>38241</v>
          </cell>
        </row>
        <row r="1353">
          <cell r="A1353">
            <v>58733585</v>
          </cell>
          <cell r="B1353" t="str">
            <v>РЕФРИЖЕРАТОРНАЯ КОМПАНИЯ</v>
          </cell>
          <cell r="C1353" t="str">
            <v>ВОЛКОВСКАЯ   (ОКТ)</v>
          </cell>
          <cell r="D1353">
            <v>30621</v>
          </cell>
          <cell r="E1353">
            <v>37685</v>
          </cell>
          <cell r="F1353">
            <v>897</v>
          </cell>
          <cell r="G1353">
            <v>36279</v>
          </cell>
          <cell r="H1353">
            <v>897</v>
          </cell>
          <cell r="I1353" t="str">
            <v>деп</v>
          </cell>
          <cell r="J1353">
            <v>38235</v>
          </cell>
        </row>
        <row r="1354">
          <cell r="A1354">
            <v>58733601</v>
          </cell>
          <cell r="B1354" t="str">
            <v>РЕФРИЖЕРАТОРНАЯ КОМПАНИЯ</v>
          </cell>
          <cell r="C1354" t="str">
            <v>ВОЛКОВСКАЯ   (ОКТ)</v>
          </cell>
          <cell r="D1354">
            <v>30621</v>
          </cell>
          <cell r="E1354">
            <v>37685</v>
          </cell>
          <cell r="F1354">
            <v>897</v>
          </cell>
          <cell r="G1354">
            <v>36279</v>
          </cell>
          <cell r="H1354">
            <v>897</v>
          </cell>
          <cell r="I1354" t="str">
            <v>деп</v>
          </cell>
          <cell r="J1354">
            <v>38235</v>
          </cell>
        </row>
        <row r="1355">
          <cell r="A1355">
            <v>58733619</v>
          </cell>
          <cell r="B1355" t="str">
            <v>РЕФРИЖЕРАТОРНАЯ КОМПАНИЯ</v>
          </cell>
          <cell r="C1355" t="str">
            <v>ВОЛКОВСКАЯ   (ОКТ)</v>
          </cell>
          <cell r="D1355">
            <v>30621</v>
          </cell>
          <cell r="E1355">
            <v>37685</v>
          </cell>
          <cell r="F1355">
            <v>897</v>
          </cell>
          <cell r="G1355">
            <v>36279</v>
          </cell>
          <cell r="H1355">
            <v>897</v>
          </cell>
          <cell r="I1355" t="str">
            <v>деп</v>
          </cell>
          <cell r="J1355">
            <v>38235</v>
          </cell>
        </row>
        <row r="1356">
          <cell r="A1356">
            <v>58733627</v>
          </cell>
          <cell r="B1356" t="str">
            <v>РЕФРИЖЕРАТОРНАЯ КОМПАНИЯ</v>
          </cell>
          <cell r="C1356" t="str">
            <v>ВОЛКОВСКАЯ   (ОКТ)</v>
          </cell>
          <cell r="D1356">
            <v>30621</v>
          </cell>
          <cell r="E1356">
            <v>37685</v>
          </cell>
          <cell r="F1356">
            <v>897</v>
          </cell>
          <cell r="G1356">
            <v>36279</v>
          </cell>
          <cell r="H1356">
            <v>897</v>
          </cell>
          <cell r="I1356" t="str">
            <v>деп</v>
          </cell>
          <cell r="J1356">
            <v>38235</v>
          </cell>
        </row>
        <row r="1357">
          <cell r="A1357">
            <v>58733635</v>
          </cell>
          <cell r="B1357" t="str">
            <v>РЕФРИЖЕРАТОРНАЯ КОМПАНИЯ</v>
          </cell>
          <cell r="C1357" t="str">
            <v>ВОЛКОВСКАЯ   (ОКТ)</v>
          </cell>
          <cell r="D1357">
            <v>30651</v>
          </cell>
          <cell r="E1357">
            <v>37679</v>
          </cell>
          <cell r="F1357">
            <v>897</v>
          </cell>
          <cell r="G1357">
            <v>35892</v>
          </cell>
          <cell r="H1357">
            <v>897</v>
          </cell>
          <cell r="I1357" t="str">
            <v>деп</v>
          </cell>
          <cell r="J1357">
            <v>38226</v>
          </cell>
        </row>
        <row r="1358">
          <cell r="A1358">
            <v>58733643</v>
          </cell>
          <cell r="B1358" t="str">
            <v>РЕФРИЖЕРАТОРНАЯ КОМПАНИЯ</v>
          </cell>
          <cell r="C1358" t="str">
            <v>ВОЛКОВСКАЯ   (ОКТ)</v>
          </cell>
          <cell r="D1358">
            <v>30651</v>
          </cell>
          <cell r="E1358">
            <v>36623</v>
          </cell>
          <cell r="F1358">
            <v>897</v>
          </cell>
          <cell r="G1358">
            <v>37691</v>
          </cell>
          <cell r="H1358">
            <v>897</v>
          </cell>
          <cell r="I1358" t="str">
            <v>деп</v>
          </cell>
          <cell r="J1358">
            <v>38241</v>
          </cell>
        </row>
        <row r="1359">
          <cell r="A1359">
            <v>58733650</v>
          </cell>
          <cell r="B1359" t="str">
            <v>РЕФРИЖЕРАТОРНАЯ КОМПАНИЯ</v>
          </cell>
          <cell r="C1359" t="str">
            <v>ВОЛКОВСКАЯ   (ОКТ)</v>
          </cell>
          <cell r="D1359">
            <v>30651</v>
          </cell>
          <cell r="E1359">
            <v>37679</v>
          </cell>
          <cell r="F1359">
            <v>897</v>
          </cell>
          <cell r="G1359">
            <v>35892</v>
          </cell>
          <cell r="H1359">
            <v>897</v>
          </cell>
          <cell r="I1359" t="str">
            <v>деп</v>
          </cell>
          <cell r="J1359">
            <v>38226</v>
          </cell>
        </row>
        <row r="1360">
          <cell r="A1360">
            <v>58733668</v>
          </cell>
          <cell r="B1360" t="str">
            <v>РЕФРИЖЕРАТОРНАЯ КОМПАНИЯ</v>
          </cell>
          <cell r="C1360" t="str">
            <v>ВОЛКОВСКАЯ   (ОКТ)</v>
          </cell>
          <cell r="D1360">
            <v>30651</v>
          </cell>
          <cell r="E1360">
            <v>37679</v>
          </cell>
          <cell r="F1360">
            <v>897</v>
          </cell>
          <cell r="G1360">
            <v>35892</v>
          </cell>
          <cell r="H1360">
            <v>897</v>
          </cell>
          <cell r="I1360" t="str">
            <v>деп</v>
          </cell>
          <cell r="J1360">
            <v>38226</v>
          </cell>
        </row>
        <row r="1361">
          <cell r="A1361">
            <v>58733676</v>
          </cell>
          <cell r="B1361" t="str">
            <v>РЕФРИЖЕРАТОРНАЯ КОМПАНИЯ</v>
          </cell>
          <cell r="C1361" t="str">
            <v>ВОЛКОВСКАЯ   (ОКТ)</v>
          </cell>
          <cell r="D1361">
            <v>30651</v>
          </cell>
          <cell r="E1361">
            <v>37694</v>
          </cell>
          <cell r="F1361">
            <v>897</v>
          </cell>
          <cell r="G1361">
            <v>36333</v>
          </cell>
          <cell r="H1361">
            <v>897</v>
          </cell>
          <cell r="I1361" t="str">
            <v>деп</v>
          </cell>
          <cell r="J1361">
            <v>38244</v>
          </cell>
        </row>
        <row r="1362">
          <cell r="A1362">
            <v>58733684</v>
          </cell>
          <cell r="B1362" t="str">
            <v>РЕФРИЖЕРАТОРНАЯ КОМПАНИЯ</v>
          </cell>
          <cell r="C1362" t="str">
            <v>ВОЛКОВСКАЯ   (ОКТ)</v>
          </cell>
          <cell r="D1362">
            <v>30651</v>
          </cell>
          <cell r="E1362">
            <v>37694</v>
          </cell>
          <cell r="F1362">
            <v>897</v>
          </cell>
          <cell r="G1362">
            <v>36333</v>
          </cell>
          <cell r="H1362">
            <v>897</v>
          </cell>
          <cell r="I1362" t="str">
            <v>деп</v>
          </cell>
          <cell r="J1362">
            <v>38244</v>
          </cell>
        </row>
        <row r="1363">
          <cell r="A1363">
            <v>58733700</v>
          </cell>
          <cell r="B1363" t="str">
            <v>РЕФРИЖЕРАТОРНАЯ КОМПАНИЯ</v>
          </cell>
          <cell r="C1363" t="str">
            <v>ВОЛКОВСКАЯ   (ОКТ)</v>
          </cell>
          <cell r="D1363">
            <v>30651</v>
          </cell>
          <cell r="E1363">
            <v>37694</v>
          </cell>
          <cell r="F1363">
            <v>897</v>
          </cell>
          <cell r="G1363">
            <v>36333</v>
          </cell>
          <cell r="H1363">
            <v>897</v>
          </cell>
          <cell r="I1363" t="str">
            <v>деп</v>
          </cell>
          <cell r="J1363">
            <v>38244</v>
          </cell>
        </row>
        <row r="1364">
          <cell r="A1364">
            <v>58733718</v>
          </cell>
          <cell r="B1364" t="str">
            <v>РЕФРИЖЕРАТОРНАЯ КОМПАНИЯ</v>
          </cell>
          <cell r="C1364" t="str">
            <v>ВОЛКОВСКАЯ   (ОКТ)</v>
          </cell>
          <cell r="D1364">
            <v>30651</v>
          </cell>
          <cell r="E1364">
            <v>37694</v>
          </cell>
          <cell r="F1364">
            <v>897</v>
          </cell>
          <cell r="G1364">
            <v>36333</v>
          </cell>
          <cell r="H1364">
            <v>897</v>
          </cell>
          <cell r="I1364" t="str">
            <v>деп</v>
          </cell>
          <cell r="J1364">
            <v>38244</v>
          </cell>
        </row>
        <row r="1365">
          <cell r="A1365">
            <v>58733726</v>
          </cell>
          <cell r="B1365" t="str">
            <v>РЕФРИЖЕРАТОРНАЯ КОМПАНИЯ</v>
          </cell>
          <cell r="C1365" t="str">
            <v>ВОЛКОВСКАЯ   (ОКТ)</v>
          </cell>
          <cell r="D1365">
            <v>30682</v>
          </cell>
          <cell r="E1365">
            <v>36441</v>
          </cell>
          <cell r="F1365">
            <v>897</v>
          </cell>
          <cell r="G1365">
            <v>37679</v>
          </cell>
          <cell r="H1365">
            <v>897</v>
          </cell>
          <cell r="I1365" t="str">
            <v>деп</v>
          </cell>
          <cell r="J1365">
            <v>38226</v>
          </cell>
        </row>
        <row r="1366">
          <cell r="A1366">
            <v>58733734</v>
          </cell>
          <cell r="B1366" t="str">
            <v>РЕФРИЖЕРАТОРНАЯ КОМПАНИЯ</v>
          </cell>
          <cell r="C1366" t="str">
            <v>ВОЛКОВСКАЯ   (ОКТ)</v>
          </cell>
          <cell r="D1366">
            <v>30682</v>
          </cell>
          <cell r="E1366">
            <v>36441</v>
          </cell>
          <cell r="F1366">
            <v>897</v>
          </cell>
          <cell r="G1366">
            <v>37691</v>
          </cell>
          <cell r="H1366">
            <v>897</v>
          </cell>
          <cell r="I1366" t="str">
            <v>деп</v>
          </cell>
          <cell r="J1366">
            <v>38241</v>
          </cell>
        </row>
        <row r="1367">
          <cell r="A1367">
            <v>58733742</v>
          </cell>
          <cell r="B1367" t="str">
            <v>РЕФРИЖЕРАТОРНАЯ КОМПАНИЯ</v>
          </cell>
          <cell r="C1367" t="str">
            <v>ВОЛКОВСКАЯ   (ОКТ)</v>
          </cell>
          <cell r="D1367">
            <v>30682</v>
          </cell>
          <cell r="E1367">
            <v>36441</v>
          </cell>
          <cell r="F1367">
            <v>897</v>
          </cell>
          <cell r="G1367">
            <v>37685</v>
          </cell>
          <cell r="H1367">
            <v>897</v>
          </cell>
          <cell r="I1367" t="str">
            <v>деп</v>
          </cell>
          <cell r="J1367">
            <v>38235</v>
          </cell>
        </row>
        <row r="1368">
          <cell r="A1368">
            <v>58733759</v>
          </cell>
          <cell r="B1368" t="str">
            <v>РЕФРИЖЕРАТОРНАЯ КОМПАНИЯ</v>
          </cell>
          <cell r="C1368" t="str">
            <v>ВОЛКОВСКАЯ   (ОКТ)</v>
          </cell>
          <cell r="D1368">
            <v>31321</v>
          </cell>
          <cell r="E1368">
            <v>36623</v>
          </cell>
          <cell r="F1368">
            <v>897</v>
          </cell>
          <cell r="G1368">
            <v>37691</v>
          </cell>
          <cell r="H1368">
            <v>897</v>
          </cell>
          <cell r="I1368" t="str">
            <v>деп</v>
          </cell>
          <cell r="J1368">
            <v>38241</v>
          </cell>
        </row>
        <row r="1369">
          <cell r="A1369">
            <v>58733767</v>
          </cell>
          <cell r="B1369" t="str">
            <v>РЕФРИЖЕРАТОРНАЯ КОМПАНИЯ</v>
          </cell>
          <cell r="C1369" t="str">
            <v>ВОЛКОВСКАЯ   (ОКТ)</v>
          </cell>
          <cell r="D1369">
            <v>31321</v>
          </cell>
          <cell r="E1369">
            <v>36623</v>
          </cell>
          <cell r="F1369">
            <v>897</v>
          </cell>
          <cell r="G1369">
            <v>37691</v>
          </cell>
          <cell r="H1369">
            <v>897</v>
          </cell>
          <cell r="I1369" t="str">
            <v>деп</v>
          </cell>
          <cell r="J1369">
            <v>38241</v>
          </cell>
        </row>
        <row r="1370">
          <cell r="A1370">
            <v>58733775</v>
          </cell>
          <cell r="B1370" t="str">
            <v>РЕФРИЖЕРАТОРНАЯ КОМПАНИЯ</v>
          </cell>
          <cell r="C1370" t="str">
            <v>ВОЛКОВСКАЯ   (ОКТ)</v>
          </cell>
          <cell r="D1370">
            <v>31321</v>
          </cell>
          <cell r="E1370">
            <v>36623</v>
          </cell>
          <cell r="F1370">
            <v>897</v>
          </cell>
          <cell r="G1370">
            <v>37691</v>
          </cell>
          <cell r="H1370">
            <v>897</v>
          </cell>
          <cell r="I1370" t="str">
            <v>деп</v>
          </cell>
          <cell r="J1370">
            <v>38241</v>
          </cell>
        </row>
        <row r="1371">
          <cell r="A1371">
            <v>58733973</v>
          </cell>
          <cell r="B1371" t="str">
            <v>РЕФРИЖЕРАТОРНАЯ КОМПАНИЯ</v>
          </cell>
          <cell r="C1371" t="str">
            <v>ВОЛКОВСКАЯ   (ОКТ)</v>
          </cell>
          <cell r="D1371">
            <v>30621</v>
          </cell>
          <cell r="E1371">
            <v>37685</v>
          </cell>
          <cell r="F1371">
            <v>897</v>
          </cell>
          <cell r="G1371">
            <v>36279</v>
          </cell>
          <cell r="H1371">
            <v>897</v>
          </cell>
          <cell r="I1371" t="str">
            <v>деп</v>
          </cell>
          <cell r="J1371">
            <v>38235</v>
          </cell>
        </row>
        <row r="1372">
          <cell r="A1372">
            <v>58733981</v>
          </cell>
          <cell r="B1372" t="str">
            <v>РЕФРИЖЕРАТОРНАЯ КОМПАНИЯ</v>
          </cell>
          <cell r="C1372" t="str">
            <v>ВОЛКОВСКАЯ   (ОКТ)</v>
          </cell>
          <cell r="D1372">
            <v>30621</v>
          </cell>
          <cell r="E1372">
            <v>37685</v>
          </cell>
          <cell r="F1372">
            <v>897</v>
          </cell>
          <cell r="G1372">
            <v>36279</v>
          </cell>
          <cell r="H1372">
            <v>897</v>
          </cell>
          <cell r="I1372" t="str">
            <v>деп</v>
          </cell>
          <cell r="J1372">
            <v>38235</v>
          </cell>
        </row>
        <row r="1373">
          <cell r="A1373">
            <v>58734005</v>
          </cell>
          <cell r="B1373" t="str">
            <v>РЕФРИЖЕРАТОРНАЯ КОМПАНИЯ</v>
          </cell>
          <cell r="C1373" t="str">
            <v>ВОЛКОВСКАЯ   (ОКТ)</v>
          </cell>
          <cell r="D1373">
            <v>30621</v>
          </cell>
          <cell r="E1373">
            <v>37685</v>
          </cell>
          <cell r="F1373">
            <v>897</v>
          </cell>
          <cell r="G1373">
            <v>36279</v>
          </cell>
          <cell r="H1373">
            <v>897</v>
          </cell>
          <cell r="I1373" t="str">
            <v>деп</v>
          </cell>
          <cell r="J1373">
            <v>38235</v>
          </cell>
        </row>
        <row r="1374">
          <cell r="A1374">
            <v>58734013</v>
          </cell>
          <cell r="B1374" t="str">
            <v>РЕФРИЖЕРАТОРНАЯ КОМПАНИЯ</v>
          </cell>
          <cell r="C1374" t="str">
            <v>ВОЛКОВСКАЯ   (ОКТ)</v>
          </cell>
          <cell r="D1374">
            <v>30621</v>
          </cell>
          <cell r="E1374">
            <v>37685</v>
          </cell>
          <cell r="F1374">
            <v>897</v>
          </cell>
          <cell r="G1374">
            <v>36279</v>
          </cell>
          <cell r="H1374">
            <v>897</v>
          </cell>
          <cell r="I1374" t="str">
            <v>деп</v>
          </cell>
          <cell r="J1374">
            <v>38235</v>
          </cell>
        </row>
        <row r="1375">
          <cell r="A1375">
            <v>58734021</v>
          </cell>
          <cell r="B1375" t="str">
            <v>РЕФРИЖЕРАТОРНАЯ КОМПАНИЯ</v>
          </cell>
          <cell r="C1375" t="str">
            <v>ВОЛКОВСКАЯ   (ОКТ)</v>
          </cell>
          <cell r="D1375">
            <v>30621</v>
          </cell>
          <cell r="E1375">
            <v>37679</v>
          </cell>
          <cell r="F1375">
            <v>897</v>
          </cell>
          <cell r="G1375">
            <v>35892</v>
          </cell>
          <cell r="H1375">
            <v>897</v>
          </cell>
          <cell r="I1375" t="str">
            <v>деп</v>
          </cell>
          <cell r="J1375">
            <v>38226</v>
          </cell>
        </row>
        <row r="1376">
          <cell r="A1376">
            <v>58734039</v>
          </cell>
          <cell r="B1376" t="str">
            <v>РЕФРИЖЕРАТОРНАЯ КОМПАНИЯ</v>
          </cell>
          <cell r="C1376" t="str">
            <v>ВОЛКОВСКАЯ   (ОКТ)</v>
          </cell>
          <cell r="D1376">
            <v>30621</v>
          </cell>
          <cell r="E1376">
            <v>37679</v>
          </cell>
          <cell r="F1376">
            <v>897</v>
          </cell>
          <cell r="G1376">
            <v>35892</v>
          </cell>
          <cell r="H1376">
            <v>897</v>
          </cell>
          <cell r="I1376" t="str">
            <v>деп</v>
          </cell>
          <cell r="J1376">
            <v>38226</v>
          </cell>
        </row>
        <row r="1377">
          <cell r="A1377">
            <v>58734047</v>
          </cell>
          <cell r="B1377" t="str">
            <v>РЕФРИЖЕРАТОРНАЯ КОМПАНИЯ</v>
          </cell>
          <cell r="C1377" t="str">
            <v>ВОЛКОВСКАЯ   (ОКТ)</v>
          </cell>
          <cell r="D1377">
            <v>30621</v>
          </cell>
          <cell r="E1377">
            <v>37679</v>
          </cell>
          <cell r="F1377">
            <v>897</v>
          </cell>
          <cell r="G1377">
            <v>35892</v>
          </cell>
          <cell r="H1377">
            <v>897</v>
          </cell>
          <cell r="I1377" t="str">
            <v>деп</v>
          </cell>
          <cell r="J1377">
            <v>38226</v>
          </cell>
        </row>
        <row r="1378">
          <cell r="A1378">
            <v>58734054</v>
          </cell>
          <cell r="B1378" t="str">
            <v>РЕФРИЖЕРАТОРНАЯ КОМПАНИЯ</v>
          </cell>
          <cell r="C1378" t="str">
            <v>ВОЛКОВСКАЯ   (ОКТ)</v>
          </cell>
          <cell r="D1378">
            <v>30621</v>
          </cell>
          <cell r="E1378">
            <v>37679</v>
          </cell>
          <cell r="F1378">
            <v>897</v>
          </cell>
          <cell r="G1378">
            <v>35892</v>
          </cell>
          <cell r="H1378">
            <v>897</v>
          </cell>
          <cell r="I1378" t="str">
            <v>деп</v>
          </cell>
          <cell r="J1378">
            <v>38226</v>
          </cell>
        </row>
        <row r="1379">
          <cell r="A1379">
            <v>58734062</v>
          </cell>
          <cell r="B1379" t="str">
            <v>РЕФРИЖЕРАТОРНАЯ КОМПАНИЯ</v>
          </cell>
          <cell r="C1379" t="str">
            <v>ВОЛКОВСКАЯ   (ОКТ)</v>
          </cell>
          <cell r="D1379">
            <v>30682</v>
          </cell>
          <cell r="E1379">
            <v>37694</v>
          </cell>
          <cell r="F1379">
            <v>897</v>
          </cell>
          <cell r="G1379">
            <v>36333</v>
          </cell>
          <cell r="H1379">
            <v>897</v>
          </cell>
          <cell r="I1379" t="str">
            <v>деп</v>
          </cell>
          <cell r="J1379">
            <v>38244</v>
          </cell>
        </row>
        <row r="1380">
          <cell r="A1380">
            <v>58734070</v>
          </cell>
          <cell r="B1380" t="str">
            <v>РЕФРИЖЕРАТОРНАЯ КОМПАНИЯ</v>
          </cell>
          <cell r="C1380" t="str">
            <v>ВОЛКОВСКАЯ   (ОКТ)</v>
          </cell>
          <cell r="D1380">
            <v>30713</v>
          </cell>
          <cell r="E1380">
            <v>37694</v>
          </cell>
          <cell r="F1380">
            <v>897</v>
          </cell>
          <cell r="G1380">
            <v>36425</v>
          </cell>
          <cell r="H1380">
            <v>897</v>
          </cell>
          <cell r="I1380" t="str">
            <v>кап</v>
          </cell>
          <cell r="J1380">
            <v>38244</v>
          </cell>
        </row>
        <row r="1381">
          <cell r="A1381">
            <v>58734088</v>
          </cell>
          <cell r="B1381" t="str">
            <v>РЕФРИЖЕРАТОРНАЯ КОМПАНИЯ</v>
          </cell>
          <cell r="C1381" t="str">
            <v>ВОЛКОВСКАЯ   (ОКТ)</v>
          </cell>
          <cell r="D1381">
            <v>30713</v>
          </cell>
          <cell r="E1381">
            <v>37687</v>
          </cell>
          <cell r="F1381">
            <v>897</v>
          </cell>
          <cell r="G1381">
            <v>36333</v>
          </cell>
          <cell r="H1381">
            <v>897</v>
          </cell>
          <cell r="I1381" t="str">
            <v>кап</v>
          </cell>
          <cell r="J1381">
            <v>38237</v>
          </cell>
        </row>
        <row r="1382">
          <cell r="A1382">
            <v>58734104</v>
          </cell>
          <cell r="B1382" t="str">
            <v>РЕФРИЖЕРАТОРНАЯ КОМПАНИЯ</v>
          </cell>
          <cell r="C1382" t="str">
            <v>ВОЛКОВСКАЯ   (ОКТ)</v>
          </cell>
          <cell r="D1382">
            <v>30713</v>
          </cell>
          <cell r="E1382">
            <v>37694</v>
          </cell>
          <cell r="F1382">
            <v>897</v>
          </cell>
          <cell r="G1382">
            <v>36333</v>
          </cell>
          <cell r="H1382">
            <v>897</v>
          </cell>
          <cell r="I1382" t="str">
            <v>кап</v>
          </cell>
          <cell r="J1382">
            <v>38244</v>
          </cell>
        </row>
        <row r="1383">
          <cell r="A1383">
            <v>58734112</v>
          </cell>
          <cell r="B1383" t="str">
            <v>РЕФРИЖЕРАТОРНАЯ КОМПАНИЯ</v>
          </cell>
          <cell r="C1383" t="str">
            <v>ВОЛКОВСКАЯ   (ОКТ)</v>
          </cell>
          <cell r="D1383">
            <v>30713</v>
          </cell>
          <cell r="E1383">
            <v>37679</v>
          </cell>
          <cell r="F1383">
            <v>897</v>
          </cell>
          <cell r="G1383">
            <v>36333</v>
          </cell>
          <cell r="H1383">
            <v>897</v>
          </cell>
          <cell r="I1383" t="str">
            <v>кап</v>
          </cell>
          <cell r="J1383">
            <v>38226</v>
          </cell>
        </row>
        <row r="1384">
          <cell r="A1384">
            <v>58742644</v>
          </cell>
          <cell r="B1384" t="str">
            <v>РЕФРИЖЕРАТОРНАЯ КОМПАНИЯ</v>
          </cell>
          <cell r="C1384" t="str">
            <v>ВОЛКОВСКАЯ   (ОКТ)</v>
          </cell>
          <cell r="D1384">
            <v>31444</v>
          </cell>
          <cell r="E1384">
            <v>36396</v>
          </cell>
          <cell r="F1384">
            <v>886</v>
          </cell>
          <cell r="G1384">
            <v>37981</v>
          </cell>
          <cell r="H1384">
            <v>886</v>
          </cell>
          <cell r="I1384" t="str">
            <v>деп</v>
          </cell>
          <cell r="J1384">
            <v>38529</v>
          </cell>
        </row>
        <row r="1385">
          <cell r="A1385">
            <v>58742651</v>
          </cell>
          <cell r="B1385" t="str">
            <v>РЕФРИЖЕРАТОРНАЯ КОМПАНИЯ</v>
          </cell>
          <cell r="C1385" t="str">
            <v>ВОЛКОВСКАЯ   (ОКТ)</v>
          </cell>
          <cell r="D1385">
            <v>31444</v>
          </cell>
          <cell r="E1385">
            <v>36396</v>
          </cell>
          <cell r="F1385">
            <v>886</v>
          </cell>
          <cell r="G1385">
            <v>37981</v>
          </cell>
          <cell r="H1385">
            <v>886</v>
          </cell>
          <cell r="I1385" t="str">
            <v>деп</v>
          </cell>
          <cell r="J1385">
            <v>38529</v>
          </cell>
        </row>
        <row r="1386">
          <cell r="A1386">
            <v>58742669</v>
          </cell>
          <cell r="B1386" t="str">
            <v>РЕФРИЖЕРАТОРНАЯ КОМПАНИЯ</v>
          </cell>
          <cell r="C1386" t="str">
            <v>ВОЛКОВСКАЯ   (ОКТ)</v>
          </cell>
          <cell r="D1386">
            <v>31444</v>
          </cell>
          <cell r="E1386">
            <v>36396</v>
          </cell>
          <cell r="F1386">
            <v>886</v>
          </cell>
          <cell r="G1386">
            <v>37981</v>
          </cell>
          <cell r="H1386">
            <v>886</v>
          </cell>
          <cell r="I1386" t="str">
            <v>деп</v>
          </cell>
          <cell r="J1386">
            <v>38529</v>
          </cell>
        </row>
        <row r="1387">
          <cell r="A1387">
            <v>58742677</v>
          </cell>
          <cell r="B1387" t="str">
            <v>РЕФРИЖЕРАТОРНАЯ КОМПАНИЯ</v>
          </cell>
          <cell r="C1387" t="str">
            <v>ВОЛКОВСКАЯ   (ОКТ)</v>
          </cell>
          <cell r="D1387">
            <v>31444</v>
          </cell>
          <cell r="E1387">
            <v>36396</v>
          </cell>
          <cell r="F1387">
            <v>886</v>
          </cell>
          <cell r="G1387">
            <v>37981</v>
          </cell>
          <cell r="H1387">
            <v>886</v>
          </cell>
          <cell r="I1387" t="str">
            <v>деп</v>
          </cell>
          <cell r="J1387">
            <v>38529</v>
          </cell>
        </row>
        <row r="1388">
          <cell r="A1388">
            <v>58742685</v>
          </cell>
          <cell r="B1388" t="str">
            <v>РЕФРИЖЕРАТОРНАЯ КОМПАНИЯ</v>
          </cell>
          <cell r="C1388" t="str">
            <v>ВОЛКОВСКАЯ   (ОКТ)</v>
          </cell>
          <cell r="D1388">
            <v>31472</v>
          </cell>
          <cell r="E1388">
            <v>36602</v>
          </cell>
          <cell r="F1388">
            <v>886</v>
          </cell>
          <cell r="G1388">
            <v>37981</v>
          </cell>
          <cell r="H1388">
            <v>886</v>
          </cell>
          <cell r="I1388" t="str">
            <v>деп</v>
          </cell>
          <cell r="J1388">
            <v>38529</v>
          </cell>
        </row>
        <row r="1389">
          <cell r="A1389">
            <v>58742701</v>
          </cell>
          <cell r="B1389" t="str">
            <v>РЕФРИЖЕРАТОРНАЯ КОМПАНИЯ</v>
          </cell>
          <cell r="C1389" t="str">
            <v>ВОЛКОВСКАЯ   (ОКТ)</v>
          </cell>
          <cell r="D1389">
            <v>31472</v>
          </cell>
          <cell r="E1389">
            <v>36602</v>
          </cell>
          <cell r="F1389">
            <v>886</v>
          </cell>
          <cell r="G1389">
            <v>37981</v>
          </cell>
          <cell r="H1389">
            <v>886</v>
          </cell>
          <cell r="I1389" t="str">
            <v>деп</v>
          </cell>
          <cell r="J1389">
            <v>38529</v>
          </cell>
        </row>
        <row r="1390">
          <cell r="A1390">
            <v>58742719</v>
          </cell>
          <cell r="B1390" t="str">
            <v>РЕФРИЖЕРАТОРНАЯ КОМПАНИЯ</v>
          </cell>
          <cell r="C1390" t="str">
            <v>ВОЛКОВСКАЯ   (ОКТ)</v>
          </cell>
          <cell r="D1390">
            <v>31472</v>
          </cell>
          <cell r="E1390">
            <v>36602</v>
          </cell>
          <cell r="F1390">
            <v>886</v>
          </cell>
          <cell r="G1390">
            <v>37981</v>
          </cell>
          <cell r="H1390">
            <v>886</v>
          </cell>
          <cell r="I1390" t="str">
            <v>деп</v>
          </cell>
          <cell r="J1390">
            <v>38529</v>
          </cell>
        </row>
        <row r="1391">
          <cell r="A1391">
            <v>58742727</v>
          </cell>
          <cell r="B1391" t="str">
            <v>РЕФРИЖЕРАТОРНАЯ КОМПАНИЯ</v>
          </cell>
          <cell r="C1391" t="str">
            <v>ВОЛКОВСКАЯ   (ОКТ)</v>
          </cell>
          <cell r="D1391">
            <v>31472</v>
          </cell>
          <cell r="E1391">
            <v>36602</v>
          </cell>
          <cell r="F1391">
            <v>886</v>
          </cell>
          <cell r="G1391">
            <v>37981</v>
          </cell>
          <cell r="H1391">
            <v>886</v>
          </cell>
          <cell r="I1391" t="str">
            <v>деп</v>
          </cell>
          <cell r="J1391">
            <v>38529</v>
          </cell>
        </row>
        <row r="1392">
          <cell r="B1392" t="str">
            <v>РЕФРИЖЕРАТОРНАЯ КОМПАНИЯ Количество</v>
          </cell>
          <cell r="D1392">
            <v>148</v>
          </cell>
        </row>
        <row r="1393">
          <cell r="A1393">
            <v>53401113</v>
          </cell>
          <cell r="B1393" t="str">
            <v>РЕФСЕРВИС-М</v>
          </cell>
          <cell r="C1393" t="str">
            <v>ВОЛКОВСКАЯ   (ОКТ)</v>
          </cell>
          <cell r="D1393">
            <v>30713</v>
          </cell>
          <cell r="E1393">
            <v>37621</v>
          </cell>
          <cell r="F1393">
            <v>792</v>
          </cell>
          <cell r="G1393">
            <v>36005</v>
          </cell>
          <cell r="H1393">
            <v>792</v>
          </cell>
          <cell r="I1393" t="str">
            <v>деп</v>
          </cell>
          <cell r="J1393">
            <v>38168</v>
          </cell>
        </row>
        <row r="1394">
          <cell r="A1394">
            <v>53401121</v>
          </cell>
          <cell r="B1394" t="str">
            <v>РЕФСЕРВИС-М</v>
          </cell>
          <cell r="C1394" t="str">
            <v>ВОЛКОВСКАЯ   (ОКТ)</v>
          </cell>
          <cell r="D1394">
            <v>31747</v>
          </cell>
          <cell r="E1394">
            <v>37621</v>
          </cell>
          <cell r="F1394">
            <v>792</v>
          </cell>
          <cell r="G1394">
            <v>36619</v>
          </cell>
          <cell r="H1394">
            <v>792</v>
          </cell>
          <cell r="I1394" t="str">
            <v>деп</v>
          </cell>
          <cell r="J1394">
            <v>38168</v>
          </cell>
        </row>
        <row r="1395">
          <cell r="A1395">
            <v>53401220</v>
          </cell>
          <cell r="B1395" t="str">
            <v>РЕФСЕРВИС-М</v>
          </cell>
          <cell r="C1395" t="str">
            <v>ВОЛКОВСКАЯ   (ОКТ)</v>
          </cell>
          <cell r="D1395">
            <v>30742</v>
          </cell>
          <cell r="E1395">
            <v>37697</v>
          </cell>
          <cell r="F1395">
            <v>792</v>
          </cell>
          <cell r="G1395">
            <v>36584</v>
          </cell>
          <cell r="H1395">
            <v>792</v>
          </cell>
          <cell r="I1395" t="str">
            <v>деп</v>
          </cell>
          <cell r="J1395">
            <v>38247</v>
          </cell>
        </row>
        <row r="1396">
          <cell r="A1396">
            <v>53401352</v>
          </cell>
          <cell r="B1396" t="str">
            <v>РЕФСЕРВИС-М</v>
          </cell>
          <cell r="C1396" t="str">
            <v>ВОЛКОВСКАЯ   (ОКТ)</v>
          </cell>
          <cell r="D1396">
            <v>31868</v>
          </cell>
          <cell r="F1396">
            <v>0</v>
          </cell>
          <cell r="G1396">
            <v>37784</v>
          </cell>
          <cell r="H1396">
            <v>792</v>
          </cell>
          <cell r="I1396" t="str">
            <v>деп</v>
          </cell>
          <cell r="J1396">
            <v>38333</v>
          </cell>
        </row>
        <row r="1397">
          <cell r="A1397">
            <v>53401360</v>
          </cell>
          <cell r="B1397" t="str">
            <v>РЕФСЕРВИС-М</v>
          </cell>
          <cell r="C1397" t="str">
            <v>ВОЛКОВСКАЯ   (ОКТ)</v>
          </cell>
          <cell r="D1397">
            <v>31898</v>
          </cell>
          <cell r="F1397">
            <v>0</v>
          </cell>
          <cell r="G1397">
            <v>37741</v>
          </cell>
          <cell r="H1397">
            <v>897</v>
          </cell>
          <cell r="I1397" t="str">
            <v>деп</v>
          </cell>
          <cell r="J1397">
            <v>38290</v>
          </cell>
        </row>
        <row r="1398">
          <cell r="A1398">
            <v>53401618</v>
          </cell>
          <cell r="B1398" t="str">
            <v>РЕФСЕРВИС-М</v>
          </cell>
          <cell r="C1398" t="str">
            <v>ВОЛКОВСКАЯ   (ОКТ)</v>
          </cell>
          <cell r="D1398">
            <v>31894</v>
          </cell>
          <cell r="E1398">
            <v>36171</v>
          </cell>
          <cell r="F1398">
            <v>792</v>
          </cell>
          <cell r="G1398">
            <v>37833</v>
          </cell>
          <cell r="H1398">
            <v>792</v>
          </cell>
          <cell r="I1398" t="str">
            <v>деп</v>
          </cell>
          <cell r="J1398">
            <v>38383</v>
          </cell>
        </row>
        <row r="1399">
          <cell r="A1399">
            <v>53401626</v>
          </cell>
          <cell r="B1399" t="str">
            <v>РЕФСЕРВИС-М</v>
          </cell>
          <cell r="C1399" t="str">
            <v>ВОЛКОВСКАЯ   (ОКТ)</v>
          </cell>
          <cell r="D1399">
            <v>31741</v>
          </cell>
          <cell r="F1399">
            <v>0</v>
          </cell>
          <cell r="G1399">
            <v>37915</v>
          </cell>
          <cell r="H1399">
            <v>792</v>
          </cell>
          <cell r="I1399" t="str">
            <v>деп</v>
          </cell>
          <cell r="J1399">
            <v>38463</v>
          </cell>
        </row>
        <row r="1400">
          <cell r="A1400">
            <v>58733478</v>
          </cell>
          <cell r="B1400" t="str">
            <v>РЕФСЕРВИС-М</v>
          </cell>
          <cell r="C1400" t="str">
            <v>ВОЛКОВСКАЯ   (ОКТ)</v>
          </cell>
          <cell r="D1400">
            <v>30713</v>
          </cell>
          <cell r="E1400">
            <v>37621</v>
          </cell>
          <cell r="F1400">
            <v>792</v>
          </cell>
          <cell r="G1400">
            <v>36005</v>
          </cell>
          <cell r="H1400">
            <v>792</v>
          </cell>
          <cell r="I1400" t="str">
            <v>деп</v>
          </cell>
          <cell r="J1400">
            <v>38168</v>
          </cell>
        </row>
        <row r="1401">
          <cell r="A1401">
            <v>58733486</v>
          </cell>
          <cell r="B1401" t="str">
            <v>РЕФСЕРВИС-М</v>
          </cell>
          <cell r="C1401" t="str">
            <v>ВОЛКОВСКАЯ   (ОКТ)</v>
          </cell>
          <cell r="D1401">
            <v>30713</v>
          </cell>
          <cell r="E1401">
            <v>37621</v>
          </cell>
          <cell r="F1401">
            <v>792</v>
          </cell>
          <cell r="G1401">
            <v>36005</v>
          </cell>
          <cell r="H1401">
            <v>792</v>
          </cell>
          <cell r="I1401" t="str">
            <v>деп</v>
          </cell>
          <cell r="J1401">
            <v>38168</v>
          </cell>
        </row>
        <row r="1402">
          <cell r="A1402">
            <v>58733502</v>
          </cell>
          <cell r="B1402" t="str">
            <v>РЕФСЕРВИС-М</v>
          </cell>
          <cell r="C1402" t="str">
            <v>ВОЛКОВСКАЯ   (ОКТ)</v>
          </cell>
          <cell r="D1402">
            <v>30713</v>
          </cell>
          <cell r="E1402">
            <v>37621</v>
          </cell>
          <cell r="F1402">
            <v>792</v>
          </cell>
          <cell r="G1402">
            <v>36005</v>
          </cell>
          <cell r="H1402">
            <v>792</v>
          </cell>
          <cell r="I1402" t="str">
            <v>деп</v>
          </cell>
          <cell r="J1402">
            <v>38168</v>
          </cell>
        </row>
        <row r="1403">
          <cell r="A1403">
            <v>58733510</v>
          </cell>
          <cell r="B1403" t="str">
            <v>РЕФСЕРВИС-М</v>
          </cell>
          <cell r="C1403" t="str">
            <v>ВОЛКОВСКАЯ   (ОКТ)</v>
          </cell>
          <cell r="D1403">
            <v>30713</v>
          </cell>
          <cell r="E1403">
            <v>37621</v>
          </cell>
          <cell r="F1403">
            <v>792</v>
          </cell>
          <cell r="G1403">
            <v>36005</v>
          </cell>
          <cell r="H1403">
            <v>792</v>
          </cell>
          <cell r="I1403" t="str">
            <v>деп</v>
          </cell>
          <cell r="J1403">
            <v>38168</v>
          </cell>
        </row>
        <row r="1404">
          <cell r="A1404">
            <v>58733528</v>
          </cell>
          <cell r="B1404" t="str">
            <v>РЕФСЕРВИС-М</v>
          </cell>
          <cell r="C1404" t="str">
            <v>ВОЛКОВСКАЯ   (ОКТ)</v>
          </cell>
          <cell r="D1404">
            <v>30713</v>
          </cell>
          <cell r="E1404">
            <v>37621</v>
          </cell>
          <cell r="F1404">
            <v>792</v>
          </cell>
          <cell r="G1404">
            <v>36038</v>
          </cell>
          <cell r="H1404">
            <v>792</v>
          </cell>
          <cell r="I1404" t="str">
            <v>деп</v>
          </cell>
          <cell r="J1404">
            <v>38168</v>
          </cell>
        </row>
        <row r="1405">
          <cell r="A1405">
            <v>58733536</v>
          </cell>
          <cell r="B1405" t="str">
            <v>РЕФСЕРВИС-М</v>
          </cell>
          <cell r="C1405" t="str">
            <v>ВОЛКОВСКАЯ   (ОКТ)</v>
          </cell>
          <cell r="D1405">
            <v>31747</v>
          </cell>
          <cell r="E1405">
            <v>37621</v>
          </cell>
          <cell r="F1405">
            <v>792</v>
          </cell>
          <cell r="G1405">
            <v>36619</v>
          </cell>
          <cell r="H1405">
            <v>792</v>
          </cell>
          <cell r="I1405" t="str">
            <v>деп</v>
          </cell>
          <cell r="J1405">
            <v>38168</v>
          </cell>
        </row>
        <row r="1406">
          <cell r="A1406">
            <v>58733544</v>
          </cell>
          <cell r="B1406" t="str">
            <v>РЕФСЕРВИС-М</v>
          </cell>
          <cell r="C1406" t="str">
            <v>ВОЛКОВСКАЯ   (ОКТ)</v>
          </cell>
          <cell r="D1406">
            <v>31747</v>
          </cell>
          <cell r="E1406">
            <v>37621</v>
          </cell>
          <cell r="F1406">
            <v>792</v>
          </cell>
          <cell r="G1406">
            <v>36619</v>
          </cell>
          <cell r="H1406">
            <v>792</v>
          </cell>
          <cell r="I1406" t="str">
            <v>деп</v>
          </cell>
          <cell r="J1406">
            <v>38168</v>
          </cell>
        </row>
        <row r="1407">
          <cell r="A1407">
            <v>58733551</v>
          </cell>
          <cell r="B1407" t="str">
            <v>РЕФСЕРВИС-М</v>
          </cell>
          <cell r="C1407" t="str">
            <v>ВОЛКОВСКАЯ   (ОКТ)</v>
          </cell>
          <cell r="D1407">
            <v>31747</v>
          </cell>
          <cell r="E1407">
            <v>37621</v>
          </cell>
          <cell r="F1407">
            <v>792</v>
          </cell>
          <cell r="G1407">
            <v>36619</v>
          </cell>
          <cell r="H1407">
            <v>792</v>
          </cell>
          <cell r="I1407" t="str">
            <v>деп</v>
          </cell>
          <cell r="J1407">
            <v>38168</v>
          </cell>
        </row>
        <row r="1408">
          <cell r="A1408">
            <v>58733569</v>
          </cell>
          <cell r="B1408" t="str">
            <v>РЕФСЕРВИС-М</v>
          </cell>
          <cell r="C1408" t="str">
            <v>ВОЛКОВСКАЯ   (ОКТ)</v>
          </cell>
          <cell r="D1408">
            <v>31747</v>
          </cell>
          <cell r="E1408">
            <v>37621</v>
          </cell>
          <cell r="F1408">
            <v>792</v>
          </cell>
          <cell r="G1408">
            <v>36619</v>
          </cell>
          <cell r="H1408">
            <v>792</v>
          </cell>
          <cell r="I1408" t="str">
            <v>деп</v>
          </cell>
          <cell r="J1408">
            <v>38168</v>
          </cell>
        </row>
        <row r="1409">
          <cell r="A1409">
            <v>58733783</v>
          </cell>
          <cell r="B1409" t="str">
            <v>РЕФСЕРВИС-М</v>
          </cell>
          <cell r="C1409" t="str">
            <v>ВОЛКОВСКАЯ   (ОКТ)</v>
          </cell>
          <cell r="D1409">
            <v>30742</v>
          </cell>
          <cell r="E1409">
            <v>37697</v>
          </cell>
          <cell r="F1409">
            <v>792</v>
          </cell>
          <cell r="G1409">
            <v>36584</v>
          </cell>
          <cell r="H1409">
            <v>792</v>
          </cell>
          <cell r="I1409" t="str">
            <v>деп</v>
          </cell>
          <cell r="J1409">
            <v>38247</v>
          </cell>
        </row>
        <row r="1410">
          <cell r="A1410">
            <v>58733809</v>
          </cell>
          <cell r="B1410" t="str">
            <v>РЕФСЕРВИС-М</v>
          </cell>
          <cell r="C1410" t="str">
            <v>ВОЛКОВСКАЯ   (ОКТ)</v>
          </cell>
          <cell r="D1410">
            <v>30742</v>
          </cell>
          <cell r="E1410">
            <v>37697</v>
          </cell>
          <cell r="F1410">
            <v>792</v>
          </cell>
          <cell r="G1410">
            <v>36584</v>
          </cell>
          <cell r="H1410">
            <v>792</v>
          </cell>
          <cell r="I1410" t="str">
            <v>деп</v>
          </cell>
          <cell r="J1410">
            <v>38247</v>
          </cell>
        </row>
        <row r="1411">
          <cell r="A1411">
            <v>58733817</v>
          </cell>
          <cell r="B1411" t="str">
            <v>РЕФСЕРВИС-М</v>
          </cell>
          <cell r="C1411" t="str">
            <v>ВОЛКОВСКАЯ   (ОКТ)</v>
          </cell>
          <cell r="D1411">
            <v>30742</v>
          </cell>
          <cell r="E1411">
            <v>37697</v>
          </cell>
          <cell r="F1411">
            <v>792</v>
          </cell>
          <cell r="G1411">
            <v>36584</v>
          </cell>
          <cell r="H1411">
            <v>792</v>
          </cell>
          <cell r="I1411" t="str">
            <v>деп</v>
          </cell>
          <cell r="J1411">
            <v>38247</v>
          </cell>
        </row>
        <row r="1412">
          <cell r="A1412">
            <v>58733825</v>
          </cell>
          <cell r="B1412" t="str">
            <v>РЕФСЕРВИС-М</v>
          </cell>
          <cell r="C1412" t="str">
            <v>ВОЛКОВСКАЯ   (ОКТ)</v>
          </cell>
          <cell r="D1412">
            <v>30742</v>
          </cell>
          <cell r="E1412">
            <v>37697</v>
          </cell>
          <cell r="F1412">
            <v>792</v>
          </cell>
          <cell r="G1412">
            <v>36584</v>
          </cell>
          <cell r="H1412">
            <v>792</v>
          </cell>
          <cell r="I1412" t="str">
            <v>деп</v>
          </cell>
          <cell r="J1412">
            <v>38247</v>
          </cell>
        </row>
        <row r="1413">
          <cell r="A1413">
            <v>58734120</v>
          </cell>
          <cell r="B1413" t="str">
            <v>РЕФСЕРВИС-М</v>
          </cell>
          <cell r="C1413" t="str">
            <v>ВОЛКОВСКАЯ   (ОКТ)</v>
          </cell>
          <cell r="D1413">
            <v>30773</v>
          </cell>
          <cell r="F1413">
            <v>0</v>
          </cell>
          <cell r="G1413">
            <v>37741</v>
          </cell>
          <cell r="H1413">
            <v>897</v>
          </cell>
          <cell r="I1413" t="str">
            <v>деп</v>
          </cell>
          <cell r="J1413">
            <v>38290</v>
          </cell>
        </row>
        <row r="1414">
          <cell r="A1414">
            <v>58734138</v>
          </cell>
          <cell r="B1414" t="str">
            <v>РЕФСЕРВИС-М</v>
          </cell>
          <cell r="C1414" t="str">
            <v>ВОЛКОВСКАЯ   (ОКТ)</v>
          </cell>
          <cell r="D1414">
            <v>31868</v>
          </cell>
          <cell r="F1414">
            <v>0</v>
          </cell>
          <cell r="G1414">
            <v>37784</v>
          </cell>
          <cell r="H1414">
            <v>792</v>
          </cell>
          <cell r="I1414" t="str">
            <v>деп</v>
          </cell>
          <cell r="J1414">
            <v>38333</v>
          </cell>
        </row>
        <row r="1415">
          <cell r="A1415">
            <v>58734146</v>
          </cell>
          <cell r="B1415" t="str">
            <v>РЕФСЕРВИС-М</v>
          </cell>
          <cell r="C1415" t="str">
            <v>ВОЛКОВСКАЯ   (ОКТ)</v>
          </cell>
          <cell r="D1415">
            <v>31868</v>
          </cell>
          <cell r="F1415">
            <v>0</v>
          </cell>
          <cell r="G1415">
            <v>37784</v>
          </cell>
          <cell r="H1415">
            <v>792</v>
          </cell>
          <cell r="I1415" t="str">
            <v>деп</v>
          </cell>
          <cell r="J1415">
            <v>38333</v>
          </cell>
        </row>
        <row r="1416">
          <cell r="A1416">
            <v>58734153</v>
          </cell>
          <cell r="B1416" t="str">
            <v>РЕФСЕРВИС-М</v>
          </cell>
          <cell r="C1416" t="str">
            <v>ВОЛКОВСКАЯ   (ОКТ)</v>
          </cell>
          <cell r="D1416">
            <v>31868</v>
          </cell>
          <cell r="F1416">
            <v>0</v>
          </cell>
          <cell r="G1416">
            <v>37784</v>
          </cell>
          <cell r="H1416">
            <v>792</v>
          </cell>
          <cell r="I1416" t="str">
            <v>деп</v>
          </cell>
          <cell r="J1416">
            <v>38333</v>
          </cell>
        </row>
        <row r="1417">
          <cell r="A1417">
            <v>58734161</v>
          </cell>
          <cell r="B1417" t="str">
            <v>РЕФСЕРВИС-М</v>
          </cell>
          <cell r="C1417" t="str">
            <v>ВОЛКОВСКАЯ   (ОКТ)</v>
          </cell>
          <cell r="D1417">
            <v>31868</v>
          </cell>
          <cell r="F1417">
            <v>0</v>
          </cell>
          <cell r="G1417">
            <v>37784</v>
          </cell>
          <cell r="H1417">
            <v>792</v>
          </cell>
          <cell r="I1417" t="str">
            <v>деп</v>
          </cell>
          <cell r="J1417">
            <v>38333</v>
          </cell>
        </row>
        <row r="1418">
          <cell r="A1418">
            <v>58734179</v>
          </cell>
          <cell r="B1418" t="str">
            <v>РЕФСЕРВИС-М</v>
          </cell>
          <cell r="C1418" t="str">
            <v>ВОЛКОВСКАЯ   (ОКТ)</v>
          </cell>
          <cell r="D1418">
            <v>31898</v>
          </cell>
          <cell r="F1418">
            <v>0</v>
          </cell>
          <cell r="G1418">
            <v>37741</v>
          </cell>
          <cell r="H1418">
            <v>897</v>
          </cell>
          <cell r="I1418" t="str">
            <v>деп</v>
          </cell>
          <cell r="J1418">
            <v>38290</v>
          </cell>
        </row>
        <row r="1419">
          <cell r="A1419">
            <v>58734187</v>
          </cell>
          <cell r="B1419" t="str">
            <v>РЕФСЕРВИС-М</v>
          </cell>
          <cell r="C1419" t="str">
            <v>ВОЛКОВСКАЯ   (ОКТ)</v>
          </cell>
          <cell r="D1419">
            <v>31898</v>
          </cell>
          <cell r="F1419">
            <v>0</v>
          </cell>
          <cell r="G1419">
            <v>37741</v>
          </cell>
          <cell r="H1419">
            <v>897</v>
          </cell>
          <cell r="I1419" t="str">
            <v>деп</v>
          </cell>
          <cell r="J1419">
            <v>38290</v>
          </cell>
        </row>
        <row r="1420">
          <cell r="A1420">
            <v>58734203</v>
          </cell>
          <cell r="B1420" t="str">
            <v>РЕФСЕРВИС-М</v>
          </cell>
          <cell r="C1420" t="str">
            <v>ВОЛКОВСКАЯ   (ОКТ)</v>
          </cell>
          <cell r="D1420">
            <v>31898</v>
          </cell>
          <cell r="F1420">
            <v>0</v>
          </cell>
          <cell r="G1420">
            <v>37741</v>
          </cell>
          <cell r="H1420">
            <v>897</v>
          </cell>
          <cell r="I1420" t="str">
            <v>деп</v>
          </cell>
          <cell r="J1420">
            <v>38290</v>
          </cell>
        </row>
        <row r="1421">
          <cell r="A1421">
            <v>58734211</v>
          </cell>
          <cell r="B1421" t="str">
            <v>РЕФСЕРВИС-М</v>
          </cell>
          <cell r="C1421" t="str">
            <v>ВОЛКОВСКАЯ   (ОКТ)</v>
          </cell>
          <cell r="D1421">
            <v>31898</v>
          </cell>
          <cell r="F1421">
            <v>0</v>
          </cell>
          <cell r="G1421">
            <v>37741</v>
          </cell>
          <cell r="H1421">
            <v>897</v>
          </cell>
          <cell r="I1421" t="str">
            <v>деп</v>
          </cell>
          <cell r="J1421">
            <v>38290</v>
          </cell>
        </row>
        <row r="1422">
          <cell r="A1422">
            <v>58734401</v>
          </cell>
          <cell r="B1422" t="str">
            <v>РЕФСЕРВИС-М</v>
          </cell>
          <cell r="C1422" t="str">
            <v>ВОЛКОВСКАЯ   (ОКТ)</v>
          </cell>
          <cell r="D1422">
            <v>31894</v>
          </cell>
          <cell r="E1422">
            <v>36171</v>
          </cell>
          <cell r="F1422">
            <v>792</v>
          </cell>
          <cell r="G1422">
            <v>37833</v>
          </cell>
          <cell r="H1422">
            <v>792</v>
          </cell>
          <cell r="I1422" t="str">
            <v>деп</v>
          </cell>
          <cell r="J1422">
            <v>38383</v>
          </cell>
        </row>
        <row r="1423">
          <cell r="A1423">
            <v>58734419</v>
          </cell>
          <cell r="B1423" t="str">
            <v>РЕФСЕРВИС-М</v>
          </cell>
          <cell r="C1423" t="str">
            <v>ВОЛКОВСКАЯ   (ОКТ)</v>
          </cell>
          <cell r="D1423">
            <v>30667</v>
          </cell>
          <cell r="E1423">
            <v>37833</v>
          </cell>
          <cell r="F1423">
            <v>792</v>
          </cell>
          <cell r="G1423">
            <v>36210</v>
          </cell>
          <cell r="H1423">
            <v>792</v>
          </cell>
          <cell r="I1423" t="str">
            <v>деп</v>
          </cell>
          <cell r="J1423">
            <v>38383</v>
          </cell>
        </row>
        <row r="1424">
          <cell r="A1424">
            <v>58734427</v>
          </cell>
          <cell r="B1424" t="str">
            <v>РЕФСЕРВИС-М</v>
          </cell>
          <cell r="C1424" t="str">
            <v>ВОЛКОВСКАЯ   (ОКТ)</v>
          </cell>
          <cell r="D1424">
            <v>31894</v>
          </cell>
          <cell r="E1424">
            <v>36171</v>
          </cell>
          <cell r="F1424">
            <v>792</v>
          </cell>
          <cell r="G1424">
            <v>37833</v>
          </cell>
          <cell r="H1424">
            <v>792</v>
          </cell>
          <cell r="I1424" t="str">
            <v>деп</v>
          </cell>
          <cell r="J1424">
            <v>38383</v>
          </cell>
        </row>
        <row r="1425">
          <cell r="A1425">
            <v>58734435</v>
          </cell>
          <cell r="B1425" t="str">
            <v>РЕФСЕРВИС-М</v>
          </cell>
          <cell r="C1425" t="str">
            <v>ВОЛКОВСКАЯ   (ОКТ)</v>
          </cell>
          <cell r="D1425">
            <v>31894</v>
          </cell>
          <cell r="E1425">
            <v>36171</v>
          </cell>
          <cell r="F1425">
            <v>792</v>
          </cell>
          <cell r="G1425">
            <v>37833</v>
          </cell>
          <cell r="H1425">
            <v>792</v>
          </cell>
          <cell r="I1425" t="str">
            <v>деп</v>
          </cell>
          <cell r="J1425">
            <v>38383</v>
          </cell>
        </row>
        <row r="1426">
          <cell r="A1426">
            <v>58734443</v>
          </cell>
          <cell r="B1426" t="str">
            <v>РЕФСЕРВИС-М</v>
          </cell>
          <cell r="C1426" t="str">
            <v>ВОЛКОВСКАЯ   (ОКТ)</v>
          </cell>
          <cell r="D1426">
            <v>31894</v>
          </cell>
          <cell r="E1426">
            <v>36171</v>
          </cell>
          <cell r="F1426">
            <v>792</v>
          </cell>
          <cell r="G1426">
            <v>37833</v>
          </cell>
          <cell r="H1426">
            <v>792</v>
          </cell>
          <cell r="I1426" t="str">
            <v>деп</v>
          </cell>
          <cell r="J1426">
            <v>38383</v>
          </cell>
        </row>
        <row r="1427">
          <cell r="A1427">
            <v>58734450</v>
          </cell>
          <cell r="B1427" t="str">
            <v>РЕФСЕРВИС-М</v>
          </cell>
          <cell r="C1427" t="str">
            <v>ВОЛКОВСКАЯ   (ОКТ)</v>
          </cell>
          <cell r="D1427">
            <v>31741</v>
          </cell>
          <cell r="F1427">
            <v>0</v>
          </cell>
          <cell r="G1427">
            <v>37915</v>
          </cell>
          <cell r="H1427">
            <v>792</v>
          </cell>
          <cell r="I1427" t="str">
            <v>деп</v>
          </cell>
          <cell r="J1427">
            <v>38463</v>
          </cell>
        </row>
        <row r="1428">
          <cell r="A1428">
            <v>58734468</v>
          </cell>
          <cell r="B1428" t="str">
            <v>РЕФСЕРВИС-М</v>
          </cell>
          <cell r="C1428" t="str">
            <v>ВОЛКОВСКАЯ   (ОКТ)</v>
          </cell>
          <cell r="D1428">
            <v>31741</v>
          </cell>
          <cell r="F1428">
            <v>0</v>
          </cell>
          <cell r="G1428">
            <v>37915</v>
          </cell>
          <cell r="H1428">
            <v>792</v>
          </cell>
          <cell r="I1428" t="str">
            <v>деп</v>
          </cell>
          <cell r="J1428">
            <v>38463</v>
          </cell>
        </row>
        <row r="1429">
          <cell r="A1429">
            <v>58734476</v>
          </cell>
          <cell r="B1429" t="str">
            <v>РЕФСЕРВИС-М</v>
          </cell>
          <cell r="C1429" t="str">
            <v>ВОЛКОВСКАЯ   (ОКТ)</v>
          </cell>
          <cell r="D1429">
            <v>31741</v>
          </cell>
          <cell r="F1429">
            <v>0</v>
          </cell>
          <cell r="G1429">
            <v>37915</v>
          </cell>
          <cell r="H1429">
            <v>792</v>
          </cell>
          <cell r="I1429" t="str">
            <v>деп</v>
          </cell>
          <cell r="J1429">
            <v>38463</v>
          </cell>
        </row>
        <row r="1430">
          <cell r="A1430">
            <v>58734484</v>
          </cell>
          <cell r="B1430" t="str">
            <v>РЕФСЕРВИС-М</v>
          </cell>
          <cell r="C1430" t="str">
            <v>ВОЛКОВСКАЯ   (ОКТ)</v>
          </cell>
          <cell r="D1430">
            <v>31741</v>
          </cell>
          <cell r="F1430">
            <v>0</v>
          </cell>
          <cell r="G1430">
            <v>37915</v>
          </cell>
          <cell r="H1430">
            <v>792</v>
          </cell>
          <cell r="I1430" t="str">
            <v>деп</v>
          </cell>
          <cell r="J1430">
            <v>38463</v>
          </cell>
        </row>
        <row r="1431">
          <cell r="B1431" t="str">
            <v>РЕФСЕРВИС-М Количество</v>
          </cell>
          <cell r="D1431">
            <v>38</v>
          </cell>
        </row>
        <row r="1432">
          <cell r="A1432">
            <v>53401162</v>
          </cell>
          <cell r="B1432" t="str">
            <v>РОЛЛЕ</v>
          </cell>
          <cell r="C1432" t="str">
            <v>СИБИРСКАЯ    (ЗСБ)</v>
          </cell>
          <cell r="D1432">
            <v>30376</v>
          </cell>
          <cell r="F1432">
            <v>0</v>
          </cell>
          <cell r="G1432">
            <v>37546</v>
          </cell>
          <cell r="H1432">
            <v>840</v>
          </cell>
          <cell r="I1432" t="str">
            <v>деп</v>
          </cell>
          <cell r="J1432">
            <v>38094</v>
          </cell>
        </row>
        <row r="1433">
          <cell r="B1433" t="str">
            <v>РОЛЛЕ Количество</v>
          </cell>
          <cell r="D1433">
            <v>1</v>
          </cell>
        </row>
        <row r="1434">
          <cell r="A1434">
            <v>53704219</v>
          </cell>
          <cell r="B1434" t="str">
            <v>РОССИЙСКИЙ ЦИРК ГК</v>
          </cell>
          <cell r="C1434" t="str">
            <v>ОТРОЖКА      (ЮВС)</v>
          </cell>
          <cell r="D1434">
            <v>24473</v>
          </cell>
          <cell r="E1434">
            <v>36469</v>
          </cell>
          <cell r="G1434">
            <v>37729</v>
          </cell>
          <cell r="H1434">
            <v>76</v>
          </cell>
          <cell r="I1434" t="str">
            <v>деп</v>
          </cell>
          <cell r="J1434">
            <v>38825</v>
          </cell>
        </row>
        <row r="1435">
          <cell r="A1435">
            <v>58700709</v>
          </cell>
          <cell r="B1435" t="str">
            <v>РОССИЙСКИЙ ЦИРК ГК</v>
          </cell>
          <cell r="C1435" t="str">
            <v>ОТРОЖКА      (ЮВС)</v>
          </cell>
          <cell r="D1435">
            <v>24473</v>
          </cell>
          <cell r="F1435">
            <v>0</v>
          </cell>
          <cell r="G1435">
            <v>37729</v>
          </cell>
          <cell r="H1435">
            <v>76</v>
          </cell>
          <cell r="I1435" t="str">
            <v>деп</v>
          </cell>
          <cell r="J1435">
            <v>38460</v>
          </cell>
        </row>
        <row r="1436">
          <cell r="A1436">
            <v>58700717</v>
          </cell>
          <cell r="B1436" t="str">
            <v>РОССИЙСКИЙ ЦИРК ГК</v>
          </cell>
          <cell r="C1436" t="str">
            <v>ОТРОЖКА      (ЮВС)</v>
          </cell>
          <cell r="D1436">
            <v>24473</v>
          </cell>
          <cell r="F1436">
            <v>0</v>
          </cell>
          <cell r="G1436">
            <v>37403</v>
          </cell>
          <cell r="H1436">
            <v>76</v>
          </cell>
          <cell r="I1436" t="str">
            <v>деп</v>
          </cell>
          <cell r="J1436">
            <v>38134</v>
          </cell>
        </row>
        <row r="1437">
          <cell r="A1437">
            <v>58700725</v>
          </cell>
          <cell r="B1437" t="str">
            <v>РОССИЙСКИЙ ЦИРК ГК</v>
          </cell>
          <cell r="C1437" t="str">
            <v>ОТРОЖКА      (ЮВС)</v>
          </cell>
          <cell r="D1437">
            <v>24473</v>
          </cell>
          <cell r="F1437">
            <v>0</v>
          </cell>
          <cell r="G1437">
            <v>37403</v>
          </cell>
          <cell r="H1437">
            <v>76</v>
          </cell>
          <cell r="I1437" t="str">
            <v>деп</v>
          </cell>
          <cell r="J1437">
            <v>38134</v>
          </cell>
        </row>
        <row r="1438">
          <cell r="A1438">
            <v>58700733</v>
          </cell>
          <cell r="B1438" t="str">
            <v>РОССИЙСКИЙ ЦИРК ГК</v>
          </cell>
          <cell r="C1438" t="str">
            <v>ОТРОЖКА      (ЮВС)</v>
          </cell>
          <cell r="D1438">
            <v>24473</v>
          </cell>
          <cell r="E1438">
            <v>36468</v>
          </cell>
          <cell r="G1438">
            <v>37729</v>
          </cell>
          <cell r="H1438">
            <v>76</v>
          </cell>
          <cell r="I1438" t="str">
            <v>деп</v>
          </cell>
          <cell r="J1438">
            <v>38460</v>
          </cell>
        </row>
        <row r="1439">
          <cell r="A1439">
            <v>58700741</v>
          </cell>
          <cell r="B1439" t="str">
            <v>РОССИЙСКИЙ ЦИРК ГК</v>
          </cell>
          <cell r="C1439" t="str">
            <v>ОТРОЖКА      (ЮВС)</v>
          </cell>
          <cell r="D1439">
            <v>24473</v>
          </cell>
          <cell r="E1439">
            <v>36469</v>
          </cell>
          <cell r="G1439">
            <v>37762</v>
          </cell>
          <cell r="H1439">
            <v>76</v>
          </cell>
          <cell r="I1439" t="str">
            <v>деп</v>
          </cell>
          <cell r="J1439">
            <v>38493</v>
          </cell>
        </row>
        <row r="1440">
          <cell r="A1440">
            <v>58710336</v>
          </cell>
          <cell r="B1440" t="str">
            <v>РОССИЙСКИЙ ЦИРК ГК</v>
          </cell>
          <cell r="C1440" t="str">
            <v>ОТРОЖКА      (ЮВС)</v>
          </cell>
          <cell r="D1440">
            <v>24473</v>
          </cell>
          <cell r="E1440">
            <v>36469</v>
          </cell>
          <cell r="G1440">
            <v>37403</v>
          </cell>
          <cell r="H1440">
            <v>76</v>
          </cell>
          <cell r="I1440" t="str">
            <v>деп</v>
          </cell>
          <cell r="J1440">
            <v>38134</v>
          </cell>
        </row>
        <row r="1441">
          <cell r="A1441">
            <v>58710344</v>
          </cell>
          <cell r="B1441" t="str">
            <v>РОССИЙСКИЙ ЦИРК ГК</v>
          </cell>
          <cell r="C1441" t="str">
            <v>ОТРОЖКА      (ЮВС)</v>
          </cell>
          <cell r="D1441">
            <v>24473</v>
          </cell>
          <cell r="F1441">
            <v>0</v>
          </cell>
          <cell r="G1441">
            <v>37403</v>
          </cell>
          <cell r="H1441">
            <v>76</v>
          </cell>
          <cell r="I1441" t="str">
            <v>деп</v>
          </cell>
          <cell r="J1441">
            <v>38134</v>
          </cell>
        </row>
        <row r="1442">
          <cell r="B1442" t="str">
            <v>РОССИЙСКИЙ ЦИРК ГК Количество</v>
          </cell>
          <cell r="D1442">
            <v>8</v>
          </cell>
        </row>
        <row r="1443">
          <cell r="A1443">
            <v>53702981</v>
          </cell>
          <cell r="B1443" t="str">
            <v>РОСШТЕРН</v>
          </cell>
          <cell r="C1443" t="str">
            <v>МОС-ЮЖН.ПОРТ (МСK)</v>
          </cell>
          <cell r="D1443">
            <v>25569</v>
          </cell>
          <cell r="E1443">
            <v>34790</v>
          </cell>
          <cell r="G1443">
            <v>31503</v>
          </cell>
        </row>
        <row r="1444">
          <cell r="A1444">
            <v>53703005</v>
          </cell>
          <cell r="B1444" t="str">
            <v>РОСШТЕРН</v>
          </cell>
          <cell r="C1444" t="str">
            <v>МОС-ЮЖН.ПОРТ (МСK)</v>
          </cell>
          <cell r="D1444">
            <v>24838</v>
          </cell>
          <cell r="E1444">
            <v>34669</v>
          </cell>
          <cell r="G1444">
            <v>32874</v>
          </cell>
        </row>
        <row r="1445">
          <cell r="A1445">
            <v>53703088</v>
          </cell>
          <cell r="B1445" t="str">
            <v>РОСШТЕРН</v>
          </cell>
          <cell r="C1445" t="str">
            <v>МОС-ЮЖН.ПОРТ (МСK)</v>
          </cell>
          <cell r="D1445">
            <v>24473</v>
          </cell>
          <cell r="E1445">
            <v>34731</v>
          </cell>
          <cell r="G1445">
            <v>33239</v>
          </cell>
        </row>
        <row r="1446">
          <cell r="B1446" t="str">
            <v>РОСШТЕРН Количество</v>
          </cell>
          <cell r="D1446">
            <v>3</v>
          </cell>
        </row>
        <row r="1447">
          <cell r="A1447">
            <v>53705547</v>
          </cell>
          <cell r="B1447" t="str">
            <v>РУССКИЙ ЛЕС</v>
          </cell>
          <cell r="C1447" t="str">
            <v>КОСТАРИХА    (ГOР)</v>
          </cell>
          <cell r="D1447">
            <v>33178</v>
          </cell>
          <cell r="E1447">
            <v>38015</v>
          </cell>
          <cell r="F1447">
            <v>424</v>
          </cell>
          <cell r="H1447">
            <v>0</v>
          </cell>
          <cell r="I1447" t="str">
            <v>деп</v>
          </cell>
          <cell r="J1447">
            <v>38562</v>
          </cell>
        </row>
        <row r="1448">
          <cell r="A1448">
            <v>58729351</v>
          </cell>
          <cell r="B1448" t="str">
            <v>РУССКИЙ ЛЕС</v>
          </cell>
          <cell r="C1448" t="str">
            <v>КОСТАРИХА    (ГOР)</v>
          </cell>
          <cell r="D1448">
            <v>33178</v>
          </cell>
          <cell r="E1448">
            <v>38015</v>
          </cell>
          <cell r="F1448">
            <v>424</v>
          </cell>
          <cell r="H1448">
            <v>0</v>
          </cell>
          <cell r="I1448" t="str">
            <v>деп</v>
          </cell>
          <cell r="J1448">
            <v>38562</v>
          </cell>
        </row>
        <row r="1449">
          <cell r="A1449">
            <v>58729369</v>
          </cell>
          <cell r="B1449" t="str">
            <v>РУССКИЙ ЛЕС</v>
          </cell>
          <cell r="C1449" t="str">
            <v>КОСТАРИХА    (ГOР)</v>
          </cell>
          <cell r="D1449">
            <v>33178</v>
          </cell>
          <cell r="E1449">
            <v>38015</v>
          </cell>
          <cell r="F1449">
            <v>424</v>
          </cell>
          <cell r="H1449">
            <v>0</v>
          </cell>
          <cell r="I1449" t="str">
            <v>деп</v>
          </cell>
          <cell r="J1449">
            <v>38562</v>
          </cell>
        </row>
        <row r="1450">
          <cell r="A1450">
            <v>58729377</v>
          </cell>
          <cell r="B1450" t="str">
            <v>РУССКИЙ ЛЕС</v>
          </cell>
          <cell r="C1450" t="str">
            <v>КОСТАРИХА    (ГOР)</v>
          </cell>
          <cell r="D1450">
            <v>33178</v>
          </cell>
          <cell r="E1450">
            <v>38015</v>
          </cell>
          <cell r="F1450">
            <v>424</v>
          </cell>
          <cell r="H1450">
            <v>0</v>
          </cell>
          <cell r="I1450" t="str">
            <v>деп</v>
          </cell>
          <cell r="J1450">
            <v>38562</v>
          </cell>
        </row>
        <row r="1451">
          <cell r="A1451">
            <v>58729385</v>
          </cell>
          <cell r="B1451" t="str">
            <v>РУССКИЙ ЛЕС</v>
          </cell>
          <cell r="C1451" t="str">
            <v>КОСТАРИХА    (ГOР)</v>
          </cell>
          <cell r="D1451">
            <v>33178</v>
          </cell>
          <cell r="E1451">
            <v>38015</v>
          </cell>
          <cell r="F1451">
            <v>424</v>
          </cell>
          <cell r="H1451">
            <v>0</v>
          </cell>
          <cell r="I1451" t="str">
            <v>деп</v>
          </cell>
          <cell r="J1451">
            <v>38562</v>
          </cell>
        </row>
        <row r="1452">
          <cell r="B1452" t="str">
            <v>РУССКИЙ ЛЕС Количество</v>
          </cell>
          <cell r="D1452">
            <v>5</v>
          </cell>
        </row>
        <row r="1453">
          <cell r="A1453">
            <v>53703757</v>
          </cell>
          <cell r="B1453" t="str">
            <v>САМОРИ СК</v>
          </cell>
          <cell r="C1453" t="str">
            <v>ДОМОДЕДОВО   (МСK)</v>
          </cell>
          <cell r="D1453">
            <v>25204</v>
          </cell>
          <cell r="I1453" t="str">
            <v>деп</v>
          </cell>
          <cell r="J1453">
            <v>26299</v>
          </cell>
        </row>
        <row r="1454">
          <cell r="A1454">
            <v>53704565</v>
          </cell>
          <cell r="B1454" t="str">
            <v>САМОРИ СК</v>
          </cell>
          <cell r="C1454" t="str">
            <v>ДОМОДЕДОВО   (МСK)</v>
          </cell>
          <cell r="D1454">
            <v>29606</v>
          </cell>
          <cell r="E1454">
            <v>37345</v>
          </cell>
          <cell r="F1454">
            <v>350</v>
          </cell>
          <cell r="G1454">
            <v>34044</v>
          </cell>
          <cell r="H1454">
            <v>0</v>
          </cell>
          <cell r="I1454" t="str">
            <v>деп</v>
          </cell>
          <cell r="J1454">
            <v>37894</v>
          </cell>
        </row>
        <row r="1455">
          <cell r="B1455" t="str">
            <v>САМОРИ СК Количество</v>
          </cell>
          <cell r="D1455">
            <v>2</v>
          </cell>
        </row>
        <row r="1456">
          <cell r="A1456">
            <v>53704581</v>
          </cell>
          <cell r="B1456" t="str">
            <v>СЕВКАВТРАНССТРОЙ</v>
          </cell>
          <cell r="C1456" t="str">
            <v>ЭНЕМ 2       (СКВ)</v>
          </cell>
          <cell r="D1456">
            <v>31138</v>
          </cell>
          <cell r="E1456">
            <v>37762</v>
          </cell>
          <cell r="F1456">
            <v>557</v>
          </cell>
          <cell r="G1456">
            <v>35247</v>
          </cell>
          <cell r="I1456" t="str">
            <v>деп</v>
          </cell>
          <cell r="J1456">
            <v>38858</v>
          </cell>
        </row>
        <row r="1457">
          <cell r="A1457">
            <v>53704607</v>
          </cell>
          <cell r="B1457" t="str">
            <v>СЕВКАВТРАНССТРОЙ</v>
          </cell>
          <cell r="C1457" t="str">
            <v>ЭНЕМ 2       (СКВ)</v>
          </cell>
          <cell r="D1457">
            <v>31472</v>
          </cell>
          <cell r="E1457">
            <v>37725</v>
          </cell>
          <cell r="F1457">
            <v>557</v>
          </cell>
          <cell r="G1457">
            <v>35125</v>
          </cell>
          <cell r="I1457" t="str">
            <v>деп</v>
          </cell>
          <cell r="J1457">
            <v>38821</v>
          </cell>
        </row>
        <row r="1458">
          <cell r="A1458">
            <v>53704615</v>
          </cell>
          <cell r="B1458" t="str">
            <v>СЕВКАВТРАНССТРОЙ</v>
          </cell>
          <cell r="C1458" t="str">
            <v>ЭНЕМ 2       (СКВ)</v>
          </cell>
          <cell r="D1458">
            <v>31168</v>
          </cell>
          <cell r="E1458">
            <v>37775</v>
          </cell>
          <cell r="F1458">
            <v>557</v>
          </cell>
          <cell r="G1458">
            <v>35490</v>
          </cell>
          <cell r="I1458" t="str">
            <v>деп</v>
          </cell>
          <cell r="J1458">
            <v>38871</v>
          </cell>
        </row>
        <row r="1459">
          <cell r="A1459">
            <v>53704623</v>
          </cell>
          <cell r="B1459" t="str">
            <v>СЕВКАВТРАНССТРОЙ</v>
          </cell>
          <cell r="C1459" t="str">
            <v>ЭНЕМ 2       (СКВ)</v>
          </cell>
          <cell r="D1459">
            <v>29891</v>
          </cell>
          <cell r="E1459">
            <v>37714</v>
          </cell>
          <cell r="F1459">
            <v>557</v>
          </cell>
          <cell r="G1459">
            <v>35490</v>
          </cell>
          <cell r="I1459" t="str">
            <v>деп</v>
          </cell>
          <cell r="J1459">
            <v>38810</v>
          </cell>
        </row>
        <row r="1460">
          <cell r="B1460" t="str">
            <v>СЕВКАВТРАНССТРОЙ Количество</v>
          </cell>
          <cell r="D1460">
            <v>4</v>
          </cell>
        </row>
        <row r="1461">
          <cell r="A1461">
            <v>53706347</v>
          </cell>
          <cell r="B1461" t="str">
            <v>СЕЛЕНА ПКП</v>
          </cell>
          <cell r="C1461" t="str">
            <v>БАЗАИХА      (КРС)</v>
          </cell>
          <cell r="D1461">
            <v>33723</v>
          </cell>
          <cell r="F1461">
            <v>0</v>
          </cell>
          <cell r="G1461">
            <v>37483</v>
          </cell>
          <cell r="H1461">
            <v>633</v>
          </cell>
          <cell r="I1461" t="str">
            <v>деп</v>
          </cell>
          <cell r="J1461">
            <v>38032</v>
          </cell>
        </row>
        <row r="1462">
          <cell r="A1462">
            <v>58740176</v>
          </cell>
          <cell r="B1462" t="str">
            <v>СЕЛЕНА ПКП</v>
          </cell>
          <cell r="C1462" t="str">
            <v>БАЗАИХА      (КРС)</v>
          </cell>
          <cell r="D1462">
            <v>33723</v>
          </cell>
          <cell r="F1462">
            <v>0</v>
          </cell>
          <cell r="G1462">
            <v>37483</v>
          </cell>
          <cell r="H1462">
            <v>633</v>
          </cell>
          <cell r="I1462" t="str">
            <v>деп</v>
          </cell>
          <cell r="J1462">
            <v>38032</v>
          </cell>
        </row>
        <row r="1463">
          <cell r="A1463">
            <v>58740184</v>
          </cell>
          <cell r="B1463" t="str">
            <v>СЕЛЕНА ПКП</v>
          </cell>
          <cell r="C1463" t="str">
            <v>БАЗАИХА      (КРС)</v>
          </cell>
          <cell r="D1463">
            <v>33723</v>
          </cell>
          <cell r="F1463">
            <v>0</v>
          </cell>
          <cell r="G1463">
            <v>37483</v>
          </cell>
          <cell r="H1463">
            <v>633</v>
          </cell>
          <cell r="I1463" t="str">
            <v>деп</v>
          </cell>
          <cell r="J1463">
            <v>38032</v>
          </cell>
        </row>
        <row r="1464">
          <cell r="A1464">
            <v>58740200</v>
          </cell>
          <cell r="B1464" t="str">
            <v>СЕЛЕНА ПКП</v>
          </cell>
          <cell r="C1464" t="str">
            <v>БАЗАИХА      (КРС)</v>
          </cell>
          <cell r="D1464">
            <v>33723</v>
          </cell>
          <cell r="F1464">
            <v>0</v>
          </cell>
          <cell r="G1464">
            <v>37483</v>
          </cell>
          <cell r="H1464">
            <v>633</v>
          </cell>
          <cell r="I1464" t="str">
            <v>деп</v>
          </cell>
          <cell r="J1464">
            <v>38032</v>
          </cell>
        </row>
        <row r="1465">
          <cell r="B1465" t="str">
            <v>СЕЛЕНА ПКП Количество</v>
          </cell>
          <cell r="D1465">
            <v>4</v>
          </cell>
        </row>
        <row r="1466">
          <cell r="A1466">
            <v>53700001</v>
          </cell>
          <cell r="B1466" t="str">
            <v>СЕРВИСБАЗА МУП</v>
          </cell>
          <cell r="C1466" t="str">
            <v>ОРДЖОНИКИДЗЕ (МСK)</v>
          </cell>
          <cell r="D1466">
            <v>32203</v>
          </cell>
          <cell r="E1466">
            <v>37943</v>
          </cell>
          <cell r="F1466">
            <v>886</v>
          </cell>
          <cell r="H1466">
            <v>0</v>
          </cell>
          <cell r="I1466" t="str">
            <v>кап</v>
          </cell>
          <cell r="J1466">
            <v>38490</v>
          </cell>
        </row>
        <row r="1467">
          <cell r="A1467">
            <v>53700019</v>
          </cell>
          <cell r="B1467" t="str">
            <v>СЕРВИСБАЗА МУП</v>
          </cell>
          <cell r="C1467" t="str">
            <v>ОРДЖОНИКИДЗЕ (МСK)</v>
          </cell>
          <cell r="D1467">
            <v>32203</v>
          </cell>
          <cell r="F1467">
            <v>0</v>
          </cell>
          <cell r="H1467">
            <v>0</v>
          </cell>
          <cell r="I1467" t="str">
            <v>деп</v>
          </cell>
          <cell r="J1467">
            <v>36982</v>
          </cell>
        </row>
        <row r="1468">
          <cell r="A1468">
            <v>53700027</v>
          </cell>
          <cell r="B1468" t="str">
            <v>СЕРВИСБАЗА МУП</v>
          </cell>
          <cell r="C1468" t="str">
            <v>ОРДЖОНИКИДЗЕ (МСK)</v>
          </cell>
          <cell r="D1468">
            <v>32203</v>
          </cell>
          <cell r="F1468">
            <v>0</v>
          </cell>
          <cell r="H1468">
            <v>0</v>
          </cell>
          <cell r="I1468" t="str">
            <v>деп</v>
          </cell>
          <cell r="J1468">
            <v>36982</v>
          </cell>
        </row>
        <row r="1469">
          <cell r="A1469">
            <v>53702270</v>
          </cell>
          <cell r="B1469" t="str">
            <v>СЕРВИСБАЗА МУП</v>
          </cell>
          <cell r="C1469" t="str">
            <v>ОРДЖОНИКИДЗЕ (МСK)</v>
          </cell>
          <cell r="D1469">
            <v>34151</v>
          </cell>
          <cell r="E1469">
            <v>37697</v>
          </cell>
          <cell r="F1469">
            <v>886</v>
          </cell>
          <cell r="H1469">
            <v>0</v>
          </cell>
          <cell r="I1469" t="str">
            <v>деп</v>
          </cell>
          <cell r="J1469">
            <v>38247</v>
          </cell>
        </row>
        <row r="1470">
          <cell r="A1470">
            <v>53702288</v>
          </cell>
          <cell r="B1470" t="str">
            <v>СЕРВИСБАЗА МУП</v>
          </cell>
          <cell r="C1470" t="str">
            <v>ОРДЖОНИКИДЗЕ (МСK)</v>
          </cell>
          <cell r="D1470">
            <v>33970</v>
          </cell>
          <cell r="E1470">
            <v>37814</v>
          </cell>
          <cell r="F1470">
            <v>886</v>
          </cell>
          <cell r="H1470">
            <v>0</v>
          </cell>
          <cell r="I1470" t="str">
            <v>деп</v>
          </cell>
          <cell r="J1470">
            <v>38364</v>
          </cell>
        </row>
        <row r="1471">
          <cell r="A1471">
            <v>58720442</v>
          </cell>
          <cell r="B1471" t="str">
            <v>СЕРВИСБАЗА МУП</v>
          </cell>
          <cell r="C1471" t="str">
            <v>ОРДЖОНИКИДЗЕ (МСK)</v>
          </cell>
          <cell r="D1471">
            <v>34151</v>
          </cell>
          <cell r="E1471">
            <v>37697</v>
          </cell>
          <cell r="F1471">
            <v>886</v>
          </cell>
          <cell r="H1471">
            <v>0</v>
          </cell>
          <cell r="I1471" t="str">
            <v>деп</v>
          </cell>
          <cell r="J1471">
            <v>38247</v>
          </cell>
        </row>
        <row r="1472">
          <cell r="A1472">
            <v>58720459</v>
          </cell>
          <cell r="B1472" t="str">
            <v>СЕРВИСБАЗА МУП</v>
          </cell>
          <cell r="C1472" t="str">
            <v>ОРДЖОНИКИДЗЕ (МСK)</v>
          </cell>
          <cell r="D1472">
            <v>33970</v>
          </cell>
          <cell r="E1472">
            <v>37814</v>
          </cell>
          <cell r="F1472">
            <v>886</v>
          </cell>
          <cell r="H1472">
            <v>0</v>
          </cell>
          <cell r="I1472" t="str">
            <v>деп</v>
          </cell>
          <cell r="J1472">
            <v>38364</v>
          </cell>
        </row>
        <row r="1473">
          <cell r="A1473">
            <v>58720467</v>
          </cell>
          <cell r="B1473" t="str">
            <v>СЕРВИСБАЗА МУП</v>
          </cell>
          <cell r="C1473" t="str">
            <v>ОРДЖОНИКИДЗЕ (МСK)</v>
          </cell>
          <cell r="D1473">
            <v>33970</v>
          </cell>
          <cell r="E1473">
            <v>37814</v>
          </cell>
          <cell r="F1473">
            <v>886</v>
          </cell>
          <cell r="H1473">
            <v>0</v>
          </cell>
          <cell r="I1473" t="str">
            <v>деп</v>
          </cell>
          <cell r="J1473">
            <v>38364</v>
          </cell>
        </row>
        <row r="1474">
          <cell r="A1474">
            <v>58720475</v>
          </cell>
          <cell r="B1474" t="str">
            <v>СЕРВИСБАЗА МУП</v>
          </cell>
          <cell r="C1474" t="str">
            <v>ОРДЖОНИКИДЗЕ (МСK)</v>
          </cell>
          <cell r="D1474">
            <v>34151</v>
          </cell>
          <cell r="E1474">
            <v>37697</v>
          </cell>
          <cell r="F1474">
            <v>886</v>
          </cell>
          <cell r="H1474">
            <v>0</v>
          </cell>
          <cell r="I1474" t="str">
            <v>деп</v>
          </cell>
          <cell r="J1474">
            <v>38247</v>
          </cell>
        </row>
        <row r="1475">
          <cell r="A1475">
            <v>58720483</v>
          </cell>
          <cell r="B1475" t="str">
            <v>СЕРВИСБАЗА МУП</v>
          </cell>
          <cell r="C1475" t="str">
            <v>ОРДЖОНИКИДЗЕ (МСK)</v>
          </cell>
          <cell r="D1475">
            <v>34151</v>
          </cell>
          <cell r="E1475">
            <v>37697</v>
          </cell>
          <cell r="F1475">
            <v>886</v>
          </cell>
          <cell r="H1475">
            <v>0</v>
          </cell>
          <cell r="I1475" t="str">
            <v>деп</v>
          </cell>
          <cell r="J1475">
            <v>38247</v>
          </cell>
        </row>
        <row r="1476">
          <cell r="A1476">
            <v>58720509</v>
          </cell>
          <cell r="B1476" t="str">
            <v>СЕРВИСБАЗА МУП</v>
          </cell>
          <cell r="C1476" t="str">
            <v>ОРДЖОНИКИДЗЕ (МСK)</v>
          </cell>
          <cell r="D1476">
            <v>33970</v>
          </cell>
          <cell r="E1476">
            <v>37814</v>
          </cell>
          <cell r="F1476">
            <v>886</v>
          </cell>
          <cell r="H1476">
            <v>0</v>
          </cell>
          <cell r="I1476" t="str">
            <v>деп</v>
          </cell>
          <cell r="J1476">
            <v>38364</v>
          </cell>
        </row>
        <row r="1477">
          <cell r="A1477">
            <v>58720517</v>
          </cell>
          <cell r="B1477" t="str">
            <v>СЕРВИСБАЗА МУП</v>
          </cell>
          <cell r="C1477" t="str">
            <v>ОРДЖОНИКИДЗЕ (МСK)</v>
          </cell>
          <cell r="D1477">
            <v>34151</v>
          </cell>
          <cell r="E1477">
            <v>37697</v>
          </cell>
          <cell r="F1477">
            <v>886</v>
          </cell>
          <cell r="H1477">
            <v>0</v>
          </cell>
          <cell r="I1477" t="str">
            <v>деп</v>
          </cell>
          <cell r="J1477">
            <v>38247</v>
          </cell>
        </row>
        <row r="1478">
          <cell r="A1478">
            <v>58720525</v>
          </cell>
          <cell r="B1478" t="str">
            <v>СЕРВИСБАЗА МУП</v>
          </cell>
          <cell r="C1478" t="str">
            <v>ОРДЖОНИКИДЗЕ (МСK)</v>
          </cell>
          <cell r="D1478">
            <v>33970</v>
          </cell>
          <cell r="E1478">
            <v>37814</v>
          </cell>
          <cell r="F1478">
            <v>886</v>
          </cell>
          <cell r="H1478">
            <v>0</v>
          </cell>
          <cell r="I1478" t="str">
            <v>деп</v>
          </cell>
          <cell r="J1478">
            <v>38364</v>
          </cell>
        </row>
        <row r="1479">
          <cell r="A1479">
            <v>58741877</v>
          </cell>
          <cell r="B1479" t="str">
            <v>СЕРВИСБАЗА МУП</v>
          </cell>
          <cell r="C1479" t="str">
            <v>ОРДЖОНИКИДЗЕ (МСK)</v>
          </cell>
          <cell r="D1479">
            <v>32203</v>
          </cell>
          <cell r="E1479">
            <v>37943</v>
          </cell>
          <cell r="F1479">
            <v>886</v>
          </cell>
          <cell r="H1479">
            <v>0</v>
          </cell>
          <cell r="I1479" t="str">
            <v>кап</v>
          </cell>
          <cell r="J1479">
            <v>38490</v>
          </cell>
        </row>
        <row r="1480">
          <cell r="A1480">
            <v>58741885</v>
          </cell>
          <cell r="B1480" t="str">
            <v>СЕРВИСБАЗА МУП</v>
          </cell>
          <cell r="C1480" t="str">
            <v>ОРДЖОНИКИДЗЕ (МСK)</v>
          </cell>
          <cell r="D1480">
            <v>32203</v>
          </cell>
          <cell r="E1480">
            <v>37943</v>
          </cell>
          <cell r="F1480">
            <v>886</v>
          </cell>
          <cell r="H1480">
            <v>0</v>
          </cell>
          <cell r="I1480" t="str">
            <v>кап</v>
          </cell>
          <cell r="J1480">
            <v>38490</v>
          </cell>
        </row>
        <row r="1481">
          <cell r="A1481">
            <v>58741901</v>
          </cell>
          <cell r="B1481" t="str">
            <v>СЕРВИСБАЗА МУП</v>
          </cell>
          <cell r="C1481" t="str">
            <v>ОРДЖОНИКИДЗЕ (МСK)</v>
          </cell>
          <cell r="D1481">
            <v>32203</v>
          </cell>
          <cell r="E1481">
            <v>37943</v>
          </cell>
          <cell r="F1481">
            <v>886</v>
          </cell>
          <cell r="H1481">
            <v>0</v>
          </cell>
          <cell r="I1481" t="str">
            <v>кап</v>
          </cell>
          <cell r="J1481">
            <v>38490</v>
          </cell>
        </row>
        <row r="1482">
          <cell r="A1482">
            <v>58741919</v>
          </cell>
          <cell r="B1482" t="str">
            <v>СЕРВИСБАЗА МУП</v>
          </cell>
          <cell r="C1482" t="str">
            <v>ОРДЖОНИКИДЗЕ (МСK)</v>
          </cell>
          <cell r="D1482">
            <v>32203</v>
          </cell>
          <cell r="E1482">
            <v>37943</v>
          </cell>
          <cell r="F1482">
            <v>886</v>
          </cell>
          <cell r="H1482">
            <v>0</v>
          </cell>
          <cell r="I1482" t="str">
            <v>кап</v>
          </cell>
          <cell r="J1482">
            <v>38490</v>
          </cell>
        </row>
        <row r="1483">
          <cell r="A1483">
            <v>58741927</v>
          </cell>
          <cell r="B1483" t="str">
            <v>СЕРВИСБАЗА МУП</v>
          </cell>
          <cell r="C1483" t="str">
            <v>ОРДЖОНИКИДЗЕ (МСK)</v>
          </cell>
          <cell r="D1483">
            <v>32203</v>
          </cell>
          <cell r="F1483">
            <v>0</v>
          </cell>
          <cell r="H1483">
            <v>0</v>
          </cell>
          <cell r="I1483" t="str">
            <v>деп</v>
          </cell>
          <cell r="J1483">
            <v>33117</v>
          </cell>
        </row>
        <row r="1484">
          <cell r="A1484">
            <v>58741935</v>
          </cell>
          <cell r="B1484" t="str">
            <v>СЕРВИСБАЗА МУП</v>
          </cell>
          <cell r="C1484" t="str">
            <v>ОРДЖОНИКИДЗЕ (МСK)</v>
          </cell>
          <cell r="D1484">
            <v>32203</v>
          </cell>
          <cell r="F1484">
            <v>0</v>
          </cell>
          <cell r="H1484">
            <v>0</v>
          </cell>
          <cell r="I1484" t="str">
            <v>деп</v>
          </cell>
          <cell r="J1484">
            <v>33117</v>
          </cell>
        </row>
        <row r="1485">
          <cell r="A1485">
            <v>58741943</v>
          </cell>
          <cell r="B1485" t="str">
            <v>СЕРВИСБАЗА МУП</v>
          </cell>
          <cell r="C1485" t="str">
            <v>ОРДЖОНИКИДЗЕ (МСK)</v>
          </cell>
          <cell r="D1485">
            <v>32203</v>
          </cell>
          <cell r="F1485">
            <v>0</v>
          </cell>
          <cell r="H1485">
            <v>0</v>
          </cell>
          <cell r="I1485" t="str">
            <v>деп</v>
          </cell>
          <cell r="J1485">
            <v>33117</v>
          </cell>
        </row>
        <row r="1486">
          <cell r="A1486">
            <v>58741950</v>
          </cell>
          <cell r="B1486" t="str">
            <v>СЕРВИСБАЗА МУП</v>
          </cell>
          <cell r="C1486" t="str">
            <v>ОРДЖОНИКИДЗЕ (МСK)</v>
          </cell>
          <cell r="D1486">
            <v>32203</v>
          </cell>
          <cell r="F1486">
            <v>0</v>
          </cell>
          <cell r="H1486">
            <v>0</v>
          </cell>
          <cell r="I1486" t="str">
            <v>деп</v>
          </cell>
          <cell r="J1486">
            <v>33117</v>
          </cell>
        </row>
        <row r="1487">
          <cell r="A1487">
            <v>58741968</v>
          </cell>
          <cell r="B1487" t="str">
            <v>СЕРВИСБАЗА МУП</v>
          </cell>
          <cell r="C1487" t="str">
            <v>ОРДЖОНИКИДЗЕ (МСK)</v>
          </cell>
          <cell r="D1487">
            <v>32203</v>
          </cell>
          <cell r="F1487">
            <v>0</v>
          </cell>
          <cell r="H1487">
            <v>0</v>
          </cell>
          <cell r="I1487" t="str">
            <v>деп</v>
          </cell>
          <cell r="J1487">
            <v>33117</v>
          </cell>
        </row>
        <row r="1488">
          <cell r="A1488">
            <v>58741976</v>
          </cell>
          <cell r="B1488" t="str">
            <v>СЕРВИСБАЗА МУП</v>
          </cell>
          <cell r="C1488" t="str">
            <v>ОРДЖОНИКИДЗЕ (МСK)</v>
          </cell>
          <cell r="D1488">
            <v>32203</v>
          </cell>
          <cell r="F1488">
            <v>0</v>
          </cell>
          <cell r="H1488">
            <v>0</v>
          </cell>
          <cell r="I1488" t="str">
            <v>деп</v>
          </cell>
          <cell r="J1488">
            <v>33117</v>
          </cell>
        </row>
        <row r="1489">
          <cell r="A1489">
            <v>58741984</v>
          </cell>
          <cell r="B1489" t="str">
            <v>СЕРВИСБАЗА МУП</v>
          </cell>
          <cell r="C1489" t="str">
            <v>ОРДЖОНИКИДЗЕ (МСK)</v>
          </cell>
          <cell r="D1489">
            <v>32203</v>
          </cell>
          <cell r="F1489">
            <v>0</v>
          </cell>
          <cell r="H1489">
            <v>0</v>
          </cell>
          <cell r="I1489" t="str">
            <v>деп</v>
          </cell>
          <cell r="J1489">
            <v>33117</v>
          </cell>
        </row>
        <row r="1490">
          <cell r="A1490">
            <v>58742008</v>
          </cell>
          <cell r="B1490" t="str">
            <v>СЕРВИСБАЗА МУП</v>
          </cell>
          <cell r="C1490" t="str">
            <v>ОРДЖОНИКИДЗЕ (МСK)</v>
          </cell>
          <cell r="D1490">
            <v>32203</v>
          </cell>
          <cell r="F1490">
            <v>0</v>
          </cell>
          <cell r="H1490">
            <v>0</v>
          </cell>
          <cell r="I1490" t="str">
            <v>деп</v>
          </cell>
          <cell r="J1490">
            <v>33117</v>
          </cell>
        </row>
        <row r="1491">
          <cell r="B1491" t="str">
            <v>СЕРВИСБАЗА МУП Количество</v>
          </cell>
          <cell r="D1491">
            <v>25</v>
          </cell>
        </row>
        <row r="1492">
          <cell r="A1492">
            <v>58342403</v>
          </cell>
          <cell r="B1492" t="str">
            <v>СЕРОВЛЕСТОРГ</v>
          </cell>
          <cell r="C1492" t="str">
            <v>СЕРОВ        (СВР)</v>
          </cell>
          <cell r="D1492">
            <v>28615</v>
          </cell>
          <cell r="E1492">
            <v>37616</v>
          </cell>
          <cell r="F1492">
            <v>819</v>
          </cell>
          <cell r="G1492">
            <v>32143</v>
          </cell>
          <cell r="H1492">
            <v>557</v>
          </cell>
          <cell r="I1492" t="str">
            <v>деп</v>
          </cell>
          <cell r="J1492">
            <v>38164</v>
          </cell>
        </row>
        <row r="1493">
          <cell r="B1493" t="str">
            <v>СЕРОВЛЕСТОРГ Количество</v>
          </cell>
          <cell r="D1493">
            <v>1</v>
          </cell>
        </row>
        <row r="1494">
          <cell r="A1494">
            <v>53400636</v>
          </cell>
          <cell r="B1494" t="str">
            <v>СИБВНЕШТРАНС ТК</v>
          </cell>
          <cell r="C1494" t="str">
            <v>НОВОСИБ-ЗАП  (ЗСБ)</v>
          </cell>
          <cell r="D1494">
            <v>28839</v>
          </cell>
          <cell r="E1494">
            <v>37934</v>
          </cell>
          <cell r="F1494">
            <v>557</v>
          </cell>
          <cell r="G1494">
            <v>37363</v>
          </cell>
          <cell r="H1494">
            <v>840</v>
          </cell>
          <cell r="I1494" t="str">
            <v>деп</v>
          </cell>
          <cell r="J1494">
            <v>38481</v>
          </cell>
        </row>
        <row r="1495">
          <cell r="A1495">
            <v>53400768</v>
          </cell>
          <cell r="B1495" t="str">
            <v>СИБВНЕШТРАНС ТК</v>
          </cell>
          <cell r="C1495" t="str">
            <v>НОВОСИБ-ЗАП  (ЗСБ)</v>
          </cell>
          <cell r="D1495">
            <v>28839</v>
          </cell>
          <cell r="E1495">
            <v>37978</v>
          </cell>
          <cell r="F1495">
            <v>557</v>
          </cell>
          <cell r="G1495">
            <v>37399</v>
          </cell>
          <cell r="H1495">
            <v>840</v>
          </cell>
          <cell r="I1495" t="str">
            <v>деп</v>
          </cell>
          <cell r="J1495">
            <v>38526</v>
          </cell>
        </row>
        <row r="1496">
          <cell r="A1496">
            <v>58731969</v>
          </cell>
          <cell r="B1496" t="str">
            <v>СИБВНЕШТРАНС ТК</v>
          </cell>
          <cell r="C1496" t="str">
            <v>НОВОСИБ-ЗАП  (ЗСБ)</v>
          </cell>
          <cell r="D1496">
            <v>28839</v>
          </cell>
          <cell r="E1496">
            <v>37930</v>
          </cell>
          <cell r="F1496">
            <v>557</v>
          </cell>
          <cell r="G1496">
            <v>37363</v>
          </cell>
          <cell r="H1496">
            <v>840</v>
          </cell>
          <cell r="I1496" t="str">
            <v>деп</v>
          </cell>
          <cell r="J1496">
            <v>38477</v>
          </cell>
        </row>
        <row r="1497">
          <cell r="A1497">
            <v>58731977</v>
          </cell>
          <cell r="B1497" t="str">
            <v>СИБВНЕШТРАНС ТК</v>
          </cell>
          <cell r="C1497" t="str">
            <v>НОВОСИБ-ЗАП  (ЗСБ)</v>
          </cell>
          <cell r="D1497">
            <v>28839</v>
          </cell>
          <cell r="E1497">
            <v>37930</v>
          </cell>
          <cell r="F1497">
            <v>557</v>
          </cell>
          <cell r="G1497">
            <v>37363</v>
          </cell>
          <cell r="H1497">
            <v>840</v>
          </cell>
          <cell r="I1497" t="str">
            <v>деп</v>
          </cell>
          <cell r="J1497">
            <v>38477</v>
          </cell>
        </row>
        <row r="1498">
          <cell r="A1498">
            <v>58731985</v>
          </cell>
          <cell r="B1498" t="str">
            <v>СИБВНЕШТРАНС ТК</v>
          </cell>
          <cell r="C1498" t="str">
            <v>НОВОСИБ-ЗАП  (ЗСБ)</v>
          </cell>
          <cell r="D1498">
            <v>28839</v>
          </cell>
          <cell r="E1498">
            <v>37933</v>
          </cell>
          <cell r="F1498">
            <v>557</v>
          </cell>
          <cell r="G1498">
            <v>37363</v>
          </cell>
          <cell r="H1498">
            <v>840</v>
          </cell>
          <cell r="I1498" t="str">
            <v>деп</v>
          </cell>
          <cell r="J1498">
            <v>38480</v>
          </cell>
        </row>
        <row r="1499">
          <cell r="A1499">
            <v>58731993</v>
          </cell>
          <cell r="B1499" t="str">
            <v>СИБВНЕШТРАНС ТК</v>
          </cell>
          <cell r="C1499" t="str">
            <v>НОВОСИБ-ЗАП  (ЗСБ)</v>
          </cell>
          <cell r="D1499">
            <v>28839</v>
          </cell>
          <cell r="E1499">
            <v>37929</v>
          </cell>
          <cell r="F1499">
            <v>557</v>
          </cell>
          <cell r="G1499">
            <v>37363</v>
          </cell>
          <cell r="H1499">
            <v>840</v>
          </cell>
          <cell r="I1499" t="str">
            <v>деп</v>
          </cell>
          <cell r="J1499">
            <v>38476</v>
          </cell>
        </row>
        <row r="1500">
          <cell r="A1500">
            <v>58732405</v>
          </cell>
          <cell r="B1500" t="str">
            <v>СИБВНЕШТРАНС ТК</v>
          </cell>
          <cell r="C1500" t="str">
            <v>НОВОСИБ-ЗАП  (ЗСБ)</v>
          </cell>
          <cell r="D1500">
            <v>28839</v>
          </cell>
          <cell r="E1500">
            <v>37978</v>
          </cell>
          <cell r="F1500">
            <v>557</v>
          </cell>
          <cell r="G1500">
            <v>37399</v>
          </cell>
          <cell r="H1500">
            <v>840</v>
          </cell>
          <cell r="I1500" t="str">
            <v>деп</v>
          </cell>
          <cell r="J1500">
            <v>38526</v>
          </cell>
        </row>
        <row r="1501">
          <cell r="A1501">
            <v>58732413</v>
          </cell>
          <cell r="B1501" t="str">
            <v>СИБВНЕШТРАНС ТК</v>
          </cell>
          <cell r="C1501" t="str">
            <v>НОВОСИБ-ЗАП  (ЗСБ)</v>
          </cell>
          <cell r="D1501">
            <v>28839</v>
          </cell>
          <cell r="E1501">
            <v>37978</v>
          </cell>
          <cell r="F1501">
            <v>557</v>
          </cell>
          <cell r="G1501">
            <v>37399</v>
          </cell>
          <cell r="H1501">
            <v>840</v>
          </cell>
          <cell r="I1501" t="str">
            <v>деп</v>
          </cell>
          <cell r="J1501">
            <v>38526</v>
          </cell>
        </row>
        <row r="1502">
          <cell r="A1502">
            <v>58732421</v>
          </cell>
          <cell r="B1502" t="str">
            <v>СИБВНЕШТРАНС ТК</v>
          </cell>
          <cell r="C1502" t="str">
            <v>НОВОСИБ-ЗАП  (ЗСБ)</v>
          </cell>
          <cell r="D1502">
            <v>28839</v>
          </cell>
          <cell r="E1502">
            <v>37978</v>
          </cell>
          <cell r="F1502">
            <v>557</v>
          </cell>
          <cell r="G1502">
            <v>37399</v>
          </cell>
          <cell r="H1502">
            <v>840</v>
          </cell>
          <cell r="I1502" t="str">
            <v>деп</v>
          </cell>
          <cell r="J1502">
            <v>38526</v>
          </cell>
        </row>
        <row r="1503">
          <cell r="A1503">
            <v>58732439</v>
          </cell>
          <cell r="B1503" t="str">
            <v>СИБВНЕШТРАНС ТК</v>
          </cell>
          <cell r="C1503" t="str">
            <v>НОВОСИБ-ЗАП  (ЗСБ)</v>
          </cell>
          <cell r="D1503">
            <v>28839</v>
          </cell>
          <cell r="E1503">
            <v>37978</v>
          </cell>
          <cell r="F1503">
            <v>557</v>
          </cell>
          <cell r="G1503">
            <v>37399</v>
          </cell>
          <cell r="H1503">
            <v>840</v>
          </cell>
          <cell r="I1503" t="str">
            <v>деп</v>
          </cell>
          <cell r="J1503">
            <v>38526</v>
          </cell>
        </row>
        <row r="1504">
          <cell r="B1504" t="str">
            <v>СИБВНЕШТРАНС ТК Количество</v>
          </cell>
          <cell r="D1504">
            <v>10</v>
          </cell>
        </row>
        <row r="1505">
          <cell r="A1505">
            <v>53702064</v>
          </cell>
          <cell r="B1505" t="str">
            <v>СИБНЕФТЕПРОВОД</v>
          </cell>
          <cell r="C1505" t="str">
            <v>УСТЬЕ-АХА    (СВР)</v>
          </cell>
          <cell r="D1505">
            <v>33312</v>
          </cell>
          <cell r="F1505">
            <v>0</v>
          </cell>
          <cell r="H1505">
            <v>0</v>
          </cell>
        </row>
        <row r="1506">
          <cell r="A1506">
            <v>58339649</v>
          </cell>
          <cell r="B1506" t="str">
            <v>СИБНЕФТЕПРОВОД</v>
          </cell>
          <cell r="C1506" t="str">
            <v>УСТЬЕ-АХА    (СВР)</v>
          </cell>
          <cell r="D1506">
            <v>33739</v>
          </cell>
          <cell r="F1506">
            <v>0</v>
          </cell>
          <cell r="H1506">
            <v>0</v>
          </cell>
        </row>
        <row r="1507">
          <cell r="A1507">
            <v>58339656</v>
          </cell>
          <cell r="B1507" t="str">
            <v>СИБНЕФТЕПРОВОД</v>
          </cell>
          <cell r="C1507" t="str">
            <v>УСТЬЕ-АХА    (СВР)</v>
          </cell>
          <cell r="D1507">
            <v>33739</v>
          </cell>
          <cell r="F1507">
            <v>0</v>
          </cell>
          <cell r="H1507">
            <v>0</v>
          </cell>
        </row>
        <row r="1508">
          <cell r="A1508">
            <v>58339664</v>
          </cell>
          <cell r="B1508" t="str">
            <v>СИБНЕФТЕПРОВОД</v>
          </cell>
          <cell r="C1508" t="str">
            <v>УСТЬЕ-АХА    (СВР)</v>
          </cell>
          <cell r="D1508">
            <v>33739</v>
          </cell>
          <cell r="F1508">
            <v>0</v>
          </cell>
          <cell r="H1508">
            <v>0</v>
          </cell>
        </row>
        <row r="1509">
          <cell r="A1509">
            <v>58339672</v>
          </cell>
          <cell r="B1509" t="str">
            <v>СИБНЕФТЕПРОВОД</v>
          </cell>
          <cell r="C1509" t="str">
            <v>УСТЬЕ-АХА    (СВР)</v>
          </cell>
          <cell r="D1509">
            <v>33739</v>
          </cell>
          <cell r="F1509">
            <v>0</v>
          </cell>
          <cell r="H1509">
            <v>0</v>
          </cell>
        </row>
        <row r="1510">
          <cell r="B1510" t="str">
            <v>СИБНЕФТЕПРОВОД Количество</v>
          </cell>
          <cell r="D1510">
            <v>5</v>
          </cell>
        </row>
        <row r="1511">
          <cell r="A1511">
            <v>53702528</v>
          </cell>
          <cell r="B1511" t="str">
            <v>СИКОНКО</v>
          </cell>
          <cell r="C1511" t="str">
            <v>ЧЕРНЫЙ МЫС   (СВР)</v>
          </cell>
          <cell r="D1511">
            <v>34148</v>
          </cell>
          <cell r="E1511">
            <v>36505</v>
          </cell>
          <cell r="F1511">
            <v>579</v>
          </cell>
          <cell r="I1511" t="str">
            <v>деп</v>
          </cell>
          <cell r="J1511">
            <v>37601</v>
          </cell>
        </row>
        <row r="1512">
          <cell r="A1512">
            <v>53702817</v>
          </cell>
          <cell r="B1512" t="str">
            <v>СИКОНКО</v>
          </cell>
          <cell r="C1512" t="str">
            <v>СУРГУТ       (СВР)</v>
          </cell>
          <cell r="D1512">
            <v>34300</v>
          </cell>
          <cell r="E1512">
            <v>37485</v>
          </cell>
          <cell r="F1512">
            <v>616</v>
          </cell>
          <cell r="I1512" t="str">
            <v>деп</v>
          </cell>
          <cell r="J1512">
            <v>38581</v>
          </cell>
        </row>
        <row r="1513">
          <cell r="A1513">
            <v>58721150</v>
          </cell>
          <cell r="B1513" t="str">
            <v>СИКОНКО</v>
          </cell>
          <cell r="C1513" t="str">
            <v>СУРГУТ       (СВР)</v>
          </cell>
          <cell r="D1513">
            <v>34148</v>
          </cell>
          <cell r="E1513">
            <v>36505</v>
          </cell>
          <cell r="F1513">
            <v>579</v>
          </cell>
          <cell r="I1513" t="str">
            <v>деп</v>
          </cell>
          <cell r="J1513">
            <v>37236</v>
          </cell>
        </row>
        <row r="1514">
          <cell r="A1514">
            <v>58721168</v>
          </cell>
          <cell r="B1514" t="str">
            <v>СИКОНКО</v>
          </cell>
          <cell r="C1514" t="str">
            <v>СУРГУТ       (СВР)</v>
          </cell>
          <cell r="D1514">
            <v>34148</v>
          </cell>
          <cell r="E1514">
            <v>36505</v>
          </cell>
          <cell r="F1514">
            <v>579</v>
          </cell>
          <cell r="I1514" t="str">
            <v>деп</v>
          </cell>
          <cell r="J1514">
            <v>37236</v>
          </cell>
        </row>
        <row r="1515">
          <cell r="A1515">
            <v>58721176</v>
          </cell>
          <cell r="B1515" t="str">
            <v>СИКОНКО</v>
          </cell>
          <cell r="C1515" t="str">
            <v>СУРГУТ       (СВР)</v>
          </cell>
          <cell r="D1515">
            <v>34148</v>
          </cell>
          <cell r="E1515">
            <v>36503</v>
          </cell>
          <cell r="F1515">
            <v>579</v>
          </cell>
          <cell r="I1515" t="str">
            <v>деп</v>
          </cell>
          <cell r="J1515">
            <v>37234</v>
          </cell>
        </row>
        <row r="1516">
          <cell r="A1516">
            <v>58721184</v>
          </cell>
          <cell r="B1516" t="str">
            <v>СИКОНКО</v>
          </cell>
          <cell r="C1516" t="str">
            <v>СУРГУТ       (СВР)</v>
          </cell>
          <cell r="D1516">
            <v>34148</v>
          </cell>
          <cell r="E1516">
            <v>36505</v>
          </cell>
          <cell r="F1516">
            <v>579</v>
          </cell>
          <cell r="I1516" t="str">
            <v>деп</v>
          </cell>
          <cell r="J1516">
            <v>37236</v>
          </cell>
        </row>
        <row r="1517">
          <cell r="A1517">
            <v>58721838</v>
          </cell>
          <cell r="B1517" t="str">
            <v>СИКОНКО</v>
          </cell>
          <cell r="C1517" t="str">
            <v>СУРГУТ       (СВР)</v>
          </cell>
          <cell r="D1517">
            <v>34300</v>
          </cell>
          <cell r="E1517">
            <v>37481</v>
          </cell>
          <cell r="F1517">
            <v>616</v>
          </cell>
          <cell r="I1517" t="str">
            <v>деп</v>
          </cell>
          <cell r="J1517">
            <v>38212</v>
          </cell>
        </row>
        <row r="1518">
          <cell r="A1518">
            <v>58721846</v>
          </cell>
          <cell r="B1518" t="str">
            <v>СИКОНКО</v>
          </cell>
          <cell r="C1518" t="str">
            <v>СУРГУТ       (СВР)</v>
          </cell>
          <cell r="D1518">
            <v>34300</v>
          </cell>
          <cell r="E1518">
            <v>37482</v>
          </cell>
          <cell r="F1518">
            <v>616</v>
          </cell>
          <cell r="I1518" t="str">
            <v>деп</v>
          </cell>
          <cell r="J1518">
            <v>38213</v>
          </cell>
        </row>
        <row r="1519">
          <cell r="A1519">
            <v>58721853</v>
          </cell>
          <cell r="B1519" t="str">
            <v>СИКОНКО</v>
          </cell>
          <cell r="C1519" t="str">
            <v>СУРГУТ       (СВР)</v>
          </cell>
          <cell r="D1519">
            <v>34300</v>
          </cell>
          <cell r="E1519">
            <v>37481</v>
          </cell>
          <cell r="F1519">
            <v>616</v>
          </cell>
          <cell r="I1519" t="str">
            <v>деп</v>
          </cell>
          <cell r="J1519">
            <v>38212</v>
          </cell>
        </row>
        <row r="1520">
          <cell r="A1520">
            <v>58721861</v>
          </cell>
          <cell r="B1520" t="str">
            <v>СИКОНКО</v>
          </cell>
          <cell r="C1520" t="str">
            <v>СУРГУТ       (СВР)</v>
          </cell>
          <cell r="D1520">
            <v>34148</v>
          </cell>
          <cell r="E1520">
            <v>37481</v>
          </cell>
          <cell r="F1520">
            <v>616</v>
          </cell>
          <cell r="I1520" t="str">
            <v>деп</v>
          </cell>
          <cell r="J1520">
            <v>38212</v>
          </cell>
        </row>
        <row r="1521">
          <cell r="B1521" t="str">
            <v>СИКОНКО Количество</v>
          </cell>
          <cell r="D1521">
            <v>10</v>
          </cell>
        </row>
        <row r="1522">
          <cell r="A1522">
            <v>53702247</v>
          </cell>
          <cell r="B1522" t="str">
            <v>СЛАВТЭК СПМ</v>
          </cell>
          <cell r="C1522" t="str">
            <v>НИЖНЕВАРТ. 1 (СВР)</v>
          </cell>
          <cell r="D1522">
            <v>33817</v>
          </cell>
          <cell r="E1522">
            <v>37741</v>
          </cell>
          <cell r="F1522">
            <v>819</v>
          </cell>
          <cell r="H1522">
            <v>0</v>
          </cell>
          <cell r="I1522" t="str">
            <v>кап</v>
          </cell>
          <cell r="J1522">
            <v>38837</v>
          </cell>
        </row>
        <row r="1523">
          <cell r="A1523">
            <v>58720335</v>
          </cell>
          <cell r="B1523" t="str">
            <v>СЛАВТЭК СПМ</v>
          </cell>
          <cell r="C1523" t="str">
            <v>НИЖНЕВАРТ. 1 (СВР)</v>
          </cell>
          <cell r="D1523">
            <v>33451</v>
          </cell>
          <cell r="E1523">
            <v>37741</v>
          </cell>
          <cell r="F1523">
            <v>819</v>
          </cell>
          <cell r="H1523">
            <v>0</v>
          </cell>
          <cell r="I1523" t="str">
            <v>деп</v>
          </cell>
          <cell r="J1523">
            <v>38472</v>
          </cell>
        </row>
        <row r="1524">
          <cell r="A1524">
            <v>58720343</v>
          </cell>
          <cell r="B1524" t="str">
            <v>СЛАВТЭК СПМ</v>
          </cell>
          <cell r="C1524" t="str">
            <v>НИЖНЕВАРТ. 1 (СВР)</v>
          </cell>
          <cell r="D1524">
            <v>33451</v>
          </cell>
          <cell r="E1524">
            <v>37741</v>
          </cell>
          <cell r="F1524">
            <v>819</v>
          </cell>
          <cell r="H1524">
            <v>0</v>
          </cell>
          <cell r="I1524" t="str">
            <v>деп</v>
          </cell>
          <cell r="J1524">
            <v>38472</v>
          </cell>
        </row>
        <row r="1525">
          <cell r="A1525">
            <v>58720350</v>
          </cell>
          <cell r="B1525" t="str">
            <v>СЛАВТЭК СПМ</v>
          </cell>
          <cell r="C1525" t="str">
            <v>НИЖНЕВАРТ. 1 (СВР)</v>
          </cell>
          <cell r="D1525">
            <v>33451</v>
          </cell>
          <cell r="E1525">
            <v>37741</v>
          </cell>
          <cell r="F1525">
            <v>819</v>
          </cell>
          <cell r="H1525">
            <v>0</v>
          </cell>
          <cell r="I1525" t="str">
            <v>деп</v>
          </cell>
          <cell r="J1525">
            <v>38472</v>
          </cell>
        </row>
        <row r="1526">
          <cell r="A1526">
            <v>58720368</v>
          </cell>
          <cell r="B1526" t="str">
            <v>СЛАВТЭК СПМ</v>
          </cell>
          <cell r="C1526" t="str">
            <v>НИЖНЕВАРТ. 1 (СВР)</v>
          </cell>
          <cell r="D1526">
            <v>33451</v>
          </cell>
          <cell r="E1526">
            <v>37741</v>
          </cell>
          <cell r="F1526">
            <v>819</v>
          </cell>
          <cell r="H1526">
            <v>0</v>
          </cell>
          <cell r="I1526" t="str">
            <v>деп</v>
          </cell>
          <cell r="J1526">
            <v>38472</v>
          </cell>
        </row>
        <row r="1527">
          <cell r="B1527" t="str">
            <v>СЛАВТЭК СПМ Количество</v>
          </cell>
          <cell r="D1527">
            <v>5</v>
          </cell>
        </row>
        <row r="1528">
          <cell r="A1528">
            <v>58342452</v>
          </cell>
          <cell r="B1528" t="str">
            <v>СОЛЬВЫЧЕГОД.ТПП ГУДП ДЦРС</v>
          </cell>
          <cell r="C1528" t="str">
            <v>КОТЛАС-ЮЖНЫЙ (СЕВ)</v>
          </cell>
          <cell r="D1528">
            <v>31017</v>
          </cell>
          <cell r="E1528">
            <v>36055</v>
          </cell>
          <cell r="F1528">
            <v>727</v>
          </cell>
          <cell r="H1528">
            <v>0</v>
          </cell>
          <cell r="I1528" t="str">
            <v>кап</v>
          </cell>
          <cell r="J1528">
            <v>36602</v>
          </cell>
        </row>
        <row r="1529">
          <cell r="B1529" t="str">
            <v>СОЛЬВЫЧЕГОД.ТПП ГУДП ДЦРС Количество</v>
          </cell>
          <cell r="D1529">
            <v>1</v>
          </cell>
        </row>
        <row r="1530">
          <cell r="A1530">
            <v>53402103</v>
          </cell>
          <cell r="B1530" t="str">
            <v>СОЮЗ-ГРАНИТ</v>
          </cell>
          <cell r="C1530" t="str">
            <v>ТОРБИНО      (ОКТ)</v>
          </cell>
          <cell r="D1530">
            <v>30012</v>
          </cell>
          <cell r="F1530">
            <v>0</v>
          </cell>
          <cell r="G1530">
            <v>37922</v>
          </cell>
          <cell r="H1530">
            <v>321</v>
          </cell>
          <cell r="I1530" t="str">
            <v>деп</v>
          </cell>
          <cell r="J1530">
            <v>38653</v>
          </cell>
        </row>
        <row r="1531">
          <cell r="B1531" t="str">
            <v>СОЮЗ-ГРАНИТ Количество</v>
          </cell>
          <cell r="D1531">
            <v>1</v>
          </cell>
        </row>
        <row r="1532">
          <cell r="A1532">
            <v>58741109</v>
          </cell>
          <cell r="B1532" t="str">
            <v>СОЮЗТРАНСГРУПП ТРАНСП.КОМП</v>
          </cell>
          <cell r="C1532" t="str">
            <v>УССУРИЙСК    (ДВС)</v>
          </cell>
          <cell r="D1532">
            <v>33390</v>
          </cell>
          <cell r="E1532">
            <v>37793</v>
          </cell>
          <cell r="F1532">
            <v>163</v>
          </cell>
          <cell r="H1532">
            <v>0</v>
          </cell>
          <cell r="I1532" t="str">
            <v>деп</v>
          </cell>
          <cell r="J1532">
            <v>38342</v>
          </cell>
        </row>
        <row r="1533">
          <cell r="B1533" t="str">
            <v>СОЮЗТРАНСГРУПП ТРАНСП.КОМП Количество</v>
          </cell>
          <cell r="D1533">
            <v>1</v>
          </cell>
        </row>
        <row r="1534">
          <cell r="A1534">
            <v>53701884</v>
          </cell>
          <cell r="B1534" t="str">
            <v>С-ПЕТЕРБУРГСК.ТРАНСП.КОМП.</v>
          </cell>
          <cell r="C1534" t="str">
            <v>ЗЕЛЕНОГОРСК  (ОКТ)</v>
          </cell>
          <cell r="D1534">
            <v>33887</v>
          </cell>
          <cell r="E1534">
            <v>35154</v>
          </cell>
          <cell r="F1534">
            <v>0</v>
          </cell>
          <cell r="G1534">
            <v>37680</v>
          </cell>
          <cell r="H1534">
            <v>461</v>
          </cell>
          <cell r="I1534" t="str">
            <v>деп</v>
          </cell>
          <cell r="J1534">
            <v>38776</v>
          </cell>
        </row>
        <row r="1535">
          <cell r="A1535">
            <v>53706875</v>
          </cell>
          <cell r="B1535" t="str">
            <v>С-ПЕТЕРБУРГСК.ТРАНСП.КОМП.</v>
          </cell>
          <cell r="C1535" t="str">
            <v>ЗЕЛЕНОГОРСК  (ОКТ)</v>
          </cell>
          <cell r="D1535">
            <v>32509</v>
          </cell>
          <cell r="E1535">
            <v>37574</v>
          </cell>
          <cell r="F1535">
            <v>609</v>
          </cell>
          <cell r="H1535">
            <v>0</v>
          </cell>
          <cell r="I1535" t="str">
            <v>деп</v>
          </cell>
          <cell r="J1535">
            <v>38305</v>
          </cell>
        </row>
        <row r="1536">
          <cell r="B1536" t="str">
            <v>С-ПЕТЕРБУРГСК.ТРАНСП.КОМП. Количество</v>
          </cell>
          <cell r="D1536">
            <v>2</v>
          </cell>
        </row>
        <row r="1537">
          <cell r="A1537">
            <v>53701264</v>
          </cell>
          <cell r="B1537" t="str">
            <v>СРЕДУРАЛМЕДЬЗАВОД</v>
          </cell>
          <cell r="C1537" t="str">
            <v>РЕВДА        (СВР)</v>
          </cell>
          <cell r="D1537">
            <v>33409</v>
          </cell>
          <cell r="E1537">
            <v>37577</v>
          </cell>
          <cell r="F1537">
            <v>579</v>
          </cell>
          <cell r="I1537" t="str">
            <v>кап</v>
          </cell>
          <cell r="J1537">
            <v>38673</v>
          </cell>
        </row>
        <row r="1538">
          <cell r="A1538">
            <v>58337908</v>
          </cell>
          <cell r="B1538" t="str">
            <v>СРЕДУРАЛМЕДЬЗАВОД</v>
          </cell>
          <cell r="C1538" t="str">
            <v>РЕВДА        (СВР)</v>
          </cell>
          <cell r="D1538">
            <v>33509</v>
          </cell>
          <cell r="E1538">
            <v>37577</v>
          </cell>
          <cell r="F1538">
            <v>579</v>
          </cell>
          <cell r="I1538" t="str">
            <v>деп</v>
          </cell>
          <cell r="J1538">
            <v>38308</v>
          </cell>
        </row>
        <row r="1539">
          <cell r="A1539">
            <v>58337916</v>
          </cell>
          <cell r="B1539" t="str">
            <v>СРЕДУРАЛМЕДЬЗАВОД</v>
          </cell>
          <cell r="C1539" t="str">
            <v>РЕВДА        (СВР)</v>
          </cell>
          <cell r="D1539">
            <v>33509</v>
          </cell>
          <cell r="E1539">
            <v>37577</v>
          </cell>
          <cell r="F1539">
            <v>579</v>
          </cell>
          <cell r="I1539" t="str">
            <v>деп</v>
          </cell>
          <cell r="J1539">
            <v>38308</v>
          </cell>
        </row>
        <row r="1540">
          <cell r="A1540">
            <v>58337924</v>
          </cell>
          <cell r="B1540" t="str">
            <v>СРЕДУРАЛМЕДЬЗАВОД</v>
          </cell>
          <cell r="C1540" t="str">
            <v>РЕВДА        (СВР)</v>
          </cell>
          <cell r="D1540">
            <v>33509</v>
          </cell>
          <cell r="E1540">
            <v>37577</v>
          </cell>
          <cell r="F1540">
            <v>579</v>
          </cell>
          <cell r="I1540" t="str">
            <v>деп</v>
          </cell>
          <cell r="J1540">
            <v>38308</v>
          </cell>
        </row>
        <row r="1541">
          <cell r="A1541">
            <v>58337932</v>
          </cell>
          <cell r="B1541" t="str">
            <v>СРЕДУРАЛМЕДЬЗАВОД</v>
          </cell>
          <cell r="C1541" t="str">
            <v>РЕВДА        (СВР)</v>
          </cell>
          <cell r="D1541">
            <v>33509</v>
          </cell>
          <cell r="E1541">
            <v>37577</v>
          </cell>
          <cell r="F1541">
            <v>579</v>
          </cell>
          <cell r="I1541" t="str">
            <v>деп</v>
          </cell>
          <cell r="J1541">
            <v>38308</v>
          </cell>
        </row>
        <row r="1542">
          <cell r="B1542" t="str">
            <v>СРЕДУРАЛМЕДЬЗАВОД Количество</v>
          </cell>
          <cell r="D1542">
            <v>5</v>
          </cell>
        </row>
        <row r="1543">
          <cell r="A1543">
            <v>53702346</v>
          </cell>
          <cell r="B1543" t="str">
            <v>СУРГУТГАЗПРОМ ЦБПТОИК</v>
          </cell>
          <cell r="C1543" t="str">
            <v>ЧЕРНЫЙ МЫС   (СВР)</v>
          </cell>
          <cell r="D1543">
            <v>34029</v>
          </cell>
          <cell r="E1543">
            <v>37831</v>
          </cell>
          <cell r="F1543">
            <v>819</v>
          </cell>
          <cell r="H1543">
            <v>0</v>
          </cell>
          <cell r="I1543" t="str">
            <v>деп</v>
          </cell>
          <cell r="J1543">
            <v>38381</v>
          </cell>
        </row>
        <row r="1544">
          <cell r="A1544">
            <v>58720624</v>
          </cell>
          <cell r="B1544" t="str">
            <v>СУРГУТГАЗПРОМ ЦБПТОИК</v>
          </cell>
          <cell r="C1544" t="str">
            <v>ЧЕРНЫЙ МЫС   (СВР)</v>
          </cell>
          <cell r="D1544">
            <v>33970</v>
          </cell>
          <cell r="E1544">
            <v>37831</v>
          </cell>
          <cell r="F1544">
            <v>819</v>
          </cell>
          <cell r="H1544">
            <v>0</v>
          </cell>
          <cell r="I1544" t="str">
            <v>деп</v>
          </cell>
          <cell r="J1544">
            <v>38381</v>
          </cell>
        </row>
        <row r="1545">
          <cell r="A1545">
            <v>58720632</v>
          </cell>
          <cell r="B1545" t="str">
            <v>СУРГУТГАЗПРОМ ЦБПТОИК</v>
          </cell>
          <cell r="C1545" t="str">
            <v>ЧЕРНЫЙ МЫС   (СВР)</v>
          </cell>
          <cell r="D1545">
            <v>33970</v>
          </cell>
          <cell r="E1545">
            <v>37831</v>
          </cell>
          <cell r="F1545">
            <v>819</v>
          </cell>
          <cell r="H1545">
            <v>0</v>
          </cell>
          <cell r="I1545" t="str">
            <v>деп</v>
          </cell>
          <cell r="J1545">
            <v>38381</v>
          </cell>
        </row>
        <row r="1546">
          <cell r="A1546">
            <v>58720640</v>
          </cell>
          <cell r="B1546" t="str">
            <v>СУРГУТГАЗПРОМ ЦБПТОИК</v>
          </cell>
          <cell r="C1546" t="str">
            <v>ЧЕРНЫЙ МЫС   (СВР)</v>
          </cell>
          <cell r="D1546">
            <v>33970</v>
          </cell>
          <cell r="E1546">
            <v>37831</v>
          </cell>
          <cell r="F1546">
            <v>819</v>
          </cell>
          <cell r="H1546">
            <v>0</v>
          </cell>
          <cell r="I1546" t="str">
            <v>деп</v>
          </cell>
          <cell r="J1546">
            <v>38381</v>
          </cell>
        </row>
        <row r="1547">
          <cell r="A1547">
            <v>58720657</v>
          </cell>
          <cell r="B1547" t="str">
            <v>СУРГУТГАЗПРОМ ЦБПТОИК</v>
          </cell>
          <cell r="C1547" t="str">
            <v>ЧЕРНЫЙ МЫС   (СВР)</v>
          </cell>
          <cell r="D1547">
            <v>33970</v>
          </cell>
          <cell r="E1547">
            <v>37831</v>
          </cell>
          <cell r="F1547">
            <v>819</v>
          </cell>
          <cell r="H1547">
            <v>0</v>
          </cell>
          <cell r="I1547" t="str">
            <v>деп</v>
          </cell>
          <cell r="J1547">
            <v>38381</v>
          </cell>
        </row>
        <row r="1548">
          <cell r="B1548" t="str">
            <v>СУРГУТГАЗПРОМ ЦБПТОИК Количество</v>
          </cell>
          <cell r="D1548">
            <v>5</v>
          </cell>
        </row>
        <row r="1549">
          <cell r="A1549">
            <v>53702452</v>
          </cell>
          <cell r="B1549" t="str">
            <v>СУРКУЛ</v>
          </cell>
          <cell r="C1549" t="str">
            <v>СУРГУТ       (СВР)</v>
          </cell>
          <cell r="D1549">
            <v>34099</v>
          </cell>
          <cell r="E1549">
            <v>37860</v>
          </cell>
          <cell r="F1549">
            <v>616</v>
          </cell>
          <cell r="H1549">
            <v>0</v>
          </cell>
          <cell r="I1549" t="str">
            <v>кап</v>
          </cell>
          <cell r="J1549">
            <v>38956</v>
          </cell>
        </row>
        <row r="1550">
          <cell r="A1550">
            <v>58720889</v>
          </cell>
          <cell r="B1550" t="str">
            <v>СУРКУЛ</v>
          </cell>
          <cell r="C1550" t="str">
            <v>СУРГУТ       (СВР)</v>
          </cell>
          <cell r="D1550">
            <v>33970</v>
          </cell>
          <cell r="E1550">
            <v>37860</v>
          </cell>
          <cell r="F1550">
            <v>616</v>
          </cell>
          <cell r="H1550">
            <v>0</v>
          </cell>
          <cell r="I1550" t="str">
            <v>деп</v>
          </cell>
          <cell r="J1550">
            <v>38287</v>
          </cell>
        </row>
        <row r="1551">
          <cell r="A1551">
            <v>58720905</v>
          </cell>
          <cell r="B1551" t="str">
            <v>СУРКУЛ</v>
          </cell>
          <cell r="C1551" t="str">
            <v>СУРГУТ       (СВР)</v>
          </cell>
          <cell r="D1551">
            <v>34099</v>
          </cell>
          <cell r="E1551">
            <v>37860</v>
          </cell>
          <cell r="F1551">
            <v>616</v>
          </cell>
          <cell r="H1551">
            <v>0</v>
          </cell>
          <cell r="I1551" t="str">
            <v>деп</v>
          </cell>
          <cell r="J1551">
            <v>38287</v>
          </cell>
        </row>
        <row r="1552">
          <cell r="A1552">
            <v>58720913</v>
          </cell>
          <cell r="B1552" t="str">
            <v>СУРКУЛ</v>
          </cell>
          <cell r="C1552" t="str">
            <v>СУРГУТ       (СВР)</v>
          </cell>
          <cell r="D1552">
            <v>34099</v>
          </cell>
          <cell r="E1552">
            <v>37860</v>
          </cell>
          <cell r="F1552">
            <v>616</v>
          </cell>
          <cell r="H1552">
            <v>0</v>
          </cell>
          <cell r="I1552" t="str">
            <v>деп</v>
          </cell>
          <cell r="J1552">
            <v>38287</v>
          </cell>
        </row>
        <row r="1553">
          <cell r="A1553">
            <v>58720921</v>
          </cell>
          <cell r="B1553" t="str">
            <v>СУРКУЛ</v>
          </cell>
          <cell r="C1553" t="str">
            <v>СУРГУТ       (СВР)</v>
          </cell>
          <cell r="D1553">
            <v>34099</v>
          </cell>
          <cell r="E1553">
            <v>37860</v>
          </cell>
          <cell r="F1553">
            <v>616</v>
          </cell>
          <cell r="H1553">
            <v>0</v>
          </cell>
          <cell r="I1553" t="str">
            <v>деп</v>
          </cell>
          <cell r="J1553">
            <v>38287</v>
          </cell>
        </row>
        <row r="1554">
          <cell r="B1554" t="str">
            <v>СУРКУЛ Количество</v>
          </cell>
          <cell r="D1554">
            <v>5</v>
          </cell>
        </row>
        <row r="1555">
          <cell r="A1555">
            <v>58340431</v>
          </cell>
          <cell r="B1555" t="str">
            <v>СЫКТЫВКАРСК.ЛИКЕРОВОД.З-Д</v>
          </cell>
          <cell r="C1555" t="str">
            <v>СЫКТЫВКАР    (СЕВ)</v>
          </cell>
          <cell r="D1555">
            <v>32958</v>
          </cell>
          <cell r="E1555">
            <v>37222</v>
          </cell>
          <cell r="F1555">
            <v>819</v>
          </cell>
          <cell r="H1555">
            <v>0</v>
          </cell>
          <cell r="I1555" t="str">
            <v>деп</v>
          </cell>
          <cell r="J1555">
            <v>37952</v>
          </cell>
        </row>
        <row r="1556">
          <cell r="B1556" t="str">
            <v>СЫКТЫВКАРСК.ЛИКЕРОВОД.З-Д Количество</v>
          </cell>
          <cell r="D1556">
            <v>1</v>
          </cell>
        </row>
        <row r="1557">
          <cell r="A1557">
            <v>53700985</v>
          </cell>
          <cell r="B1557" t="str">
            <v>ТАГМЕТ</v>
          </cell>
          <cell r="C1557" t="str">
            <v>ТАГАНРОГ     (СКВ)</v>
          </cell>
          <cell r="D1557">
            <v>33359</v>
          </cell>
          <cell r="E1557">
            <v>37881</v>
          </cell>
          <cell r="F1557">
            <v>557</v>
          </cell>
          <cell r="H1557">
            <v>0</v>
          </cell>
          <cell r="I1557" t="str">
            <v>деп</v>
          </cell>
          <cell r="J1557">
            <v>38428</v>
          </cell>
        </row>
        <row r="1558">
          <cell r="B1558" t="str">
            <v>ТАГМЕТ Количество</v>
          </cell>
          <cell r="D1558">
            <v>1</v>
          </cell>
        </row>
        <row r="1559">
          <cell r="A1559">
            <v>58726373</v>
          </cell>
          <cell r="B1559" t="str">
            <v>ТАКСИМОВСКИЙ ТОРГОВЫЙ ДВОР</v>
          </cell>
          <cell r="C1559" t="str">
            <v>КРЕЙДА       (ЮВС)</v>
          </cell>
          <cell r="D1559">
            <v>33420</v>
          </cell>
          <cell r="F1559">
            <v>0</v>
          </cell>
          <cell r="H1559">
            <v>0</v>
          </cell>
          <cell r="I1559" t="str">
            <v>деп</v>
          </cell>
          <cell r="J1559">
            <v>34516</v>
          </cell>
        </row>
        <row r="1560">
          <cell r="A1560">
            <v>58726381</v>
          </cell>
          <cell r="B1560" t="str">
            <v>ТАКСИМОВСКИЙ ТОРГОВЫЙ ДВОР</v>
          </cell>
          <cell r="C1560" t="str">
            <v>КРЕЙДА       (ЮВС)</v>
          </cell>
          <cell r="D1560">
            <v>33420</v>
          </cell>
          <cell r="F1560">
            <v>0</v>
          </cell>
          <cell r="H1560">
            <v>0</v>
          </cell>
          <cell r="I1560" t="str">
            <v>деп</v>
          </cell>
          <cell r="J1560">
            <v>34516</v>
          </cell>
        </row>
        <row r="1561">
          <cell r="A1561">
            <v>58726407</v>
          </cell>
          <cell r="B1561" t="str">
            <v>ТАКСИМОВСКИЙ ТОРГОВЫЙ ДВОР</v>
          </cell>
          <cell r="C1561" t="str">
            <v>КРЕЙДА       (ЮВС)</v>
          </cell>
          <cell r="D1561">
            <v>33420</v>
          </cell>
          <cell r="F1561">
            <v>0</v>
          </cell>
          <cell r="H1561">
            <v>0</v>
          </cell>
          <cell r="I1561" t="str">
            <v>деп</v>
          </cell>
          <cell r="J1561">
            <v>34516</v>
          </cell>
        </row>
        <row r="1562">
          <cell r="A1562">
            <v>58726415</v>
          </cell>
          <cell r="B1562" t="str">
            <v>ТАКСИМОВСКИЙ ТОРГОВЫЙ ДВОР</v>
          </cell>
          <cell r="C1562" t="str">
            <v>КРЕЙДА       (ЮВС)</v>
          </cell>
          <cell r="D1562">
            <v>33420</v>
          </cell>
          <cell r="F1562">
            <v>0</v>
          </cell>
          <cell r="H1562">
            <v>0</v>
          </cell>
          <cell r="I1562" t="str">
            <v>деп</v>
          </cell>
          <cell r="J1562">
            <v>34516</v>
          </cell>
        </row>
        <row r="1563">
          <cell r="B1563" t="str">
            <v>ТАКСИМОВСКИЙ ТОРГОВЫЙ ДВОР Количество</v>
          </cell>
          <cell r="D1563">
            <v>4</v>
          </cell>
        </row>
        <row r="1564">
          <cell r="A1564">
            <v>53400479</v>
          </cell>
          <cell r="B1564" t="str">
            <v>ТЕХНОКОМПЛЕКТЛИЗИНГ</v>
          </cell>
          <cell r="C1564" t="str">
            <v>ХОВРИНО      (ОКТ)</v>
          </cell>
          <cell r="D1564">
            <v>32660</v>
          </cell>
          <cell r="E1564">
            <v>37826</v>
          </cell>
          <cell r="F1564">
            <v>163</v>
          </cell>
          <cell r="H1564">
            <v>0</v>
          </cell>
          <cell r="I1564" t="str">
            <v>деп</v>
          </cell>
          <cell r="J1564">
            <v>38376</v>
          </cell>
        </row>
        <row r="1565">
          <cell r="A1565">
            <v>53400503</v>
          </cell>
          <cell r="B1565" t="str">
            <v>ТЕХНОКОМПЛЕКТЛИЗИНГ</v>
          </cell>
          <cell r="C1565" t="str">
            <v>ХОВРИНО      (ОКТ)</v>
          </cell>
          <cell r="D1565">
            <v>32660</v>
          </cell>
          <cell r="E1565">
            <v>37793</v>
          </cell>
          <cell r="F1565">
            <v>492</v>
          </cell>
          <cell r="H1565">
            <v>0</v>
          </cell>
          <cell r="I1565" t="str">
            <v>деп</v>
          </cell>
          <cell r="J1565">
            <v>38342</v>
          </cell>
        </row>
        <row r="1566">
          <cell r="A1566">
            <v>53400511</v>
          </cell>
          <cell r="B1566" t="str">
            <v>ТЕХНОКОМПЛЕКТЛИЗИНГ</v>
          </cell>
          <cell r="C1566" t="str">
            <v>ХОВРИНО      (ОКТ)</v>
          </cell>
          <cell r="D1566">
            <v>32660</v>
          </cell>
          <cell r="E1566">
            <v>37816</v>
          </cell>
          <cell r="F1566">
            <v>163</v>
          </cell>
          <cell r="H1566">
            <v>0</v>
          </cell>
          <cell r="I1566" t="str">
            <v>деп</v>
          </cell>
          <cell r="J1566">
            <v>38366</v>
          </cell>
        </row>
        <row r="1567">
          <cell r="A1567">
            <v>53400529</v>
          </cell>
          <cell r="B1567" t="str">
            <v>ТЕХНОКОМПЛЕКТЛИЗИНГ</v>
          </cell>
          <cell r="C1567" t="str">
            <v>ХОВРИНО      (ОКТ)</v>
          </cell>
          <cell r="D1567">
            <v>32660</v>
          </cell>
          <cell r="E1567">
            <v>37825</v>
          </cell>
          <cell r="F1567">
            <v>492</v>
          </cell>
          <cell r="H1567">
            <v>0</v>
          </cell>
          <cell r="I1567" t="str">
            <v>деп</v>
          </cell>
          <cell r="J1567">
            <v>38375</v>
          </cell>
        </row>
        <row r="1568">
          <cell r="A1568">
            <v>53400537</v>
          </cell>
          <cell r="B1568" t="str">
            <v>ТЕХНОКОМПЛЕКТЛИЗИНГ</v>
          </cell>
          <cell r="C1568" t="str">
            <v>ХОВРИНО      (ОКТ)</v>
          </cell>
          <cell r="D1568">
            <v>32660</v>
          </cell>
          <cell r="E1568">
            <v>37768</v>
          </cell>
          <cell r="F1568">
            <v>492</v>
          </cell>
          <cell r="H1568">
            <v>0</v>
          </cell>
          <cell r="I1568" t="str">
            <v>деп</v>
          </cell>
          <cell r="J1568">
            <v>38318</v>
          </cell>
        </row>
        <row r="1569">
          <cell r="A1569">
            <v>53400586</v>
          </cell>
          <cell r="B1569" t="str">
            <v>ТЕХНОКОМПЛЕКТЛИЗИНГ</v>
          </cell>
          <cell r="C1569" t="str">
            <v>ХОВРИНО      (ОКТ)</v>
          </cell>
          <cell r="D1569">
            <v>32660</v>
          </cell>
          <cell r="E1569">
            <v>37979</v>
          </cell>
          <cell r="F1569">
            <v>557</v>
          </cell>
          <cell r="H1569">
            <v>0</v>
          </cell>
          <cell r="I1569" t="str">
            <v>кап</v>
          </cell>
          <cell r="J1569">
            <v>38527</v>
          </cell>
        </row>
        <row r="1570">
          <cell r="A1570">
            <v>53400651</v>
          </cell>
          <cell r="B1570" t="str">
            <v>ТЕХНОКОМПЛЕКТЛИЗИНГ</v>
          </cell>
          <cell r="C1570" t="str">
            <v>ХОВРИНО      (ОКТ)</v>
          </cell>
          <cell r="D1570">
            <v>32660</v>
          </cell>
          <cell r="E1570">
            <v>37958</v>
          </cell>
          <cell r="F1570">
            <v>557</v>
          </cell>
          <cell r="H1570">
            <v>0</v>
          </cell>
          <cell r="I1570" t="str">
            <v>кап</v>
          </cell>
          <cell r="J1570">
            <v>38506</v>
          </cell>
        </row>
        <row r="1571">
          <cell r="A1571">
            <v>53400701</v>
          </cell>
          <cell r="B1571" t="str">
            <v>ТЕХНОКОМПЛЕКТЛИЗИНГ</v>
          </cell>
          <cell r="C1571" t="str">
            <v>ХОВРИНО      (ОКТ)</v>
          </cell>
          <cell r="D1571">
            <v>32660</v>
          </cell>
          <cell r="E1571">
            <v>37916</v>
          </cell>
          <cell r="F1571">
            <v>492</v>
          </cell>
          <cell r="H1571">
            <v>0</v>
          </cell>
          <cell r="I1571" t="str">
            <v>деп</v>
          </cell>
          <cell r="J1571">
            <v>38464</v>
          </cell>
        </row>
        <row r="1572">
          <cell r="A1572">
            <v>53705810</v>
          </cell>
          <cell r="B1572" t="str">
            <v>ТЕХНОКОМПЛЕКТЛИЗИНГ</v>
          </cell>
          <cell r="C1572" t="str">
            <v>ХОВРИНО      (ОКТ)</v>
          </cell>
          <cell r="D1572">
            <v>32752</v>
          </cell>
          <cell r="E1572">
            <v>37805</v>
          </cell>
          <cell r="F1572">
            <v>886</v>
          </cell>
          <cell r="H1572">
            <v>0</v>
          </cell>
          <cell r="I1572" t="str">
            <v>деп</v>
          </cell>
          <cell r="J1572">
            <v>38355</v>
          </cell>
        </row>
        <row r="1573">
          <cell r="A1573">
            <v>53705828</v>
          </cell>
          <cell r="B1573" t="str">
            <v>ТЕХНОКОМПЛЕКТЛИЗИНГ</v>
          </cell>
          <cell r="C1573" t="str">
            <v>ХОВРИНО      (ОКТ)</v>
          </cell>
          <cell r="D1573">
            <v>32813</v>
          </cell>
          <cell r="E1573">
            <v>37825</v>
          </cell>
          <cell r="F1573">
            <v>886</v>
          </cell>
          <cell r="H1573">
            <v>0</v>
          </cell>
          <cell r="I1573" t="str">
            <v>деп</v>
          </cell>
          <cell r="J1573">
            <v>38375</v>
          </cell>
        </row>
        <row r="1574">
          <cell r="A1574">
            <v>53705836</v>
          </cell>
          <cell r="B1574" t="str">
            <v>ТЕХНОКОМПЛЕКТЛИЗИНГ</v>
          </cell>
          <cell r="C1574" t="str">
            <v>ХОВРИНО      (ОКТ)</v>
          </cell>
          <cell r="D1574">
            <v>32843</v>
          </cell>
          <cell r="E1574">
            <v>37819</v>
          </cell>
          <cell r="F1574">
            <v>163</v>
          </cell>
          <cell r="H1574">
            <v>0</v>
          </cell>
          <cell r="I1574" t="str">
            <v>деп</v>
          </cell>
          <cell r="J1574">
            <v>38369</v>
          </cell>
        </row>
        <row r="1575">
          <cell r="A1575">
            <v>53705844</v>
          </cell>
          <cell r="B1575" t="str">
            <v>ТЕХНОКОМПЛЕКТЛИЗИНГ</v>
          </cell>
          <cell r="C1575" t="str">
            <v>ХОВРИНО      (ОКТ)</v>
          </cell>
          <cell r="D1575">
            <v>32843</v>
          </cell>
          <cell r="E1575">
            <v>37790</v>
          </cell>
          <cell r="F1575">
            <v>163</v>
          </cell>
          <cell r="H1575">
            <v>0</v>
          </cell>
          <cell r="I1575" t="str">
            <v>деп</v>
          </cell>
          <cell r="J1575">
            <v>38339</v>
          </cell>
        </row>
        <row r="1576">
          <cell r="A1576">
            <v>53705851</v>
          </cell>
          <cell r="B1576" t="str">
            <v>ТЕХНОКОМПЛЕКТЛИЗИНГ</v>
          </cell>
          <cell r="C1576" t="str">
            <v>ХОВРИНО      (ОКТ)</v>
          </cell>
          <cell r="D1576">
            <v>32721</v>
          </cell>
          <cell r="E1576">
            <v>37829</v>
          </cell>
          <cell r="F1576">
            <v>557</v>
          </cell>
          <cell r="H1576">
            <v>0</v>
          </cell>
          <cell r="I1576" t="str">
            <v>деп</v>
          </cell>
          <cell r="J1576">
            <v>38379</v>
          </cell>
        </row>
        <row r="1577">
          <cell r="A1577">
            <v>53705869</v>
          </cell>
          <cell r="B1577" t="str">
            <v>ТЕХНОКОМПЛЕКТЛИЗИНГ</v>
          </cell>
          <cell r="C1577" t="str">
            <v>ХОВРИНО      (ОКТ)</v>
          </cell>
          <cell r="D1577">
            <v>32721</v>
          </cell>
          <cell r="E1577">
            <v>37816</v>
          </cell>
          <cell r="F1577">
            <v>163</v>
          </cell>
          <cell r="H1577">
            <v>0</v>
          </cell>
          <cell r="I1577" t="str">
            <v>деп</v>
          </cell>
          <cell r="J1577">
            <v>38366</v>
          </cell>
        </row>
        <row r="1578">
          <cell r="A1578">
            <v>53705877</v>
          </cell>
          <cell r="B1578" t="str">
            <v>ТЕХНОКОМПЛЕКТЛИЗИНГ</v>
          </cell>
          <cell r="C1578" t="str">
            <v>ХОВРИНО      (ОКТ)</v>
          </cell>
          <cell r="D1578">
            <v>32721</v>
          </cell>
          <cell r="E1578">
            <v>37802</v>
          </cell>
          <cell r="F1578">
            <v>163</v>
          </cell>
          <cell r="H1578">
            <v>0</v>
          </cell>
          <cell r="I1578" t="str">
            <v>деп</v>
          </cell>
          <cell r="J1578">
            <v>38351</v>
          </cell>
        </row>
        <row r="1579">
          <cell r="A1579">
            <v>53705885</v>
          </cell>
          <cell r="B1579" t="str">
            <v>ТЕХНОКОМПЛЕКТЛИЗИНГ</v>
          </cell>
          <cell r="C1579" t="str">
            <v>ХОВРИНО      (ОКТ)</v>
          </cell>
          <cell r="D1579">
            <v>32752</v>
          </cell>
          <cell r="E1579">
            <v>37805</v>
          </cell>
          <cell r="F1579">
            <v>163</v>
          </cell>
          <cell r="H1579">
            <v>0</v>
          </cell>
          <cell r="I1579" t="str">
            <v>деп</v>
          </cell>
          <cell r="J1579">
            <v>38355</v>
          </cell>
        </row>
        <row r="1580">
          <cell r="A1580">
            <v>53705901</v>
          </cell>
          <cell r="B1580" t="str">
            <v>ТЕХНОКОМПЛЕКТЛИЗИНГ</v>
          </cell>
          <cell r="C1580" t="str">
            <v>ХОВРИНО      (ОКТ)</v>
          </cell>
          <cell r="D1580">
            <v>32752</v>
          </cell>
          <cell r="E1580">
            <v>37793</v>
          </cell>
          <cell r="F1580">
            <v>557</v>
          </cell>
          <cell r="H1580">
            <v>0</v>
          </cell>
          <cell r="I1580" t="str">
            <v>деп</v>
          </cell>
          <cell r="J1580">
            <v>38342</v>
          </cell>
        </row>
        <row r="1581">
          <cell r="A1581">
            <v>53705919</v>
          </cell>
          <cell r="B1581" t="str">
            <v>ТЕХНОКОМПЛЕКТЛИЗИНГ</v>
          </cell>
          <cell r="C1581" t="str">
            <v>ХОВРИНО      (ОКТ)</v>
          </cell>
          <cell r="D1581">
            <v>32752</v>
          </cell>
          <cell r="E1581">
            <v>37817</v>
          </cell>
          <cell r="F1581">
            <v>557</v>
          </cell>
          <cell r="H1581">
            <v>0</v>
          </cell>
          <cell r="I1581" t="str">
            <v>деп</v>
          </cell>
          <cell r="J1581">
            <v>38367</v>
          </cell>
        </row>
        <row r="1582">
          <cell r="A1582">
            <v>53705927</v>
          </cell>
          <cell r="B1582" t="str">
            <v>ТЕХНОКОМПЛЕКТЛИЗИНГ</v>
          </cell>
          <cell r="C1582" t="str">
            <v>ХОВРИНО      (ОКТ)</v>
          </cell>
          <cell r="D1582">
            <v>32540</v>
          </cell>
          <cell r="E1582">
            <v>37832</v>
          </cell>
          <cell r="F1582">
            <v>163</v>
          </cell>
          <cell r="H1582">
            <v>0</v>
          </cell>
          <cell r="I1582" t="str">
            <v>деп</v>
          </cell>
          <cell r="J1582">
            <v>38382</v>
          </cell>
        </row>
        <row r="1583">
          <cell r="A1583">
            <v>53705935</v>
          </cell>
          <cell r="B1583" t="str">
            <v>ТЕХНОКОМПЛЕКТЛИЗИНГ</v>
          </cell>
          <cell r="C1583" t="str">
            <v>ХОВРИНО      (ОКТ)</v>
          </cell>
          <cell r="D1583">
            <v>32540</v>
          </cell>
          <cell r="E1583">
            <v>37833</v>
          </cell>
          <cell r="F1583">
            <v>557</v>
          </cell>
          <cell r="H1583">
            <v>0</v>
          </cell>
          <cell r="I1583" t="str">
            <v>деп</v>
          </cell>
          <cell r="J1583">
            <v>38383</v>
          </cell>
        </row>
        <row r="1584">
          <cell r="A1584">
            <v>53705968</v>
          </cell>
          <cell r="B1584" t="str">
            <v>ТЕХНОКОМПЛЕКТЛИЗИНГ</v>
          </cell>
          <cell r="C1584" t="str">
            <v>ХОВРИНО      (ОКТ)</v>
          </cell>
          <cell r="D1584">
            <v>32782</v>
          </cell>
          <cell r="E1584">
            <v>37830</v>
          </cell>
          <cell r="F1584">
            <v>557</v>
          </cell>
          <cell r="H1584">
            <v>0</v>
          </cell>
          <cell r="I1584" t="str">
            <v>деп</v>
          </cell>
          <cell r="J1584">
            <v>38380</v>
          </cell>
        </row>
        <row r="1585">
          <cell r="A1585">
            <v>53705976</v>
          </cell>
          <cell r="B1585" t="str">
            <v>ТЕХНОКОМПЛЕКТЛИЗИНГ</v>
          </cell>
          <cell r="C1585" t="str">
            <v>ХОВРИНО      (ОКТ)</v>
          </cell>
          <cell r="D1585">
            <v>32782</v>
          </cell>
          <cell r="E1585">
            <v>37833</v>
          </cell>
          <cell r="F1585">
            <v>163</v>
          </cell>
          <cell r="H1585">
            <v>0</v>
          </cell>
          <cell r="I1585" t="str">
            <v>деп</v>
          </cell>
          <cell r="J1585">
            <v>38383</v>
          </cell>
        </row>
        <row r="1586">
          <cell r="A1586">
            <v>53706016</v>
          </cell>
          <cell r="B1586" t="str">
            <v>ТЕХНОКОМПЛЕКТЛИЗИНГ</v>
          </cell>
          <cell r="C1586" t="str">
            <v>ХОВРИНО      (ОКТ)</v>
          </cell>
          <cell r="D1586">
            <v>32509</v>
          </cell>
          <cell r="E1586">
            <v>37828</v>
          </cell>
          <cell r="F1586">
            <v>163</v>
          </cell>
          <cell r="H1586">
            <v>0</v>
          </cell>
          <cell r="I1586" t="str">
            <v>кап</v>
          </cell>
          <cell r="J1586">
            <v>38378</v>
          </cell>
        </row>
        <row r="1587">
          <cell r="A1587">
            <v>53706024</v>
          </cell>
          <cell r="B1587" t="str">
            <v>ТЕХНОКОМПЛЕКТЛИЗИНГ</v>
          </cell>
          <cell r="C1587" t="str">
            <v>ХОВРИНО      (ОКТ)</v>
          </cell>
          <cell r="D1587">
            <v>32509</v>
          </cell>
          <cell r="E1587">
            <v>37833</v>
          </cell>
          <cell r="F1587">
            <v>163</v>
          </cell>
          <cell r="H1587">
            <v>0</v>
          </cell>
          <cell r="I1587" t="str">
            <v>кап</v>
          </cell>
          <cell r="J1587">
            <v>38383</v>
          </cell>
        </row>
        <row r="1588">
          <cell r="A1588">
            <v>53706032</v>
          </cell>
          <cell r="B1588" t="str">
            <v>ТЕХНОКОМПЛЕКТЛИЗИНГ</v>
          </cell>
          <cell r="C1588" t="str">
            <v>ХОВРИНО      (ОКТ)</v>
          </cell>
          <cell r="D1588">
            <v>32509</v>
          </cell>
          <cell r="E1588">
            <v>37841</v>
          </cell>
          <cell r="F1588">
            <v>557</v>
          </cell>
          <cell r="H1588">
            <v>0</v>
          </cell>
          <cell r="I1588" t="str">
            <v>кап</v>
          </cell>
          <cell r="J1588">
            <v>38391</v>
          </cell>
        </row>
        <row r="1589">
          <cell r="A1589">
            <v>53706131</v>
          </cell>
          <cell r="B1589" t="str">
            <v>ТЕХНОКОМПЛЕКТЛИЗИНГ</v>
          </cell>
          <cell r="C1589" t="str">
            <v>ХОВРИНО      (ОКТ)</v>
          </cell>
          <cell r="D1589">
            <v>32721</v>
          </cell>
          <cell r="E1589">
            <v>37886</v>
          </cell>
          <cell r="F1589">
            <v>557</v>
          </cell>
          <cell r="H1589">
            <v>0</v>
          </cell>
          <cell r="I1589" t="str">
            <v>деп</v>
          </cell>
          <cell r="J1589">
            <v>38433</v>
          </cell>
        </row>
        <row r="1590">
          <cell r="A1590">
            <v>53706156</v>
          </cell>
          <cell r="B1590" t="str">
            <v>ТЕХНОКОМПЛЕКТЛИЗИНГ</v>
          </cell>
          <cell r="C1590" t="str">
            <v>ХОВРИНО      (ОКТ)</v>
          </cell>
          <cell r="D1590">
            <v>32721</v>
          </cell>
          <cell r="E1590">
            <v>37862</v>
          </cell>
          <cell r="F1590">
            <v>557</v>
          </cell>
          <cell r="H1590">
            <v>0</v>
          </cell>
          <cell r="I1590" t="str">
            <v>деп</v>
          </cell>
          <cell r="J1590">
            <v>38411</v>
          </cell>
        </row>
        <row r="1591">
          <cell r="A1591">
            <v>53706164</v>
          </cell>
          <cell r="B1591" t="str">
            <v>ТЕХНОКОМПЛЕКТЛИЗИНГ</v>
          </cell>
          <cell r="C1591" t="str">
            <v>ХОВРИНО      (ОКТ)</v>
          </cell>
          <cell r="D1591">
            <v>32721</v>
          </cell>
          <cell r="E1591">
            <v>37905</v>
          </cell>
          <cell r="F1591">
            <v>557</v>
          </cell>
          <cell r="H1591">
            <v>0</v>
          </cell>
          <cell r="I1591" t="str">
            <v>деп</v>
          </cell>
          <cell r="J1591">
            <v>38453</v>
          </cell>
        </row>
        <row r="1592">
          <cell r="A1592">
            <v>53706172</v>
          </cell>
          <cell r="B1592" t="str">
            <v>ТЕХНОКОМПЛЕКТЛИЗИНГ</v>
          </cell>
          <cell r="C1592" t="str">
            <v>ХОВРИНО      (ОКТ)</v>
          </cell>
          <cell r="D1592">
            <v>32721</v>
          </cell>
          <cell r="E1592">
            <v>37884</v>
          </cell>
          <cell r="F1592">
            <v>557</v>
          </cell>
          <cell r="H1592">
            <v>0</v>
          </cell>
          <cell r="I1592" t="str">
            <v>деп</v>
          </cell>
          <cell r="J1592">
            <v>38431</v>
          </cell>
        </row>
        <row r="1593">
          <cell r="A1593">
            <v>58720095</v>
          </cell>
          <cell r="B1593" t="str">
            <v>ТЕХНОКОМПЛЕКТЛИЗИНГ</v>
          </cell>
          <cell r="C1593" t="str">
            <v>ХОВРИНО      (ОКТ)</v>
          </cell>
          <cell r="D1593">
            <v>32509</v>
          </cell>
          <cell r="E1593">
            <v>37847</v>
          </cell>
          <cell r="F1593">
            <v>557</v>
          </cell>
          <cell r="H1593">
            <v>0</v>
          </cell>
          <cell r="I1593" t="str">
            <v>кап</v>
          </cell>
          <cell r="J1593">
            <v>38397</v>
          </cell>
        </row>
        <row r="1594">
          <cell r="A1594">
            <v>58720194</v>
          </cell>
          <cell r="B1594" t="str">
            <v>ТЕХНОКОМПЛЕКТЛИЗИНГ</v>
          </cell>
          <cell r="C1594" t="str">
            <v>ХОВРИНО      (ОКТ)</v>
          </cell>
          <cell r="D1594">
            <v>32509</v>
          </cell>
          <cell r="E1594">
            <v>37833</v>
          </cell>
          <cell r="F1594">
            <v>163</v>
          </cell>
          <cell r="H1594">
            <v>0</v>
          </cell>
          <cell r="I1594" t="str">
            <v>кап</v>
          </cell>
          <cell r="J1594">
            <v>38383</v>
          </cell>
        </row>
        <row r="1595">
          <cell r="A1595">
            <v>58720699</v>
          </cell>
          <cell r="B1595" t="str">
            <v>ТЕХНОКОМПЛЕКТЛИЗИНГ</v>
          </cell>
          <cell r="C1595" t="str">
            <v>ХОВРИНО      (ОКТ)</v>
          </cell>
          <cell r="D1595">
            <v>32509</v>
          </cell>
          <cell r="E1595">
            <v>37841</v>
          </cell>
          <cell r="F1595">
            <v>557</v>
          </cell>
          <cell r="H1595">
            <v>0</v>
          </cell>
          <cell r="I1595" t="str">
            <v>кап</v>
          </cell>
          <cell r="J1595">
            <v>38391</v>
          </cell>
        </row>
        <row r="1596">
          <cell r="A1596">
            <v>58720798</v>
          </cell>
          <cell r="B1596" t="str">
            <v>ТЕХНОКОМПЛЕКТЛИЗИНГ</v>
          </cell>
          <cell r="C1596" t="str">
            <v>ХОВРИНО      (ОКТ)</v>
          </cell>
          <cell r="D1596">
            <v>32509</v>
          </cell>
          <cell r="E1596">
            <v>37841</v>
          </cell>
          <cell r="F1596">
            <v>557</v>
          </cell>
          <cell r="H1596">
            <v>0</v>
          </cell>
          <cell r="I1596" t="str">
            <v>кап</v>
          </cell>
          <cell r="J1596">
            <v>38391</v>
          </cell>
        </row>
        <row r="1597">
          <cell r="A1597">
            <v>58720897</v>
          </cell>
          <cell r="B1597" t="str">
            <v>ТЕХНОКОМПЛЕКТЛИЗИНГ</v>
          </cell>
          <cell r="C1597" t="str">
            <v>ХОВРИНО      (ОКТ)</v>
          </cell>
          <cell r="D1597">
            <v>32509</v>
          </cell>
          <cell r="E1597">
            <v>37840</v>
          </cell>
          <cell r="F1597">
            <v>557</v>
          </cell>
          <cell r="H1597">
            <v>0</v>
          </cell>
          <cell r="I1597" t="str">
            <v>деп</v>
          </cell>
          <cell r="J1597">
            <v>37817</v>
          </cell>
        </row>
        <row r="1598">
          <cell r="A1598">
            <v>58720996</v>
          </cell>
          <cell r="B1598" t="str">
            <v>ТЕХНОКОМПЛЕКТЛИЗИНГ</v>
          </cell>
          <cell r="C1598" t="str">
            <v>ХОВРИНО      (ОКТ)</v>
          </cell>
          <cell r="D1598">
            <v>32509</v>
          </cell>
          <cell r="E1598">
            <v>37840</v>
          </cell>
          <cell r="F1598">
            <v>557</v>
          </cell>
          <cell r="H1598">
            <v>0</v>
          </cell>
          <cell r="I1598" t="str">
            <v>деп</v>
          </cell>
          <cell r="J1598">
            <v>37817</v>
          </cell>
        </row>
        <row r="1599">
          <cell r="A1599">
            <v>58722695</v>
          </cell>
          <cell r="B1599" t="str">
            <v>ТЕХНОКОМПЛЕКТЛИЗИНГ</v>
          </cell>
          <cell r="C1599" t="str">
            <v>ХОВРИНО      (ОКТ)</v>
          </cell>
          <cell r="D1599">
            <v>32721</v>
          </cell>
          <cell r="E1599">
            <v>37882</v>
          </cell>
          <cell r="F1599">
            <v>557</v>
          </cell>
          <cell r="H1599">
            <v>0</v>
          </cell>
          <cell r="I1599" t="str">
            <v>деп</v>
          </cell>
          <cell r="J1599">
            <v>38429</v>
          </cell>
        </row>
        <row r="1600">
          <cell r="A1600">
            <v>58722794</v>
          </cell>
          <cell r="B1600" t="str">
            <v>ТЕХНОКОМПЛЕКТЛИЗИНГ</v>
          </cell>
          <cell r="C1600" t="str">
            <v>ХОВРИНО      (ОКТ)</v>
          </cell>
          <cell r="D1600">
            <v>32721</v>
          </cell>
          <cell r="E1600">
            <v>37882</v>
          </cell>
          <cell r="F1600">
            <v>557</v>
          </cell>
          <cell r="H1600">
            <v>0</v>
          </cell>
          <cell r="I1600" t="str">
            <v>деп</v>
          </cell>
          <cell r="J1600">
            <v>38429</v>
          </cell>
        </row>
        <row r="1601">
          <cell r="A1601">
            <v>58722893</v>
          </cell>
          <cell r="B1601" t="str">
            <v>ТЕХНОКОМПЛЕКТЛИЗИНГ</v>
          </cell>
          <cell r="C1601" t="str">
            <v>ХОВРИНО      (ОКТ)</v>
          </cell>
          <cell r="D1601">
            <v>32721</v>
          </cell>
          <cell r="E1601">
            <v>37886</v>
          </cell>
          <cell r="F1601">
            <v>557</v>
          </cell>
          <cell r="H1601">
            <v>0</v>
          </cell>
          <cell r="I1601" t="str">
            <v>деп</v>
          </cell>
          <cell r="J1601">
            <v>38433</v>
          </cell>
        </row>
        <row r="1602">
          <cell r="A1602">
            <v>58722992</v>
          </cell>
          <cell r="B1602" t="str">
            <v>ТЕХНОКОМПЛЕКТЛИЗИНГ</v>
          </cell>
          <cell r="C1602" t="str">
            <v>ХОВРИНО      (ОКТ)</v>
          </cell>
          <cell r="D1602">
            <v>32721</v>
          </cell>
          <cell r="E1602">
            <v>37887</v>
          </cell>
          <cell r="F1602">
            <v>557</v>
          </cell>
          <cell r="H1602">
            <v>0</v>
          </cell>
          <cell r="I1602" t="str">
            <v>деп</v>
          </cell>
          <cell r="J1602">
            <v>38434</v>
          </cell>
        </row>
        <row r="1603">
          <cell r="A1603">
            <v>58723495</v>
          </cell>
          <cell r="B1603" t="str">
            <v>ТЕХНОКОМПЛЕКТЛИЗИНГ</v>
          </cell>
          <cell r="C1603" t="str">
            <v>ХОВРИНО      (ОКТ)</v>
          </cell>
          <cell r="D1603">
            <v>32721</v>
          </cell>
          <cell r="E1603">
            <v>37906</v>
          </cell>
          <cell r="F1603">
            <v>557</v>
          </cell>
          <cell r="H1603">
            <v>0</v>
          </cell>
          <cell r="I1603" t="str">
            <v>деп</v>
          </cell>
          <cell r="J1603">
            <v>38454</v>
          </cell>
        </row>
        <row r="1604">
          <cell r="A1604">
            <v>58723594</v>
          </cell>
          <cell r="B1604" t="str">
            <v>ТЕХНОКОМПЛЕКТЛИЗИНГ</v>
          </cell>
          <cell r="C1604" t="str">
            <v>ХОВРИНО      (ОКТ)</v>
          </cell>
          <cell r="D1604">
            <v>32721</v>
          </cell>
          <cell r="E1604">
            <v>37907</v>
          </cell>
          <cell r="F1604">
            <v>557</v>
          </cell>
          <cell r="H1604">
            <v>0</v>
          </cell>
          <cell r="I1604" t="str">
            <v>деп</v>
          </cell>
          <cell r="J1604">
            <v>38455</v>
          </cell>
        </row>
        <row r="1605">
          <cell r="A1605">
            <v>58723693</v>
          </cell>
          <cell r="B1605" t="str">
            <v>ТЕХНОКОМПЛЕКТЛИЗИНГ</v>
          </cell>
          <cell r="C1605" t="str">
            <v>ХОВРИНО      (ОКТ)</v>
          </cell>
          <cell r="D1605">
            <v>32721</v>
          </cell>
          <cell r="E1605">
            <v>37862</v>
          </cell>
          <cell r="F1605">
            <v>557</v>
          </cell>
          <cell r="H1605">
            <v>0</v>
          </cell>
          <cell r="I1605" t="str">
            <v>деп</v>
          </cell>
          <cell r="J1605">
            <v>38411</v>
          </cell>
        </row>
        <row r="1606">
          <cell r="A1606">
            <v>58723792</v>
          </cell>
          <cell r="B1606" t="str">
            <v>ТЕХНОКОМПЛЕКТЛИЗИНГ</v>
          </cell>
          <cell r="C1606" t="str">
            <v>ХОВРИНО      (ОКТ)</v>
          </cell>
          <cell r="D1606">
            <v>32721</v>
          </cell>
          <cell r="E1606">
            <v>37862</v>
          </cell>
          <cell r="F1606">
            <v>557</v>
          </cell>
          <cell r="H1606">
            <v>0</v>
          </cell>
          <cell r="I1606" t="str">
            <v>деп</v>
          </cell>
          <cell r="J1606">
            <v>38411</v>
          </cell>
        </row>
        <row r="1607">
          <cell r="A1607">
            <v>58723891</v>
          </cell>
          <cell r="B1607" t="str">
            <v>ТЕХНОКОМПЛЕКТЛИЗИНГ</v>
          </cell>
          <cell r="C1607" t="str">
            <v>ХОВРИНО      (ОКТ)</v>
          </cell>
          <cell r="D1607">
            <v>32721</v>
          </cell>
          <cell r="E1607">
            <v>37910</v>
          </cell>
          <cell r="F1607">
            <v>557</v>
          </cell>
          <cell r="H1607">
            <v>0</v>
          </cell>
          <cell r="I1607" t="str">
            <v>деп</v>
          </cell>
          <cell r="J1607">
            <v>38458</v>
          </cell>
        </row>
        <row r="1608">
          <cell r="A1608">
            <v>58723990</v>
          </cell>
          <cell r="B1608" t="str">
            <v>ТЕХНОКОМПЛЕКТЛИЗИНГ</v>
          </cell>
          <cell r="C1608" t="str">
            <v>ХОВРИНО      (ОКТ)</v>
          </cell>
          <cell r="D1608">
            <v>32721</v>
          </cell>
          <cell r="E1608">
            <v>37910</v>
          </cell>
          <cell r="F1608">
            <v>557</v>
          </cell>
          <cell r="H1608">
            <v>0</v>
          </cell>
          <cell r="I1608" t="str">
            <v>деп</v>
          </cell>
          <cell r="J1608">
            <v>38458</v>
          </cell>
        </row>
        <row r="1609">
          <cell r="A1609">
            <v>58724097</v>
          </cell>
          <cell r="B1609" t="str">
            <v>ТЕХНОКОМПЛЕКТЛИЗИНГ</v>
          </cell>
          <cell r="C1609" t="str">
            <v>ХОВРИНО      (ОКТ)</v>
          </cell>
          <cell r="D1609">
            <v>32721</v>
          </cell>
          <cell r="E1609">
            <v>37862</v>
          </cell>
          <cell r="F1609">
            <v>557</v>
          </cell>
          <cell r="H1609">
            <v>0</v>
          </cell>
          <cell r="I1609" t="str">
            <v>деп</v>
          </cell>
          <cell r="J1609">
            <v>38411</v>
          </cell>
        </row>
        <row r="1610">
          <cell r="A1610">
            <v>58724196</v>
          </cell>
          <cell r="B1610" t="str">
            <v>ТЕХНОКОМПЛЕКТЛИЗИНГ</v>
          </cell>
          <cell r="C1610" t="str">
            <v>ХОВРИНО      (ОКТ)</v>
          </cell>
          <cell r="D1610">
            <v>32721</v>
          </cell>
          <cell r="E1610">
            <v>37910</v>
          </cell>
          <cell r="F1610">
            <v>557</v>
          </cell>
          <cell r="H1610">
            <v>0</v>
          </cell>
          <cell r="I1610" t="str">
            <v>деп</v>
          </cell>
          <cell r="J1610">
            <v>38458</v>
          </cell>
        </row>
        <row r="1611">
          <cell r="A1611">
            <v>58724295</v>
          </cell>
          <cell r="B1611" t="str">
            <v>ТЕХНОКОМПЛЕКТЛИЗИНГ</v>
          </cell>
          <cell r="C1611" t="str">
            <v>ХОВРИНО      (ОКТ)</v>
          </cell>
          <cell r="D1611">
            <v>32721</v>
          </cell>
          <cell r="E1611">
            <v>37883</v>
          </cell>
          <cell r="F1611">
            <v>557</v>
          </cell>
          <cell r="H1611">
            <v>0</v>
          </cell>
          <cell r="I1611" t="str">
            <v>деп</v>
          </cell>
          <cell r="J1611">
            <v>38430</v>
          </cell>
        </row>
        <row r="1612">
          <cell r="A1612">
            <v>58724394</v>
          </cell>
          <cell r="B1612" t="str">
            <v>ТЕХНОКОМПЛЕКТЛИЗИНГ</v>
          </cell>
          <cell r="C1612" t="str">
            <v>ХОВРИНО      (ОКТ)</v>
          </cell>
          <cell r="D1612">
            <v>32721</v>
          </cell>
          <cell r="E1612">
            <v>37883</v>
          </cell>
          <cell r="F1612">
            <v>557</v>
          </cell>
          <cell r="H1612">
            <v>0</v>
          </cell>
          <cell r="I1612" t="str">
            <v>деп</v>
          </cell>
          <cell r="J1612">
            <v>38430</v>
          </cell>
        </row>
        <row r="1613">
          <cell r="A1613">
            <v>58724493</v>
          </cell>
          <cell r="B1613" t="str">
            <v>ТЕХНОКОМПЛЕКТЛИЗИНГ</v>
          </cell>
          <cell r="C1613" t="str">
            <v>ХОВРИНО      (ОКТ)</v>
          </cell>
          <cell r="D1613">
            <v>32721</v>
          </cell>
          <cell r="E1613">
            <v>37884</v>
          </cell>
          <cell r="F1613">
            <v>557</v>
          </cell>
          <cell r="H1613">
            <v>0</v>
          </cell>
          <cell r="I1613" t="str">
            <v>деп</v>
          </cell>
          <cell r="J1613">
            <v>38431</v>
          </cell>
        </row>
        <row r="1614">
          <cell r="A1614">
            <v>58724592</v>
          </cell>
          <cell r="B1614" t="str">
            <v>ТЕХНОКОМПЛЕКТЛИЗИНГ</v>
          </cell>
          <cell r="C1614" t="str">
            <v>ХОВРИНО      (ОКТ)</v>
          </cell>
          <cell r="D1614">
            <v>32721</v>
          </cell>
          <cell r="E1614">
            <v>37885</v>
          </cell>
          <cell r="F1614">
            <v>557</v>
          </cell>
          <cell r="H1614">
            <v>0</v>
          </cell>
          <cell r="I1614" t="str">
            <v>деп</v>
          </cell>
          <cell r="J1614">
            <v>38432</v>
          </cell>
        </row>
        <row r="1615">
          <cell r="A1615">
            <v>58725128</v>
          </cell>
          <cell r="B1615" t="str">
            <v>ТЕХНОКОМПЛЕКТЛИЗИНГ</v>
          </cell>
          <cell r="C1615" t="str">
            <v>ХОВРИНО      (ОКТ)</v>
          </cell>
          <cell r="D1615">
            <v>32752</v>
          </cell>
          <cell r="E1615">
            <v>37805</v>
          </cell>
          <cell r="F1615">
            <v>886</v>
          </cell>
          <cell r="H1615">
            <v>0</v>
          </cell>
          <cell r="I1615" t="str">
            <v>деп</v>
          </cell>
          <cell r="J1615">
            <v>38355</v>
          </cell>
        </row>
        <row r="1616">
          <cell r="A1616">
            <v>58725136</v>
          </cell>
          <cell r="B1616" t="str">
            <v>ТЕХНОКОМПЛЕКТЛИЗИНГ</v>
          </cell>
          <cell r="C1616" t="str">
            <v>ХОВРИНО      (ОКТ)</v>
          </cell>
          <cell r="D1616">
            <v>32752</v>
          </cell>
          <cell r="E1616">
            <v>37805</v>
          </cell>
          <cell r="F1616">
            <v>886</v>
          </cell>
          <cell r="H1616">
            <v>0</v>
          </cell>
          <cell r="I1616" t="str">
            <v>деп</v>
          </cell>
          <cell r="J1616">
            <v>38355</v>
          </cell>
        </row>
        <row r="1617">
          <cell r="A1617">
            <v>58725144</v>
          </cell>
          <cell r="B1617" t="str">
            <v>ТЕХНОКОМПЛЕКТЛИЗИНГ</v>
          </cell>
          <cell r="C1617" t="str">
            <v>ХОВРИНО      (ОКТ)</v>
          </cell>
          <cell r="D1617">
            <v>32752</v>
          </cell>
          <cell r="E1617">
            <v>37805</v>
          </cell>
          <cell r="F1617">
            <v>886</v>
          </cell>
          <cell r="H1617">
            <v>0</v>
          </cell>
          <cell r="I1617" t="str">
            <v>деп</v>
          </cell>
          <cell r="J1617">
            <v>38355</v>
          </cell>
        </row>
        <row r="1618">
          <cell r="A1618">
            <v>58725151</v>
          </cell>
          <cell r="B1618" t="str">
            <v>ТЕХНОКОМПЛЕКТЛИЗИНГ</v>
          </cell>
          <cell r="C1618" t="str">
            <v>ХОВРИНО      (ОКТ)</v>
          </cell>
          <cell r="D1618">
            <v>32752</v>
          </cell>
          <cell r="E1618">
            <v>37805</v>
          </cell>
          <cell r="F1618">
            <v>886</v>
          </cell>
          <cell r="H1618">
            <v>0</v>
          </cell>
          <cell r="I1618" t="str">
            <v>деп</v>
          </cell>
          <cell r="J1618">
            <v>38355</v>
          </cell>
        </row>
        <row r="1619">
          <cell r="A1619">
            <v>58725169</v>
          </cell>
          <cell r="B1619" t="str">
            <v>ТЕХНОКОМПЛЕКТЛИЗИНГ</v>
          </cell>
          <cell r="C1619" t="str">
            <v>ХОВРИНО      (ОКТ)</v>
          </cell>
          <cell r="D1619">
            <v>32840</v>
          </cell>
          <cell r="E1619">
            <v>37825</v>
          </cell>
          <cell r="F1619">
            <v>886</v>
          </cell>
          <cell r="H1619">
            <v>0</v>
          </cell>
          <cell r="I1619" t="str">
            <v>деп</v>
          </cell>
          <cell r="J1619">
            <v>38375</v>
          </cell>
        </row>
        <row r="1620">
          <cell r="A1620">
            <v>58725177</v>
          </cell>
          <cell r="B1620" t="str">
            <v>ТЕХНОКОМПЛЕКТЛИЗИНГ</v>
          </cell>
          <cell r="C1620" t="str">
            <v>ХОВРИНО      (ОКТ)</v>
          </cell>
          <cell r="D1620">
            <v>32840</v>
          </cell>
          <cell r="E1620">
            <v>37825</v>
          </cell>
          <cell r="F1620">
            <v>886</v>
          </cell>
          <cell r="H1620">
            <v>0</v>
          </cell>
          <cell r="I1620" t="str">
            <v>деп</v>
          </cell>
          <cell r="J1620">
            <v>38375</v>
          </cell>
        </row>
        <row r="1621">
          <cell r="A1621">
            <v>58725185</v>
          </cell>
          <cell r="B1621" t="str">
            <v>ТЕХНОКОМПЛЕКТЛИЗИНГ</v>
          </cell>
          <cell r="C1621" t="str">
            <v>ХОВРИНО      (ОКТ)</v>
          </cell>
          <cell r="D1621">
            <v>32840</v>
          </cell>
          <cell r="E1621">
            <v>37825</v>
          </cell>
          <cell r="F1621">
            <v>886</v>
          </cell>
          <cell r="H1621">
            <v>0</v>
          </cell>
          <cell r="I1621" t="str">
            <v>деп</v>
          </cell>
          <cell r="J1621">
            <v>38375</v>
          </cell>
        </row>
        <row r="1622">
          <cell r="A1622">
            <v>58725201</v>
          </cell>
          <cell r="B1622" t="str">
            <v>ТЕХНОКОМПЛЕКТЛИЗИНГ</v>
          </cell>
          <cell r="C1622" t="str">
            <v>ХОВРИНО      (ОКТ)</v>
          </cell>
          <cell r="D1622">
            <v>32840</v>
          </cell>
          <cell r="E1622">
            <v>37825</v>
          </cell>
          <cell r="F1622">
            <v>886</v>
          </cell>
          <cell r="H1622">
            <v>0</v>
          </cell>
          <cell r="I1622" t="str">
            <v>деп</v>
          </cell>
          <cell r="J1622">
            <v>38375</v>
          </cell>
        </row>
        <row r="1623">
          <cell r="A1623">
            <v>58725219</v>
          </cell>
          <cell r="B1623" t="str">
            <v>ТЕХНОКОМПЛЕКТЛИЗИНГ</v>
          </cell>
          <cell r="C1623" t="str">
            <v>ХОВРИНО      (ОКТ)</v>
          </cell>
          <cell r="D1623">
            <v>32843</v>
          </cell>
          <cell r="E1623">
            <v>37819</v>
          </cell>
          <cell r="F1623">
            <v>163</v>
          </cell>
          <cell r="H1623">
            <v>0</v>
          </cell>
          <cell r="I1623" t="str">
            <v>деп</v>
          </cell>
          <cell r="J1623">
            <v>38369</v>
          </cell>
        </row>
        <row r="1624">
          <cell r="A1624">
            <v>58725227</v>
          </cell>
          <cell r="B1624" t="str">
            <v>ТЕХНОКОМПЛЕКТЛИЗИНГ</v>
          </cell>
          <cell r="C1624" t="str">
            <v>ХОВРИНО      (ОКТ)</v>
          </cell>
          <cell r="D1624">
            <v>32843</v>
          </cell>
          <cell r="E1624">
            <v>37819</v>
          </cell>
          <cell r="F1624">
            <v>163</v>
          </cell>
          <cell r="H1624">
            <v>0</v>
          </cell>
          <cell r="I1624" t="str">
            <v>деп</v>
          </cell>
          <cell r="J1624">
            <v>38369</v>
          </cell>
        </row>
        <row r="1625">
          <cell r="A1625">
            <v>58725235</v>
          </cell>
          <cell r="B1625" t="str">
            <v>ТЕХНОКОМПЛЕКТЛИЗИНГ</v>
          </cell>
          <cell r="C1625" t="str">
            <v>ХОВРИНО      (ОКТ)</v>
          </cell>
          <cell r="D1625">
            <v>32843</v>
          </cell>
          <cell r="E1625">
            <v>37819</v>
          </cell>
          <cell r="F1625">
            <v>163</v>
          </cell>
          <cell r="H1625">
            <v>0</v>
          </cell>
          <cell r="I1625" t="str">
            <v>деп</v>
          </cell>
          <cell r="J1625">
            <v>38369</v>
          </cell>
        </row>
        <row r="1626">
          <cell r="A1626">
            <v>58725243</v>
          </cell>
          <cell r="B1626" t="str">
            <v>ТЕХНОКОМПЛЕКТЛИЗИНГ</v>
          </cell>
          <cell r="C1626" t="str">
            <v>ХОВРИНО      (ОКТ)</v>
          </cell>
          <cell r="D1626">
            <v>32843</v>
          </cell>
          <cell r="E1626">
            <v>37819</v>
          </cell>
          <cell r="F1626">
            <v>163</v>
          </cell>
          <cell r="H1626">
            <v>0</v>
          </cell>
          <cell r="I1626" t="str">
            <v>деп</v>
          </cell>
          <cell r="J1626">
            <v>38369</v>
          </cell>
        </row>
        <row r="1627">
          <cell r="A1627">
            <v>58725250</v>
          </cell>
          <cell r="B1627" t="str">
            <v>ТЕХНОКОМПЛЕКТЛИЗИНГ</v>
          </cell>
          <cell r="C1627" t="str">
            <v>ХОВРИНО      (ОКТ)</v>
          </cell>
          <cell r="D1627">
            <v>32843</v>
          </cell>
          <cell r="E1627">
            <v>37790</v>
          </cell>
          <cell r="F1627">
            <v>163</v>
          </cell>
          <cell r="H1627">
            <v>0</v>
          </cell>
          <cell r="I1627" t="str">
            <v>деп</v>
          </cell>
          <cell r="J1627">
            <v>38339</v>
          </cell>
        </row>
        <row r="1628">
          <cell r="A1628">
            <v>58725268</v>
          </cell>
          <cell r="B1628" t="str">
            <v>ТЕХНОКОМПЛЕКТЛИЗИНГ</v>
          </cell>
          <cell r="C1628" t="str">
            <v>ХОВРИНО      (ОКТ)</v>
          </cell>
          <cell r="D1628">
            <v>32843</v>
          </cell>
          <cell r="E1628">
            <v>37790</v>
          </cell>
          <cell r="F1628">
            <v>163</v>
          </cell>
          <cell r="H1628">
            <v>0</v>
          </cell>
          <cell r="I1628" t="str">
            <v>деп</v>
          </cell>
          <cell r="J1628">
            <v>38339</v>
          </cell>
        </row>
        <row r="1629">
          <cell r="A1629">
            <v>58725276</v>
          </cell>
          <cell r="B1629" t="str">
            <v>ТЕХНОКОМПЛЕКТЛИЗИНГ</v>
          </cell>
          <cell r="C1629" t="str">
            <v>ХОВРИНО      (ОКТ)</v>
          </cell>
          <cell r="D1629">
            <v>32843</v>
          </cell>
          <cell r="E1629">
            <v>37790</v>
          </cell>
          <cell r="F1629">
            <v>163</v>
          </cell>
          <cell r="H1629">
            <v>0</v>
          </cell>
          <cell r="I1629" t="str">
            <v>деп</v>
          </cell>
          <cell r="J1629">
            <v>38339</v>
          </cell>
        </row>
        <row r="1630">
          <cell r="A1630">
            <v>58725284</v>
          </cell>
          <cell r="B1630" t="str">
            <v>ТЕХНОКОМПЛЕКТЛИЗИНГ</v>
          </cell>
          <cell r="C1630" t="str">
            <v>ХОВРИНО      (ОКТ)</v>
          </cell>
          <cell r="D1630">
            <v>32843</v>
          </cell>
          <cell r="E1630">
            <v>37790</v>
          </cell>
          <cell r="F1630">
            <v>163</v>
          </cell>
          <cell r="H1630">
            <v>0</v>
          </cell>
          <cell r="I1630" t="str">
            <v>деп</v>
          </cell>
          <cell r="J1630">
            <v>38339</v>
          </cell>
        </row>
        <row r="1631">
          <cell r="A1631">
            <v>58725342</v>
          </cell>
          <cell r="B1631" t="str">
            <v>ТЕХНОКОМПЛЕКТЛИЗИНГ</v>
          </cell>
          <cell r="C1631" t="str">
            <v>ХОВРИНО      (ОКТ)</v>
          </cell>
          <cell r="D1631">
            <v>32752</v>
          </cell>
          <cell r="E1631">
            <v>37817</v>
          </cell>
          <cell r="F1631">
            <v>557</v>
          </cell>
          <cell r="H1631">
            <v>0</v>
          </cell>
          <cell r="I1631" t="str">
            <v>деп</v>
          </cell>
          <cell r="J1631">
            <v>38367</v>
          </cell>
        </row>
        <row r="1632">
          <cell r="A1632">
            <v>58725359</v>
          </cell>
          <cell r="B1632" t="str">
            <v>ТЕХНОКОМПЛЕКТЛИЗИНГ</v>
          </cell>
          <cell r="C1632" t="str">
            <v>ХОВРИНО      (ОКТ)</v>
          </cell>
          <cell r="D1632">
            <v>32721</v>
          </cell>
          <cell r="E1632">
            <v>37829</v>
          </cell>
          <cell r="F1632">
            <v>557</v>
          </cell>
          <cell r="H1632">
            <v>0</v>
          </cell>
          <cell r="I1632" t="str">
            <v>деп</v>
          </cell>
          <cell r="J1632">
            <v>38379</v>
          </cell>
        </row>
        <row r="1633">
          <cell r="A1633">
            <v>58725367</v>
          </cell>
          <cell r="B1633" t="str">
            <v>ТЕХНОКОМПЛЕКТЛИЗИНГ</v>
          </cell>
          <cell r="C1633" t="str">
            <v>ХОВРИНО      (ОКТ)</v>
          </cell>
          <cell r="D1633">
            <v>32721</v>
          </cell>
          <cell r="E1633">
            <v>37829</v>
          </cell>
          <cell r="F1633">
            <v>557</v>
          </cell>
          <cell r="H1633">
            <v>0</v>
          </cell>
          <cell r="I1633" t="str">
            <v>деп</v>
          </cell>
          <cell r="J1633">
            <v>38379</v>
          </cell>
        </row>
        <row r="1634">
          <cell r="A1634">
            <v>58725375</v>
          </cell>
          <cell r="B1634" t="str">
            <v>ТЕХНОКОМПЛЕКТЛИЗИНГ</v>
          </cell>
          <cell r="C1634" t="str">
            <v>ХОВРИНО      (ОКТ)</v>
          </cell>
          <cell r="D1634">
            <v>32721</v>
          </cell>
          <cell r="E1634">
            <v>37829</v>
          </cell>
          <cell r="F1634">
            <v>557</v>
          </cell>
          <cell r="H1634">
            <v>0</v>
          </cell>
          <cell r="I1634" t="str">
            <v>деп</v>
          </cell>
          <cell r="J1634">
            <v>38379</v>
          </cell>
        </row>
        <row r="1635">
          <cell r="A1635">
            <v>58725383</v>
          </cell>
          <cell r="B1635" t="str">
            <v>ТЕХНОКОМПЛЕКТЛИЗИНГ</v>
          </cell>
          <cell r="C1635" t="str">
            <v>ХОВРИНО      (ОКТ)</v>
          </cell>
          <cell r="D1635">
            <v>32721</v>
          </cell>
          <cell r="E1635">
            <v>37829</v>
          </cell>
          <cell r="F1635">
            <v>557</v>
          </cell>
          <cell r="H1635">
            <v>0</v>
          </cell>
          <cell r="I1635" t="str">
            <v>деп</v>
          </cell>
          <cell r="J1635">
            <v>38379</v>
          </cell>
        </row>
        <row r="1636">
          <cell r="A1636">
            <v>58725409</v>
          </cell>
          <cell r="B1636" t="str">
            <v>ТЕХНОКОМПЛЕКТЛИЗИНГ</v>
          </cell>
          <cell r="C1636" t="str">
            <v>ХОВРИНО      (ОКТ)</v>
          </cell>
          <cell r="D1636">
            <v>32721</v>
          </cell>
          <cell r="E1636">
            <v>37816</v>
          </cell>
          <cell r="F1636">
            <v>163</v>
          </cell>
          <cell r="H1636">
            <v>0</v>
          </cell>
          <cell r="I1636" t="str">
            <v>деп</v>
          </cell>
          <cell r="J1636">
            <v>38366</v>
          </cell>
        </row>
        <row r="1637">
          <cell r="A1637">
            <v>58725417</v>
          </cell>
          <cell r="B1637" t="str">
            <v>ТЕХНОКОМПЛЕКТЛИЗИНГ</v>
          </cell>
          <cell r="C1637" t="str">
            <v>ХОВРИНО      (ОКТ)</v>
          </cell>
          <cell r="D1637">
            <v>32721</v>
          </cell>
          <cell r="E1637">
            <v>37816</v>
          </cell>
          <cell r="F1637">
            <v>163</v>
          </cell>
          <cell r="H1637">
            <v>0</v>
          </cell>
          <cell r="I1637" t="str">
            <v>деп</v>
          </cell>
          <cell r="J1637">
            <v>38366</v>
          </cell>
        </row>
        <row r="1638">
          <cell r="A1638">
            <v>58725425</v>
          </cell>
          <cell r="B1638" t="str">
            <v>ТЕХНОКОМПЛЕКТЛИЗИНГ</v>
          </cell>
          <cell r="C1638" t="str">
            <v>ХОВРИНО      (ОКТ)</v>
          </cell>
          <cell r="D1638">
            <v>32721</v>
          </cell>
          <cell r="E1638">
            <v>37816</v>
          </cell>
          <cell r="F1638">
            <v>163</v>
          </cell>
          <cell r="H1638">
            <v>0</v>
          </cell>
          <cell r="I1638" t="str">
            <v>деп</v>
          </cell>
          <cell r="J1638">
            <v>38366</v>
          </cell>
        </row>
        <row r="1639">
          <cell r="A1639">
            <v>58725433</v>
          </cell>
          <cell r="B1639" t="str">
            <v>ТЕХНОКОМПЛЕКТЛИЗИНГ</v>
          </cell>
          <cell r="C1639" t="str">
            <v>ХОВРИНО      (ОКТ)</v>
          </cell>
          <cell r="D1639">
            <v>32721</v>
          </cell>
          <cell r="E1639">
            <v>37816</v>
          </cell>
          <cell r="F1639">
            <v>163</v>
          </cell>
          <cell r="H1639">
            <v>0</v>
          </cell>
          <cell r="I1639" t="str">
            <v>деп</v>
          </cell>
          <cell r="J1639">
            <v>38366</v>
          </cell>
        </row>
        <row r="1640">
          <cell r="A1640">
            <v>58725441</v>
          </cell>
          <cell r="B1640" t="str">
            <v>ТЕХНОКОМПЛЕКТЛИЗИНГ</v>
          </cell>
          <cell r="C1640" t="str">
            <v>ХОВРИНО      (ОКТ)</v>
          </cell>
          <cell r="D1640">
            <v>32721</v>
          </cell>
          <cell r="E1640">
            <v>37802</v>
          </cell>
          <cell r="F1640">
            <v>163</v>
          </cell>
          <cell r="H1640">
            <v>0</v>
          </cell>
          <cell r="I1640" t="str">
            <v>деп</v>
          </cell>
          <cell r="J1640">
            <v>38351</v>
          </cell>
        </row>
        <row r="1641">
          <cell r="A1641">
            <v>58725458</v>
          </cell>
          <cell r="B1641" t="str">
            <v>ТЕХНОКОМПЛЕКТЛИЗИНГ</v>
          </cell>
          <cell r="C1641" t="str">
            <v>ХОВРИНО      (ОКТ)</v>
          </cell>
          <cell r="D1641">
            <v>32721</v>
          </cell>
          <cell r="E1641">
            <v>37802</v>
          </cell>
          <cell r="F1641">
            <v>163</v>
          </cell>
          <cell r="H1641">
            <v>0</v>
          </cell>
          <cell r="I1641" t="str">
            <v>деп</v>
          </cell>
          <cell r="J1641">
            <v>38351</v>
          </cell>
        </row>
        <row r="1642">
          <cell r="A1642">
            <v>58725466</v>
          </cell>
          <cell r="B1642" t="str">
            <v>ТЕХНОКОМПЛЕКТЛИЗИНГ</v>
          </cell>
          <cell r="C1642" t="str">
            <v>ХОВРИНО      (ОКТ)</v>
          </cell>
          <cell r="D1642">
            <v>32721</v>
          </cell>
          <cell r="E1642">
            <v>37802</v>
          </cell>
          <cell r="F1642">
            <v>163</v>
          </cell>
          <cell r="H1642">
            <v>0</v>
          </cell>
          <cell r="I1642" t="str">
            <v>деп</v>
          </cell>
          <cell r="J1642">
            <v>38351</v>
          </cell>
        </row>
        <row r="1643">
          <cell r="A1643">
            <v>58725474</v>
          </cell>
          <cell r="B1643" t="str">
            <v>ТЕХНОКОМПЛЕКТЛИЗИНГ</v>
          </cell>
          <cell r="C1643" t="str">
            <v>ХОВРИНО      (ОКТ)</v>
          </cell>
          <cell r="D1643">
            <v>32721</v>
          </cell>
          <cell r="E1643">
            <v>37802</v>
          </cell>
          <cell r="F1643">
            <v>163</v>
          </cell>
          <cell r="H1643">
            <v>0</v>
          </cell>
          <cell r="I1643" t="str">
            <v>деп</v>
          </cell>
          <cell r="J1643">
            <v>38351</v>
          </cell>
        </row>
        <row r="1644">
          <cell r="A1644">
            <v>58725482</v>
          </cell>
          <cell r="B1644" t="str">
            <v>ТЕХНОКОМПЛЕКТЛИЗИНГ</v>
          </cell>
          <cell r="C1644" t="str">
            <v>ХОВРИНО      (ОКТ)</v>
          </cell>
          <cell r="D1644">
            <v>32752</v>
          </cell>
          <cell r="E1644">
            <v>37805</v>
          </cell>
          <cell r="F1644">
            <v>163</v>
          </cell>
          <cell r="H1644">
            <v>0</v>
          </cell>
          <cell r="I1644" t="str">
            <v>деп</v>
          </cell>
          <cell r="J1644">
            <v>38355</v>
          </cell>
        </row>
        <row r="1645">
          <cell r="A1645">
            <v>58725508</v>
          </cell>
          <cell r="B1645" t="str">
            <v>ТЕХНОКОМПЛЕКТЛИЗИНГ</v>
          </cell>
          <cell r="C1645" t="str">
            <v>ХОВРИНО      (ОКТ)</v>
          </cell>
          <cell r="D1645">
            <v>32752</v>
          </cell>
          <cell r="E1645">
            <v>37805</v>
          </cell>
          <cell r="F1645">
            <v>163</v>
          </cell>
          <cell r="H1645">
            <v>0</v>
          </cell>
          <cell r="I1645" t="str">
            <v>деп</v>
          </cell>
          <cell r="J1645">
            <v>38355</v>
          </cell>
        </row>
        <row r="1646">
          <cell r="A1646">
            <v>58725516</v>
          </cell>
          <cell r="B1646" t="str">
            <v>ТЕХНОКОМПЛЕКТЛИЗИНГ</v>
          </cell>
          <cell r="C1646" t="str">
            <v>ХОВРИНО      (ОКТ)</v>
          </cell>
          <cell r="D1646">
            <v>32752</v>
          </cell>
          <cell r="E1646">
            <v>37805</v>
          </cell>
          <cell r="F1646">
            <v>163</v>
          </cell>
          <cell r="H1646">
            <v>0</v>
          </cell>
          <cell r="I1646" t="str">
            <v>деп</v>
          </cell>
          <cell r="J1646">
            <v>38355</v>
          </cell>
        </row>
        <row r="1647">
          <cell r="A1647">
            <v>58725524</v>
          </cell>
          <cell r="B1647" t="str">
            <v>ТЕХНОКОМПЛЕКТЛИЗИНГ</v>
          </cell>
          <cell r="C1647" t="str">
            <v>ХОВРИНО      (ОКТ)</v>
          </cell>
          <cell r="D1647">
            <v>32752</v>
          </cell>
          <cell r="E1647">
            <v>37805</v>
          </cell>
          <cell r="F1647">
            <v>163</v>
          </cell>
          <cell r="H1647">
            <v>0</v>
          </cell>
          <cell r="I1647" t="str">
            <v>деп</v>
          </cell>
          <cell r="J1647">
            <v>38355</v>
          </cell>
        </row>
        <row r="1648">
          <cell r="A1648">
            <v>58725532</v>
          </cell>
          <cell r="B1648" t="str">
            <v>ТЕХНОКОМПЛЕКТЛИЗИНГ</v>
          </cell>
          <cell r="C1648" t="str">
            <v>ХОВРИНО      (ОКТ)</v>
          </cell>
          <cell r="D1648">
            <v>32752</v>
          </cell>
          <cell r="E1648">
            <v>37793</v>
          </cell>
          <cell r="F1648">
            <v>557</v>
          </cell>
          <cell r="H1648">
            <v>0</v>
          </cell>
          <cell r="I1648" t="str">
            <v>деп</v>
          </cell>
          <cell r="J1648">
            <v>38342</v>
          </cell>
        </row>
        <row r="1649">
          <cell r="A1649">
            <v>58725540</v>
          </cell>
          <cell r="B1649" t="str">
            <v>ТЕХНОКОМПЛЕКТЛИЗИНГ</v>
          </cell>
          <cell r="C1649" t="str">
            <v>ХОВРИНО      (ОКТ)</v>
          </cell>
          <cell r="D1649">
            <v>32752</v>
          </cell>
          <cell r="E1649">
            <v>37793</v>
          </cell>
          <cell r="F1649">
            <v>557</v>
          </cell>
          <cell r="H1649">
            <v>0</v>
          </cell>
          <cell r="I1649" t="str">
            <v>деп</v>
          </cell>
          <cell r="J1649">
            <v>38342</v>
          </cell>
        </row>
        <row r="1650">
          <cell r="A1650">
            <v>58729401</v>
          </cell>
          <cell r="B1650" t="str">
            <v>ТЕХНОКОМПЛЕКТЛИЗИНГ</v>
          </cell>
          <cell r="C1650" t="str">
            <v>ХОВРИНО      (ОКТ)</v>
          </cell>
          <cell r="D1650">
            <v>32752</v>
          </cell>
          <cell r="E1650">
            <v>37793</v>
          </cell>
          <cell r="F1650">
            <v>557</v>
          </cell>
          <cell r="H1650">
            <v>0</v>
          </cell>
          <cell r="I1650" t="str">
            <v>деп</v>
          </cell>
          <cell r="J1650">
            <v>38342</v>
          </cell>
        </row>
        <row r="1651">
          <cell r="A1651">
            <v>58729419</v>
          </cell>
          <cell r="B1651" t="str">
            <v>ТЕХНОКОМПЛЕКТЛИЗИНГ</v>
          </cell>
          <cell r="C1651" t="str">
            <v>ХОВРИНО      (ОКТ)</v>
          </cell>
          <cell r="D1651">
            <v>32752</v>
          </cell>
          <cell r="E1651">
            <v>37793</v>
          </cell>
          <cell r="F1651">
            <v>557</v>
          </cell>
          <cell r="H1651">
            <v>0</v>
          </cell>
          <cell r="I1651" t="str">
            <v>деп</v>
          </cell>
          <cell r="J1651">
            <v>38342</v>
          </cell>
        </row>
        <row r="1652">
          <cell r="A1652">
            <v>58729427</v>
          </cell>
          <cell r="B1652" t="str">
            <v>ТЕХНОКОМПЛЕКТЛИЗИНГ</v>
          </cell>
          <cell r="C1652" t="str">
            <v>ХОВРИНО      (ОКТ)</v>
          </cell>
          <cell r="D1652">
            <v>32752</v>
          </cell>
          <cell r="E1652">
            <v>37816</v>
          </cell>
          <cell r="F1652">
            <v>557</v>
          </cell>
          <cell r="H1652">
            <v>0</v>
          </cell>
          <cell r="I1652" t="str">
            <v>деп</v>
          </cell>
          <cell r="J1652">
            <v>38366</v>
          </cell>
        </row>
        <row r="1653">
          <cell r="A1653">
            <v>58729435</v>
          </cell>
          <cell r="B1653" t="str">
            <v>ТЕХНОКОМПЛЕКТЛИЗИНГ</v>
          </cell>
          <cell r="C1653" t="str">
            <v>ХОВРИНО      (ОКТ)</v>
          </cell>
          <cell r="D1653">
            <v>32752</v>
          </cell>
          <cell r="E1653">
            <v>37816</v>
          </cell>
          <cell r="F1653">
            <v>557</v>
          </cell>
          <cell r="H1653">
            <v>0</v>
          </cell>
          <cell r="I1653" t="str">
            <v>деп</v>
          </cell>
          <cell r="J1653">
            <v>38366</v>
          </cell>
        </row>
        <row r="1654">
          <cell r="A1654">
            <v>58729443</v>
          </cell>
          <cell r="B1654" t="str">
            <v>ТЕХНОКОМПЛЕКТЛИЗИНГ</v>
          </cell>
          <cell r="C1654" t="str">
            <v>ХОВРИНО      (ОКТ)</v>
          </cell>
          <cell r="D1654">
            <v>32752</v>
          </cell>
          <cell r="E1654">
            <v>37817</v>
          </cell>
          <cell r="F1654">
            <v>557</v>
          </cell>
          <cell r="H1654">
            <v>0</v>
          </cell>
          <cell r="I1654" t="str">
            <v>деп</v>
          </cell>
          <cell r="J1654">
            <v>38367</v>
          </cell>
        </row>
        <row r="1655">
          <cell r="A1655">
            <v>58729500</v>
          </cell>
          <cell r="B1655" t="str">
            <v>ТЕХНОКОМПЛЕКТЛИЗИНГ</v>
          </cell>
          <cell r="C1655" t="str">
            <v>ХОВРИНО      (ОКТ)</v>
          </cell>
          <cell r="D1655">
            <v>32540</v>
          </cell>
          <cell r="E1655">
            <v>37832</v>
          </cell>
          <cell r="F1655">
            <v>163</v>
          </cell>
          <cell r="H1655">
            <v>0</v>
          </cell>
          <cell r="I1655" t="str">
            <v>деп</v>
          </cell>
          <cell r="J1655">
            <v>38382</v>
          </cell>
        </row>
        <row r="1656">
          <cell r="A1656">
            <v>58729518</v>
          </cell>
          <cell r="B1656" t="str">
            <v>ТЕХНОКОМПЛЕКТЛИЗИНГ</v>
          </cell>
          <cell r="C1656" t="str">
            <v>ХОВРИНО      (ОКТ)</v>
          </cell>
          <cell r="D1656">
            <v>32540</v>
          </cell>
          <cell r="E1656">
            <v>37832</v>
          </cell>
          <cell r="F1656">
            <v>163</v>
          </cell>
          <cell r="H1656">
            <v>0</v>
          </cell>
          <cell r="I1656" t="str">
            <v>деп</v>
          </cell>
          <cell r="J1656">
            <v>38382</v>
          </cell>
        </row>
        <row r="1657">
          <cell r="A1657">
            <v>58729526</v>
          </cell>
          <cell r="B1657" t="str">
            <v>ТЕХНОКОМПЛЕКТЛИЗИНГ</v>
          </cell>
          <cell r="C1657" t="str">
            <v>ХОВРИНО      (ОКТ)</v>
          </cell>
          <cell r="D1657">
            <v>32540</v>
          </cell>
          <cell r="E1657">
            <v>37832</v>
          </cell>
          <cell r="F1657">
            <v>163</v>
          </cell>
          <cell r="H1657">
            <v>0</v>
          </cell>
          <cell r="I1657" t="str">
            <v>деп</v>
          </cell>
          <cell r="J1657">
            <v>38382</v>
          </cell>
        </row>
        <row r="1658">
          <cell r="A1658">
            <v>58729534</v>
          </cell>
          <cell r="B1658" t="str">
            <v>ТЕХНОКОМПЛЕКТЛИЗИНГ</v>
          </cell>
          <cell r="C1658" t="str">
            <v>ХОВРИНО      (ОКТ)</v>
          </cell>
          <cell r="D1658">
            <v>32540</v>
          </cell>
          <cell r="E1658">
            <v>37832</v>
          </cell>
          <cell r="F1658">
            <v>163</v>
          </cell>
          <cell r="H1658">
            <v>0</v>
          </cell>
          <cell r="I1658" t="str">
            <v>деп</v>
          </cell>
          <cell r="J1658">
            <v>38382</v>
          </cell>
        </row>
        <row r="1659">
          <cell r="A1659">
            <v>58729542</v>
          </cell>
          <cell r="B1659" t="str">
            <v>ТЕХНОКОМПЛЕКТЛИЗИНГ</v>
          </cell>
          <cell r="C1659" t="str">
            <v>ХОВРИНО      (ОКТ)</v>
          </cell>
          <cell r="D1659">
            <v>32540</v>
          </cell>
          <cell r="E1659">
            <v>37832</v>
          </cell>
          <cell r="F1659">
            <v>557</v>
          </cell>
          <cell r="H1659">
            <v>0</v>
          </cell>
          <cell r="I1659" t="str">
            <v>деп</v>
          </cell>
          <cell r="J1659">
            <v>38382</v>
          </cell>
        </row>
        <row r="1660">
          <cell r="A1660">
            <v>58729559</v>
          </cell>
          <cell r="B1660" t="str">
            <v>ТЕХНОКОМПЛЕКТЛИЗИНГ</v>
          </cell>
          <cell r="C1660" t="str">
            <v>ХОВРИНО      (ОКТ)</v>
          </cell>
          <cell r="D1660">
            <v>32540</v>
          </cell>
          <cell r="E1660">
            <v>37832</v>
          </cell>
          <cell r="F1660">
            <v>557</v>
          </cell>
          <cell r="H1660">
            <v>0</v>
          </cell>
          <cell r="I1660" t="str">
            <v>деп</v>
          </cell>
          <cell r="J1660">
            <v>38382</v>
          </cell>
        </row>
        <row r="1661">
          <cell r="A1661">
            <v>58729567</v>
          </cell>
          <cell r="B1661" t="str">
            <v>ТЕХНОКОМПЛЕКТЛИЗИНГ</v>
          </cell>
          <cell r="C1661" t="str">
            <v>ХОВРИНО      (ОКТ)</v>
          </cell>
          <cell r="D1661">
            <v>32540</v>
          </cell>
          <cell r="E1661">
            <v>37833</v>
          </cell>
          <cell r="F1661">
            <v>557</v>
          </cell>
          <cell r="H1661">
            <v>0</v>
          </cell>
          <cell r="I1661" t="str">
            <v>деп</v>
          </cell>
          <cell r="J1661">
            <v>38383</v>
          </cell>
        </row>
        <row r="1662">
          <cell r="A1662">
            <v>58729575</v>
          </cell>
          <cell r="B1662" t="str">
            <v>ТЕХНОКОМПЛЕКТЛИЗИНГ</v>
          </cell>
          <cell r="C1662" t="str">
            <v>ХОВРИНО      (ОКТ)</v>
          </cell>
          <cell r="D1662">
            <v>32540</v>
          </cell>
          <cell r="E1662">
            <v>37833</v>
          </cell>
          <cell r="F1662">
            <v>557</v>
          </cell>
          <cell r="H1662">
            <v>0</v>
          </cell>
          <cell r="I1662" t="str">
            <v>деп</v>
          </cell>
          <cell r="J1662">
            <v>38383</v>
          </cell>
        </row>
        <row r="1663">
          <cell r="A1663">
            <v>58729674</v>
          </cell>
          <cell r="B1663" t="str">
            <v>ТЕХНОКОМПЛЕКТЛИЗИНГ</v>
          </cell>
          <cell r="C1663" t="str">
            <v>ХОВРИНО      (ОКТ)</v>
          </cell>
          <cell r="D1663">
            <v>32782</v>
          </cell>
          <cell r="E1663">
            <v>37830</v>
          </cell>
          <cell r="F1663">
            <v>557</v>
          </cell>
          <cell r="H1663">
            <v>0</v>
          </cell>
          <cell r="I1663" t="str">
            <v>деп</v>
          </cell>
          <cell r="J1663">
            <v>38380</v>
          </cell>
        </row>
        <row r="1664">
          <cell r="A1664">
            <v>58729682</v>
          </cell>
          <cell r="B1664" t="str">
            <v>ТЕХНОКОМПЛЕКТЛИЗИНГ</v>
          </cell>
          <cell r="C1664" t="str">
            <v>ХОВРИНО      (ОКТ)</v>
          </cell>
          <cell r="D1664">
            <v>32782</v>
          </cell>
          <cell r="E1664">
            <v>37832</v>
          </cell>
          <cell r="F1664">
            <v>557</v>
          </cell>
          <cell r="H1664">
            <v>0</v>
          </cell>
          <cell r="I1664" t="str">
            <v>деп</v>
          </cell>
          <cell r="J1664">
            <v>38382</v>
          </cell>
        </row>
        <row r="1665">
          <cell r="A1665">
            <v>58729708</v>
          </cell>
          <cell r="B1665" t="str">
            <v>ТЕХНОКОМПЛЕКТЛИЗИНГ</v>
          </cell>
          <cell r="C1665" t="str">
            <v>ХОВРИНО      (ОКТ)</v>
          </cell>
          <cell r="D1665">
            <v>32782</v>
          </cell>
          <cell r="E1665">
            <v>37830</v>
          </cell>
          <cell r="F1665">
            <v>557</v>
          </cell>
          <cell r="H1665">
            <v>0</v>
          </cell>
          <cell r="I1665" t="str">
            <v>деп</v>
          </cell>
          <cell r="J1665">
            <v>38380</v>
          </cell>
        </row>
        <row r="1666">
          <cell r="A1666">
            <v>58729716</v>
          </cell>
          <cell r="B1666" t="str">
            <v>ТЕХНОКОМПЛЕКТЛИЗИНГ</v>
          </cell>
          <cell r="C1666" t="str">
            <v>ХОВРИНО      (ОКТ)</v>
          </cell>
          <cell r="D1666">
            <v>32782</v>
          </cell>
          <cell r="E1666">
            <v>37832</v>
          </cell>
          <cell r="F1666">
            <v>557</v>
          </cell>
          <cell r="H1666">
            <v>0</v>
          </cell>
          <cell r="I1666" t="str">
            <v>деп</v>
          </cell>
          <cell r="J1666">
            <v>38382</v>
          </cell>
        </row>
        <row r="1667">
          <cell r="A1667">
            <v>58729724</v>
          </cell>
          <cell r="B1667" t="str">
            <v>ТЕХНОКОМПЛЕКТЛИЗИНГ</v>
          </cell>
          <cell r="C1667" t="str">
            <v>ХОВРИНО      (ОКТ)</v>
          </cell>
          <cell r="D1667">
            <v>32782</v>
          </cell>
          <cell r="E1667">
            <v>37833</v>
          </cell>
          <cell r="F1667">
            <v>163</v>
          </cell>
          <cell r="H1667">
            <v>0</v>
          </cell>
          <cell r="I1667" t="str">
            <v>деп</v>
          </cell>
          <cell r="J1667">
            <v>38383</v>
          </cell>
        </row>
        <row r="1668">
          <cell r="A1668">
            <v>58729732</v>
          </cell>
          <cell r="B1668" t="str">
            <v>ТЕХНОКОМПЛЕКТЛИЗИНГ</v>
          </cell>
          <cell r="C1668" t="str">
            <v>ХОВРИНО      (ОКТ)</v>
          </cell>
          <cell r="D1668">
            <v>32782</v>
          </cell>
          <cell r="E1668">
            <v>37833</v>
          </cell>
          <cell r="F1668">
            <v>163</v>
          </cell>
          <cell r="H1668">
            <v>0</v>
          </cell>
          <cell r="I1668" t="str">
            <v>деп</v>
          </cell>
          <cell r="J1668">
            <v>38383</v>
          </cell>
        </row>
        <row r="1669">
          <cell r="A1669">
            <v>58729740</v>
          </cell>
          <cell r="B1669" t="str">
            <v>ТЕХНОКОМПЛЕКТЛИЗИНГ</v>
          </cell>
          <cell r="C1669" t="str">
            <v>ХОВРИНО      (ОКТ)</v>
          </cell>
          <cell r="D1669">
            <v>32782</v>
          </cell>
          <cell r="E1669">
            <v>37833</v>
          </cell>
          <cell r="F1669">
            <v>163</v>
          </cell>
          <cell r="H1669">
            <v>0</v>
          </cell>
          <cell r="I1669" t="str">
            <v>деп</v>
          </cell>
          <cell r="J1669">
            <v>38383</v>
          </cell>
        </row>
        <row r="1670">
          <cell r="A1670">
            <v>58729757</v>
          </cell>
          <cell r="B1670" t="str">
            <v>ТЕХНОКОМПЛЕКТЛИЗИНГ</v>
          </cell>
          <cell r="C1670" t="str">
            <v>ХОВРИНО      (ОКТ)</v>
          </cell>
          <cell r="D1670">
            <v>32782</v>
          </cell>
          <cell r="E1670">
            <v>37833</v>
          </cell>
          <cell r="F1670">
            <v>163</v>
          </cell>
          <cell r="H1670">
            <v>0</v>
          </cell>
          <cell r="I1670" t="str">
            <v>деп</v>
          </cell>
          <cell r="J1670">
            <v>38383</v>
          </cell>
        </row>
        <row r="1671">
          <cell r="A1671">
            <v>58729849</v>
          </cell>
          <cell r="B1671" t="str">
            <v>ТЕХНОКОМПЛЕКТЛИЗИНГ</v>
          </cell>
          <cell r="C1671" t="str">
            <v>ХОВРИНО      (ОКТ)</v>
          </cell>
          <cell r="D1671">
            <v>32509</v>
          </cell>
          <cell r="E1671">
            <v>37828</v>
          </cell>
          <cell r="F1671">
            <v>163</v>
          </cell>
          <cell r="H1671">
            <v>0</v>
          </cell>
          <cell r="I1671" t="str">
            <v>кап</v>
          </cell>
          <cell r="J1671">
            <v>38378</v>
          </cell>
        </row>
        <row r="1672">
          <cell r="A1672">
            <v>58729856</v>
          </cell>
          <cell r="B1672" t="str">
            <v>ТЕХНОКОМПЛЕКТЛИЗИНГ</v>
          </cell>
          <cell r="C1672" t="str">
            <v>ХОВРИНО      (ОКТ)</v>
          </cell>
          <cell r="D1672">
            <v>32509</v>
          </cell>
          <cell r="E1672">
            <v>37828</v>
          </cell>
          <cell r="F1672">
            <v>163</v>
          </cell>
          <cell r="H1672">
            <v>0</v>
          </cell>
          <cell r="I1672" t="str">
            <v>кап</v>
          </cell>
          <cell r="J1672">
            <v>38378</v>
          </cell>
        </row>
        <row r="1673">
          <cell r="A1673">
            <v>58729864</v>
          </cell>
          <cell r="B1673" t="str">
            <v>ТЕХНОКОМПЛЕКТЛИЗИНГ</v>
          </cell>
          <cell r="C1673" t="str">
            <v>ХОВРИНО      (ОКТ)</v>
          </cell>
          <cell r="D1673">
            <v>32509</v>
          </cell>
          <cell r="E1673">
            <v>37828</v>
          </cell>
          <cell r="F1673">
            <v>163</v>
          </cell>
          <cell r="H1673">
            <v>0</v>
          </cell>
          <cell r="I1673" t="str">
            <v>кап</v>
          </cell>
          <cell r="J1673">
            <v>38378</v>
          </cell>
        </row>
        <row r="1674">
          <cell r="A1674">
            <v>58729872</v>
          </cell>
          <cell r="B1674" t="str">
            <v>ТЕХНОКОМПЛЕКТЛИЗИНГ</v>
          </cell>
          <cell r="C1674" t="str">
            <v>ХОВРИНО      (ОКТ)</v>
          </cell>
          <cell r="D1674">
            <v>32509</v>
          </cell>
          <cell r="E1674">
            <v>37828</v>
          </cell>
          <cell r="F1674">
            <v>163</v>
          </cell>
          <cell r="H1674">
            <v>0</v>
          </cell>
          <cell r="I1674" t="str">
            <v>кап</v>
          </cell>
          <cell r="J1674">
            <v>38378</v>
          </cell>
        </row>
        <row r="1675">
          <cell r="A1675">
            <v>58729914</v>
          </cell>
          <cell r="B1675" t="str">
            <v>ТЕХНОКОМПЛЕКТЛИЗИНГ</v>
          </cell>
          <cell r="C1675" t="str">
            <v>ХОВРИНО      (ОКТ)</v>
          </cell>
          <cell r="D1675">
            <v>32509</v>
          </cell>
          <cell r="E1675">
            <v>37833</v>
          </cell>
          <cell r="F1675">
            <v>163</v>
          </cell>
          <cell r="H1675">
            <v>0</v>
          </cell>
          <cell r="I1675" t="str">
            <v>кап</v>
          </cell>
          <cell r="J1675">
            <v>38383</v>
          </cell>
        </row>
        <row r="1676">
          <cell r="A1676">
            <v>58729922</v>
          </cell>
          <cell r="B1676" t="str">
            <v>ТЕХНОКОМПЛЕКТЛИЗИНГ</v>
          </cell>
          <cell r="C1676" t="str">
            <v>ХОВРИНО      (ОКТ)</v>
          </cell>
          <cell r="D1676">
            <v>32509</v>
          </cell>
          <cell r="E1676">
            <v>37844</v>
          </cell>
          <cell r="F1676">
            <v>557</v>
          </cell>
          <cell r="H1676">
            <v>0</v>
          </cell>
          <cell r="I1676" t="str">
            <v>кап</v>
          </cell>
          <cell r="J1676">
            <v>38394</v>
          </cell>
        </row>
        <row r="1677">
          <cell r="A1677">
            <v>58731407</v>
          </cell>
          <cell r="B1677" t="str">
            <v>ТЕХНОКОМПЛЕКТЛИЗИНГ</v>
          </cell>
          <cell r="C1677" t="str">
            <v>ХОВРИНО      (ОКТ)</v>
          </cell>
          <cell r="D1677">
            <v>32660</v>
          </cell>
          <cell r="E1677">
            <v>37826</v>
          </cell>
          <cell r="F1677">
            <v>163</v>
          </cell>
          <cell r="H1677">
            <v>0</v>
          </cell>
          <cell r="I1677" t="str">
            <v>деп</v>
          </cell>
          <cell r="J1677">
            <v>38376</v>
          </cell>
        </row>
        <row r="1678">
          <cell r="A1678">
            <v>58731415</v>
          </cell>
          <cell r="B1678" t="str">
            <v>ТЕХНОКОМПЛЕКТЛИЗИНГ</v>
          </cell>
          <cell r="C1678" t="str">
            <v>ХОВРИНО      (ОКТ)</v>
          </cell>
          <cell r="D1678">
            <v>32660</v>
          </cell>
          <cell r="E1678">
            <v>37826</v>
          </cell>
          <cell r="F1678">
            <v>163</v>
          </cell>
          <cell r="H1678">
            <v>0</v>
          </cell>
          <cell r="I1678" t="str">
            <v>деп</v>
          </cell>
          <cell r="J1678">
            <v>38376</v>
          </cell>
        </row>
        <row r="1679">
          <cell r="A1679">
            <v>58731423</v>
          </cell>
          <cell r="B1679" t="str">
            <v>ТЕХНОКОМПЛЕКТЛИЗИНГ</v>
          </cell>
          <cell r="C1679" t="str">
            <v>ХОВРИНО      (ОКТ)</v>
          </cell>
          <cell r="D1679">
            <v>32660</v>
          </cell>
          <cell r="E1679">
            <v>37826</v>
          </cell>
          <cell r="F1679">
            <v>163</v>
          </cell>
          <cell r="H1679">
            <v>0</v>
          </cell>
          <cell r="I1679" t="str">
            <v>деп</v>
          </cell>
          <cell r="J1679">
            <v>38376</v>
          </cell>
        </row>
        <row r="1680">
          <cell r="A1680">
            <v>58731431</v>
          </cell>
          <cell r="B1680" t="str">
            <v>ТЕХНОКОМПЛЕКТЛИЗИНГ</v>
          </cell>
          <cell r="C1680" t="str">
            <v>ХОВРИНО      (ОКТ)</v>
          </cell>
          <cell r="D1680">
            <v>32660</v>
          </cell>
          <cell r="E1680">
            <v>37826</v>
          </cell>
          <cell r="F1680">
            <v>163</v>
          </cell>
          <cell r="H1680">
            <v>0</v>
          </cell>
          <cell r="I1680" t="str">
            <v>деп</v>
          </cell>
          <cell r="J1680">
            <v>38376</v>
          </cell>
        </row>
        <row r="1681">
          <cell r="A1681">
            <v>58731480</v>
          </cell>
          <cell r="B1681" t="str">
            <v>ТЕХНОКОМПЛЕКТЛИЗИНГ</v>
          </cell>
          <cell r="C1681" t="str">
            <v>ХОВРИНО      (ОКТ)</v>
          </cell>
          <cell r="D1681">
            <v>32660</v>
          </cell>
          <cell r="E1681">
            <v>37793</v>
          </cell>
          <cell r="F1681">
            <v>492</v>
          </cell>
          <cell r="H1681">
            <v>0</v>
          </cell>
          <cell r="I1681" t="str">
            <v>деп</v>
          </cell>
          <cell r="J1681">
            <v>38342</v>
          </cell>
        </row>
        <row r="1682">
          <cell r="A1682">
            <v>58731498</v>
          </cell>
          <cell r="B1682" t="str">
            <v>ТЕХНОКОМПЛЕКТЛИЗИНГ</v>
          </cell>
          <cell r="C1682" t="str">
            <v>ХОВРИНО      (ОКТ)</v>
          </cell>
          <cell r="D1682">
            <v>32660</v>
          </cell>
          <cell r="E1682">
            <v>37793</v>
          </cell>
          <cell r="F1682">
            <v>492</v>
          </cell>
          <cell r="H1682">
            <v>0</v>
          </cell>
          <cell r="I1682" t="str">
            <v>деп</v>
          </cell>
          <cell r="J1682">
            <v>38342</v>
          </cell>
        </row>
        <row r="1683">
          <cell r="A1683">
            <v>58731506</v>
          </cell>
          <cell r="B1683" t="str">
            <v>ТЕХНОКОМПЛЕКТЛИЗИНГ</v>
          </cell>
          <cell r="C1683" t="str">
            <v>ХОВРИНО      (ОКТ)</v>
          </cell>
          <cell r="D1683">
            <v>32660</v>
          </cell>
          <cell r="E1683">
            <v>37793</v>
          </cell>
          <cell r="F1683">
            <v>492</v>
          </cell>
          <cell r="H1683">
            <v>0</v>
          </cell>
          <cell r="I1683" t="str">
            <v>деп</v>
          </cell>
          <cell r="J1683">
            <v>38342</v>
          </cell>
        </row>
        <row r="1684">
          <cell r="A1684">
            <v>58731514</v>
          </cell>
          <cell r="B1684" t="str">
            <v>ТЕХНОКОМПЛЕКТЛИЗИНГ</v>
          </cell>
          <cell r="C1684" t="str">
            <v>ХОВРИНО      (ОКТ)</v>
          </cell>
          <cell r="D1684">
            <v>32660</v>
          </cell>
          <cell r="E1684">
            <v>37793</v>
          </cell>
          <cell r="F1684">
            <v>492</v>
          </cell>
          <cell r="H1684">
            <v>0</v>
          </cell>
          <cell r="I1684" t="str">
            <v>деп</v>
          </cell>
          <cell r="J1684">
            <v>38342</v>
          </cell>
        </row>
        <row r="1685">
          <cell r="A1685">
            <v>58731522</v>
          </cell>
          <cell r="B1685" t="str">
            <v>ТЕХНОКОМПЛЕКТЛИЗИНГ</v>
          </cell>
          <cell r="C1685" t="str">
            <v>ХОВРИНО      (ОКТ)</v>
          </cell>
          <cell r="D1685">
            <v>32690</v>
          </cell>
          <cell r="E1685">
            <v>37816</v>
          </cell>
          <cell r="F1685">
            <v>163</v>
          </cell>
          <cell r="H1685">
            <v>0</v>
          </cell>
          <cell r="I1685" t="str">
            <v>деп</v>
          </cell>
          <cell r="J1685">
            <v>38366</v>
          </cell>
        </row>
        <row r="1686">
          <cell r="A1686">
            <v>58731530</v>
          </cell>
          <cell r="B1686" t="str">
            <v>ТЕХНОКОМПЛЕКТЛИЗИНГ</v>
          </cell>
          <cell r="C1686" t="str">
            <v>ХОВРИНО      (ОКТ)</v>
          </cell>
          <cell r="D1686">
            <v>32690</v>
          </cell>
          <cell r="E1686">
            <v>37816</v>
          </cell>
          <cell r="F1686">
            <v>163</v>
          </cell>
          <cell r="H1686">
            <v>0</v>
          </cell>
          <cell r="I1686" t="str">
            <v>деп</v>
          </cell>
          <cell r="J1686">
            <v>38366</v>
          </cell>
        </row>
        <row r="1687">
          <cell r="A1687">
            <v>58731548</v>
          </cell>
          <cell r="B1687" t="str">
            <v>ТЕХНОКОМПЛЕКТЛИЗИНГ</v>
          </cell>
          <cell r="C1687" t="str">
            <v>ХОВРИНО      (ОКТ)</v>
          </cell>
          <cell r="D1687">
            <v>32690</v>
          </cell>
          <cell r="E1687">
            <v>37816</v>
          </cell>
          <cell r="F1687">
            <v>163</v>
          </cell>
          <cell r="H1687">
            <v>0</v>
          </cell>
          <cell r="I1687" t="str">
            <v>деп</v>
          </cell>
          <cell r="J1687">
            <v>38366</v>
          </cell>
        </row>
        <row r="1688">
          <cell r="A1688">
            <v>58731555</v>
          </cell>
          <cell r="B1688" t="str">
            <v>ТЕХНОКОМПЛЕКТЛИЗИНГ</v>
          </cell>
          <cell r="C1688" t="str">
            <v>ХОВРИНО      (ОКТ)</v>
          </cell>
          <cell r="D1688">
            <v>32690</v>
          </cell>
          <cell r="E1688">
            <v>37816</v>
          </cell>
          <cell r="F1688">
            <v>163</v>
          </cell>
          <cell r="H1688">
            <v>0</v>
          </cell>
          <cell r="I1688" t="str">
            <v>деп</v>
          </cell>
          <cell r="J1688">
            <v>38366</v>
          </cell>
        </row>
        <row r="1689">
          <cell r="A1689">
            <v>58731563</v>
          </cell>
          <cell r="B1689" t="str">
            <v>ТЕХНОКОМПЛЕКТЛИЗИНГ</v>
          </cell>
          <cell r="C1689" t="str">
            <v>ХОВРИНО      (ОКТ)</v>
          </cell>
          <cell r="D1689">
            <v>32690</v>
          </cell>
          <cell r="E1689">
            <v>37825</v>
          </cell>
          <cell r="F1689">
            <v>492</v>
          </cell>
          <cell r="H1689">
            <v>0</v>
          </cell>
          <cell r="I1689" t="str">
            <v>деп</v>
          </cell>
          <cell r="J1689">
            <v>38375</v>
          </cell>
        </row>
        <row r="1690">
          <cell r="A1690">
            <v>58731571</v>
          </cell>
          <cell r="B1690" t="str">
            <v>ТЕХНОКОМПЛЕКТЛИЗИНГ</v>
          </cell>
          <cell r="C1690" t="str">
            <v>ХОВРИНО      (ОКТ)</v>
          </cell>
          <cell r="D1690">
            <v>32690</v>
          </cell>
          <cell r="E1690">
            <v>37825</v>
          </cell>
          <cell r="F1690">
            <v>492</v>
          </cell>
          <cell r="H1690">
            <v>0</v>
          </cell>
          <cell r="I1690" t="str">
            <v>деп</v>
          </cell>
          <cell r="J1690">
            <v>38375</v>
          </cell>
        </row>
        <row r="1691">
          <cell r="A1691">
            <v>58731589</v>
          </cell>
          <cell r="B1691" t="str">
            <v>ТЕХНОКОМПЛЕКТЛИЗИНГ</v>
          </cell>
          <cell r="C1691" t="str">
            <v>ХОВРИНО      (ОКТ)</v>
          </cell>
          <cell r="D1691">
            <v>32690</v>
          </cell>
          <cell r="E1691">
            <v>37825</v>
          </cell>
          <cell r="F1691">
            <v>492</v>
          </cell>
          <cell r="H1691">
            <v>0</v>
          </cell>
          <cell r="I1691" t="str">
            <v>деп</v>
          </cell>
          <cell r="J1691">
            <v>38375</v>
          </cell>
        </row>
        <row r="1692">
          <cell r="A1692">
            <v>58731597</v>
          </cell>
          <cell r="B1692" t="str">
            <v>ТЕХНОКОМПЛЕКТЛИЗИНГ</v>
          </cell>
          <cell r="C1692" t="str">
            <v>ХОВРИНО      (ОКТ)</v>
          </cell>
          <cell r="D1692">
            <v>32690</v>
          </cell>
          <cell r="E1692">
            <v>37825</v>
          </cell>
          <cell r="F1692">
            <v>492</v>
          </cell>
          <cell r="H1692">
            <v>0</v>
          </cell>
          <cell r="I1692" t="str">
            <v>деп</v>
          </cell>
          <cell r="J1692">
            <v>38375</v>
          </cell>
        </row>
        <row r="1693">
          <cell r="A1693">
            <v>58731605</v>
          </cell>
          <cell r="B1693" t="str">
            <v>ТЕХНОКОМПЛЕКТЛИЗИНГ</v>
          </cell>
          <cell r="C1693" t="str">
            <v>ХОВРИНО      (ОКТ)</v>
          </cell>
          <cell r="D1693">
            <v>32690</v>
          </cell>
          <cell r="E1693">
            <v>37768</v>
          </cell>
          <cell r="F1693">
            <v>492</v>
          </cell>
          <cell r="H1693">
            <v>0</v>
          </cell>
          <cell r="I1693" t="str">
            <v>деп</v>
          </cell>
          <cell r="J1693">
            <v>38318</v>
          </cell>
        </row>
        <row r="1694">
          <cell r="A1694">
            <v>58731613</v>
          </cell>
          <cell r="B1694" t="str">
            <v>ТЕХНОКОМПЛЕКТЛИЗИНГ</v>
          </cell>
          <cell r="C1694" t="str">
            <v>ХОВРИНО      (ОКТ)</v>
          </cell>
          <cell r="D1694">
            <v>32690</v>
          </cell>
          <cell r="E1694">
            <v>37768</v>
          </cell>
          <cell r="F1694">
            <v>492</v>
          </cell>
          <cell r="H1694">
            <v>0</v>
          </cell>
          <cell r="I1694" t="str">
            <v>деп</v>
          </cell>
          <cell r="J1694">
            <v>38318</v>
          </cell>
        </row>
        <row r="1695">
          <cell r="A1695">
            <v>58731621</v>
          </cell>
          <cell r="B1695" t="str">
            <v>ТЕХНОКОМПЛЕКТЛИЗИНГ</v>
          </cell>
          <cell r="C1695" t="str">
            <v>ХОВРИНО      (ОКТ)</v>
          </cell>
          <cell r="D1695">
            <v>32690</v>
          </cell>
          <cell r="E1695">
            <v>37768</v>
          </cell>
          <cell r="F1695">
            <v>492</v>
          </cell>
          <cell r="H1695">
            <v>0</v>
          </cell>
          <cell r="I1695" t="str">
            <v>деп</v>
          </cell>
          <cell r="J1695">
            <v>38318</v>
          </cell>
        </row>
        <row r="1696">
          <cell r="A1696">
            <v>58731639</v>
          </cell>
          <cell r="B1696" t="str">
            <v>ТЕХНОКОМПЛЕКТЛИЗИНГ</v>
          </cell>
          <cell r="C1696" t="str">
            <v>ХОВРИНО      (ОКТ)</v>
          </cell>
          <cell r="D1696">
            <v>32690</v>
          </cell>
          <cell r="E1696">
            <v>37768</v>
          </cell>
          <cell r="F1696">
            <v>492</v>
          </cell>
          <cell r="H1696">
            <v>0</v>
          </cell>
          <cell r="I1696" t="str">
            <v>деп</v>
          </cell>
          <cell r="J1696">
            <v>38318</v>
          </cell>
        </row>
        <row r="1697">
          <cell r="A1697">
            <v>58731803</v>
          </cell>
          <cell r="B1697" t="str">
            <v>ТЕХНОКОМПЛЕКТЛИЗИНГ</v>
          </cell>
          <cell r="C1697" t="str">
            <v>ХОВРИНО      (ОКТ)</v>
          </cell>
          <cell r="D1697">
            <v>32660</v>
          </cell>
          <cell r="E1697">
            <v>37957</v>
          </cell>
          <cell r="F1697">
            <v>557</v>
          </cell>
          <cell r="H1697">
            <v>0</v>
          </cell>
          <cell r="I1697" t="str">
            <v>кап</v>
          </cell>
          <cell r="J1697">
            <v>38505</v>
          </cell>
        </row>
        <row r="1698">
          <cell r="A1698">
            <v>58731811</v>
          </cell>
          <cell r="B1698" t="str">
            <v>ТЕХНОКОМПЛЕКТЛИЗИНГ</v>
          </cell>
          <cell r="C1698" t="str">
            <v>ХОВРИНО      (ОКТ)</v>
          </cell>
          <cell r="D1698">
            <v>32660</v>
          </cell>
          <cell r="E1698">
            <v>37979</v>
          </cell>
          <cell r="F1698">
            <v>557</v>
          </cell>
          <cell r="H1698">
            <v>0</v>
          </cell>
          <cell r="I1698" t="str">
            <v>кап</v>
          </cell>
          <cell r="J1698">
            <v>38527</v>
          </cell>
        </row>
        <row r="1699">
          <cell r="A1699">
            <v>58731829</v>
          </cell>
          <cell r="B1699" t="str">
            <v>ТЕХНОКОМПЛЕКТЛИЗИНГ</v>
          </cell>
          <cell r="C1699" t="str">
            <v>ХОВРИНО      (ОКТ)</v>
          </cell>
          <cell r="D1699">
            <v>32660</v>
          </cell>
          <cell r="E1699">
            <v>37979</v>
          </cell>
          <cell r="F1699">
            <v>557</v>
          </cell>
          <cell r="H1699">
            <v>0</v>
          </cell>
          <cell r="I1699" t="str">
            <v>кап</v>
          </cell>
          <cell r="J1699">
            <v>38527</v>
          </cell>
        </row>
        <row r="1700">
          <cell r="A1700">
            <v>58731837</v>
          </cell>
          <cell r="B1700" t="str">
            <v>ТЕХНОКОМПЛЕКТЛИЗИНГ</v>
          </cell>
          <cell r="C1700" t="str">
            <v>ХОВРИНО      (ОКТ)</v>
          </cell>
          <cell r="D1700">
            <v>32660</v>
          </cell>
          <cell r="E1700">
            <v>37958</v>
          </cell>
          <cell r="F1700">
            <v>557</v>
          </cell>
          <cell r="H1700">
            <v>0</v>
          </cell>
          <cell r="I1700" t="str">
            <v>кап</v>
          </cell>
          <cell r="J1700">
            <v>38506</v>
          </cell>
        </row>
        <row r="1701">
          <cell r="A1701">
            <v>58732009</v>
          </cell>
          <cell r="B1701" t="str">
            <v>ТЕХНОКОМПЛЕКТЛИЗИНГ</v>
          </cell>
          <cell r="C1701" t="str">
            <v>ХОВРИНО      (ОКТ)</v>
          </cell>
          <cell r="D1701">
            <v>32660</v>
          </cell>
          <cell r="E1701">
            <v>37957</v>
          </cell>
          <cell r="F1701">
            <v>557</v>
          </cell>
          <cell r="H1701">
            <v>0</v>
          </cell>
          <cell r="I1701" t="str">
            <v>кап</v>
          </cell>
          <cell r="J1701">
            <v>38505</v>
          </cell>
        </row>
        <row r="1702">
          <cell r="A1702">
            <v>58732017</v>
          </cell>
          <cell r="B1702" t="str">
            <v>ТЕХНОКОМПЛЕКТЛИЗИНГ</v>
          </cell>
          <cell r="C1702" t="str">
            <v>ХОВРИНО      (ОКТ)</v>
          </cell>
          <cell r="D1702">
            <v>32660</v>
          </cell>
          <cell r="E1702">
            <v>37957</v>
          </cell>
          <cell r="F1702">
            <v>557</v>
          </cell>
          <cell r="H1702">
            <v>0</v>
          </cell>
          <cell r="I1702" t="str">
            <v>кап</v>
          </cell>
          <cell r="J1702">
            <v>38505</v>
          </cell>
        </row>
        <row r="1703">
          <cell r="A1703">
            <v>58732025</v>
          </cell>
          <cell r="B1703" t="str">
            <v>ТЕХНОКОМПЛЕКТЛИЗИНГ</v>
          </cell>
          <cell r="C1703" t="str">
            <v>ХОВРИНО      (ОКТ)</v>
          </cell>
          <cell r="D1703">
            <v>32660</v>
          </cell>
          <cell r="E1703">
            <v>37957</v>
          </cell>
          <cell r="F1703">
            <v>557</v>
          </cell>
          <cell r="H1703">
            <v>0</v>
          </cell>
          <cell r="I1703" t="str">
            <v>кап</v>
          </cell>
          <cell r="J1703">
            <v>38505</v>
          </cell>
        </row>
        <row r="1704">
          <cell r="A1704">
            <v>58732033</v>
          </cell>
          <cell r="B1704" t="str">
            <v>ТЕХНОКОМПЛЕКТЛИЗИНГ</v>
          </cell>
          <cell r="C1704" t="str">
            <v>ХОВРИНО      (ОКТ)</v>
          </cell>
          <cell r="D1704">
            <v>32660</v>
          </cell>
          <cell r="E1704">
            <v>37960</v>
          </cell>
          <cell r="F1704">
            <v>557</v>
          </cell>
          <cell r="H1704">
            <v>0</v>
          </cell>
          <cell r="I1704" t="str">
            <v>кап</v>
          </cell>
          <cell r="J1704">
            <v>38508</v>
          </cell>
        </row>
        <row r="1705">
          <cell r="A1705">
            <v>58732165</v>
          </cell>
          <cell r="B1705" t="str">
            <v>ТЕХНОКОМПЛЕКТЛИЗИНГ</v>
          </cell>
          <cell r="C1705" t="str">
            <v>ХОВРИНО      (ОКТ)</v>
          </cell>
          <cell r="D1705">
            <v>32660</v>
          </cell>
          <cell r="E1705">
            <v>37916</v>
          </cell>
          <cell r="F1705">
            <v>492</v>
          </cell>
          <cell r="H1705">
            <v>0</v>
          </cell>
          <cell r="I1705" t="str">
            <v>деп</v>
          </cell>
          <cell r="J1705">
            <v>38464</v>
          </cell>
        </row>
        <row r="1706">
          <cell r="A1706">
            <v>58732173</v>
          </cell>
          <cell r="B1706" t="str">
            <v>ТЕХНОКОМПЛЕКТЛИЗИНГ</v>
          </cell>
          <cell r="C1706" t="str">
            <v>ХОВРИНО      (ОКТ)</v>
          </cell>
          <cell r="D1706">
            <v>32660</v>
          </cell>
          <cell r="E1706">
            <v>37916</v>
          </cell>
          <cell r="F1706">
            <v>492</v>
          </cell>
          <cell r="H1706">
            <v>0</v>
          </cell>
          <cell r="I1706" t="str">
            <v>деп</v>
          </cell>
          <cell r="J1706">
            <v>38464</v>
          </cell>
        </row>
        <row r="1707">
          <cell r="A1707">
            <v>58732181</v>
          </cell>
          <cell r="B1707" t="str">
            <v>ТЕХНОКОМПЛЕКТЛИЗИНГ</v>
          </cell>
          <cell r="C1707" t="str">
            <v>ХОВРИНО      (ОКТ)</v>
          </cell>
          <cell r="D1707">
            <v>32660</v>
          </cell>
          <cell r="E1707">
            <v>37916</v>
          </cell>
          <cell r="F1707">
            <v>492</v>
          </cell>
          <cell r="H1707">
            <v>0</v>
          </cell>
          <cell r="I1707" t="str">
            <v>деп</v>
          </cell>
          <cell r="J1707">
            <v>38464</v>
          </cell>
        </row>
        <row r="1708">
          <cell r="A1708">
            <v>58732199</v>
          </cell>
          <cell r="B1708" t="str">
            <v>ТЕХНОКОМПЛЕКТЛИЗИНГ</v>
          </cell>
          <cell r="C1708" t="str">
            <v>ХОВРИНО      (ОКТ)</v>
          </cell>
          <cell r="D1708">
            <v>32660</v>
          </cell>
          <cell r="E1708">
            <v>37916</v>
          </cell>
          <cell r="F1708">
            <v>492</v>
          </cell>
          <cell r="H1708">
            <v>0</v>
          </cell>
          <cell r="I1708" t="str">
            <v>деп</v>
          </cell>
          <cell r="J1708">
            <v>38464</v>
          </cell>
        </row>
        <row r="1709">
          <cell r="B1709" t="str">
            <v>ТЕХНОКОМПЛЕКТЛИЗИНГ Количество</v>
          </cell>
          <cell r="D1709">
            <v>145</v>
          </cell>
        </row>
        <row r="1710">
          <cell r="A1710">
            <v>58724881</v>
          </cell>
          <cell r="B1710" t="str">
            <v>ТЕХПРОМ</v>
          </cell>
          <cell r="C1710" t="str">
            <v>УССУРИЙСК    (ДВС)</v>
          </cell>
          <cell r="D1710">
            <v>32965</v>
          </cell>
          <cell r="E1710">
            <v>37867</v>
          </cell>
          <cell r="F1710">
            <v>163</v>
          </cell>
          <cell r="H1710">
            <v>0</v>
          </cell>
          <cell r="I1710" t="str">
            <v>деп</v>
          </cell>
          <cell r="J1710">
            <v>38414</v>
          </cell>
        </row>
        <row r="1711">
          <cell r="B1711" t="str">
            <v>ТЕХПРОМ Количество</v>
          </cell>
          <cell r="D1711">
            <v>1</v>
          </cell>
        </row>
        <row r="1712">
          <cell r="A1712">
            <v>58724345</v>
          </cell>
          <cell r="B1712" t="str">
            <v>ТЗБ СЕВЕРГАЗТОРГА</v>
          </cell>
          <cell r="C1712" t="str">
            <v>УХТА         (СЕВ)</v>
          </cell>
          <cell r="D1712">
            <v>32843</v>
          </cell>
          <cell r="E1712">
            <v>35457</v>
          </cell>
        </row>
        <row r="1713">
          <cell r="B1713" t="str">
            <v>ТЗБ СЕВЕРГАЗТОРГА Количество</v>
          </cell>
          <cell r="D1713">
            <v>1</v>
          </cell>
        </row>
        <row r="1714">
          <cell r="A1714">
            <v>53706743</v>
          </cell>
          <cell r="B1714" t="str">
            <v>ТОРГОВЫЙ ДОМ ТРИАДА</v>
          </cell>
          <cell r="C1714" t="str">
            <v>ПРИСАДЫ      (МСK)</v>
          </cell>
          <cell r="D1714">
            <v>33526</v>
          </cell>
          <cell r="F1714">
            <v>0</v>
          </cell>
          <cell r="H1714">
            <v>0</v>
          </cell>
          <cell r="I1714" t="str">
            <v>деп</v>
          </cell>
          <cell r="J1714">
            <v>34439</v>
          </cell>
        </row>
        <row r="1715">
          <cell r="A1715">
            <v>53706750</v>
          </cell>
          <cell r="B1715" t="str">
            <v>ТОРГОВЫЙ ДОМ ТРИАДА</v>
          </cell>
          <cell r="C1715" t="str">
            <v>ПРИСАДЫ      (МСK)</v>
          </cell>
          <cell r="D1715">
            <v>33522</v>
          </cell>
          <cell r="F1715">
            <v>0</v>
          </cell>
          <cell r="H1715">
            <v>0</v>
          </cell>
          <cell r="I1715" t="str">
            <v>деп</v>
          </cell>
          <cell r="J1715">
            <v>34435</v>
          </cell>
        </row>
        <row r="1716">
          <cell r="A1716">
            <v>58741554</v>
          </cell>
          <cell r="B1716" t="str">
            <v>ТОРГОВЫЙ ДОМ ТРИАДА</v>
          </cell>
          <cell r="C1716" t="str">
            <v>ПРИСАДЫ      (МСK)</v>
          </cell>
          <cell r="D1716">
            <v>33572</v>
          </cell>
          <cell r="F1716">
            <v>0</v>
          </cell>
          <cell r="H1716">
            <v>0</v>
          </cell>
          <cell r="I1716" t="str">
            <v>деп</v>
          </cell>
          <cell r="J1716">
            <v>34484</v>
          </cell>
        </row>
        <row r="1717">
          <cell r="A1717">
            <v>58741562</v>
          </cell>
          <cell r="B1717" t="str">
            <v>ТОРГОВЫЙ ДОМ ТРИАДА</v>
          </cell>
          <cell r="C1717" t="str">
            <v>ПРИСАДЫ      (МСK)</v>
          </cell>
          <cell r="D1717">
            <v>33571</v>
          </cell>
          <cell r="F1717">
            <v>0</v>
          </cell>
          <cell r="H1717">
            <v>0</v>
          </cell>
          <cell r="I1717" t="str">
            <v>деп</v>
          </cell>
          <cell r="J1717">
            <v>34483</v>
          </cell>
        </row>
        <row r="1718">
          <cell r="A1718">
            <v>58741570</v>
          </cell>
          <cell r="B1718" t="str">
            <v>ТОРГОВЫЙ ДОМ ТРИАДА</v>
          </cell>
          <cell r="C1718" t="str">
            <v>ПРИСАДЫ      (МСK)</v>
          </cell>
          <cell r="D1718">
            <v>33571</v>
          </cell>
          <cell r="F1718">
            <v>0</v>
          </cell>
          <cell r="H1718">
            <v>0</v>
          </cell>
          <cell r="I1718" t="str">
            <v>деп</v>
          </cell>
          <cell r="J1718">
            <v>34483</v>
          </cell>
        </row>
        <row r="1719">
          <cell r="A1719">
            <v>58741588</v>
          </cell>
          <cell r="B1719" t="str">
            <v>ТОРГОВЫЙ ДОМ ТРИАДА</v>
          </cell>
          <cell r="C1719" t="str">
            <v>ПРИСАДЫ      (МСK)</v>
          </cell>
          <cell r="D1719">
            <v>33571</v>
          </cell>
          <cell r="F1719">
            <v>0</v>
          </cell>
          <cell r="H1719">
            <v>0</v>
          </cell>
          <cell r="I1719" t="str">
            <v>деп</v>
          </cell>
          <cell r="J1719">
            <v>34483</v>
          </cell>
        </row>
        <row r="1720">
          <cell r="B1720" t="str">
            <v>ТОРГОВЫЙ ДОМ ТРИАДА Количество</v>
          </cell>
          <cell r="D1720">
            <v>6</v>
          </cell>
        </row>
        <row r="1721">
          <cell r="A1721">
            <v>58740473</v>
          </cell>
          <cell r="B1721" t="str">
            <v>ТРАНЗИТ ТК</v>
          </cell>
          <cell r="C1721" t="str">
            <v>КРАСНОЯРСК   (КРС)</v>
          </cell>
          <cell r="D1721">
            <v>32933</v>
          </cell>
          <cell r="E1721">
            <v>37775</v>
          </cell>
          <cell r="F1721">
            <v>634</v>
          </cell>
          <cell r="H1721">
            <v>0</v>
          </cell>
          <cell r="I1721" t="str">
            <v>деп</v>
          </cell>
          <cell r="J1721">
            <v>38324</v>
          </cell>
        </row>
        <row r="1722">
          <cell r="B1722" t="str">
            <v>ТРАНЗИТ ТК Количество</v>
          </cell>
          <cell r="D1722">
            <v>1</v>
          </cell>
        </row>
        <row r="1723">
          <cell r="A1723">
            <v>53400081</v>
          </cell>
          <cell r="B1723" t="str">
            <v>ТРАНС СЕКТОР</v>
          </cell>
          <cell r="C1723" t="str">
            <v>ЛОСИНООСТРОВ (МСK)</v>
          </cell>
          <cell r="D1723">
            <v>28430</v>
          </cell>
          <cell r="E1723">
            <v>37841</v>
          </cell>
          <cell r="F1723">
            <v>350</v>
          </cell>
          <cell r="G1723">
            <v>32426</v>
          </cell>
          <cell r="H1723">
            <v>840</v>
          </cell>
          <cell r="I1723" t="str">
            <v>деп</v>
          </cell>
          <cell r="J1723">
            <v>38391</v>
          </cell>
        </row>
        <row r="1724">
          <cell r="A1724">
            <v>53400107</v>
          </cell>
          <cell r="B1724" t="str">
            <v>ТРАНС СЕКТОР</v>
          </cell>
          <cell r="C1724" t="str">
            <v>ЛОСИНООСТРОВ (МСK)</v>
          </cell>
          <cell r="D1724">
            <v>28491</v>
          </cell>
          <cell r="E1724">
            <v>37938</v>
          </cell>
          <cell r="F1724">
            <v>350</v>
          </cell>
          <cell r="G1724">
            <v>33761</v>
          </cell>
          <cell r="H1724">
            <v>840</v>
          </cell>
          <cell r="I1724" t="str">
            <v>деп</v>
          </cell>
          <cell r="J1724">
            <v>38485</v>
          </cell>
        </row>
        <row r="1725">
          <cell r="A1725">
            <v>53400156</v>
          </cell>
          <cell r="B1725" t="str">
            <v>ТРАНС СЕКТОР</v>
          </cell>
          <cell r="C1725" t="str">
            <v>ЛОСИНООСТРОВ (МСK)</v>
          </cell>
          <cell r="D1725">
            <v>28399</v>
          </cell>
          <cell r="E1725">
            <v>37883</v>
          </cell>
          <cell r="F1725">
            <v>350</v>
          </cell>
          <cell r="G1725">
            <v>32458</v>
          </cell>
          <cell r="H1725">
            <v>840</v>
          </cell>
          <cell r="I1725" t="str">
            <v>деп</v>
          </cell>
          <cell r="J1725">
            <v>38430</v>
          </cell>
        </row>
        <row r="1726">
          <cell r="A1726">
            <v>53400180</v>
          </cell>
          <cell r="B1726" t="str">
            <v>ТРАНС СЕКТОР</v>
          </cell>
          <cell r="C1726" t="str">
            <v>ЛОСИНООСТРОВ (МСK)</v>
          </cell>
          <cell r="D1726">
            <v>28491</v>
          </cell>
          <cell r="E1726">
            <v>37894</v>
          </cell>
          <cell r="F1726">
            <v>350</v>
          </cell>
          <cell r="G1726">
            <v>32489</v>
          </cell>
          <cell r="H1726">
            <v>840</v>
          </cell>
          <cell r="I1726" t="str">
            <v>деп</v>
          </cell>
          <cell r="J1726">
            <v>38441</v>
          </cell>
        </row>
        <row r="1727">
          <cell r="A1727">
            <v>58730003</v>
          </cell>
          <cell r="B1727" t="str">
            <v>ТРАНС СЕКТОР</v>
          </cell>
          <cell r="C1727" t="str">
            <v>ЛОСИНООСТРОВ (МСK)</v>
          </cell>
          <cell r="D1727">
            <v>28430</v>
          </cell>
          <cell r="E1727">
            <v>37841</v>
          </cell>
          <cell r="F1727">
            <v>350</v>
          </cell>
          <cell r="G1727">
            <v>32426</v>
          </cell>
          <cell r="H1727">
            <v>840</v>
          </cell>
          <cell r="I1727" t="str">
            <v>деп</v>
          </cell>
          <cell r="J1727">
            <v>38391</v>
          </cell>
        </row>
        <row r="1728">
          <cell r="A1728">
            <v>58730011</v>
          </cell>
          <cell r="B1728" t="str">
            <v>ТРАНС СЕКТОР</v>
          </cell>
          <cell r="C1728" t="str">
            <v>ЛОСИНООСТРОВ (МСK)</v>
          </cell>
          <cell r="D1728">
            <v>28430</v>
          </cell>
          <cell r="E1728">
            <v>37841</v>
          </cell>
          <cell r="F1728">
            <v>350</v>
          </cell>
          <cell r="G1728">
            <v>32426</v>
          </cell>
          <cell r="H1728">
            <v>840</v>
          </cell>
          <cell r="I1728" t="str">
            <v>деп</v>
          </cell>
          <cell r="J1728">
            <v>38391</v>
          </cell>
        </row>
        <row r="1729">
          <cell r="A1729">
            <v>58730029</v>
          </cell>
          <cell r="B1729" t="str">
            <v>ТРАНС СЕКТОР</v>
          </cell>
          <cell r="C1729" t="str">
            <v>ЛОСИНООСТРОВ (МСK)</v>
          </cell>
          <cell r="D1729">
            <v>28430</v>
          </cell>
          <cell r="E1729">
            <v>37841</v>
          </cell>
          <cell r="F1729">
            <v>350</v>
          </cell>
          <cell r="G1729">
            <v>32426</v>
          </cell>
          <cell r="H1729">
            <v>840</v>
          </cell>
          <cell r="I1729" t="str">
            <v>деп</v>
          </cell>
          <cell r="J1729">
            <v>38391</v>
          </cell>
        </row>
        <row r="1730">
          <cell r="A1730">
            <v>58730037</v>
          </cell>
          <cell r="B1730" t="str">
            <v>ТРАНС СЕКТОР</v>
          </cell>
          <cell r="C1730" t="str">
            <v>ЛОСИНООСТРОВ (МСK)</v>
          </cell>
          <cell r="D1730">
            <v>28430</v>
          </cell>
          <cell r="E1730">
            <v>37841</v>
          </cell>
          <cell r="F1730">
            <v>350</v>
          </cell>
          <cell r="G1730">
            <v>32426</v>
          </cell>
          <cell r="H1730">
            <v>840</v>
          </cell>
          <cell r="I1730" t="str">
            <v>деп</v>
          </cell>
          <cell r="J1730">
            <v>38391</v>
          </cell>
        </row>
        <row r="1731">
          <cell r="A1731">
            <v>58730045</v>
          </cell>
          <cell r="B1731" t="str">
            <v>ТРАНС СЕКТОР</v>
          </cell>
          <cell r="C1731" t="str">
            <v>ЛОСИНООСТРОВ (МСK)</v>
          </cell>
          <cell r="D1731">
            <v>28491</v>
          </cell>
          <cell r="E1731">
            <v>37938</v>
          </cell>
          <cell r="F1731">
            <v>350</v>
          </cell>
          <cell r="G1731">
            <v>33761</v>
          </cell>
          <cell r="H1731">
            <v>840</v>
          </cell>
          <cell r="I1731" t="str">
            <v>деп</v>
          </cell>
          <cell r="J1731">
            <v>38485</v>
          </cell>
        </row>
        <row r="1732">
          <cell r="A1732">
            <v>58730052</v>
          </cell>
          <cell r="B1732" t="str">
            <v>ТРАНС СЕКТОР</v>
          </cell>
          <cell r="C1732" t="str">
            <v>ЛОСИНООСТРОВ (МСK)</v>
          </cell>
          <cell r="D1732">
            <v>28491</v>
          </cell>
          <cell r="E1732">
            <v>37938</v>
          </cell>
          <cell r="F1732">
            <v>350</v>
          </cell>
          <cell r="G1732">
            <v>33761</v>
          </cell>
          <cell r="H1732">
            <v>840</v>
          </cell>
          <cell r="I1732" t="str">
            <v>деп</v>
          </cell>
          <cell r="J1732">
            <v>38485</v>
          </cell>
        </row>
        <row r="1733">
          <cell r="A1733">
            <v>58730060</v>
          </cell>
          <cell r="B1733" t="str">
            <v>ТРАНС СЕКТОР</v>
          </cell>
          <cell r="C1733" t="str">
            <v>ЛОСИНООСТРОВ (МСK)</v>
          </cell>
          <cell r="D1733">
            <v>28491</v>
          </cell>
          <cell r="E1733">
            <v>37938</v>
          </cell>
          <cell r="F1733">
            <v>350</v>
          </cell>
          <cell r="G1733">
            <v>33761</v>
          </cell>
          <cell r="H1733">
            <v>840</v>
          </cell>
          <cell r="I1733" t="str">
            <v>деп</v>
          </cell>
          <cell r="J1733">
            <v>38485</v>
          </cell>
        </row>
        <row r="1734">
          <cell r="A1734">
            <v>58730078</v>
          </cell>
          <cell r="B1734" t="str">
            <v>ТРАНС СЕКТОР</v>
          </cell>
          <cell r="C1734" t="str">
            <v>ЛОСИНООСТРОВ (МСK)</v>
          </cell>
          <cell r="D1734">
            <v>28491</v>
          </cell>
          <cell r="E1734">
            <v>37938</v>
          </cell>
          <cell r="F1734">
            <v>350</v>
          </cell>
          <cell r="G1734">
            <v>33761</v>
          </cell>
          <cell r="H1734">
            <v>840</v>
          </cell>
          <cell r="I1734" t="str">
            <v>деп</v>
          </cell>
          <cell r="J1734">
            <v>38485</v>
          </cell>
        </row>
        <row r="1735">
          <cell r="A1735">
            <v>58730243</v>
          </cell>
          <cell r="B1735" t="str">
            <v>ТРАНС СЕКТОР</v>
          </cell>
          <cell r="C1735" t="str">
            <v>ЛОСИНООСТРОВ (МСK)</v>
          </cell>
          <cell r="D1735">
            <v>28399</v>
          </cell>
          <cell r="E1735">
            <v>37883</v>
          </cell>
          <cell r="F1735">
            <v>350</v>
          </cell>
          <cell r="G1735">
            <v>32458</v>
          </cell>
          <cell r="H1735">
            <v>840</v>
          </cell>
          <cell r="I1735" t="str">
            <v>деп</v>
          </cell>
          <cell r="J1735">
            <v>38430</v>
          </cell>
        </row>
        <row r="1736">
          <cell r="A1736">
            <v>58730250</v>
          </cell>
          <cell r="B1736" t="str">
            <v>ТРАНС СЕКТОР</v>
          </cell>
          <cell r="C1736" t="str">
            <v>ЛОСИНООСТРОВ (МСK)</v>
          </cell>
          <cell r="D1736">
            <v>28399</v>
          </cell>
          <cell r="E1736">
            <v>37883</v>
          </cell>
          <cell r="F1736">
            <v>350</v>
          </cell>
          <cell r="G1736">
            <v>32458</v>
          </cell>
          <cell r="H1736">
            <v>840</v>
          </cell>
          <cell r="I1736" t="str">
            <v>деп</v>
          </cell>
          <cell r="J1736">
            <v>38430</v>
          </cell>
        </row>
        <row r="1737">
          <cell r="A1737">
            <v>58730268</v>
          </cell>
          <cell r="B1737" t="str">
            <v>ТРАНС СЕКТОР</v>
          </cell>
          <cell r="C1737" t="str">
            <v>ЛОСИНООСТРОВ (МСK)</v>
          </cell>
          <cell r="D1737">
            <v>28399</v>
          </cell>
          <cell r="E1737">
            <v>37883</v>
          </cell>
          <cell r="F1737">
            <v>350</v>
          </cell>
          <cell r="G1737">
            <v>32458</v>
          </cell>
          <cell r="H1737">
            <v>840</v>
          </cell>
          <cell r="I1737" t="str">
            <v>деп</v>
          </cell>
          <cell r="J1737">
            <v>38430</v>
          </cell>
        </row>
        <row r="1738">
          <cell r="A1738">
            <v>58730276</v>
          </cell>
          <cell r="B1738" t="str">
            <v>ТРАНС СЕКТОР</v>
          </cell>
          <cell r="C1738" t="str">
            <v>ЛОСИНООСТРОВ (МСK)</v>
          </cell>
          <cell r="D1738">
            <v>28399</v>
          </cell>
          <cell r="E1738">
            <v>37883</v>
          </cell>
          <cell r="F1738">
            <v>350</v>
          </cell>
          <cell r="G1738">
            <v>32458</v>
          </cell>
          <cell r="H1738">
            <v>840</v>
          </cell>
          <cell r="I1738" t="str">
            <v>деп</v>
          </cell>
          <cell r="J1738">
            <v>38430</v>
          </cell>
        </row>
        <row r="1739">
          <cell r="A1739">
            <v>58730367</v>
          </cell>
          <cell r="B1739" t="str">
            <v>ТРАНС СЕКТОР</v>
          </cell>
          <cell r="C1739" t="str">
            <v>ЛОСИНООСТРОВ (МСK)</v>
          </cell>
          <cell r="D1739">
            <v>28491</v>
          </cell>
          <cell r="E1739">
            <v>37894</v>
          </cell>
          <cell r="F1739">
            <v>350</v>
          </cell>
          <cell r="G1739">
            <v>32489</v>
          </cell>
          <cell r="H1739">
            <v>840</v>
          </cell>
          <cell r="I1739" t="str">
            <v>деп</v>
          </cell>
          <cell r="J1739">
            <v>38441</v>
          </cell>
        </row>
        <row r="1740">
          <cell r="A1740">
            <v>58730375</v>
          </cell>
          <cell r="B1740" t="str">
            <v>ТРАНС СЕКТОР</v>
          </cell>
          <cell r="C1740" t="str">
            <v>ЛОСИНООСТРОВ (МСK)</v>
          </cell>
          <cell r="D1740">
            <v>28491</v>
          </cell>
          <cell r="E1740">
            <v>37894</v>
          </cell>
          <cell r="F1740">
            <v>350</v>
          </cell>
          <cell r="G1740">
            <v>32489</v>
          </cell>
          <cell r="H1740">
            <v>840</v>
          </cell>
          <cell r="I1740" t="str">
            <v>деп</v>
          </cell>
          <cell r="J1740">
            <v>38441</v>
          </cell>
        </row>
        <row r="1741">
          <cell r="A1741">
            <v>58730383</v>
          </cell>
          <cell r="B1741" t="str">
            <v>ТРАНС СЕКТОР</v>
          </cell>
          <cell r="C1741" t="str">
            <v>ЛОСИНООСТРОВ (МСK)</v>
          </cell>
          <cell r="D1741">
            <v>28491</v>
          </cell>
          <cell r="E1741">
            <v>37894</v>
          </cell>
          <cell r="F1741">
            <v>350</v>
          </cell>
          <cell r="G1741">
            <v>32489</v>
          </cell>
          <cell r="H1741">
            <v>840</v>
          </cell>
          <cell r="I1741" t="str">
            <v>деп</v>
          </cell>
          <cell r="J1741">
            <v>38441</v>
          </cell>
        </row>
        <row r="1742">
          <cell r="A1742">
            <v>58730391</v>
          </cell>
          <cell r="B1742" t="str">
            <v>ТРАНС СЕКТОР</v>
          </cell>
          <cell r="C1742" t="str">
            <v>ЛОСИНООСТРОВ (МСK)</v>
          </cell>
          <cell r="D1742">
            <v>28491</v>
          </cell>
          <cell r="E1742">
            <v>37894</v>
          </cell>
          <cell r="F1742">
            <v>350</v>
          </cell>
          <cell r="G1742">
            <v>32489</v>
          </cell>
          <cell r="H1742">
            <v>840</v>
          </cell>
          <cell r="I1742" t="str">
            <v>деп</v>
          </cell>
          <cell r="J1742">
            <v>38441</v>
          </cell>
        </row>
        <row r="1743">
          <cell r="B1743" t="str">
            <v>ТРАНС СЕКТОР Количество</v>
          </cell>
          <cell r="D1743">
            <v>20</v>
          </cell>
        </row>
        <row r="1744">
          <cell r="A1744">
            <v>58332818</v>
          </cell>
          <cell r="B1744" t="str">
            <v>ТРАНССЕРВИСГРУЗ МОСАВТОДОР</v>
          </cell>
          <cell r="C1744" t="str">
            <v>НАУГОЛЬНЫЙ   (МСK)</v>
          </cell>
          <cell r="D1744">
            <v>31717</v>
          </cell>
          <cell r="E1744">
            <v>37733</v>
          </cell>
          <cell r="F1744">
            <v>350</v>
          </cell>
          <cell r="G1744">
            <v>35776</v>
          </cell>
          <cell r="I1744" t="str">
            <v>деп</v>
          </cell>
          <cell r="J1744">
            <v>38464</v>
          </cell>
        </row>
        <row r="1745">
          <cell r="B1745" t="str">
            <v>ТРАНССЕРВИСГРУЗ МОСАВТОДОР Количество</v>
          </cell>
          <cell r="D1745">
            <v>1</v>
          </cell>
        </row>
        <row r="1746">
          <cell r="A1746">
            <v>53701900</v>
          </cell>
          <cell r="B1746" t="str">
            <v>ТРАНССИБ ТК</v>
          </cell>
          <cell r="C1746" t="str">
            <v>КУШЕЛЕВКА    (ОКТ)</v>
          </cell>
          <cell r="D1746">
            <v>33914</v>
          </cell>
          <cell r="E1746">
            <v>37680</v>
          </cell>
          <cell r="F1746">
            <v>321</v>
          </cell>
          <cell r="H1746">
            <v>0</v>
          </cell>
          <cell r="I1746" t="str">
            <v>деп</v>
          </cell>
          <cell r="J1746">
            <v>38227</v>
          </cell>
        </row>
        <row r="1747">
          <cell r="B1747" t="str">
            <v>ТРАНССИБ ТК Количество</v>
          </cell>
          <cell r="D1747">
            <v>1</v>
          </cell>
        </row>
        <row r="1748">
          <cell r="A1748">
            <v>53700159</v>
          </cell>
          <cell r="B1748" t="str">
            <v>ТРАНССТРОЙМЕХАНИЗАЦИЯ</v>
          </cell>
          <cell r="C1748" t="str">
            <v>ЛЮБЛИНО-СОРТ (МСK)</v>
          </cell>
          <cell r="D1748">
            <v>32874</v>
          </cell>
          <cell r="E1748">
            <v>35020</v>
          </cell>
        </row>
        <row r="1749">
          <cell r="A1749">
            <v>53701017</v>
          </cell>
          <cell r="B1749" t="str">
            <v>ТРАНССТРОЙМЕХАНИЗАЦИЯ</v>
          </cell>
          <cell r="C1749" t="str">
            <v>ЛЮБЛИНО-СОРТ (МСK)</v>
          </cell>
          <cell r="D1749">
            <v>25934</v>
          </cell>
          <cell r="E1749">
            <v>35396</v>
          </cell>
          <cell r="G1749">
            <v>33430</v>
          </cell>
          <cell r="I1749" t="str">
            <v>деп</v>
          </cell>
          <cell r="J1749">
            <v>36491</v>
          </cell>
        </row>
        <row r="1750">
          <cell r="A1750">
            <v>53701447</v>
          </cell>
          <cell r="B1750" t="str">
            <v>ТРАНССТРОЙМЕХАНИЗАЦИЯ</v>
          </cell>
          <cell r="C1750" t="str">
            <v>ЛЮБЛИНО-СОРТ (МСK)</v>
          </cell>
          <cell r="D1750">
            <v>24473</v>
          </cell>
          <cell r="E1750">
            <v>34939</v>
          </cell>
          <cell r="I1750" t="str">
            <v>деп</v>
          </cell>
          <cell r="J1750">
            <v>36035</v>
          </cell>
        </row>
        <row r="1751">
          <cell r="A1751">
            <v>53706701</v>
          </cell>
          <cell r="B1751" t="str">
            <v>ТРАНССТРОЙМЕХАНИЗАЦИЯ</v>
          </cell>
          <cell r="C1751" t="str">
            <v>ЛЮБЛИНО-СОРТ (МСK)</v>
          </cell>
          <cell r="D1751">
            <v>31472</v>
          </cell>
          <cell r="E1751">
            <v>37693</v>
          </cell>
          <cell r="F1751">
            <v>333</v>
          </cell>
          <cell r="H1751">
            <v>0</v>
          </cell>
          <cell r="I1751" t="str">
            <v>деп</v>
          </cell>
          <cell r="J1751">
            <v>32387</v>
          </cell>
        </row>
        <row r="1752">
          <cell r="B1752" t="str">
            <v>ТРАНССТРОЙМЕХАНИЗАЦИЯ Количество</v>
          </cell>
          <cell r="D1752">
            <v>4</v>
          </cell>
        </row>
        <row r="1753">
          <cell r="A1753">
            <v>53701371</v>
          </cell>
          <cell r="B1753" t="str">
            <v>ТУЛАВТОДОР НОВОМОСК.ДРСУ</v>
          </cell>
          <cell r="C1753" t="str">
            <v>УРВАНКА      (МСK)</v>
          </cell>
          <cell r="D1753">
            <v>28157</v>
          </cell>
          <cell r="E1753">
            <v>34637</v>
          </cell>
        </row>
        <row r="1754">
          <cell r="A1754">
            <v>53701389</v>
          </cell>
          <cell r="B1754" t="str">
            <v>ТУЛАВТОДОР НОВОМОСК.ДРСУ</v>
          </cell>
          <cell r="C1754" t="str">
            <v>УРВАНКА      (МСK)</v>
          </cell>
          <cell r="D1754">
            <v>28157</v>
          </cell>
          <cell r="E1754">
            <v>34637</v>
          </cell>
        </row>
        <row r="1755">
          <cell r="B1755" t="str">
            <v>ТУЛАВТОДОР НОВОМОСК.ДРСУ Количество</v>
          </cell>
          <cell r="D1755">
            <v>2</v>
          </cell>
        </row>
        <row r="1756">
          <cell r="A1756">
            <v>53706008</v>
          </cell>
          <cell r="B1756" t="str">
            <v>ТЫНДИНСК.ОТДЕЛ ДОРС</v>
          </cell>
          <cell r="C1756" t="str">
            <v>ТЫНДА        (ДВС)</v>
          </cell>
          <cell r="D1756">
            <v>33749</v>
          </cell>
          <cell r="F1756">
            <v>0</v>
          </cell>
          <cell r="H1756">
            <v>0</v>
          </cell>
          <cell r="I1756" t="str">
            <v>деп</v>
          </cell>
          <cell r="J1756">
            <v>34663</v>
          </cell>
        </row>
        <row r="1757">
          <cell r="A1757">
            <v>58725599</v>
          </cell>
          <cell r="B1757" t="str">
            <v>ТЫНДИНСК.ОТДЕЛ ДОРС</v>
          </cell>
          <cell r="C1757" t="str">
            <v>ТЫНДА        (ДВС)</v>
          </cell>
          <cell r="D1757">
            <v>33751</v>
          </cell>
          <cell r="F1757">
            <v>0</v>
          </cell>
          <cell r="H1757">
            <v>0</v>
          </cell>
          <cell r="I1757" t="str">
            <v>деп</v>
          </cell>
          <cell r="J1757">
            <v>34665</v>
          </cell>
        </row>
        <row r="1758">
          <cell r="A1758">
            <v>58729815</v>
          </cell>
          <cell r="B1758" t="str">
            <v>ТЫНДИНСК.ОТДЕЛ ДОРС</v>
          </cell>
          <cell r="C1758" t="str">
            <v>ТЫНДА        (ДВС)</v>
          </cell>
          <cell r="D1758">
            <v>33751</v>
          </cell>
          <cell r="F1758">
            <v>0</v>
          </cell>
          <cell r="H1758">
            <v>0</v>
          </cell>
          <cell r="I1758" t="str">
            <v>деп</v>
          </cell>
          <cell r="J1758">
            <v>34665</v>
          </cell>
        </row>
        <row r="1759">
          <cell r="A1759">
            <v>58729823</v>
          </cell>
          <cell r="B1759" t="str">
            <v>ТЫНДИНСК.ОТДЕЛ ДОРС</v>
          </cell>
          <cell r="C1759" t="str">
            <v>ТЫНДА        (ДВС)</v>
          </cell>
          <cell r="D1759">
            <v>33751</v>
          </cell>
          <cell r="F1759">
            <v>0</v>
          </cell>
          <cell r="H1759">
            <v>0</v>
          </cell>
          <cell r="I1759" t="str">
            <v>деп</v>
          </cell>
          <cell r="J1759">
            <v>34665</v>
          </cell>
        </row>
        <row r="1760">
          <cell r="A1760">
            <v>58729831</v>
          </cell>
          <cell r="B1760" t="str">
            <v>ТЫНДИНСК.ОТДЕЛ ДОРС</v>
          </cell>
          <cell r="C1760" t="str">
            <v>ТЫНДА        (ДВС)</v>
          </cell>
          <cell r="D1760">
            <v>33751</v>
          </cell>
          <cell r="F1760">
            <v>0</v>
          </cell>
          <cell r="H1760">
            <v>0</v>
          </cell>
          <cell r="I1760" t="str">
            <v>деп</v>
          </cell>
          <cell r="J1760">
            <v>34665</v>
          </cell>
        </row>
        <row r="1761">
          <cell r="B1761" t="str">
            <v>ТЫНДИНСК.ОТДЕЛ ДОРС Количество</v>
          </cell>
          <cell r="D1761">
            <v>5</v>
          </cell>
        </row>
        <row r="1762">
          <cell r="A1762">
            <v>53701728</v>
          </cell>
          <cell r="B1762" t="str">
            <v>ТЭК ТРАНСРЕСУРС-К</v>
          </cell>
          <cell r="C1762" t="str">
            <v>СВЕРДЛВСК-ТВ (СВР)</v>
          </cell>
          <cell r="D1762">
            <v>33792</v>
          </cell>
          <cell r="E1762">
            <v>37531</v>
          </cell>
          <cell r="F1762">
            <v>819</v>
          </cell>
          <cell r="H1762">
            <v>0</v>
          </cell>
          <cell r="I1762" t="str">
            <v>деп</v>
          </cell>
          <cell r="J1762">
            <v>38079</v>
          </cell>
        </row>
        <row r="1763">
          <cell r="A1763">
            <v>58740218</v>
          </cell>
          <cell r="B1763" t="str">
            <v>ТЭК ТРАНСРЕСУРС-К</v>
          </cell>
          <cell r="C1763" t="str">
            <v>СВЕРДЛВСК-ТВ (СВР)</v>
          </cell>
          <cell r="D1763">
            <v>33792</v>
          </cell>
          <cell r="E1763">
            <v>37531</v>
          </cell>
          <cell r="F1763">
            <v>819</v>
          </cell>
          <cell r="H1763">
            <v>0</v>
          </cell>
          <cell r="I1763" t="str">
            <v>деп</v>
          </cell>
          <cell r="J1763">
            <v>38079</v>
          </cell>
        </row>
        <row r="1764">
          <cell r="A1764">
            <v>58740226</v>
          </cell>
          <cell r="B1764" t="str">
            <v>ТЭК ТРАНСРЕСУРС-К</v>
          </cell>
          <cell r="C1764" t="str">
            <v>СВЕРДЛВСК-ТВ (СВР)</v>
          </cell>
          <cell r="D1764">
            <v>33792</v>
          </cell>
          <cell r="E1764">
            <v>37531</v>
          </cell>
          <cell r="F1764">
            <v>819</v>
          </cell>
          <cell r="H1764">
            <v>0</v>
          </cell>
          <cell r="I1764" t="str">
            <v>деп</v>
          </cell>
          <cell r="J1764">
            <v>38079</v>
          </cell>
        </row>
        <row r="1765">
          <cell r="A1765">
            <v>58740234</v>
          </cell>
          <cell r="B1765" t="str">
            <v>ТЭК ТРАНСРЕСУРС-К</v>
          </cell>
          <cell r="C1765" t="str">
            <v>СВЕРДЛВСК-ТВ (СВР)</v>
          </cell>
          <cell r="D1765">
            <v>33792</v>
          </cell>
          <cell r="E1765">
            <v>37531</v>
          </cell>
          <cell r="F1765">
            <v>819</v>
          </cell>
          <cell r="H1765">
            <v>0</v>
          </cell>
          <cell r="I1765" t="str">
            <v>деп</v>
          </cell>
          <cell r="J1765">
            <v>38079</v>
          </cell>
        </row>
        <row r="1766">
          <cell r="A1766">
            <v>58740242</v>
          </cell>
          <cell r="B1766" t="str">
            <v>ТЭК ТРАНСРЕСУРС-К</v>
          </cell>
          <cell r="C1766" t="str">
            <v>СВЕРДЛВСК-ТВ (СВР)</v>
          </cell>
          <cell r="D1766">
            <v>33792</v>
          </cell>
          <cell r="E1766">
            <v>37531</v>
          </cell>
          <cell r="F1766">
            <v>819</v>
          </cell>
          <cell r="H1766">
            <v>0</v>
          </cell>
          <cell r="I1766" t="str">
            <v>деп</v>
          </cell>
          <cell r="J1766">
            <v>38079</v>
          </cell>
        </row>
        <row r="1767">
          <cell r="B1767" t="str">
            <v>ТЭК ТРАНСРЕСУРС-К Количество</v>
          </cell>
          <cell r="D1767">
            <v>5</v>
          </cell>
        </row>
        <row r="1768">
          <cell r="A1768">
            <v>53704284</v>
          </cell>
          <cell r="B1768" t="str">
            <v>УЖДТ 1 СМТ</v>
          </cell>
          <cell r="C1768" t="str">
            <v>БИРЮЛЕВО-ТОВ (МСK)</v>
          </cell>
          <cell r="D1768">
            <v>27395</v>
          </cell>
          <cell r="E1768">
            <v>37578</v>
          </cell>
          <cell r="F1768">
            <v>350</v>
          </cell>
          <cell r="G1768">
            <v>34243</v>
          </cell>
          <cell r="I1768" t="str">
            <v>деп</v>
          </cell>
          <cell r="J1768">
            <v>38674</v>
          </cell>
        </row>
        <row r="1769">
          <cell r="B1769" t="str">
            <v>УЖДТ 1 СМТ Количество</v>
          </cell>
          <cell r="D1769">
            <v>1</v>
          </cell>
        </row>
        <row r="1770">
          <cell r="A1770">
            <v>58331257</v>
          </cell>
          <cell r="B1770" t="str">
            <v>УКРАИНА ЧАСТНАЯ ФИРМА</v>
          </cell>
          <cell r="C1770" t="str">
            <v>ВАНИНО       (ДВС)</v>
          </cell>
          <cell r="D1770">
            <v>31778</v>
          </cell>
          <cell r="E1770">
            <v>34379</v>
          </cell>
          <cell r="I1770" t="str">
            <v>кап</v>
          </cell>
          <cell r="J1770">
            <v>35109</v>
          </cell>
        </row>
        <row r="1771">
          <cell r="A1771">
            <v>58332305</v>
          </cell>
          <cell r="B1771" t="str">
            <v>УКРАИНА ЧАСТНАЯ ФИРМА</v>
          </cell>
          <cell r="C1771" t="str">
            <v>ВАНИНО       (ДВС)</v>
          </cell>
          <cell r="D1771">
            <v>31048</v>
          </cell>
          <cell r="E1771">
            <v>36661</v>
          </cell>
          <cell r="F1771">
            <v>163</v>
          </cell>
          <cell r="I1771" t="str">
            <v>кап</v>
          </cell>
          <cell r="J1771">
            <v>37391</v>
          </cell>
        </row>
        <row r="1772">
          <cell r="B1772" t="str">
            <v>УКРАИНА ЧАСТНАЯ ФИРМА Количество</v>
          </cell>
          <cell r="D1772">
            <v>2</v>
          </cell>
        </row>
        <row r="1773">
          <cell r="A1773">
            <v>53703682</v>
          </cell>
          <cell r="B1773" t="str">
            <v>УПТК АВТОДОРСТРОЙТРЕСТА-3</v>
          </cell>
          <cell r="C1773" t="str">
            <v>РУМЯНЦЕВО    (МСK)</v>
          </cell>
          <cell r="D1773">
            <v>24862</v>
          </cell>
          <cell r="E1773">
            <v>34326</v>
          </cell>
          <cell r="G1773">
            <v>32067</v>
          </cell>
        </row>
        <row r="1774">
          <cell r="B1774" t="str">
            <v>УПТК АВТОДОРСТРОЙТРЕСТА-3 Количество</v>
          </cell>
          <cell r="D1774">
            <v>1</v>
          </cell>
        </row>
        <row r="1775">
          <cell r="A1775">
            <v>53703708</v>
          </cell>
          <cell r="B1775" t="str">
            <v>УПТК БАШКИРАВТОДОРА</v>
          </cell>
          <cell r="C1775" t="str">
            <v>УРШАК        (КБШ)</v>
          </cell>
          <cell r="D1775">
            <v>34151</v>
          </cell>
          <cell r="E1775">
            <v>35810</v>
          </cell>
          <cell r="G1775">
            <v>37481</v>
          </cell>
          <cell r="H1775">
            <v>594</v>
          </cell>
          <cell r="I1775" t="str">
            <v>деп</v>
          </cell>
          <cell r="J1775">
            <v>38577</v>
          </cell>
        </row>
        <row r="1776">
          <cell r="A1776">
            <v>53703716</v>
          </cell>
          <cell r="B1776" t="str">
            <v>УПТК БАШКИРАВТОДОРА</v>
          </cell>
          <cell r="C1776" t="str">
            <v>УРШАК        (КБШ)</v>
          </cell>
          <cell r="D1776">
            <v>34151</v>
          </cell>
          <cell r="E1776">
            <v>35850</v>
          </cell>
          <cell r="G1776">
            <v>37460</v>
          </cell>
          <cell r="H1776">
            <v>600</v>
          </cell>
          <cell r="I1776" t="str">
            <v>деп</v>
          </cell>
          <cell r="J1776">
            <v>38556</v>
          </cell>
        </row>
        <row r="1777">
          <cell r="B1777" t="str">
            <v>УПТК БАШКИРАВТОДОРА Количество</v>
          </cell>
          <cell r="D1777">
            <v>2</v>
          </cell>
        </row>
        <row r="1778">
          <cell r="A1778">
            <v>53703534</v>
          </cell>
          <cell r="B1778" t="str">
            <v>УРГУПС</v>
          </cell>
          <cell r="C1778" t="str">
            <v>СВЕРДЛВСК-СР (СВР)</v>
          </cell>
          <cell r="D1778">
            <v>28985</v>
          </cell>
          <cell r="E1778">
            <v>37479</v>
          </cell>
          <cell r="F1778">
            <v>579</v>
          </cell>
          <cell r="G1778">
            <v>33067</v>
          </cell>
          <cell r="H1778">
            <v>120</v>
          </cell>
          <cell r="I1778" t="str">
            <v>деп</v>
          </cell>
          <cell r="J1778">
            <v>38028</v>
          </cell>
        </row>
        <row r="1779">
          <cell r="A1779">
            <v>53704474</v>
          </cell>
          <cell r="B1779" t="str">
            <v>УРГУПС</v>
          </cell>
          <cell r="C1779" t="str">
            <v>СВЕРДЛВСК-СР (СВР)</v>
          </cell>
          <cell r="D1779">
            <v>27334</v>
          </cell>
          <cell r="E1779">
            <v>37923</v>
          </cell>
          <cell r="F1779">
            <v>819</v>
          </cell>
          <cell r="G1779">
            <v>34810</v>
          </cell>
          <cell r="H1779">
            <v>105</v>
          </cell>
          <cell r="I1779" t="str">
            <v>деп</v>
          </cell>
          <cell r="J1779">
            <v>38471</v>
          </cell>
        </row>
        <row r="1780">
          <cell r="A1780">
            <v>53704482</v>
          </cell>
          <cell r="B1780" t="str">
            <v>УРГУПС</v>
          </cell>
          <cell r="C1780" t="str">
            <v>СВЕРДЛВСК-СР (СВР)</v>
          </cell>
          <cell r="D1780">
            <v>27303</v>
          </cell>
          <cell r="E1780">
            <v>37579</v>
          </cell>
          <cell r="F1780">
            <v>579</v>
          </cell>
          <cell r="G1780">
            <v>34850</v>
          </cell>
          <cell r="I1780" t="str">
            <v>деп</v>
          </cell>
          <cell r="J1780">
            <v>38675</v>
          </cell>
        </row>
        <row r="1781">
          <cell r="A1781">
            <v>53704508</v>
          </cell>
          <cell r="B1781" t="str">
            <v>УРГУПС</v>
          </cell>
          <cell r="C1781" t="str">
            <v>СВЕРДЛВСК-СР (СВР)</v>
          </cell>
          <cell r="D1781">
            <v>28199</v>
          </cell>
          <cell r="E1781">
            <v>37594</v>
          </cell>
          <cell r="F1781">
            <v>579</v>
          </cell>
          <cell r="G1781">
            <v>34819</v>
          </cell>
          <cell r="H1781">
            <v>105</v>
          </cell>
          <cell r="I1781" t="str">
            <v>деп</v>
          </cell>
          <cell r="J1781">
            <v>38142</v>
          </cell>
        </row>
        <row r="1782">
          <cell r="A1782">
            <v>53704771</v>
          </cell>
          <cell r="B1782" t="str">
            <v>УРГУПС</v>
          </cell>
          <cell r="C1782" t="str">
            <v>СВЕРДЛВСК-СР (СВР)</v>
          </cell>
          <cell r="D1782">
            <v>29504</v>
          </cell>
          <cell r="E1782">
            <v>37546</v>
          </cell>
          <cell r="F1782">
            <v>579</v>
          </cell>
          <cell r="G1782">
            <v>33689</v>
          </cell>
          <cell r="H1782">
            <v>0</v>
          </cell>
          <cell r="I1782" t="str">
            <v>деп</v>
          </cell>
          <cell r="J1782">
            <v>38642</v>
          </cell>
        </row>
        <row r="1783">
          <cell r="A1783">
            <v>53704789</v>
          </cell>
          <cell r="B1783" t="str">
            <v>УРГУПС</v>
          </cell>
          <cell r="C1783" t="str">
            <v>СВЕРДЛВСК-СР (СВР)</v>
          </cell>
          <cell r="D1783">
            <v>29504</v>
          </cell>
          <cell r="E1783">
            <v>37627</v>
          </cell>
          <cell r="F1783">
            <v>579</v>
          </cell>
          <cell r="G1783">
            <v>33689</v>
          </cell>
          <cell r="H1783">
            <v>0</v>
          </cell>
          <cell r="I1783" t="str">
            <v>деп</v>
          </cell>
          <cell r="J1783">
            <v>38723</v>
          </cell>
        </row>
        <row r="1784">
          <cell r="A1784">
            <v>53704805</v>
          </cell>
          <cell r="B1784" t="str">
            <v>УРГУПС</v>
          </cell>
          <cell r="C1784" t="str">
            <v>СВЕРДЛВСК-СР (СВР)</v>
          </cell>
          <cell r="D1784">
            <v>31990</v>
          </cell>
          <cell r="E1784">
            <v>37672</v>
          </cell>
          <cell r="F1784">
            <v>579</v>
          </cell>
          <cell r="G1784">
            <v>33689</v>
          </cell>
          <cell r="H1784">
            <v>0</v>
          </cell>
          <cell r="I1784" t="str">
            <v>кап</v>
          </cell>
          <cell r="J1784">
            <v>38768</v>
          </cell>
        </row>
        <row r="1785">
          <cell r="A1785">
            <v>53705562</v>
          </cell>
          <cell r="B1785" t="str">
            <v>УРГУПС</v>
          </cell>
          <cell r="C1785" t="str">
            <v>СВЕРДЛВСК-СР (СВР)</v>
          </cell>
          <cell r="D1785">
            <v>28590</v>
          </cell>
          <cell r="E1785">
            <v>37613</v>
          </cell>
          <cell r="F1785">
            <v>579</v>
          </cell>
          <cell r="G1785">
            <v>32720</v>
          </cell>
          <cell r="H1785">
            <v>120</v>
          </cell>
          <cell r="I1785" t="str">
            <v>деп</v>
          </cell>
          <cell r="J1785">
            <v>38709</v>
          </cell>
        </row>
        <row r="1786">
          <cell r="A1786">
            <v>53705570</v>
          </cell>
          <cell r="B1786" t="str">
            <v>УРГУПС</v>
          </cell>
          <cell r="C1786" t="str">
            <v>СВЕРДЛВСК-СР (СВР)</v>
          </cell>
          <cell r="D1786">
            <v>28590</v>
          </cell>
          <cell r="E1786">
            <v>37767</v>
          </cell>
          <cell r="F1786">
            <v>579</v>
          </cell>
          <cell r="G1786">
            <v>35243</v>
          </cell>
          <cell r="H1786">
            <v>105</v>
          </cell>
          <cell r="I1786" t="str">
            <v>деп</v>
          </cell>
          <cell r="J1786">
            <v>38317</v>
          </cell>
        </row>
        <row r="1787">
          <cell r="A1787">
            <v>53705588</v>
          </cell>
          <cell r="B1787" t="str">
            <v>УРГУПС</v>
          </cell>
          <cell r="C1787" t="str">
            <v>СВЕРДЛВСК-СР (СВР)</v>
          </cell>
          <cell r="D1787">
            <v>30418</v>
          </cell>
          <cell r="E1787">
            <v>37395</v>
          </cell>
          <cell r="F1787">
            <v>579</v>
          </cell>
          <cell r="G1787">
            <v>37965</v>
          </cell>
          <cell r="H1787">
            <v>819</v>
          </cell>
          <cell r="I1787" t="str">
            <v>деп</v>
          </cell>
          <cell r="J1787">
            <v>38513</v>
          </cell>
        </row>
        <row r="1788">
          <cell r="A1788">
            <v>53705604</v>
          </cell>
          <cell r="B1788" t="str">
            <v>УРГУПС</v>
          </cell>
          <cell r="C1788" t="str">
            <v>СВЕРДЛВСК-СР (СВР)</v>
          </cell>
          <cell r="D1788">
            <v>32030</v>
          </cell>
          <cell r="E1788">
            <v>37411</v>
          </cell>
          <cell r="F1788">
            <v>579</v>
          </cell>
          <cell r="G1788">
            <v>37984</v>
          </cell>
          <cell r="H1788">
            <v>819</v>
          </cell>
          <cell r="I1788" t="str">
            <v>деп</v>
          </cell>
          <cell r="J1788">
            <v>38532</v>
          </cell>
        </row>
        <row r="1789">
          <cell r="A1789">
            <v>53705612</v>
          </cell>
          <cell r="B1789" t="str">
            <v>УРГУПС</v>
          </cell>
          <cell r="C1789" t="str">
            <v>СВЕРДЛВСК-СР (СВР)</v>
          </cell>
          <cell r="D1789">
            <v>31999</v>
          </cell>
          <cell r="E1789">
            <v>37443</v>
          </cell>
          <cell r="F1789">
            <v>579</v>
          </cell>
          <cell r="H1789">
            <v>0</v>
          </cell>
          <cell r="I1789" t="str">
            <v>кап</v>
          </cell>
          <cell r="J1789">
            <v>37992</v>
          </cell>
        </row>
        <row r="1790">
          <cell r="A1790">
            <v>53705620</v>
          </cell>
          <cell r="B1790" t="str">
            <v>УРГУПС</v>
          </cell>
          <cell r="C1790" t="str">
            <v>СВЕРДЛВСК-СР (СВР)</v>
          </cell>
          <cell r="D1790">
            <v>30722</v>
          </cell>
          <cell r="E1790">
            <v>37471</v>
          </cell>
          <cell r="F1790">
            <v>579</v>
          </cell>
          <cell r="H1790">
            <v>0</v>
          </cell>
          <cell r="I1790" t="str">
            <v>кап</v>
          </cell>
          <cell r="J1790">
            <v>38020</v>
          </cell>
        </row>
        <row r="1791">
          <cell r="A1791">
            <v>53705638</v>
          </cell>
          <cell r="B1791" t="str">
            <v>УРГУПС</v>
          </cell>
          <cell r="C1791" t="str">
            <v>СВЕРДЛВСК-СР (СВР)</v>
          </cell>
          <cell r="D1791">
            <v>31999</v>
          </cell>
          <cell r="E1791">
            <v>37697</v>
          </cell>
          <cell r="F1791">
            <v>579</v>
          </cell>
          <cell r="H1791">
            <v>0</v>
          </cell>
          <cell r="I1791" t="str">
            <v>кап</v>
          </cell>
          <cell r="J1791">
            <v>38793</v>
          </cell>
        </row>
        <row r="1792">
          <cell r="A1792">
            <v>53705646</v>
          </cell>
          <cell r="B1792" t="str">
            <v>УРГУПС</v>
          </cell>
          <cell r="C1792" t="str">
            <v>СВЕРДЛВСК-СР (СВР)</v>
          </cell>
          <cell r="D1792">
            <v>28590</v>
          </cell>
          <cell r="E1792">
            <v>36877</v>
          </cell>
          <cell r="F1792">
            <v>579</v>
          </cell>
          <cell r="G1792">
            <v>37599</v>
          </cell>
          <cell r="H1792">
            <v>819</v>
          </cell>
          <cell r="I1792" t="str">
            <v>деп</v>
          </cell>
          <cell r="J1792">
            <v>38695</v>
          </cell>
        </row>
        <row r="1793">
          <cell r="A1793">
            <v>53705653</v>
          </cell>
          <cell r="B1793" t="str">
            <v>УРГУПС</v>
          </cell>
          <cell r="C1793" t="str">
            <v>СВЕРДЛВСК-СР (СВР)</v>
          </cell>
          <cell r="D1793">
            <v>31999</v>
          </cell>
          <cell r="E1793">
            <v>37360</v>
          </cell>
          <cell r="F1793">
            <v>579</v>
          </cell>
          <cell r="G1793">
            <v>37906</v>
          </cell>
          <cell r="H1793">
            <v>819</v>
          </cell>
          <cell r="I1793" t="str">
            <v>деп</v>
          </cell>
          <cell r="J1793">
            <v>38454</v>
          </cell>
        </row>
        <row r="1794">
          <cell r="A1794">
            <v>53706255</v>
          </cell>
          <cell r="B1794" t="str">
            <v>УРГУПС</v>
          </cell>
          <cell r="C1794" t="str">
            <v>СВЕРДЛВСК-СР (СВР)</v>
          </cell>
          <cell r="D1794">
            <v>28194</v>
          </cell>
          <cell r="E1794">
            <v>36496</v>
          </cell>
          <cell r="F1794">
            <v>579</v>
          </cell>
          <cell r="G1794">
            <v>37584</v>
          </cell>
          <cell r="H1794">
            <v>819</v>
          </cell>
          <cell r="I1794" t="str">
            <v>деп</v>
          </cell>
          <cell r="J1794">
            <v>38131</v>
          </cell>
        </row>
        <row r="1795">
          <cell r="A1795">
            <v>53706263</v>
          </cell>
          <cell r="B1795" t="str">
            <v>УРГУПС</v>
          </cell>
          <cell r="C1795" t="str">
            <v>СВЕРДЛВСК-СР (СВР)</v>
          </cell>
          <cell r="D1795">
            <v>27613</v>
          </cell>
          <cell r="E1795">
            <v>37544</v>
          </cell>
          <cell r="F1795">
            <v>579</v>
          </cell>
          <cell r="G1795">
            <v>34335</v>
          </cell>
          <cell r="H1795">
            <v>579</v>
          </cell>
          <cell r="I1795" t="str">
            <v>деп</v>
          </cell>
          <cell r="J1795">
            <v>38092</v>
          </cell>
        </row>
        <row r="1796">
          <cell r="A1796">
            <v>53706271</v>
          </cell>
          <cell r="B1796" t="str">
            <v>УРГУПС</v>
          </cell>
          <cell r="C1796" t="str">
            <v>СВЕРДЛВСК-СР (СВР)</v>
          </cell>
          <cell r="D1796">
            <v>26981</v>
          </cell>
          <cell r="E1796">
            <v>37518</v>
          </cell>
          <cell r="F1796">
            <v>579</v>
          </cell>
          <cell r="G1796">
            <v>32874</v>
          </cell>
          <cell r="H1796">
            <v>579</v>
          </cell>
          <cell r="I1796" t="str">
            <v>деп</v>
          </cell>
          <cell r="J1796">
            <v>38065</v>
          </cell>
        </row>
        <row r="1797">
          <cell r="B1797" t="str">
            <v>УРГУПС Количество</v>
          </cell>
          <cell r="D1797">
            <v>19</v>
          </cell>
        </row>
        <row r="1798">
          <cell r="A1798">
            <v>53703625</v>
          </cell>
          <cell r="B1798" t="str">
            <v>УТЕС ЛТД КРАСНОЯРСК.ПРЕДПР</v>
          </cell>
          <cell r="C1798" t="str">
            <v>ЗЛОБИНО      (КРС)</v>
          </cell>
          <cell r="D1798">
            <v>33604</v>
          </cell>
          <cell r="E1798">
            <v>37620</v>
          </cell>
          <cell r="F1798">
            <v>635</v>
          </cell>
          <cell r="I1798" t="str">
            <v>кап</v>
          </cell>
          <cell r="J1798">
            <v>38716</v>
          </cell>
        </row>
        <row r="1799">
          <cell r="B1799" t="str">
            <v>УТЕС ЛТД КРАСНОЯРСК.ПРЕДПР Количество</v>
          </cell>
          <cell r="D1799">
            <v>1</v>
          </cell>
        </row>
        <row r="1800">
          <cell r="A1800">
            <v>53703385</v>
          </cell>
          <cell r="B1800" t="str">
            <v>ФИЕСТА</v>
          </cell>
          <cell r="C1800" t="str">
            <v>КИТОЙ-КОМБНТ (ВСБ)</v>
          </cell>
          <cell r="D1800">
            <v>34580</v>
          </cell>
          <cell r="E1800">
            <v>35971</v>
          </cell>
          <cell r="I1800" t="str">
            <v>деп</v>
          </cell>
          <cell r="J1800">
            <v>37067</v>
          </cell>
        </row>
        <row r="1801">
          <cell r="A1801">
            <v>58722349</v>
          </cell>
          <cell r="B1801" t="str">
            <v>ФИЕСТА</v>
          </cell>
          <cell r="C1801" t="str">
            <v>КИТОЙ-КОМБНТ (ВСБ)</v>
          </cell>
          <cell r="D1801">
            <v>34580</v>
          </cell>
          <cell r="E1801">
            <v>35971</v>
          </cell>
          <cell r="I1801" t="str">
            <v>деп</v>
          </cell>
          <cell r="J1801">
            <v>36702</v>
          </cell>
        </row>
        <row r="1802">
          <cell r="A1802">
            <v>58722356</v>
          </cell>
          <cell r="B1802" t="str">
            <v>ФИЕСТА</v>
          </cell>
          <cell r="C1802" t="str">
            <v>КИТОЙ-КОМБНТ (ВСБ)</v>
          </cell>
          <cell r="D1802">
            <v>34580</v>
          </cell>
          <cell r="E1802">
            <v>35971</v>
          </cell>
          <cell r="I1802" t="str">
            <v>деп</v>
          </cell>
          <cell r="J1802">
            <v>36702</v>
          </cell>
        </row>
        <row r="1803">
          <cell r="B1803" t="str">
            <v>ФИЕСТА Количество</v>
          </cell>
          <cell r="D1803">
            <v>3</v>
          </cell>
        </row>
        <row r="1804">
          <cell r="A1804">
            <v>53703633</v>
          </cell>
          <cell r="B1804" t="str">
            <v>ФИНПРОМКО УПК</v>
          </cell>
          <cell r="C1804" t="str">
            <v>ЛЕЧЕБНЫЙ     (СВР)</v>
          </cell>
          <cell r="D1804">
            <v>26299</v>
          </cell>
          <cell r="E1804">
            <v>34981</v>
          </cell>
          <cell r="G1804">
            <v>33889</v>
          </cell>
          <cell r="I1804" t="str">
            <v>деп</v>
          </cell>
          <cell r="J1804">
            <v>36077</v>
          </cell>
        </row>
        <row r="1805">
          <cell r="A1805">
            <v>58722984</v>
          </cell>
          <cell r="B1805" t="str">
            <v>ФИНПРОМКО УПК</v>
          </cell>
          <cell r="C1805" t="str">
            <v>ЛЕЧЕБНЫЙ     (СВР)</v>
          </cell>
          <cell r="D1805">
            <v>26299</v>
          </cell>
          <cell r="E1805">
            <v>34981</v>
          </cell>
          <cell r="G1805">
            <v>33889</v>
          </cell>
          <cell r="I1805" t="str">
            <v>деп</v>
          </cell>
          <cell r="J1805">
            <v>35712</v>
          </cell>
        </row>
        <row r="1806">
          <cell r="A1806">
            <v>58723008</v>
          </cell>
          <cell r="B1806" t="str">
            <v>ФИНПРОМКО УПК</v>
          </cell>
          <cell r="C1806" t="str">
            <v>ЛЕЧЕБНЫЙ     (СВР)</v>
          </cell>
          <cell r="D1806">
            <v>26299</v>
          </cell>
          <cell r="E1806">
            <v>34981</v>
          </cell>
          <cell r="G1806">
            <v>33889</v>
          </cell>
          <cell r="I1806" t="str">
            <v>деп</v>
          </cell>
          <cell r="J1806">
            <v>35712</v>
          </cell>
        </row>
        <row r="1807">
          <cell r="A1807">
            <v>58723016</v>
          </cell>
          <cell r="B1807" t="str">
            <v>ФИНПРОМКО УПК</v>
          </cell>
          <cell r="C1807" t="str">
            <v>ЛЕЧЕБНЫЙ     (СВР)</v>
          </cell>
          <cell r="D1807">
            <v>26299</v>
          </cell>
          <cell r="E1807">
            <v>34981</v>
          </cell>
          <cell r="G1807">
            <v>33889</v>
          </cell>
          <cell r="I1807" t="str">
            <v>деп</v>
          </cell>
          <cell r="J1807">
            <v>35712</v>
          </cell>
        </row>
        <row r="1808">
          <cell r="A1808">
            <v>58723024</v>
          </cell>
          <cell r="B1808" t="str">
            <v>ФИНПРОМКО УПК</v>
          </cell>
          <cell r="C1808" t="str">
            <v>ЛЕЧЕБНЫЙ     (СВР)</v>
          </cell>
          <cell r="D1808">
            <v>26299</v>
          </cell>
          <cell r="E1808">
            <v>34981</v>
          </cell>
          <cell r="G1808">
            <v>33889</v>
          </cell>
          <cell r="I1808" t="str">
            <v>деп</v>
          </cell>
          <cell r="J1808">
            <v>35712</v>
          </cell>
        </row>
        <row r="1809">
          <cell r="B1809" t="str">
            <v>ФИНПРОМКО УПК Количество</v>
          </cell>
          <cell r="D1809">
            <v>5</v>
          </cell>
        </row>
        <row r="1810">
          <cell r="A1810">
            <v>53702635</v>
          </cell>
          <cell r="B1810" t="str">
            <v>ЦЕНТР РАБОЧ.СНАБЖЕНИЯ ДВС</v>
          </cell>
          <cell r="C1810" t="str">
            <v>ХАБАРОВСК 1  (ДВС)</v>
          </cell>
          <cell r="D1810">
            <v>33563</v>
          </cell>
          <cell r="E1810">
            <v>37420</v>
          </cell>
          <cell r="F1810">
            <v>163</v>
          </cell>
          <cell r="H1810">
            <v>0</v>
          </cell>
          <cell r="I1810" t="str">
            <v>деп</v>
          </cell>
          <cell r="J1810">
            <v>37968</v>
          </cell>
        </row>
        <row r="1811">
          <cell r="A1811">
            <v>53705984</v>
          </cell>
          <cell r="B1811" t="str">
            <v>ЦЕНТР РАБОЧ.СНАБЖЕНИЯ ДВС</v>
          </cell>
          <cell r="C1811" t="str">
            <v>ХАБАРОВСК 1  (ДВС)</v>
          </cell>
          <cell r="D1811">
            <v>33771</v>
          </cell>
          <cell r="E1811">
            <v>37598</v>
          </cell>
          <cell r="F1811">
            <v>163</v>
          </cell>
          <cell r="H1811">
            <v>0</v>
          </cell>
          <cell r="I1811" t="str">
            <v>деп</v>
          </cell>
          <cell r="J1811">
            <v>38146</v>
          </cell>
        </row>
        <row r="1812">
          <cell r="A1812">
            <v>58342411</v>
          </cell>
          <cell r="B1812" t="str">
            <v>ЦЕНТР РАБОЧ.СНАБЖЕНИЯ ДВС</v>
          </cell>
          <cell r="C1812" t="str">
            <v>ХАБАРОВСК 1  (ДВС)</v>
          </cell>
          <cell r="D1812">
            <v>30610</v>
          </cell>
          <cell r="F1812">
            <v>0</v>
          </cell>
          <cell r="G1812">
            <v>37049</v>
          </cell>
          <cell r="H1812">
            <v>163</v>
          </cell>
          <cell r="I1812" t="str">
            <v>деп</v>
          </cell>
          <cell r="J1812">
            <v>37597</v>
          </cell>
        </row>
        <row r="1813">
          <cell r="A1813">
            <v>58342429</v>
          </cell>
          <cell r="B1813" t="str">
            <v>ЦЕНТР РАБОЧ.СНАБЖЕНИЯ ДВС</v>
          </cell>
          <cell r="C1813" t="str">
            <v>ХАБАРОВСК 1  (ДВС)</v>
          </cell>
          <cell r="D1813">
            <v>30633</v>
          </cell>
          <cell r="E1813">
            <v>37805</v>
          </cell>
          <cell r="F1813">
            <v>163</v>
          </cell>
          <cell r="G1813">
            <v>37068</v>
          </cell>
          <cell r="H1813">
            <v>163</v>
          </cell>
          <cell r="I1813" t="str">
            <v>деп</v>
          </cell>
          <cell r="J1813">
            <v>38355</v>
          </cell>
        </row>
        <row r="1814">
          <cell r="A1814">
            <v>58721572</v>
          </cell>
          <cell r="B1814" t="str">
            <v>ЦЕНТР РАБОЧ.СНАБЖЕНИЯ ДВС</v>
          </cell>
          <cell r="C1814" t="str">
            <v>ХАБАРОВСК 1  (ДВС)</v>
          </cell>
          <cell r="D1814">
            <v>33563</v>
          </cell>
          <cell r="E1814">
            <v>37420</v>
          </cell>
          <cell r="F1814">
            <v>163</v>
          </cell>
          <cell r="I1814" t="str">
            <v>деп</v>
          </cell>
          <cell r="J1814">
            <v>38151</v>
          </cell>
        </row>
        <row r="1815">
          <cell r="A1815">
            <v>58721580</v>
          </cell>
          <cell r="B1815" t="str">
            <v>ЦЕНТР РАБОЧ.СНАБЖЕНИЯ ДВС</v>
          </cell>
          <cell r="C1815" t="str">
            <v>ХАБАРОВСК 1  (ДВС)</v>
          </cell>
          <cell r="D1815">
            <v>33563</v>
          </cell>
          <cell r="E1815">
            <v>37420</v>
          </cell>
          <cell r="F1815">
            <v>163</v>
          </cell>
          <cell r="I1815" t="str">
            <v>деп</v>
          </cell>
          <cell r="J1815">
            <v>38151</v>
          </cell>
        </row>
        <row r="1816">
          <cell r="A1816">
            <v>58721606</v>
          </cell>
          <cell r="B1816" t="str">
            <v>ЦЕНТР РАБОЧ.СНАБЖЕНИЯ ДВС</v>
          </cell>
          <cell r="C1816" t="str">
            <v>ХАБАРОВСК 1  (ДВС)</v>
          </cell>
          <cell r="D1816">
            <v>33563</v>
          </cell>
          <cell r="E1816">
            <v>37420</v>
          </cell>
          <cell r="F1816">
            <v>163</v>
          </cell>
          <cell r="I1816" t="str">
            <v>деп</v>
          </cell>
          <cell r="J1816">
            <v>38151</v>
          </cell>
        </row>
        <row r="1817">
          <cell r="A1817">
            <v>58721614</v>
          </cell>
          <cell r="B1817" t="str">
            <v>ЦЕНТР РАБОЧ.СНАБЖЕНИЯ ДВС</v>
          </cell>
          <cell r="C1817" t="str">
            <v>ХАБАРОВСК 1  (ДВС)</v>
          </cell>
          <cell r="D1817">
            <v>33563</v>
          </cell>
          <cell r="E1817">
            <v>37420</v>
          </cell>
          <cell r="F1817">
            <v>163</v>
          </cell>
          <cell r="I1817" t="str">
            <v>деп</v>
          </cell>
          <cell r="J1817">
            <v>38151</v>
          </cell>
        </row>
        <row r="1818">
          <cell r="A1818">
            <v>58729765</v>
          </cell>
          <cell r="B1818" t="str">
            <v>ЦЕНТР РАБОЧ.СНАБЖЕНИЯ ДВС</v>
          </cell>
          <cell r="C1818" t="str">
            <v>ХАБАРОВСК 1  (ДВС)</v>
          </cell>
          <cell r="D1818">
            <v>33771</v>
          </cell>
          <cell r="E1818">
            <v>37590</v>
          </cell>
          <cell r="F1818">
            <v>163</v>
          </cell>
          <cell r="H1818">
            <v>0</v>
          </cell>
          <cell r="I1818" t="str">
            <v>деп</v>
          </cell>
          <cell r="J1818">
            <v>38137</v>
          </cell>
        </row>
        <row r="1819">
          <cell r="A1819">
            <v>58729773</v>
          </cell>
          <cell r="B1819" t="str">
            <v>ЦЕНТР РАБОЧ.СНАБЖЕНИЯ ДВС</v>
          </cell>
          <cell r="C1819" t="str">
            <v>ХАБАРОВСК 1  (ДВС)</v>
          </cell>
          <cell r="D1819">
            <v>33771</v>
          </cell>
          <cell r="E1819">
            <v>37590</v>
          </cell>
          <cell r="F1819">
            <v>163</v>
          </cell>
          <cell r="H1819">
            <v>0</v>
          </cell>
          <cell r="I1819" t="str">
            <v>деп</v>
          </cell>
          <cell r="J1819">
            <v>38137</v>
          </cell>
        </row>
        <row r="1820">
          <cell r="A1820">
            <v>58729781</v>
          </cell>
          <cell r="B1820" t="str">
            <v>ЦЕНТР РАБОЧ.СНАБЖЕНИЯ ДВС</v>
          </cell>
          <cell r="C1820" t="str">
            <v>ХАБАРОВСК 1  (ДВС)</v>
          </cell>
          <cell r="D1820">
            <v>33771</v>
          </cell>
          <cell r="E1820">
            <v>37590</v>
          </cell>
          <cell r="F1820">
            <v>163</v>
          </cell>
          <cell r="H1820">
            <v>0</v>
          </cell>
          <cell r="I1820" t="str">
            <v>деп</v>
          </cell>
          <cell r="J1820">
            <v>38137</v>
          </cell>
        </row>
        <row r="1821">
          <cell r="A1821">
            <v>58729807</v>
          </cell>
          <cell r="B1821" t="str">
            <v>ЦЕНТР РАБОЧ.СНАБЖЕНИЯ ДВС</v>
          </cell>
          <cell r="C1821" t="str">
            <v>ХАБАРОВСК 1  (ДВС)</v>
          </cell>
          <cell r="D1821">
            <v>33771</v>
          </cell>
          <cell r="E1821">
            <v>37590</v>
          </cell>
          <cell r="F1821">
            <v>163</v>
          </cell>
          <cell r="H1821">
            <v>0</v>
          </cell>
          <cell r="I1821" t="str">
            <v>деп</v>
          </cell>
          <cell r="J1821">
            <v>38137</v>
          </cell>
        </row>
        <row r="1822">
          <cell r="B1822" t="str">
            <v>ЦЕНТР РАБОЧ.СНАБЖЕНИЯ ДВС Количество</v>
          </cell>
          <cell r="D1822">
            <v>12</v>
          </cell>
        </row>
        <row r="1823">
          <cell r="A1823">
            <v>53704318</v>
          </cell>
          <cell r="B1823" t="str">
            <v>ЦИГЕЛЬ</v>
          </cell>
          <cell r="C1823" t="str">
            <v>ЗЕЛЕНОКУМСК  (СКВ)</v>
          </cell>
          <cell r="D1823">
            <v>28338</v>
          </cell>
          <cell r="E1823">
            <v>35278</v>
          </cell>
          <cell r="G1823">
            <v>32356</v>
          </cell>
          <cell r="I1823" t="str">
            <v>деп</v>
          </cell>
          <cell r="J1823">
            <v>36373</v>
          </cell>
        </row>
        <row r="1824">
          <cell r="B1824" t="str">
            <v>ЦИГЕЛЬ Количество</v>
          </cell>
          <cell r="D1824">
            <v>1</v>
          </cell>
        </row>
        <row r="1825">
          <cell r="A1825">
            <v>53702569</v>
          </cell>
          <cell r="B1825" t="str">
            <v>ЧАСТ.ПРЕДПР.ГОРДИЕНКО С.О.</v>
          </cell>
          <cell r="C1825" t="str">
            <v>КОМБИНАТСКАЯ (ЗСБ)</v>
          </cell>
          <cell r="D1825">
            <v>33712</v>
          </cell>
          <cell r="F1825">
            <v>0</v>
          </cell>
          <cell r="H1825">
            <v>0</v>
          </cell>
          <cell r="I1825" t="str">
            <v>деп</v>
          </cell>
          <cell r="J1825">
            <v>34625</v>
          </cell>
        </row>
        <row r="1826">
          <cell r="B1826" t="str">
            <v>ЧАСТ.ПРЕДПР.ГОРДИЕНКО С.О. Количество</v>
          </cell>
          <cell r="D1826">
            <v>1</v>
          </cell>
        </row>
        <row r="1827">
          <cell r="A1827">
            <v>58331216</v>
          </cell>
          <cell r="B1827" t="str">
            <v>ЧАСТН.ПРЕДПР.В.Н.ЧУПРИН</v>
          </cell>
          <cell r="C1827" t="str">
            <v>СИБИРСКАЯ    (ЗСБ)</v>
          </cell>
          <cell r="D1827">
            <v>31868</v>
          </cell>
          <cell r="E1827">
            <v>37918</v>
          </cell>
          <cell r="F1827">
            <v>616</v>
          </cell>
          <cell r="G1827">
            <v>34837</v>
          </cell>
          <cell r="H1827">
            <v>492</v>
          </cell>
          <cell r="I1827" t="str">
            <v>деп</v>
          </cell>
          <cell r="J1827">
            <v>38466</v>
          </cell>
        </row>
        <row r="1828">
          <cell r="A1828">
            <v>58332222</v>
          </cell>
          <cell r="B1828" t="str">
            <v>ЧАСТН.ПРЕДПР.В.Н.ЧУПРИН</v>
          </cell>
          <cell r="C1828" t="str">
            <v>СИБИРСКАЯ    (ЗСБ)</v>
          </cell>
          <cell r="D1828">
            <v>31868</v>
          </cell>
          <cell r="E1828">
            <v>37894</v>
          </cell>
          <cell r="F1828">
            <v>163</v>
          </cell>
          <cell r="G1828">
            <v>34860</v>
          </cell>
          <cell r="H1828">
            <v>492</v>
          </cell>
          <cell r="I1828" t="str">
            <v>деп</v>
          </cell>
          <cell r="J1828">
            <v>38441</v>
          </cell>
        </row>
        <row r="1829">
          <cell r="A1829">
            <v>58332263</v>
          </cell>
          <cell r="B1829" t="str">
            <v>ЧАСТН.ПРЕДПР.В.Н.ЧУПРИН</v>
          </cell>
          <cell r="C1829" t="str">
            <v>СИБИРСКАЯ    (ЗСБ)</v>
          </cell>
          <cell r="D1829">
            <v>31868</v>
          </cell>
          <cell r="E1829">
            <v>37446</v>
          </cell>
          <cell r="F1829">
            <v>231</v>
          </cell>
          <cell r="G1829">
            <v>36662</v>
          </cell>
          <cell r="H1829">
            <v>557</v>
          </cell>
          <cell r="I1829" t="str">
            <v>деп</v>
          </cell>
          <cell r="J1829">
            <v>38177</v>
          </cell>
        </row>
        <row r="1830">
          <cell r="A1830">
            <v>58332271</v>
          </cell>
          <cell r="B1830" t="str">
            <v>ЧАСТН.ПРЕДПР.В.Н.ЧУПРИН</v>
          </cell>
          <cell r="C1830" t="str">
            <v>СИБИРСКАЯ    (ЗСБ)</v>
          </cell>
          <cell r="D1830">
            <v>31868</v>
          </cell>
          <cell r="E1830">
            <v>37779</v>
          </cell>
          <cell r="F1830">
            <v>626</v>
          </cell>
          <cell r="G1830">
            <v>35595</v>
          </cell>
          <cell r="H1830">
            <v>492</v>
          </cell>
          <cell r="I1830" t="str">
            <v>деп</v>
          </cell>
          <cell r="J1830">
            <v>38328</v>
          </cell>
        </row>
        <row r="1831">
          <cell r="B1831" t="str">
            <v>ЧАСТН.ПРЕДПР.В.Н.ЧУПРИН Количество</v>
          </cell>
          <cell r="D1831">
            <v>4</v>
          </cell>
        </row>
        <row r="1832">
          <cell r="A1832">
            <v>58724758</v>
          </cell>
          <cell r="B1832" t="str">
            <v>ЧАСТН.ПРЕДПР.В.Ф.ДАВЫДОВ</v>
          </cell>
          <cell r="C1832" t="str">
            <v>УССУРИЙСК    (ДВС)</v>
          </cell>
          <cell r="D1832">
            <v>33178</v>
          </cell>
          <cell r="E1832">
            <v>37691</v>
          </cell>
          <cell r="F1832">
            <v>163</v>
          </cell>
          <cell r="H1832">
            <v>0</v>
          </cell>
          <cell r="I1832" t="str">
            <v>деп</v>
          </cell>
          <cell r="J1832">
            <v>38241</v>
          </cell>
        </row>
        <row r="1833">
          <cell r="B1833" t="str">
            <v>ЧАСТН.ПРЕДПР.В.Ф.ДАВЫДОВ Количество</v>
          </cell>
          <cell r="D1833">
            <v>1</v>
          </cell>
        </row>
        <row r="1834">
          <cell r="A1834">
            <v>58340258</v>
          </cell>
          <cell r="B1834" t="str">
            <v>ЧАСТН.ПРЕДПР.ДЫБЦОВ Е.В.</v>
          </cell>
          <cell r="C1834" t="str">
            <v>КОМС-НА-АМУР (ДВС)</v>
          </cell>
          <cell r="D1834">
            <v>29698</v>
          </cell>
          <cell r="E1834">
            <v>37736</v>
          </cell>
          <cell r="F1834">
            <v>163</v>
          </cell>
          <cell r="G1834">
            <v>36373</v>
          </cell>
          <cell r="I1834" t="str">
            <v>деп</v>
          </cell>
          <cell r="J1834">
            <v>38467</v>
          </cell>
        </row>
        <row r="1835">
          <cell r="B1835" t="str">
            <v>ЧАСТН.ПРЕДПР.ДЫБЦОВ Е.В. Количество</v>
          </cell>
          <cell r="D1835">
            <v>1</v>
          </cell>
        </row>
        <row r="1836">
          <cell r="A1836">
            <v>58330325</v>
          </cell>
          <cell r="B1836" t="str">
            <v>ЧАСТН.ПРЕДПР.ЕРМАКОВ М.И.</v>
          </cell>
          <cell r="C1836" t="str">
            <v>УССУРИЙСК    (ДВС)</v>
          </cell>
          <cell r="D1836">
            <v>32942</v>
          </cell>
          <cell r="E1836">
            <v>37826</v>
          </cell>
          <cell r="F1836">
            <v>163</v>
          </cell>
          <cell r="H1836">
            <v>0</v>
          </cell>
          <cell r="I1836" t="str">
            <v>деп</v>
          </cell>
          <cell r="J1836">
            <v>38376</v>
          </cell>
        </row>
        <row r="1837">
          <cell r="A1837">
            <v>58330333</v>
          </cell>
          <cell r="B1837" t="str">
            <v>ЧАСТН.ПРЕДПР.ЕРМАКОВ М.И.</v>
          </cell>
          <cell r="C1837" t="str">
            <v>УССУРИЙСК    (ДВС)</v>
          </cell>
          <cell r="D1837">
            <v>32942</v>
          </cell>
          <cell r="E1837">
            <v>37833</v>
          </cell>
          <cell r="F1837">
            <v>163</v>
          </cell>
          <cell r="H1837">
            <v>0</v>
          </cell>
          <cell r="I1837" t="str">
            <v>деп</v>
          </cell>
          <cell r="J1837">
            <v>38383</v>
          </cell>
        </row>
        <row r="1838">
          <cell r="B1838" t="str">
            <v>ЧАСТН.ПРЕДПР.ЕРМАКОВ М.И. Количество</v>
          </cell>
          <cell r="D1838">
            <v>2</v>
          </cell>
        </row>
        <row r="1839">
          <cell r="A1839">
            <v>53400461</v>
          </cell>
          <cell r="B1839" t="str">
            <v>ЧАСТН.ПРЕДПР.КИТАИН С.Д.</v>
          </cell>
          <cell r="C1839" t="str">
            <v>НОЯБРЬСК 2   (СВР)</v>
          </cell>
          <cell r="D1839">
            <v>33604</v>
          </cell>
          <cell r="E1839">
            <v>37555</v>
          </cell>
          <cell r="F1839">
            <v>350</v>
          </cell>
          <cell r="H1839">
            <v>0</v>
          </cell>
          <cell r="I1839" t="str">
            <v>деп</v>
          </cell>
          <cell r="J1839">
            <v>38103</v>
          </cell>
        </row>
        <row r="1840">
          <cell r="A1840">
            <v>53702080</v>
          </cell>
          <cell r="B1840" t="str">
            <v>ЧАСТН.ПРЕДПР.КИТАИН С.Д.</v>
          </cell>
          <cell r="C1840" t="str">
            <v>НОЯБРЬСК 2   (СВР)</v>
          </cell>
          <cell r="D1840">
            <v>33644</v>
          </cell>
          <cell r="E1840">
            <v>37853</v>
          </cell>
          <cell r="F1840">
            <v>350</v>
          </cell>
          <cell r="I1840" t="str">
            <v>кап</v>
          </cell>
          <cell r="J1840">
            <v>38949</v>
          </cell>
        </row>
        <row r="1841">
          <cell r="A1841">
            <v>58339722</v>
          </cell>
          <cell r="B1841" t="str">
            <v>ЧАСТН.ПРЕДПР.КИТАИН С.Д.</v>
          </cell>
          <cell r="C1841" t="str">
            <v>НОЯБРЬСК 2   (СВР)</v>
          </cell>
          <cell r="D1841">
            <v>33770</v>
          </cell>
          <cell r="E1841">
            <v>37853</v>
          </cell>
          <cell r="F1841">
            <v>350</v>
          </cell>
          <cell r="I1841" t="str">
            <v>деп</v>
          </cell>
          <cell r="J1841">
            <v>38584</v>
          </cell>
        </row>
        <row r="1842">
          <cell r="A1842">
            <v>58339730</v>
          </cell>
          <cell r="B1842" t="str">
            <v>ЧАСТН.ПРЕДПР.КИТАИН С.Д.</v>
          </cell>
          <cell r="C1842" t="str">
            <v>НОЯБРЬСК 2   (СВР)</v>
          </cell>
          <cell r="D1842">
            <v>33770</v>
          </cell>
          <cell r="E1842">
            <v>37853</v>
          </cell>
          <cell r="F1842">
            <v>350</v>
          </cell>
          <cell r="I1842" t="str">
            <v>деп</v>
          </cell>
          <cell r="J1842">
            <v>38584</v>
          </cell>
        </row>
        <row r="1843">
          <cell r="A1843">
            <v>58339748</v>
          </cell>
          <cell r="B1843" t="str">
            <v>ЧАСТН.ПРЕДПР.КИТАИН С.Д.</v>
          </cell>
          <cell r="C1843" t="str">
            <v>НОЯБРЬСК 2   (СВР)</v>
          </cell>
          <cell r="D1843">
            <v>33770</v>
          </cell>
          <cell r="E1843">
            <v>37853</v>
          </cell>
          <cell r="F1843">
            <v>350</v>
          </cell>
          <cell r="I1843" t="str">
            <v>деп</v>
          </cell>
          <cell r="J1843">
            <v>38584</v>
          </cell>
        </row>
        <row r="1844">
          <cell r="A1844">
            <v>58339755</v>
          </cell>
          <cell r="B1844" t="str">
            <v>ЧАСТН.ПРЕДПР.КИТАИН С.Д.</v>
          </cell>
          <cell r="C1844" t="str">
            <v>НОЯБРЬСК 2   (СВР)</v>
          </cell>
          <cell r="D1844">
            <v>33770</v>
          </cell>
          <cell r="E1844">
            <v>37853</v>
          </cell>
          <cell r="F1844">
            <v>350</v>
          </cell>
          <cell r="I1844" t="str">
            <v>деп</v>
          </cell>
          <cell r="J1844">
            <v>38584</v>
          </cell>
        </row>
        <row r="1845">
          <cell r="A1845">
            <v>58731365</v>
          </cell>
          <cell r="B1845" t="str">
            <v>ЧАСТН.ПРЕДПР.КИТАИН С.Д.</v>
          </cell>
          <cell r="C1845" t="str">
            <v>НОЯБРЬСК 2   (СВР)</v>
          </cell>
          <cell r="D1845">
            <v>33604</v>
          </cell>
          <cell r="E1845">
            <v>37555</v>
          </cell>
          <cell r="F1845">
            <v>350</v>
          </cell>
          <cell r="H1845">
            <v>0</v>
          </cell>
          <cell r="I1845" t="str">
            <v>деп</v>
          </cell>
          <cell r="J1845">
            <v>38103</v>
          </cell>
        </row>
        <row r="1846">
          <cell r="A1846">
            <v>58731373</v>
          </cell>
          <cell r="B1846" t="str">
            <v>ЧАСТН.ПРЕДПР.КИТАИН С.Д.</v>
          </cell>
          <cell r="C1846" t="str">
            <v>НОЯБРЬСК 2   (СВР)</v>
          </cell>
          <cell r="D1846">
            <v>33604</v>
          </cell>
          <cell r="E1846">
            <v>37555</v>
          </cell>
          <cell r="F1846">
            <v>350</v>
          </cell>
          <cell r="H1846">
            <v>0</v>
          </cell>
          <cell r="I1846" t="str">
            <v>деп</v>
          </cell>
          <cell r="J1846">
            <v>38103</v>
          </cell>
        </row>
        <row r="1847">
          <cell r="A1847">
            <v>58731381</v>
          </cell>
          <cell r="B1847" t="str">
            <v>ЧАСТН.ПРЕДПР.КИТАИН С.Д.</v>
          </cell>
          <cell r="C1847" t="str">
            <v>НОЯБРЬСК 2   (СВР)</v>
          </cell>
          <cell r="D1847">
            <v>33604</v>
          </cell>
          <cell r="E1847">
            <v>37555</v>
          </cell>
          <cell r="F1847">
            <v>350</v>
          </cell>
          <cell r="H1847">
            <v>0</v>
          </cell>
          <cell r="I1847" t="str">
            <v>деп</v>
          </cell>
          <cell r="J1847">
            <v>38103</v>
          </cell>
        </row>
        <row r="1848">
          <cell r="A1848">
            <v>58731399</v>
          </cell>
          <cell r="B1848" t="str">
            <v>ЧАСТН.ПРЕДПР.КИТАИН С.Д.</v>
          </cell>
          <cell r="C1848" t="str">
            <v>НОЯБРЬСК 2   (СВР)</v>
          </cell>
          <cell r="D1848">
            <v>33604</v>
          </cell>
          <cell r="E1848">
            <v>37555</v>
          </cell>
          <cell r="F1848">
            <v>350</v>
          </cell>
          <cell r="H1848">
            <v>0</v>
          </cell>
          <cell r="I1848" t="str">
            <v>деп</v>
          </cell>
          <cell r="J1848">
            <v>38103</v>
          </cell>
        </row>
        <row r="1849">
          <cell r="B1849" t="str">
            <v>ЧАСТН.ПРЕДПР.КИТАИН С.Д. Количество</v>
          </cell>
          <cell r="D1849">
            <v>10</v>
          </cell>
        </row>
        <row r="1850">
          <cell r="A1850">
            <v>58340266</v>
          </cell>
          <cell r="B1850" t="str">
            <v>ЧАСТН.ПРЕДПР.ЛИПИН В.Н.</v>
          </cell>
          <cell r="C1850" t="str">
            <v>СЕВЕРОБАЙКАЛ (ВСБ)</v>
          </cell>
          <cell r="D1850">
            <v>29830</v>
          </cell>
          <cell r="I1850" t="str">
            <v>деп</v>
          </cell>
          <cell r="J1850">
            <v>30926</v>
          </cell>
        </row>
        <row r="1851">
          <cell r="B1851" t="str">
            <v>ЧАСТН.ПРЕДПР.ЛИПИН В.Н. Количество</v>
          </cell>
          <cell r="D1851">
            <v>1</v>
          </cell>
        </row>
        <row r="1852">
          <cell r="A1852">
            <v>58332370</v>
          </cell>
          <cell r="B1852" t="str">
            <v>ЧАСТН.ПРЕДПР.МИХАЙЛОВ М.А.</v>
          </cell>
          <cell r="C1852" t="str">
            <v>ЧИТА 1       (ЗАБ)</v>
          </cell>
          <cell r="D1852">
            <v>28949</v>
          </cell>
          <cell r="E1852">
            <v>37778</v>
          </cell>
          <cell r="F1852">
            <v>643</v>
          </cell>
          <cell r="G1852">
            <v>34895</v>
          </cell>
          <cell r="I1852" t="str">
            <v>деп</v>
          </cell>
          <cell r="J1852">
            <v>38509</v>
          </cell>
        </row>
        <row r="1853">
          <cell r="B1853" t="str">
            <v>ЧАСТН.ПРЕДПР.МИХАЙЛОВ М.А. Количество</v>
          </cell>
          <cell r="D1853">
            <v>1</v>
          </cell>
        </row>
        <row r="1854">
          <cell r="A1854">
            <v>58000001</v>
          </cell>
          <cell r="B1854" t="str">
            <v>ЧАСТН.ПРЕДПР.РАГИМОВ Я.М.</v>
          </cell>
          <cell r="C1854" t="str">
            <v>ВАНИНО       (ДВС)</v>
          </cell>
          <cell r="D1854">
            <v>31778</v>
          </cell>
          <cell r="E1854">
            <v>37153</v>
          </cell>
          <cell r="F1854">
            <v>669</v>
          </cell>
          <cell r="G1854">
            <v>37925</v>
          </cell>
          <cell r="H1854">
            <v>163</v>
          </cell>
          <cell r="I1854" t="str">
            <v>деп</v>
          </cell>
          <cell r="J1854">
            <v>38656</v>
          </cell>
        </row>
        <row r="1855">
          <cell r="B1855" t="str">
            <v>ЧАСТН.ПРЕДПР.РАГИМОВ Я.М. Количество</v>
          </cell>
          <cell r="D1855">
            <v>1</v>
          </cell>
        </row>
        <row r="1856">
          <cell r="A1856">
            <v>53702338</v>
          </cell>
          <cell r="B1856" t="str">
            <v>ЧП АНФИЛОФЬЕВ В.И.</v>
          </cell>
          <cell r="C1856" t="str">
            <v>НОЯБРЬСК 2   (СВР)</v>
          </cell>
          <cell r="D1856">
            <v>34039</v>
          </cell>
          <cell r="E1856">
            <v>37925</v>
          </cell>
          <cell r="F1856">
            <v>350</v>
          </cell>
          <cell r="I1856" t="str">
            <v>кап</v>
          </cell>
          <cell r="J1856">
            <v>39021</v>
          </cell>
        </row>
        <row r="1857">
          <cell r="A1857">
            <v>58720574</v>
          </cell>
          <cell r="B1857" t="str">
            <v>ЧП АНФИЛОФЬЕВ В.И.</v>
          </cell>
          <cell r="C1857" t="str">
            <v>НОЯБРЬСК 2   (СВР)</v>
          </cell>
          <cell r="D1857">
            <v>34038</v>
          </cell>
          <cell r="E1857">
            <v>37925</v>
          </cell>
          <cell r="F1857">
            <v>350</v>
          </cell>
          <cell r="I1857" t="str">
            <v>деп</v>
          </cell>
          <cell r="J1857">
            <v>38352</v>
          </cell>
        </row>
        <row r="1858">
          <cell r="A1858">
            <v>58720582</v>
          </cell>
          <cell r="B1858" t="str">
            <v>ЧП АНФИЛОФЬЕВ В.И.</v>
          </cell>
          <cell r="C1858" t="str">
            <v>НОЯБРЬСК 2   (СВР)</v>
          </cell>
          <cell r="D1858">
            <v>34038</v>
          </cell>
          <cell r="E1858">
            <v>37925</v>
          </cell>
          <cell r="F1858">
            <v>350</v>
          </cell>
          <cell r="I1858" t="str">
            <v>деп</v>
          </cell>
          <cell r="J1858">
            <v>38352</v>
          </cell>
        </row>
        <row r="1859">
          <cell r="A1859">
            <v>58720608</v>
          </cell>
          <cell r="B1859" t="str">
            <v>ЧП АНФИЛОФЬЕВ В.И.</v>
          </cell>
          <cell r="C1859" t="str">
            <v>НОЯБРЬСК 2   (СВР)</v>
          </cell>
          <cell r="D1859">
            <v>34038</v>
          </cell>
          <cell r="E1859">
            <v>37925</v>
          </cell>
          <cell r="F1859">
            <v>350</v>
          </cell>
          <cell r="I1859" t="str">
            <v>деп</v>
          </cell>
          <cell r="J1859">
            <v>38352</v>
          </cell>
        </row>
        <row r="1860">
          <cell r="A1860">
            <v>58720616</v>
          </cell>
          <cell r="B1860" t="str">
            <v>ЧП АНФИЛОФЬЕВ В.И.</v>
          </cell>
          <cell r="C1860" t="str">
            <v>НОЯБРЬСК 2   (СВР)</v>
          </cell>
          <cell r="D1860">
            <v>34038</v>
          </cell>
          <cell r="E1860">
            <v>37925</v>
          </cell>
          <cell r="F1860">
            <v>350</v>
          </cell>
          <cell r="I1860" t="str">
            <v>деп</v>
          </cell>
          <cell r="J1860">
            <v>38352</v>
          </cell>
        </row>
        <row r="1861">
          <cell r="B1861" t="str">
            <v>ЧП АНФИЛОФЬЕВ В.И. Количество</v>
          </cell>
          <cell r="D1861">
            <v>5</v>
          </cell>
        </row>
        <row r="1862">
          <cell r="A1862">
            <v>53702320</v>
          </cell>
          <cell r="B1862" t="str">
            <v>ЧП КАПУЛА Г.И.</v>
          </cell>
          <cell r="C1862" t="str">
            <v>НОЯБРЬСК 1   (СВР)</v>
          </cell>
          <cell r="D1862">
            <v>33756</v>
          </cell>
          <cell r="E1862">
            <v>37960</v>
          </cell>
          <cell r="F1862">
            <v>350</v>
          </cell>
          <cell r="H1862">
            <v>0</v>
          </cell>
          <cell r="I1862" t="str">
            <v>кап</v>
          </cell>
          <cell r="J1862">
            <v>39056</v>
          </cell>
        </row>
        <row r="1863">
          <cell r="A1863">
            <v>58720533</v>
          </cell>
          <cell r="B1863" t="str">
            <v>ЧП КАПУЛА Г.И.</v>
          </cell>
          <cell r="C1863" t="str">
            <v>НОЯБРЬСК 1   (СВР)</v>
          </cell>
          <cell r="D1863">
            <v>33756</v>
          </cell>
          <cell r="E1863">
            <v>37960</v>
          </cell>
          <cell r="F1863">
            <v>350</v>
          </cell>
          <cell r="H1863">
            <v>0</v>
          </cell>
          <cell r="I1863" t="str">
            <v>деп</v>
          </cell>
          <cell r="J1863">
            <v>38388</v>
          </cell>
        </row>
        <row r="1864">
          <cell r="A1864">
            <v>58720541</v>
          </cell>
          <cell r="B1864" t="str">
            <v>ЧП КАПУЛА Г.И.</v>
          </cell>
          <cell r="C1864" t="str">
            <v>НОЯБРЬСК 1   (СВР)</v>
          </cell>
          <cell r="D1864">
            <v>33756</v>
          </cell>
          <cell r="E1864">
            <v>37960</v>
          </cell>
          <cell r="F1864">
            <v>350</v>
          </cell>
          <cell r="H1864">
            <v>0</v>
          </cell>
          <cell r="I1864" t="str">
            <v>деп</v>
          </cell>
          <cell r="J1864">
            <v>38388</v>
          </cell>
        </row>
        <row r="1865">
          <cell r="A1865">
            <v>58720558</v>
          </cell>
          <cell r="B1865" t="str">
            <v>ЧП КАПУЛА Г.И.</v>
          </cell>
          <cell r="C1865" t="str">
            <v>НОЯБРЬСК 1   (СВР)</v>
          </cell>
          <cell r="D1865">
            <v>33756</v>
          </cell>
          <cell r="E1865">
            <v>37978</v>
          </cell>
          <cell r="F1865">
            <v>350</v>
          </cell>
          <cell r="H1865">
            <v>0</v>
          </cell>
          <cell r="I1865" t="str">
            <v>деп</v>
          </cell>
          <cell r="J1865">
            <v>38406</v>
          </cell>
        </row>
        <row r="1866">
          <cell r="A1866">
            <v>58720566</v>
          </cell>
          <cell r="B1866" t="str">
            <v>ЧП КАПУЛА Г.И.</v>
          </cell>
          <cell r="C1866" t="str">
            <v>НОЯБРЬСК 1   (СВР)</v>
          </cell>
          <cell r="D1866">
            <v>33756</v>
          </cell>
          <cell r="E1866">
            <v>37960</v>
          </cell>
          <cell r="F1866">
            <v>350</v>
          </cell>
          <cell r="H1866">
            <v>0</v>
          </cell>
          <cell r="I1866" t="str">
            <v>деп</v>
          </cell>
          <cell r="J1866">
            <v>38388</v>
          </cell>
        </row>
        <row r="1867">
          <cell r="B1867" t="str">
            <v>ЧП КАПУЛА Г.И. Количество</v>
          </cell>
          <cell r="D1867">
            <v>5</v>
          </cell>
        </row>
        <row r="1868">
          <cell r="A1868">
            <v>53705372</v>
          </cell>
          <cell r="B1868" t="str">
            <v>ЧП СИВЧУК О.А.</v>
          </cell>
          <cell r="C1868" t="str">
            <v>УССУРИЙСК    (ДВС)</v>
          </cell>
          <cell r="D1868">
            <v>33270</v>
          </cell>
          <cell r="E1868">
            <v>37823</v>
          </cell>
          <cell r="F1868">
            <v>163</v>
          </cell>
          <cell r="H1868">
            <v>0</v>
          </cell>
          <cell r="I1868" t="str">
            <v>деп</v>
          </cell>
          <cell r="J1868">
            <v>38373</v>
          </cell>
        </row>
        <row r="1869">
          <cell r="A1869">
            <v>58340399</v>
          </cell>
          <cell r="B1869" t="str">
            <v>ЧП СИВЧУК О.А.</v>
          </cell>
          <cell r="C1869" t="str">
            <v>УССУРИЙСК    (ДВС)</v>
          </cell>
          <cell r="D1869">
            <v>32994</v>
          </cell>
          <cell r="E1869">
            <v>38016</v>
          </cell>
          <cell r="F1869">
            <v>163</v>
          </cell>
          <cell r="H1869">
            <v>0</v>
          </cell>
          <cell r="I1869" t="str">
            <v>кап</v>
          </cell>
          <cell r="J1869">
            <v>38747</v>
          </cell>
        </row>
        <row r="1870">
          <cell r="A1870">
            <v>58340407</v>
          </cell>
          <cell r="B1870" t="str">
            <v>ЧП СИВЧУК О.А.</v>
          </cell>
          <cell r="C1870" t="str">
            <v>УССУРИЙСК    (ДВС)</v>
          </cell>
          <cell r="D1870">
            <v>33025</v>
          </cell>
          <cell r="E1870">
            <v>37931</v>
          </cell>
          <cell r="F1870">
            <v>163</v>
          </cell>
          <cell r="H1870">
            <v>0</v>
          </cell>
          <cell r="I1870" t="str">
            <v>кап</v>
          </cell>
          <cell r="J1870">
            <v>38662</v>
          </cell>
        </row>
        <row r="1871">
          <cell r="A1871">
            <v>58340415</v>
          </cell>
          <cell r="B1871" t="str">
            <v>ЧП СИВЧУК О.А.</v>
          </cell>
          <cell r="C1871" t="str">
            <v>УССУРИЙСК    (ДВС)</v>
          </cell>
          <cell r="D1871">
            <v>33025</v>
          </cell>
          <cell r="E1871">
            <v>37372</v>
          </cell>
          <cell r="F1871">
            <v>163</v>
          </cell>
          <cell r="H1871">
            <v>0</v>
          </cell>
          <cell r="I1871" t="str">
            <v>деп</v>
          </cell>
          <cell r="J1871">
            <v>38103</v>
          </cell>
        </row>
        <row r="1872">
          <cell r="A1872">
            <v>58340423</v>
          </cell>
          <cell r="B1872" t="str">
            <v>ЧП СИВЧУК О.А.</v>
          </cell>
          <cell r="C1872" t="str">
            <v>УССУРИЙСК    (ДВС)</v>
          </cell>
          <cell r="D1872">
            <v>33178</v>
          </cell>
          <cell r="E1872">
            <v>37432</v>
          </cell>
          <cell r="F1872">
            <v>163</v>
          </cell>
          <cell r="H1872">
            <v>0</v>
          </cell>
          <cell r="I1872" t="str">
            <v>деп</v>
          </cell>
          <cell r="J1872">
            <v>38163</v>
          </cell>
        </row>
        <row r="1873">
          <cell r="A1873">
            <v>58728759</v>
          </cell>
          <cell r="B1873" t="str">
            <v>ЧП СИВЧУК О.А.</v>
          </cell>
          <cell r="C1873" t="str">
            <v>УССУРИЙСК    (ДВС)</v>
          </cell>
          <cell r="D1873">
            <v>33207</v>
          </cell>
          <cell r="E1873">
            <v>37823</v>
          </cell>
          <cell r="F1873">
            <v>163</v>
          </cell>
          <cell r="H1873">
            <v>0</v>
          </cell>
          <cell r="I1873" t="str">
            <v>деп</v>
          </cell>
          <cell r="J1873">
            <v>38554</v>
          </cell>
        </row>
        <row r="1874">
          <cell r="A1874">
            <v>58728767</v>
          </cell>
          <cell r="B1874" t="str">
            <v>ЧП СИВЧУК О.А.</v>
          </cell>
          <cell r="C1874" t="str">
            <v>УССУРИЙСК    (ДВС)</v>
          </cell>
          <cell r="D1874">
            <v>33270</v>
          </cell>
          <cell r="E1874">
            <v>37823</v>
          </cell>
          <cell r="F1874">
            <v>163</v>
          </cell>
          <cell r="H1874">
            <v>0</v>
          </cell>
          <cell r="I1874" t="str">
            <v>деп</v>
          </cell>
          <cell r="J1874">
            <v>38554</v>
          </cell>
        </row>
        <row r="1875">
          <cell r="A1875">
            <v>58728775</v>
          </cell>
          <cell r="B1875" t="str">
            <v>ЧП СИВЧУК О.А.</v>
          </cell>
          <cell r="C1875" t="str">
            <v>УССУРИЙСК    (ДВС)</v>
          </cell>
          <cell r="D1875">
            <v>33270</v>
          </cell>
          <cell r="E1875">
            <v>37823</v>
          </cell>
          <cell r="F1875">
            <v>163</v>
          </cell>
          <cell r="H1875">
            <v>0</v>
          </cell>
          <cell r="I1875" t="str">
            <v>деп</v>
          </cell>
          <cell r="J1875">
            <v>38554</v>
          </cell>
        </row>
        <row r="1876">
          <cell r="A1876">
            <v>58728783</v>
          </cell>
          <cell r="B1876" t="str">
            <v>ЧП СИВЧУК О.А.</v>
          </cell>
          <cell r="C1876" t="str">
            <v>УССУРИЙСК    (ДВС)</v>
          </cell>
          <cell r="D1876">
            <v>33302</v>
          </cell>
          <cell r="E1876">
            <v>37823</v>
          </cell>
          <cell r="F1876">
            <v>163</v>
          </cell>
          <cell r="H1876">
            <v>0</v>
          </cell>
          <cell r="I1876" t="str">
            <v>деп</v>
          </cell>
          <cell r="J1876">
            <v>38554</v>
          </cell>
        </row>
        <row r="1877">
          <cell r="B1877" t="str">
            <v>ЧП СИВЧУК О.А. Количество</v>
          </cell>
          <cell r="D1877">
            <v>9</v>
          </cell>
        </row>
        <row r="1878">
          <cell r="A1878">
            <v>58002619</v>
          </cell>
          <cell r="B1878" t="str">
            <v>ШЕРЛ ТК</v>
          </cell>
          <cell r="C1878" t="str">
            <v>МОС-ТОВ-СМОЛ (МСK)</v>
          </cell>
          <cell r="D1878">
            <v>31509</v>
          </cell>
          <cell r="E1878">
            <v>37809</v>
          </cell>
          <cell r="F1878">
            <v>886</v>
          </cell>
          <cell r="G1878">
            <v>36885</v>
          </cell>
          <cell r="H1878">
            <v>1065</v>
          </cell>
          <cell r="I1878" t="str">
            <v>деп</v>
          </cell>
          <cell r="J1878">
            <v>38540</v>
          </cell>
        </row>
        <row r="1879">
          <cell r="A1879">
            <v>58002627</v>
          </cell>
          <cell r="B1879" t="str">
            <v>ШЕРЛ ТК</v>
          </cell>
          <cell r="C1879" t="str">
            <v>МОС-ТОВ-СМОЛ (МСK)</v>
          </cell>
          <cell r="D1879">
            <v>32395</v>
          </cell>
          <cell r="E1879">
            <v>37616</v>
          </cell>
          <cell r="F1879">
            <v>163</v>
          </cell>
          <cell r="G1879">
            <v>36855</v>
          </cell>
          <cell r="H1879">
            <v>1065</v>
          </cell>
          <cell r="I1879" t="str">
            <v>деп</v>
          </cell>
          <cell r="J1879">
            <v>38347</v>
          </cell>
        </row>
        <row r="1880">
          <cell r="A1880">
            <v>58002635</v>
          </cell>
          <cell r="B1880" t="str">
            <v>ШЕРЛ ТК</v>
          </cell>
          <cell r="C1880" t="str">
            <v>МОС-ТОВ-СМОЛ (МСK)</v>
          </cell>
          <cell r="D1880">
            <v>31509</v>
          </cell>
          <cell r="E1880">
            <v>37807</v>
          </cell>
          <cell r="F1880">
            <v>886</v>
          </cell>
          <cell r="G1880">
            <v>36930</v>
          </cell>
          <cell r="H1880">
            <v>1065</v>
          </cell>
          <cell r="I1880" t="str">
            <v>деп</v>
          </cell>
          <cell r="J1880">
            <v>38538</v>
          </cell>
        </row>
        <row r="1881">
          <cell r="A1881">
            <v>58002643</v>
          </cell>
          <cell r="B1881" t="str">
            <v>ШЕРЛ ТК</v>
          </cell>
          <cell r="C1881" t="str">
            <v>МОС-ТОВ-СМОЛ (МСK)</v>
          </cell>
          <cell r="D1881">
            <v>32812</v>
          </cell>
          <cell r="E1881">
            <v>37775</v>
          </cell>
          <cell r="F1881">
            <v>350</v>
          </cell>
          <cell r="G1881">
            <v>36964</v>
          </cell>
          <cell r="H1881">
            <v>1065</v>
          </cell>
          <cell r="I1881" t="str">
            <v>деп</v>
          </cell>
          <cell r="J1881">
            <v>38506</v>
          </cell>
        </row>
        <row r="1882">
          <cell r="A1882">
            <v>58002650</v>
          </cell>
          <cell r="B1882" t="str">
            <v>ШЕРЛ ТК</v>
          </cell>
          <cell r="C1882" t="str">
            <v>МОС-ТОВ-СМОЛ (МСK)</v>
          </cell>
          <cell r="D1882">
            <v>32395</v>
          </cell>
          <cell r="E1882">
            <v>37871</v>
          </cell>
          <cell r="F1882">
            <v>647</v>
          </cell>
          <cell r="G1882">
            <v>37130</v>
          </cell>
          <cell r="H1882">
            <v>1065</v>
          </cell>
          <cell r="I1882" t="str">
            <v>деп</v>
          </cell>
          <cell r="J1882">
            <v>38602</v>
          </cell>
        </row>
        <row r="1883">
          <cell r="A1883">
            <v>58002668</v>
          </cell>
          <cell r="B1883" t="str">
            <v>ШЕРЛ ТК</v>
          </cell>
          <cell r="C1883" t="str">
            <v>МОС-ТОВ-СМОЛ (МСK)</v>
          </cell>
          <cell r="D1883">
            <v>32812</v>
          </cell>
          <cell r="E1883">
            <v>37775</v>
          </cell>
          <cell r="F1883">
            <v>350</v>
          </cell>
          <cell r="G1883">
            <v>36929</v>
          </cell>
          <cell r="H1883">
            <v>1065</v>
          </cell>
          <cell r="I1883" t="str">
            <v>деп</v>
          </cell>
          <cell r="J1883">
            <v>38506</v>
          </cell>
        </row>
        <row r="1884">
          <cell r="A1884">
            <v>58002676</v>
          </cell>
          <cell r="B1884" t="str">
            <v>ШЕРЛ ТК</v>
          </cell>
          <cell r="C1884" t="str">
            <v>МОС-ТОВ-СМОЛ (МСK)</v>
          </cell>
          <cell r="D1884">
            <v>32812</v>
          </cell>
          <cell r="E1884">
            <v>37599</v>
          </cell>
          <cell r="F1884">
            <v>819</v>
          </cell>
          <cell r="G1884">
            <v>36855</v>
          </cell>
          <cell r="H1884">
            <v>1065</v>
          </cell>
          <cell r="I1884" t="str">
            <v>деп</v>
          </cell>
          <cell r="J1884">
            <v>38330</v>
          </cell>
        </row>
        <row r="1885">
          <cell r="A1885">
            <v>58002684</v>
          </cell>
          <cell r="B1885" t="str">
            <v>ШЕРЛ ТК</v>
          </cell>
          <cell r="C1885" t="str">
            <v>МОС-ТОВ-СМОЛ (МСK)</v>
          </cell>
          <cell r="D1885">
            <v>31509</v>
          </cell>
          <cell r="E1885">
            <v>37807</v>
          </cell>
          <cell r="F1885">
            <v>886</v>
          </cell>
          <cell r="G1885">
            <v>36885</v>
          </cell>
          <cell r="H1885">
            <v>1065</v>
          </cell>
          <cell r="I1885" t="str">
            <v>деп</v>
          </cell>
          <cell r="J1885">
            <v>38538</v>
          </cell>
        </row>
        <row r="1886">
          <cell r="A1886">
            <v>58002700</v>
          </cell>
          <cell r="B1886" t="str">
            <v>ШЕРЛ ТК</v>
          </cell>
          <cell r="C1886" t="str">
            <v>МОС-ТОВ-СМОЛ (МСK)</v>
          </cell>
          <cell r="D1886">
            <v>32812</v>
          </cell>
          <cell r="E1886">
            <v>37807</v>
          </cell>
          <cell r="F1886">
            <v>886</v>
          </cell>
          <cell r="G1886">
            <v>36938</v>
          </cell>
          <cell r="H1886">
            <v>1065</v>
          </cell>
          <cell r="I1886" t="str">
            <v>деп</v>
          </cell>
          <cell r="J1886">
            <v>38538</v>
          </cell>
        </row>
        <row r="1887">
          <cell r="A1887">
            <v>58002718</v>
          </cell>
          <cell r="B1887" t="str">
            <v>ШЕРЛ ТК</v>
          </cell>
          <cell r="C1887" t="str">
            <v>МОС-ТОВ-СМОЛ (МСK)</v>
          </cell>
          <cell r="D1887">
            <v>32325</v>
          </cell>
          <cell r="E1887">
            <v>37599</v>
          </cell>
          <cell r="F1887">
            <v>350</v>
          </cell>
          <cell r="G1887">
            <v>36830</v>
          </cell>
          <cell r="H1887">
            <v>1065</v>
          </cell>
          <cell r="I1887" t="str">
            <v>деп</v>
          </cell>
          <cell r="J1887">
            <v>38330</v>
          </cell>
        </row>
        <row r="1888">
          <cell r="A1888">
            <v>58002726</v>
          </cell>
          <cell r="B1888" t="str">
            <v>ШЕРЛ ТК</v>
          </cell>
          <cell r="C1888" t="str">
            <v>МОС-ТОВ-СМОЛ (МСK)</v>
          </cell>
          <cell r="D1888">
            <v>32812</v>
          </cell>
          <cell r="E1888">
            <v>37599</v>
          </cell>
          <cell r="F1888">
            <v>350</v>
          </cell>
          <cell r="G1888">
            <v>36830</v>
          </cell>
          <cell r="H1888">
            <v>1065</v>
          </cell>
          <cell r="I1888" t="str">
            <v>деп</v>
          </cell>
          <cell r="J1888">
            <v>38330</v>
          </cell>
        </row>
        <row r="1889">
          <cell r="A1889">
            <v>58002734</v>
          </cell>
          <cell r="B1889" t="str">
            <v>ШЕРЛ ТК</v>
          </cell>
          <cell r="C1889" t="str">
            <v>МОС-ТОВ-СМОЛ (МСK)</v>
          </cell>
          <cell r="D1889">
            <v>32812</v>
          </cell>
          <cell r="E1889">
            <v>37775</v>
          </cell>
          <cell r="F1889">
            <v>350</v>
          </cell>
          <cell r="G1889">
            <v>37002</v>
          </cell>
          <cell r="H1889">
            <v>1065</v>
          </cell>
          <cell r="I1889" t="str">
            <v>деп</v>
          </cell>
          <cell r="J1889">
            <v>38506</v>
          </cell>
        </row>
        <row r="1890">
          <cell r="A1890">
            <v>58002742</v>
          </cell>
          <cell r="B1890" t="str">
            <v>ШЕРЛ ТК</v>
          </cell>
          <cell r="C1890" t="str">
            <v>МОС-ТОВ-СМОЛ (МСK)</v>
          </cell>
          <cell r="D1890">
            <v>32812</v>
          </cell>
          <cell r="E1890">
            <v>37775</v>
          </cell>
          <cell r="F1890">
            <v>350</v>
          </cell>
          <cell r="G1890">
            <v>36964</v>
          </cell>
          <cell r="H1890">
            <v>1065</v>
          </cell>
          <cell r="I1890" t="str">
            <v>деп</v>
          </cell>
          <cell r="J1890">
            <v>38506</v>
          </cell>
        </row>
        <row r="1891">
          <cell r="A1891">
            <v>58002759</v>
          </cell>
          <cell r="B1891" t="str">
            <v>ШЕРЛ ТК</v>
          </cell>
          <cell r="C1891" t="str">
            <v>МОС-ТОВ-СМОЛ (МСK)</v>
          </cell>
          <cell r="D1891">
            <v>32395</v>
          </cell>
          <cell r="E1891">
            <v>37921</v>
          </cell>
          <cell r="F1891">
            <v>647</v>
          </cell>
          <cell r="G1891">
            <v>37126</v>
          </cell>
          <cell r="H1891">
            <v>1065</v>
          </cell>
          <cell r="I1891" t="str">
            <v>деп</v>
          </cell>
          <cell r="J1891">
            <v>38652</v>
          </cell>
        </row>
        <row r="1892">
          <cell r="A1892">
            <v>58002767</v>
          </cell>
          <cell r="B1892" t="str">
            <v>ШЕРЛ ТК</v>
          </cell>
          <cell r="C1892" t="str">
            <v>МОС-ТОВ-СМОЛ (МСK)</v>
          </cell>
          <cell r="D1892">
            <v>32812</v>
          </cell>
          <cell r="E1892">
            <v>37775</v>
          </cell>
          <cell r="F1892">
            <v>350</v>
          </cell>
          <cell r="G1892">
            <v>37002</v>
          </cell>
          <cell r="H1892">
            <v>1065</v>
          </cell>
          <cell r="I1892" t="str">
            <v>деп</v>
          </cell>
          <cell r="J1892">
            <v>38506</v>
          </cell>
        </row>
        <row r="1893">
          <cell r="A1893">
            <v>58002775</v>
          </cell>
          <cell r="B1893" t="str">
            <v>ШЕРЛ ТК</v>
          </cell>
          <cell r="C1893" t="str">
            <v>МОС-ТОВ-СМОЛ (МСK)</v>
          </cell>
          <cell r="D1893">
            <v>32812</v>
          </cell>
          <cell r="E1893">
            <v>37791</v>
          </cell>
          <cell r="F1893">
            <v>163</v>
          </cell>
          <cell r="G1893">
            <v>36938</v>
          </cell>
          <cell r="H1893">
            <v>1065</v>
          </cell>
          <cell r="I1893" t="str">
            <v>деп</v>
          </cell>
          <cell r="J1893">
            <v>38522</v>
          </cell>
        </row>
        <row r="1894">
          <cell r="B1894" t="str">
            <v>ШЕРЛ ТК Количество</v>
          </cell>
          <cell r="D1894">
            <v>16</v>
          </cell>
        </row>
        <row r="1895">
          <cell r="A1895">
            <v>58331125</v>
          </cell>
          <cell r="B1895" t="str">
            <v>ЭКСТРА</v>
          </cell>
          <cell r="C1895" t="str">
            <v>ЧИТА 1       (ЗАБ)</v>
          </cell>
          <cell r="D1895">
            <v>31463</v>
          </cell>
          <cell r="E1895">
            <v>36300</v>
          </cell>
          <cell r="F1895">
            <v>643</v>
          </cell>
          <cell r="G1895">
            <v>37028</v>
          </cell>
          <cell r="H1895">
            <v>643</v>
          </cell>
          <cell r="I1895" t="str">
            <v>деп</v>
          </cell>
          <cell r="J1895">
            <v>37758</v>
          </cell>
        </row>
        <row r="1896">
          <cell r="B1896" t="str">
            <v>ЭКСТРА Количество</v>
          </cell>
          <cell r="D1896">
            <v>1</v>
          </cell>
        </row>
        <row r="1897">
          <cell r="A1897">
            <v>53702601</v>
          </cell>
          <cell r="B1897" t="str">
            <v>ЭНГЕЛЬСКАЯ ТОГОВАЯ БАЗА</v>
          </cell>
          <cell r="C1897" t="str">
            <v>ПОКРОВСК-ПРВ (ПРВ)</v>
          </cell>
          <cell r="D1897">
            <v>33613</v>
          </cell>
          <cell r="E1897">
            <v>36631</v>
          </cell>
          <cell r="F1897">
            <v>0</v>
          </cell>
          <cell r="H1897">
            <v>0</v>
          </cell>
          <cell r="I1897" t="str">
            <v>деп</v>
          </cell>
          <cell r="J1897">
            <v>37726</v>
          </cell>
        </row>
        <row r="1898">
          <cell r="B1898" t="str">
            <v>ЭНГЕЛЬСКАЯ ТОГОВАЯ БАЗА Количество</v>
          </cell>
          <cell r="D1898">
            <v>1</v>
          </cell>
        </row>
        <row r="1899">
          <cell r="A1899">
            <v>53703351</v>
          </cell>
          <cell r="B1899" t="str">
            <v>ЭНЕРГОСТРОЙКОНСТРУКЦИЯ</v>
          </cell>
          <cell r="C1899" t="str">
            <v>ЛЕФОРТОВО    (МСK)</v>
          </cell>
          <cell r="D1899">
            <v>25934</v>
          </cell>
          <cell r="E1899">
            <v>34486</v>
          </cell>
        </row>
        <row r="1900">
          <cell r="B1900" t="str">
            <v>ЭНЕРГОСТРОЙКОНСТРУКЦИЯ Количество</v>
          </cell>
          <cell r="D1900">
            <v>1</v>
          </cell>
        </row>
        <row r="1901">
          <cell r="A1901">
            <v>58339508</v>
          </cell>
          <cell r="B1901" t="str">
            <v>ЭТНА З-Д</v>
          </cell>
          <cell r="C1901" t="str">
            <v>ГОРЬКИЙ-МОСК (ГOР)</v>
          </cell>
          <cell r="D1901">
            <v>33878</v>
          </cell>
          <cell r="E1901">
            <v>37764</v>
          </cell>
          <cell r="F1901">
            <v>350</v>
          </cell>
          <cell r="H1901">
            <v>0</v>
          </cell>
          <cell r="I1901" t="str">
            <v>деп</v>
          </cell>
          <cell r="J1901">
            <v>38495</v>
          </cell>
        </row>
        <row r="1902">
          <cell r="A1902">
            <v>58339516</v>
          </cell>
          <cell r="B1902" t="str">
            <v>ЭТНА З-Д</v>
          </cell>
          <cell r="C1902" t="str">
            <v>ГОРЬКИЙ-МОСК (ГOР)</v>
          </cell>
          <cell r="D1902">
            <v>33878</v>
          </cell>
          <cell r="E1902">
            <v>37764</v>
          </cell>
          <cell r="F1902">
            <v>350</v>
          </cell>
          <cell r="H1902">
            <v>0</v>
          </cell>
          <cell r="I1902" t="str">
            <v>деп</v>
          </cell>
          <cell r="J1902">
            <v>38495</v>
          </cell>
        </row>
        <row r="1903">
          <cell r="B1903" t="str">
            <v>ЭТНА З-Д Количество</v>
          </cell>
          <cell r="D1903">
            <v>2</v>
          </cell>
        </row>
        <row r="1904">
          <cell r="A1904">
            <v>53701769</v>
          </cell>
          <cell r="B1904" t="str">
            <v>ЮГТРАНСГАЗ УПТОКИЖТ</v>
          </cell>
          <cell r="C1904" t="str">
            <v>ТАТИЩЕВО     (ПРВ)</v>
          </cell>
          <cell r="D1904">
            <v>35612</v>
          </cell>
          <cell r="I1904" t="str">
            <v>деп</v>
          </cell>
          <cell r="J1904">
            <v>36708</v>
          </cell>
        </row>
        <row r="1905">
          <cell r="A1905">
            <v>58339151</v>
          </cell>
          <cell r="B1905" t="str">
            <v>ЮГТРАНСГАЗ УПТОКИЖТ</v>
          </cell>
          <cell r="C1905" t="str">
            <v>ТАТИЩЕВО     (ПРВ)</v>
          </cell>
          <cell r="D1905">
            <v>35612</v>
          </cell>
          <cell r="I1905" t="str">
            <v>деп</v>
          </cell>
          <cell r="J1905">
            <v>36708</v>
          </cell>
        </row>
        <row r="1906">
          <cell r="A1906">
            <v>58339169</v>
          </cell>
          <cell r="B1906" t="str">
            <v>ЮГТРАНСГАЗ УПТОКИЖТ</v>
          </cell>
          <cell r="C1906" t="str">
            <v>ТАТИЩЕВО     (ПРВ)</v>
          </cell>
          <cell r="D1906">
            <v>35612</v>
          </cell>
          <cell r="I1906" t="str">
            <v>деп</v>
          </cell>
          <cell r="J1906">
            <v>36708</v>
          </cell>
        </row>
        <row r="1907">
          <cell r="A1907">
            <v>58339177</v>
          </cell>
          <cell r="B1907" t="str">
            <v>ЮГТРАНСГАЗ УПТОКИЖТ</v>
          </cell>
          <cell r="C1907" t="str">
            <v>ТАТИЩЕВО     (ПРВ)</v>
          </cell>
          <cell r="D1907">
            <v>35612</v>
          </cell>
          <cell r="I1907" t="str">
            <v>деп</v>
          </cell>
          <cell r="J1907">
            <v>36708</v>
          </cell>
        </row>
        <row r="1908">
          <cell r="A1908">
            <v>58339185</v>
          </cell>
          <cell r="B1908" t="str">
            <v>ЮГТРАНСГАЗ УПТОКИЖТ</v>
          </cell>
          <cell r="C1908" t="str">
            <v>ТАТИЩЕВО     (ПРВ)</v>
          </cell>
          <cell r="D1908">
            <v>35612</v>
          </cell>
          <cell r="I1908" t="str">
            <v>деп</v>
          </cell>
          <cell r="J1908">
            <v>36708</v>
          </cell>
        </row>
        <row r="1909">
          <cell r="B1909" t="str">
            <v>ЮГТРАНСГАЗ УПТОКИЖТ Количество</v>
          </cell>
          <cell r="D1909">
            <v>5</v>
          </cell>
        </row>
        <row r="1910">
          <cell r="A1910">
            <v>58733965</v>
          </cell>
          <cell r="B1910" t="str">
            <v>ЮНИЛИЗ</v>
          </cell>
          <cell r="C1910" t="str">
            <v>ОТРОЖКА      (ЮВС)</v>
          </cell>
          <cell r="D1910">
            <v>28126</v>
          </cell>
          <cell r="E1910">
            <v>36543</v>
          </cell>
          <cell r="F1910">
            <v>497</v>
          </cell>
          <cell r="G1910">
            <v>37818</v>
          </cell>
          <cell r="H1910">
            <v>497</v>
          </cell>
          <cell r="I1910" t="str">
            <v>деп</v>
          </cell>
          <cell r="J1910">
            <v>38368</v>
          </cell>
        </row>
        <row r="1911">
          <cell r="B1911" t="str">
            <v>ЮНИЛИЗ Количество</v>
          </cell>
          <cell r="D1911">
            <v>1</v>
          </cell>
        </row>
        <row r="1912">
          <cell r="A1912">
            <v>53703864</v>
          </cell>
          <cell r="B1912" t="str">
            <v>ЯМАЛИНВЕСТРЕСУРС</v>
          </cell>
          <cell r="C1912" t="str">
            <v>ЛЮБЛИНО-СОРТ (МСK)</v>
          </cell>
          <cell r="D1912">
            <v>34639</v>
          </cell>
          <cell r="E1912">
            <v>37733</v>
          </cell>
          <cell r="F1912">
            <v>350</v>
          </cell>
          <cell r="I1912" t="str">
            <v>деп</v>
          </cell>
          <cell r="J1912">
            <v>38829</v>
          </cell>
        </row>
        <row r="1913">
          <cell r="A1913">
            <v>58723180</v>
          </cell>
          <cell r="B1913" t="str">
            <v>ЯМАЛИНВЕСТРЕСУРС</v>
          </cell>
          <cell r="C1913" t="str">
            <v>ЛЮБЛИНО-СОРТ (МСK)</v>
          </cell>
          <cell r="D1913">
            <v>34851</v>
          </cell>
          <cell r="E1913">
            <v>37733</v>
          </cell>
          <cell r="F1913">
            <v>350</v>
          </cell>
          <cell r="I1913" t="str">
            <v>деп</v>
          </cell>
          <cell r="J1913">
            <v>38464</v>
          </cell>
        </row>
        <row r="1914">
          <cell r="A1914">
            <v>58723206</v>
          </cell>
          <cell r="B1914" t="str">
            <v>ЯМАЛИНВЕСТРЕСУРС</v>
          </cell>
          <cell r="C1914" t="str">
            <v>ЛЮБЛИНО-СОРТ (МСK)</v>
          </cell>
          <cell r="D1914">
            <v>34851</v>
          </cell>
          <cell r="E1914">
            <v>37733</v>
          </cell>
          <cell r="F1914">
            <v>350</v>
          </cell>
          <cell r="I1914" t="str">
            <v>деп</v>
          </cell>
          <cell r="J1914">
            <v>38464</v>
          </cell>
        </row>
        <row r="1915">
          <cell r="A1915">
            <v>58723214</v>
          </cell>
          <cell r="B1915" t="str">
            <v>ЯМАЛИНВЕСТРЕСУРС</v>
          </cell>
          <cell r="C1915" t="str">
            <v>ЛЮБЛИНО-СОРТ (МСK)</v>
          </cell>
          <cell r="D1915">
            <v>34851</v>
          </cell>
          <cell r="E1915">
            <v>37733</v>
          </cell>
          <cell r="F1915">
            <v>350</v>
          </cell>
          <cell r="I1915" t="str">
            <v>деп</v>
          </cell>
          <cell r="J1915">
            <v>38464</v>
          </cell>
        </row>
        <row r="1916">
          <cell r="A1916">
            <v>58723222</v>
          </cell>
          <cell r="B1916" t="str">
            <v>ЯМАЛИНВЕСТРЕСУРС</v>
          </cell>
          <cell r="C1916" t="str">
            <v>ЛЮБЛИНО-СОРТ (МСK)</v>
          </cell>
          <cell r="D1916">
            <v>34851</v>
          </cell>
          <cell r="E1916">
            <v>37733</v>
          </cell>
          <cell r="F1916">
            <v>350</v>
          </cell>
          <cell r="I1916" t="str">
            <v>деп</v>
          </cell>
          <cell r="J1916">
            <v>38464</v>
          </cell>
        </row>
        <row r="1917">
          <cell r="B1917" t="str">
            <v>ЯМАЛИНВЕСТРЕСУРС Количество</v>
          </cell>
          <cell r="D1917">
            <v>5</v>
          </cell>
        </row>
        <row r="1918">
          <cell r="A1918">
            <v>53702015</v>
          </cell>
          <cell r="B1918" t="str">
            <v>ЯМБУРГГАЗДОБЫЧА ПО</v>
          </cell>
          <cell r="C1918" t="str">
            <v>ЯМБУРГ       (СВР)</v>
          </cell>
          <cell r="D1918">
            <v>33630</v>
          </cell>
          <cell r="E1918">
            <v>37942</v>
          </cell>
          <cell r="F1918">
            <v>163</v>
          </cell>
          <cell r="I1918" t="str">
            <v>кап</v>
          </cell>
          <cell r="J1918">
            <v>39038</v>
          </cell>
        </row>
        <row r="1919">
          <cell r="A1919">
            <v>58339524</v>
          </cell>
          <cell r="B1919" t="str">
            <v>ЯМБУРГГАЗДОБЫЧА ПО</v>
          </cell>
          <cell r="C1919" t="str">
            <v>ЯМБУРГ       (СВР)</v>
          </cell>
          <cell r="D1919">
            <v>33928</v>
          </cell>
          <cell r="E1919">
            <v>37942</v>
          </cell>
          <cell r="F1919">
            <v>163</v>
          </cell>
          <cell r="I1919" t="str">
            <v>деп</v>
          </cell>
          <cell r="J1919">
            <v>38673</v>
          </cell>
        </row>
        <row r="1920">
          <cell r="A1920">
            <v>58339532</v>
          </cell>
          <cell r="B1920" t="str">
            <v>ЯМБУРГГАЗДОБЫЧА ПО</v>
          </cell>
          <cell r="C1920" t="str">
            <v>ЯМБУРГ       (СВР)</v>
          </cell>
          <cell r="D1920">
            <v>33928</v>
          </cell>
          <cell r="E1920">
            <v>37942</v>
          </cell>
          <cell r="F1920">
            <v>163</v>
          </cell>
          <cell r="I1920" t="str">
            <v>деп</v>
          </cell>
          <cell r="J1920">
            <v>38673</v>
          </cell>
        </row>
        <row r="1921">
          <cell r="A1921">
            <v>58339540</v>
          </cell>
          <cell r="B1921" t="str">
            <v>ЯМБУРГГАЗДОБЫЧА ПО</v>
          </cell>
          <cell r="C1921" t="str">
            <v>ЯМБУРГ       (СВР)</v>
          </cell>
          <cell r="D1921">
            <v>33928</v>
          </cell>
          <cell r="E1921">
            <v>37942</v>
          </cell>
          <cell r="F1921">
            <v>163</v>
          </cell>
          <cell r="I1921" t="str">
            <v>деп</v>
          </cell>
          <cell r="J1921">
            <v>38673</v>
          </cell>
        </row>
        <row r="1922">
          <cell r="A1922">
            <v>58339557</v>
          </cell>
          <cell r="B1922" t="str">
            <v>ЯМБУРГГАЗДОБЫЧА ПО</v>
          </cell>
          <cell r="C1922" t="str">
            <v>ЯМБУРГ       (СВР)</v>
          </cell>
          <cell r="D1922">
            <v>33928</v>
          </cell>
          <cell r="E1922">
            <v>37942</v>
          </cell>
          <cell r="F1922">
            <v>163</v>
          </cell>
          <cell r="I1922" t="str">
            <v>деп</v>
          </cell>
          <cell r="J1922">
            <v>38673</v>
          </cell>
        </row>
        <row r="1923">
          <cell r="B1923" t="str">
            <v>ЯМБУРГГАЗДОБЫЧА ПО Количество</v>
          </cell>
          <cell r="D1923">
            <v>5</v>
          </cell>
        </row>
        <row r="1924">
          <cell r="B1924" t="str">
            <v>Общее количество</v>
          </cell>
          <cell r="D1924">
            <v>1732</v>
          </cell>
        </row>
      </sheetData>
      <sheetData sheetId="1"/>
      <sheetData sheetId="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PREP_33963"/>
      <sheetName val="TMPREP_33963_НАГРУЗКА"/>
      <sheetName val="тарифы 2019_2018"/>
      <sheetName val="далее расч листы для тарифов"/>
      <sheetName val="энерг_1 действ"/>
      <sheetName val="энерг_2 действ"/>
      <sheetName val="кокс уг_3 действ"/>
      <sheetName val="энерг_1 предлаг"/>
      <sheetName val="энерг_2 предлаг"/>
      <sheetName val="кокс уг_3 предлаг"/>
      <sheetName val="Коэффициенты"/>
      <sheetName val="В инв"/>
      <sheetName val="сх 8"/>
      <sheetName val="сх пор"/>
      <sheetName val="список дальн"/>
      <sheetName val="сх И1"/>
      <sheetName val="к порожн "/>
    </sheetNames>
    <sheetDataSet>
      <sheetData sheetId="0"/>
      <sheetData sheetId="1"/>
      <sheetData sheetId="2"/>
      <sheetData sheetId="3"/>
      <sheetData sheetId="4">
        <row r="3">
          <cell r="I3">
            <v>25</v>
          </cell>
        </row>
        <row r="4">
          <cell r="I4">
            <v>26</v>
          </cell>
        </row>
        <row r="5">
          <cell r="I5">
            <v>27</v>
          </cell>
        </row>
        <row r="6">
          <cell r="I6">
            <v>28</v>
          </cell>
        </row>
        <row r="7">
          <cell r="I7">
            <v>29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Минстрой"/>
      <sheetName val="Технический лист"/>
      <sheetName val="Ставки аренды"/>
      <sheetName val="Цены"/>
    </sheetNames>
    <sheetDataSet>
      <sheetData sheetId="0"/>
      <sheetData sheetId="1">
        <row r="1">
          <cell r="A1" t="str">
            <v>Значение</v>
          </cell>
          <cell r="B1" t="str">
            <v>Коэффициент</v>
          </cell>
        </row>
        <row r="2">
          <cell r="A2">
            <v>-3</v>
          </cell>
          <cell r="B2">
            <v>0</v>
          </cell>
        </row>
        <row r="3">
          <cell r="A3">
            <v>-2.4500000000000002</v>
          </cell>
          <cell r="B3">
            <v>0</v>
          </cell>
        </row>
        <row r="4">
          <cell r="A4">
            <v>-2.4</v>
          </cell>
          <cell r="B4">
            <v>0</v>
          </cell>
        </row>
        <row r="5">
          <cell r="A5">
            <v>-2.35</v>
          </cell>
          <cell r="B5">
            <v>0</v>
          </cell>
        </row>
        <row r="6">
          <cell r="A6">
            <v>-2.2999999999999998</v>
          </cell>
          <cell r="B6">
            <v>0</v>
          </cell>
        </row>
        <row r="7">
          <cell r="A7">
            <v>-2.25</v>
          </cell>
          <cell r="B7">
            <v>0</v>
          </cell>
        </row>
        <row r="8">
          <cell r="A8">
            <v>-2.2000000000000002</v>
          </cell>
          <cell r="B8">
            <v>0</v>
          </cell>
        </row>
        <row r="9">
          <cell r="A9">
            <v>-2.15</v>
          </cell>
          <cell r="B9">
            <v>0</v>
          </cell>
        </row>
        <row r="10">
          <cell r="A10">
            <v>-2.1</v>
          </cell>
          <cell r="B10">
            <v>0</v>
          </cell>
        </row>
        <row r="11">
          <cell r="A11">
            <v>-2.0499999999999998</v>
          </cell>
          <cell r="B11">
            <v>0</v>
          </cell>
        </row>
        <row r="12">
          <cell r="A12">
            <v>-2</v>
          </cell>
          <cell r="B12">
            <v>0</v>
          </cell>
        </row>
        <row r="13">
          <cell r="A13">
            <v>-1.95</v>
          </cell>
          <cell r="B13">
            <v>0</v>
          </cell>
        </row>
        <row r="14">
          <cell r="A14">
            <v>-1.9</v>
          </cell>
          <cell r="B14">
            <v>0</v>
          </cell>
        </row>
        <row r="15">
          <cell r="A15">
            <v>-1.85</v>
          </cell>
          <cell r="B15">
            <v>0</v>
          </cell>
        </row>
        <row r="16">
          <cell r="A16">
            <v>-1.8</v>
          </cell>
          <cell r="B16">
            <v>0</v>
          </cell>
        </row>
        <row r="17">
          <cell r="A17">
            <v>-0.31</v>
          </cell>
          <cell r="B17">
            <v>0</v>
          </cell>
        </row>
        <row r="18">
          <cell r="A18">
            <v>-0.3</v>
          </cell>
          <cell r="B18">
            <v>0</v>
          </cell>
        </row>
        <row r="19">
          <cell r="A19">
            <v>-0.28999999999999998</v>
          </cell>
          <cell r="B19">
            <v>0</v>
          </cell>
        </row>
        <row r="20">
          <cell r="A20">
            <v>-0.28000000000000003</v>
          </cell>
          <cell r="B20">
            <v>0</v>
          </cell>
        </row>
        <row r="21">
          <cell r="A21">
            <v>-0.27</v>
          </cell>
          <cell r="B21">
            <v>0</v>
          </cell>
        </row>
        <row r="22">
          <cell r="A22">
            <v>-0.26</v>
          </cell>
          <cell r="B22">
            <v>0</v>
          </cell>
        </row>
        <row r="23">
          <cell r="A23">
            <v>-0.25</v>
          </cell>
          <cell r="B23">
            <v>0</v>
          </cell>
        </row>
        <row r="24">
          <cell r="A24">
            <v>-0.245</v>
          </cell>
          <cell r="B24">
            <v>0</v>
          </cell>
        </row>
        <row r="25">
          <cell r="A25">
            <v>-0.24</v>
          </cell>
          <cell r="B25">
            <v>0</v>
          </cell>
        </row>
        <row r="26">
          <cell r="A26">
            <v>-0.23499999999999999</v>
          </cell>
          <cell r="B26">
            <v>0</v>
          </cell>
        </row>
        <row r="27">
          <cell r="A27">
            <v>-0.23</v>
          </cell>
          <cell r="B27">
            <v>0.06</v>
          </cell>
        </row>
        <row r="28">
          <cell r="A28">
            <v>-0.22500000000000001</v>
          </cell>
          <cell r="B28">
            <v>0.11</v>
          </cell>
        </row>
        <row r="29">
          <cell r="A29">
            <v>-0.22</v>
          </cell>
          <cell r="B29">
            <v>0.155</v>
          </cell>
        </row>
        <row r="30">
          <cell r="A30">
            <v>-0.215</v>
          </cell>
          <cell r="B30">
            <v>0.2</v>
          </cell>
        </row>
        <row r="31">
          <cell r="A31">
            <v>-0.21</v>
          </cell>
          <cell r="B31">
            <v>0.24</v>
          </cell>
        </row>
        <row r="32">
          <cell r="A32">
            <v>-0.20499999999999999</v>
          </cell>
          <cell r="B32">
            <v>0.28000000000000003</v>
          </cell>
        </row>
        <row r="33">
          <cell r="A33">
            <v>-0.2</v>
          </cell>
          <cell r="B33">
            <v>0.32</v>
          </cell>
        </row>
        <row r="34">
          <cell r="A34">
            <v>-0.19500000000000001</v>
          </cell>
          <cell r="B34">
            <v>0.35499999999999998</v>
          </cell>
        </row>
        <row r="35">
          <cell r="A35">
            <v>-0.19</v>
          </cell>
          <cell r="B35">
            <v>0.39</v>
          </cell>
        </row>
        <row r="36">
          <cell r="A36">
            <v>-0.185</v>
          </cell>
          <cell r="B36">
            <v>0.42499999999999999</v>
          </cell>
        </row>
        <row r="37">
          <cell r="A37">
            <v>-0.18</v>
          </cell>
          <cell r="B37">
            <v>0.46</v>
          </cell>
        </row>
        <row r="38">
          <cell r="A38">
            <v>-0.17499999999999999</v>
          </cell>
          <cell r="B38">
            <v>0.49</v>
          </cell>
        </row>
        <row r="39">
          <cell r="A39">
            <v>-0.17</v>
          </cell>
          <cell r="B39">
            <v>0.52</v>
          </cell>
        </row>
        <row r="40">
          <cell r="A40">
            <v>-0.16500000000000001</v>
          </cell>
          <cell r="B40">
            <v>0.55000000000000004</v>
          </cell>
        </row>
        <row r="41">
          <cell r="A41">
            <v>-0.16</v>
          </cell>
          <cell r="B41">
            <v>0.57999999999999996</v>
          </cell>
        </row>
        <row r="42">
          <cell r="A42">
            <v>-0.155</v>
          </cell>
          <cell r="B42">
            <v>0.61</v>
          </cell>
        </row>
        <row r="43">
          <cell r="A43">
            <v>-0.15</v>
          </cell>
          <cell r="B43">
            <v>0.63500000000000001</v>
          </cell>
        </row>
        <row r="44">
          <cell r="A44">
            <v>-0.14499999999999999</v>
          </cell>
          <cell r="B44">
            <v>0.66</v>
          </cell>
        </row>
        <row r="45">
          <cell r="A45">
            <v>-0.14000000000000001</v>
          </cell>
          <cell r="B45">
            <v>0.68500000000000005</v>
          </cell>
        </row>
        <row r="46">
          <cell r="A46">
            <v>-0.13500000000000001</v>
          </cell>
          <cell r="B46">
            <v>0.71</v>
          </cell>
        </row>
        <row r="47">
          <cell r="A47">
            <v>-0.13</v>
          </cell>
          <cell r="B47">
            <v>0.73</v>
          </cell>
        </row>
        <row r="48">
          <cell r="A48">
            <v>-0.125</v>
          </cell>
          <cell r="B48">
            <v>0.75</v>
          </cell>
        </row>
        <row r="49">
          <cell r="A49">
            <v>-0.12</v>
          </cell>
          <cell r="B49">
            <v>0.77</v>
          </cell>
        </row>
        <row r="50">
          <cell r="A50">
            <v>-0.115</v>
          </cell>
          <cell r="B50">
            <v>0.79</v>
          </cell>
        </row>
        <row r="51">
          <cell r="A51">
            <v>-0.11</v>
          </cell>
          <cell r="B51">
            <v>0.81</v>
          </cell>
        </row>
        <row r="52">
          <cell r="A52">
            <v>-0.105</v>
          </cell>
          <cell r="B52">
            <v>0.82499999999999996</v>
          </cell>
        </row>
        <row r="53">
          <cell r="A53">
            <v>-0.1</v>
          </cell>
          <cell r="B53">
            <v>0.84</v>
          </cell>
        </row>
        <row r="54">
          <cell r="A54">
            <v>-9.5000000000000001E-2</v>
          </cell>
          <cell r="B54">
            <v>0.85499999999999998</v>
          </cell>
        </row>
        <row r="55">
          <cell r="A55">
            <v>-0.09</v>
          </cell>
          <cell r="B55">
            <v>0.87</v>
          </cell>
        </row>
        <row r="56">
          <cell r="A56">
            <v>-8.5000000000000006E-2</v>
          </cell>
          <cell r="B56">
            <v>0.88500000000000001</v>
          </cell>
        </row>
        <row r="57">
          <cell r="A57">
            <v>-0.08</v>
          </cell>
          <cell r="B57">
            <v>0.9</v>
          </cell>
        </row>
        <row r="58">
          <cell r="A58">
            <v>-7.4999999999999997E-2</v>
          </cell>
          <cell r="B58">
            <v>0.91</v>
          </cell>
        </row>
        <row r="59">
          <cell r="A59">
            <v>-7.0000000000000007E-2</v>
          </cell>
          <cell r="B59">
            <v>0.92</v>
          </cell>
        </row>
        <row r="60">
          <cell r="A60">
            <v>-6.5000000000000002E-2</v>
          </cell>
          <cell r="B60">
            <v>0.93</v>
          </cell>
        </row>
        <row r="61">
          <cell r="A61">
            <v>-0.06</v>
          </cell>
          <cell r="B61">
            <v>0.94</v>
          </cell>
        </row>
        <row r="62">
          <cell r="A62">
            <v>-5.5E-2</v>
          </cell>
          <cell r="B62">
            <v>0.95</v>
          </cell>
        </row>
        <row r="63">
          <cell r="A63">
            <v>-0.05</v>
          </cell>
          <cell r="B63">
            <v>0.96</v>
          </cell>
        </row>
        <row r="64">
          <cell r="A64">
            <v>-4.4999999999999998E-2</v>
          </cell>
          <cell r="B64">
            <v>0.96499999999999997</v>
          </cell>
        </row>
        <row r="65">
          <cell r="A65">
            <v>-0.04</v>
          </cell>
          <cell r="B65">
            <v>0.97</v>
          </cell>
        </row>
        <row r="66">
          <cell r="A66">
            <v>-3.5000000000000003E-2</v>
          </cell>
          <cell r="B66">
            <v>0.97499999999999998</v>
          </cell>
        </row>
        <row r="67">
          <cell r="A67">
            <v>-0.03</v>
          </cell>
          <cell r="B67">
            <v>0.98</v>
          </cell>
        </row>
        <row r="68">
          <cell r="A68">
            <v>-2.5000000000000001E-2</v>
          </cell>
          <cell r="B68">
            <v>0.98499999999999999</v>
          </cell>
        </row>
        <row r="69">
          <cell r="A69">
            <v>-0.02</v>
          </cell>
          <cell r="B69">
            <v>0.99</v>
          </cell>
        </row>
        <row r="70">
          <cell r="A70">
            <v>-1.4999999999999999E-2</v>
          </cell>
          <cell r="B70">
            <v>0.995</v>
          </cell>
        </row>
        <row r="71">
          <cell r="A71">
            <v>-0.01</v>
          </cell>
          <cell r="B71">
            <v>1</v>
          </cell>
        </row>
        <row r="72">
          <cell r="A72">
            <v>-5.0000000000000001E-3</v>
          </cell>
          <cell r="B72">
            <v>1</v>
          </cell>
        </row>
        <row r="73">
          <cell r="A73">
            <v>0</v>
          </cell>
          <cell r="B73">
            <v>1</v>
          </cell>
        </row>
        <row r="74">
          <cell r="A74">
            <v>5.0000000000000001E-3</v>
          </cell>
          <cell r="B74">
            <v>1</v>
          </cell>
        </row>
        <row r="75">
          <cell r="A75">
            <v>0.01</v>
          </cell>
          <cell r="B75">
            <v>1</v>
          </cell>
        </row>
        <row r="76">
          <cell r="A76">
            <v>1.4999999999999999E-2</v>
          </cell>
          <cell r="B76">
            <v>1.0049999999999999</v>
          </cell>
        </row>
        <row r="77">
          <cell r="A77">
            <v>0.02</v>
          </cell>
          <cell r="B77">
            <v>1.0099999999999998</v>
          </cell>
        </row>
        <row r="78">
          <cell r="A78">
            <v>2.5000000000000001E-2</v>
          </cell>
          <cell r="B78">
            <v>1.0149999999999997</v>
          </cell>
        </row>
        <row r="79">
          <cell r="A79">
            <v>0.03</v>
          </cell>
          <cell r="B79">
            <v>1.0199999999999996</v>
          </cell>
        </row>
        <row r="80">
          <cell r="A80">
            <v>3.5000000000000003E-2</v>
          </cell>
          <cell r="B80">
            <v>1.0249999999999995</v>
          </cell>
        </row>
        <row r="81">
          <cell r="A81">
            <v>0.04</v>
          </cell>
          <cell r="B81">
            <v>1.0299999999999994</v>
          </cell>
        </row>
        <row r="82">
          <cell r="A82">
            <v>4.4999999999999998E-2</v>
          </cell>
          <cell r="B82">
            <v>1.0349999999999993</v>
          </cell>
        </row>
        <row r="83">
          <cell r="A83">
            <v>0.05</v>
          </cell>
          <cell r="B83">
            <v>1.0399999999999991</v>
          </cell>
        </row>
        <row r="84">
          <cell r="A84">
            <v>5.5E-2</v>
          </cell>
          <cell r="B84">
            <v>1.0499999999999992</v>
          </cell>
        </row>
        <row r="85">
          <cell r="A85">
            <v>0.06</v>
          </cell>
          <cell r="B85">
            <v>1.0599999999999992</v>
          </cell>
        </row>
        <row r="86">
          <cell r="A86">
            <v>6.5000000000000002E-2</v>
          </cell>
          <cell r="B86">
            <v>1.0699999999999992</v>
          </cell>
        </row>
        <row r="87">
          <cell r="A87">
            <v>7.0000000000000007E-2</v>
          </cell>
          <cell r="B87">
            <v>1.0799999999999992</v>
          </cell>
        </row>
        <row r="88">
          <cell r="A88">
            <v>7.4999999999999997E-2</v>
          </cell>
          <cell r="B88">
            <v>1.0899999999999992</v>
          </cell>
        </row>
        <row r="89">
          <cell r="A89">
            <v>0.08</v>
          </cell>
          <cell r="B89">
            <v>1.0999999999999992</v>
          </cell>
        </row>
        <row r="90">
          <cell r="A90">
            <v>8.5000000000000006E-2</v>
          </cell>
          <cell r="B90">
            <v>1.1149999999999991</v>
          </cell>
        </row>
        <row r="91">
          <cell r="A91">
            <v>0.09</v>
          </cell>
          <cell r="B91">
            <v>1.129999999999999</v>
          </cell>
        </row>
        <row r="92">
          <cell r="A92">
            <v>9.5000000000000001E-2</v>
          </cell>
          <cell r="B92">
            <v>1.1449999999999991</v>
          </cell>
        </row>
        <row r="93">
          <cell r="A93">
            <v>0.1</v>
          </cell>
          <cell r="B93">
            <v>1.1599999999999993</v>
          </cell>
        </row>
        <row r="94">
          <cell r="A94">
            <v>0.105</v>
          </cell>
          <cell r="B94">
            <v>1.1749999999999994</v>
          </cell>
        </row>
        <row r="95">
          <cell r="A95">
            <v>0.11</v>
          </cell>
          <cell r="B95">
            <v>1.1899999999999995</v>
          </cell>
        </row>
        <row r="96">
          <cell r="A96">
            <v>0.115</v>
          </cell>
          <cell r="B96">
            <v>1.2099999999999995</v>
          </cell>
        </row>
        <row r="97">
          <cell r="A97">
            <v>0.12</v>
          </cell>
          <cell r="B97">
            <v>1.2299999999999995</v>
          </cell>
        </row>
        <row r="98">
          <cell r="A98">
            <v>0.125</v>
          </cell>
          <cell r="B98">
            <v>1.2499999999999996</v>
          </cell>
        </row>
        <row r="99">
          <cell r="A99">
            <v>0.13</v>
          </cell>
          <cell r="B99">
            <v>1.2699999999999996</v>
          </cell>
        </row>
        <row r="100">
          <cell r="A100">
            <v>0.13500000000000001</v>
          </cell>
          <cell r="B100">
            <v>1.2899999999999996</v>
          </cell>
        </row>
        <row r="101">
          <cell r="A101">
            <v>0.14000000000000001</v>
          </cell>
          <cell r="B101">
            <v>1.3149999999999995</v>
          </cell>
        </row>
        <row r="102">
          <cell r="A102">
            <v>0.14499999999999999</v>
          </cell>
          <cell r="B102">
            <v>1.3399999999999994</v>
          </cell>
        </row>
        <row r="103">
          <cell r="A103">
            <v>0.15</v>
          </cell>
          <cell r="B103">
            <v>1.3649999999999993</v>
          </cell>
        </row>
        <row r="104">
          <cell r="A104">
            <v>0.155</v>
          </cell>
          <cell r="B104">
            <v>1.3899999999999992</v>
          </cell>
        </row>
        <row r="105">
          <cell r="A105">
            <v>0.16</v>
          </cell>
          <cell r="B105">
            <v>1.4199999999999993</v>
          </cell>
        </row>
        <row r="106">
          <cell r="A106">
            <v>0.16500000000000001</v>
          </cell>
          <cell r="B106">
            <v>1.4499999999999993</v>
          </cell>
        </row>
        <row r="107">
          <cell r="A107">
            <v>0.17</v>
          </cell>
          <cell r="B107">
            <v>1.4799999999999993</v>
          </cell>
        </row>
        <row r="108">
          <cell r="A108">
            <v>0.17499999999999999</v>
          </cell>
          <cell r="B108">
            <v>1.5099999999999993</v>
          </cell>
        </row>
        <row r="109">
          <cell r="A109">
            <v>0.18</v>
          </cell>
          <cell r="B109">
            <v>1.5399999999999994</v>
          </cell>
        </row>
        <row r="110">
          <cell r="A110">
            <v>0.185</v>
          </cell>
          <cell r="B110">
            <v>1.5749999999999993</v>
          </cell>
        </row>
        <row r="111">
          <cell r="A111">
            <v>0.19</v>
          </cell>
          <cell r="B111">
            <v>1.6099999999999994</v>
          </cell>
        </row>
        <row r="112">
          <cell r="A112">
            <v>0.19500000000000001</v>
          </cell>
          <cell r="B112">
            <v>1.6449999999999994</v>
          </cell>
        </row>
        <row r="113">
          <cell r="A113">
            <v>0.2</v>
          </cell>
          <cell r="B113">
            <v>1.6799999999999993</v>
          </cell>
        </row>
        <row r="114">
          <cell r="A114">
            <v>0.20499999999999999</v>
          </cell>
          <cell r="B114">
            <v>1.7199999999999993</v>
          </cell>
        </row>
        <row r="115">
          <cell r="A115">
            <v>0.21</v>
          </cell>
          <cell r="B115">
            <v>1.7599999999999993</v>
          </cell>
        </row>
        <row r="116">
          <cell r="A116">
            <v>0.215</v>
          </cell>
          <cell r="B116">
            <v>1.7999999999999994</v>
          </cell>
        </row>
        <row r="117">
          <cell r="A117">
            <v>0.22</v>
          </cell>
          <cell r="B117">
            <v>1.8449999999999993</v>
          </cell>
        </row>
        <row r="118">
          <cell r="A118">
            <v>0.22500000000000001</v>
          </cell>
          <cell r="B118">
            <v>1.8899999999999992</v>
          </cell>
        </row>
        <row r="119">
          <cell r="A119">
            <v>0.23</v>
          </cell>
          <cell r="B119">
            <v>1.9399999999999993</v>
          </cell>
        </row>
        <row r="120">
          <cell r="A120">
            <v>0.23499999999999999</v>
          </cell>
          <cell r="B120">
            <v>1.9999999999999993</v>
          </cell>
        </row>
        <row r="121">
          <cell r="A121">
            <v>2</v>
          </cell>
          <cell r="B121">
            <v>2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N82"/>
  <sheetViews>
    <sheetView tabSelected="1" zoomScale="85" zoomScaleNormal="85" workbookViewId="0">
      <pane xSplit="1" ySplit="3" topLeftCell="B8" activePane="bottomRight" state="frozen"/>
      <selection pane="topRight" activeCell="B1" sqref="B1"/>
      <selection pane="bottomLeft" activeCell="A4" sqref="A4"/>
      <selection pane="bottomRight" activeCell="AD11" sqref="AD11"/>
    </sheetView>
  </sheetViews>
  <sheetFormatPr defaultRowHeight="14.6"/>
  <cols>
    <col min="1" max="1" width="8.84375" customWidth="1"/>
    <col min="2" max="2" width="20.69140625" customWidth="1"/>
    <col min="3" max="3" width="10.3828125" customWidth="1"/>
    <col min="4" max="4" width="22.3046875" customWidth="1"/>
    <col min="5" max="5" width="29.15234375" customWidth="1"/>
    <col min="8" max="9" width="24.3828125" customWidth="1"/>
    <col min="10" max="10" width="16.3046875" customWidth="1"/>
    <col min="11" max="11" width="17.3828125" customWidth="1"/>
    <col min="12" max="12" width="20.84375" customWidth="1"/>
    <col min="13" max="13" width="18.53515625" customWidth="1"/>
    <col min="14" max="14" width="17.69140625" customWidth="1"/>
    <col min="15" max="15" width="15.3828125" style="1" customWidth="1"/>
    <col min="16" max="16" width="30.15234375" customWidth="1"/>
    <col min="17" max="24" width="27.3046875" customWidth="1"/>
    <col min="25" max="25" width="28.53515625" customWidth="1"/>
    <col min="26" max="26" width="16.15234375" customWidth="1"/>
    <col min="27" max="30" width="23.53515625" customWidth="1"/>
    <col min="31" max="31" width="16.3828125" bestFit="1" customWidth="1"/>
    <col min="32" max="32" width="14.69140625" customWidth="1"/>
    <col min="33" max="33" width="28.69140625" bestFit="1" customWidth="1"/>
    <col min="34" max="34" width="15.69140625" customWidth="1"/>
    <col min="35" max="36" width="22" customWidth="1"/>
    <col min="37" max="37" width="25.84375" customWidth="1"/>
    <col min="38" max="38" width="18.84375" customWidth="1"/>
    <col min="39" max="39" width="22.3046875" customWidth="1"/>
    <col min="40" max="40" width="21.15234375" customWidth="1"/>
    <col min="41" max="41" width="19.3828125" customWidth="1"/>
    <col min="42" max="42" width="19.69140625" customWidth="1"/>
    <col min="43" max="43" width="21.69140625" customWidth="1"/>
    <col min="44" max="44" width="20.69140625" customWidth="1"/>
  </cols>
  <sheetData>
    <row r="1" spans="1:196" ht="15" thickBot="1"/>
    <row r="2" spans="1:196" ht="34" customHeight="1">
      <c r="A2" s="44" t="s">
        <v>46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6"/>
      <c r="R2" s="13"/>
      <c r="S2" s="13"/>
      <c r="T2" s="13"/>
      <c r="U2" s="13"/>
      <c r="V2" s="13"/>
      <c r="W2" s="13"/>
      <c r="X2" s="13"/>
      <c r="Y2" s="49" t="s">
        <v>45</v>
      </c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1"/>
      <c r="AR2" s="47" t="s">
        <v>44</v>
      </c>
      <c r="AS2" s="30"/>
      <c r="AT2" s="52" t="s">
        <v>195</v>
      </c>
      <c r="AU2" s="52"/>
      <c r="AV2" s="52"/>
      <c r="AW2" s="52"/>
      <c r="AX2" s="52"/>
      <c r="AY2" s="52"/>
      <c r="AZ2" s="52"/>
      <c r="BA2" s="52"/>
      <c r="BB2" s="52"/>
      <c r="BC2" s="52"/>
      <c r="BD2" s="52"/>
      <c r="BE2" s="52"/>
      <c r="BF2" s="52"/>
      <c r="BG2" s="52"/>
      <c r="BH2" s="52"/>
      <c r="BI2" s="52"/>
      <c r="BJ2" s="52"/>
      <c r="BK2" s="52"/>
      <c r="BL2" s="52"/>
      <c r="BM2" s="52"/>
      <c r="BN2" s="52"/>
      <c r="BO2" s="52"/>
      <c r="BP2" s="52"/>
      <c r="BQ2" s="52"/>
      <c r="BR2" s="52"/>
      <c r="BS2" s="52"/>
      <c r="BT2" s="52"/>
      <c r="BU2" s="52"/>
      <c r="BV2" s="52"/>
      <c r="BW2" s="52"/>
      <c r="BX2" s="52"/>
      <c r="BY2" s="52"/>
      <c r="BZ2" s="52"/>
      <c r="CA2" s="52"/>
      <c r="CB2" s="52"/>
      <c r="CC2" s="52"/>
      <c r="CD2" s="52"/>
      <c r="CE2" s="52"/>
      <c r="CF2" s="52"/>
      <c r="CG2" s="52"/>
      <c r="CH2" s="52"/>
      <c r="CI2" s="52"/>
      <c r="CJ2" s="52"/>
      <c r="CK2" s="52"/>
      <c r="CL2" s="52"/>
      <c r="CM2" s="52"/>
      <c r="CN2" s="52"/>
      <c r="CO2" s="52"/>
      <c r="CP2" s="52"/>
      <c r="CQ2" s="52"/>
      <c r="CR2" s="52"/>
      <c r="CS2" s="52"/>
      <c r="CT2" s="52"/>
      <c r="CU2" s="52"/>
      <c r="CV2" s="52"/>
      <c r="CW2" s="52"/>
      <c r="CX2" s="52"/>
      <c r="CY2" s="52"/>
      <c r="CZ2" s="52"/>
      <c r="DA2" s="52"/>
      <c r="DB2" s="52"/>
      <c r="DC2" s="52"/>
      <c r="DD2" s="52"/>
      <c r="DE2" s="52"/>
      <c r="DF2" s="52"/>
      <c r="DG2" s="52"/>
      <c r="DH2" s="52"/>
      <c r="DI2" s="52"/>
      <c r="DJ2" s="52"/>
      <c r="DK2" s="52"/>
      <c r="DL2" s="52"/>
      <c r="DM2" s="52"/>
      <c r="DN2" s="52"/>
      <c r="DO2" s="52"/>
      <c r="DP2" s="52"/>
      <c r="DQ2" s="52"/>
      <c r="DR2" s="52"/>
      <c r="DS2" s="52"/>
      <c r="DT2" s="52"/>
      <c r="DU2" s="52"/>
      <c r="DV2" s="52"/>
      <c r="DW2" s="52"/>
      <c r="DX2" s="52"/>
      <c r="DY2" s="52"/>
      <c r="DZ2" s="52"/>
      <c r="EA2" s="52"/>
      <c r="EB2" s="52"/>
      <c r="EC2" s="52"/>
      <c r="ED2" s="52"/>
      <c r="EE2" s="52"/>
      <c r="EF2" s="52"/>
      <c r="EG2" s="52"/>
      <c r="EH2" s="52"/>
      <c r="EI2" s="52"/>
      <c r="EJ2" s="52"/>
      <c r="EK2" s="52"/>
      <c r="EL2" s="52"/>
      <c r="EM2" s="52"/>
      <c r="EN2" s="52"/>
      <c r="EO2" s="52"/>
      <c r="EP2" s="52"/>
      <c r="EQ2" s="52"/>
      <c r="ER2" s="52"/>
      <c r="ES2" s="52"/>
      <c r="ET2" s="52"/>
      <c r="EU2" s="52"/>
      <c r="EV2" s="52"/>
      <c r="EW2" s="52"/>
      <c r="EX2" s="52"/>
      <c r="EY2" s="52"/>
      <c r="EZ2" s="52"/>
      <c r="FA2" s="52"/>
      <c r="FB2" s="52"/>
      <c r="FC2" s="52"/>
      <c r="FD2" s="52"/>
      <c r="FE2" s="52"/>
      <c r="FF2" s="52"/>
      <c r="FG2" s="52"/>
      <c r="FH2" s="52"/>
      <c r="FI2" s="52"/>
      <c r="FJ2" s="52"/>
      <c r="FK2" s="52"/>
      <c r="FL2" s="52"/>
      <c r="FM2" s="52"/>
      <c r="FN2" s="52"/>
      <c r="FO2" s="52"/>
      <c r="FP2" s="52"/>
      <c r="FQ2" s="52"/>
      <c r="FR2" s="52"/>
      <c r="FS2" s="52"/>
      <c r="FT2" s="52"/>
      <c r="FU2" s="52"/>
      <c r="FV2" s="52"/>
      <c r="FW2" s="52"/>
      <c r="FX2" s="52"/>
      <c r="FY2" s="52"/>
      <c r="FZ2" s="52"/>
      <c r="GA2" s="52"/>
      <c r="GB2" s="52"/>
      <c r="GC2" s="52"/>
      <c r="GD2" s="52"/>
      <c r="GE2" s="52"/>
      <c r="GF2" s="52"/>
      <c r="GG2" s="52"/>
      <c r="GH2" s="52"/>
      <c r="GI2" s="52"/>
      <c r="GJ2" s="52"/>
      <c r="GK2" s="52"/>
      <c r="GL2" s="52"/>
      <c r="GM2" s="52"/>
      <c r="GN2" s="52"/>
    </row>
    <row r="3" spans="1:196" ht="116.7" customHeight="1" thickBot="1">
      <c r="A3" s="9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  <c r="J3" s="10" t="s">
        <v>27</v>
      </c>
      <c r="K3" s="10" t="s">
        <v>9</v>
      </c>
      <c r="L3" s="10" t="s">
        <v>10</v>
      </c>
      <c r="M3" s="10" t="s">
        <v>11</v>
      </c>
      <c r="N3" s="10" t="s">
        <v>12</v>
      </c>
      <c r="O3" s="10" t="s">
        <v>13</v>
      </c>
      <c r="P3" s="10" t="s">
        <v>14</v>
      </c>
      <c r="Q3" s="11" t="s">
        <v>15</v>
      </c>
      <c r="R3" s="14" t="s">
        <v>48</v>
      </c>
      <c r="S3" s="14" t="s">
        <v>52</v>
      </c>
      <c r="T3" s="10" t="s">
        <v>49</v>
      </c>
      <c r="U3" s="12" t="s">
        <v>50</v>
      </c>
      <c r="V3" s="11" t="s">
        <v>53</v>
      </c>
      <c r="W3" s="12" t="s">
        <v>178</v>
      </c>
      <c r="X3" s="12" t="s">
        <v>179</v>
      </c>
      <c r="Y3" s="5" t="s">
        <v>28</v>
      </c>
      <c r="Z3" s="6" t="s">
        <v>29</v>
      </c>
      <c r="AA3" s="6" t="s">
        <v>30</v>
      </c>
      <c r="AB3" s="6" t="s">
        <v>181</v>
      </c>
      <c r="AC3" s="6" t="s">
        <v>182</v>
      </c>
      <c r="AD3" s="6" t="s">
        <v>183</v>
      </c>
      <c r="AE3" s="6" t="s">
        <v>31</v>
      </c>
      <c r="AF3" s="6" t="s">
        <v>32</v>
      </c>
      <c r="AG3" s="6" t="s">
        <v>33</v>
      </c>
      <c r="AH3" s="6" t="s">
        <v>34</v>
      </c>
      <c r="AI3" s="6" t="s">
        <v>35</v>
      </c>
      <c r="AJ3" s="6" t="s">
        <v>36</v>
      </c>
      <c r="AK3" s="6" t="s">
        <v>37</v>
      </c>
      <c r="AL3" s="6" t="s">
        <v>38</v>
      </c>
      <c r="AM3" s="6" t="s">
        <v>39</v>
      </c>
      <c r="AN3" s="7" t="s">
        <v>40</v>
      </c>
      <c r="AO3" s="6" t="s">
        <v>41</v>
      </c>
      <c r="AP3" s="6" t="s">
        <v>42</v>
      </c>
      <c r="AQ3" s="8" t="s">
        <v>43</v>
      </c>
      <c r="AR3" s="48"/>
      <c r="AS3" s="31" t="s">
        <v>196</v>
      </c>
      <c r="AT3" s="32">
        <v>-0.25</v>
      </c>
      <c r="AU3" s="32">
        <v>-0.245</v>
      </c>
      <c r="AV3" s="32">
        <v>-0.24</v>
      </c>
      <c r="AW3" s="32">
        <v>-0.23499999999999999</v>
      </c>
      <c r="AX3" s="32">
        <v>-0.23</v>
      </c>
      <c r="AY3" s="32">
        <v>-0.22500000000000001</v>
      </c>
      <c r="AZ3" s="32">
        <v>-0.22</v>
      </c>
      <c r="BA3" s="32">
        <v>-0.215</v>
      </c>
      <c r="BB3" s="32">
        <v>-0.21</v>
      </c>
      <c r="BC3" s="32">
        <v>-0.20499999999999999</v>
      </c>
      <c r="BD3" s="32">
        <v>-0.2</v>
      </c>
      <c r="BE3" s="32">
        <v>-0.19500000000000001</v>
      </c>
      <c r="BF3" s="32">
        <v>-0.19</v>
      </c>
      <c r="BG3" s="32">
        <v>-0.185</v>
      </c>
      <c r="BH3" s="32">
        <v>-0.18</v>
      </c>
      <c r="BI3" s="32">
        <v>-0.17499999999999999</v>
      </c>
      <c r="BJ3" s="32">
        <v>-0.17</v>
      </c>
      <c r="BK3" s="32">
        <v>-0.16500000000000001</v>
      </c>
      <c r="BL3" s="32">
        <v>-0.16</v>
      </c>
      <c r="BM3" s="32">
        <v>-0.155</v>
      </c>
      <c r="BN3" s="32">
        <v>-0.15</v>
      </c>
      <c r="BO3" s="32">
        <v>-0.14499999999999999</v>
      </c>
      <c r="BP3" s="32">
        <v>-0.14000000000000001</v>
      </c>
      <c r="BQ3" s="32">
        <v>-0.13500000000000001</v>
      </c>
      <c r="BR3" s="32">
        <v>-0.13</v>
      </c>
      <c r="BS3" s="32">
        <v>-0.125</v>
      </c>
      <c r="BT3" s="32">
        <v>-0.12</v>
      </c>
      <c r="BU3" s="32">
        <v>-0.115</v>
      </c>
      <c r="BV3" s="32">
        <v>-0.11</v>
      </c>
      <c r="BW3" s="32">
        <v>-0.105</v>
      </c>
      <c r="BX3" s="32">
        <v>-0.1</v>
      </c>
      <c r="BY3" s="32">
        <v>-9.5000000000000001E-2</v>
      </c>
      <c r="BZ3" s="32">
        <v>-0.09</v>
      </c>
      <c r="CA3" s="32">
        <v>-8.5000000000000006E-2</v>
      </c>
      <c r="CB3" s="32">
        <v>-0.08</v>
      </c>
      <c r="CC3" s="32">
        <v>-7.4999999999999997E-2</v>
      </c>
      <c r="CD3" s="32">
        <v>-7.0000000000000007E-2</v>
      </c>
      <c r="CE3" s="32">
        <v>-6.5000000000000002E-2</v>
      </c>
      <c r="CF3" s="32">
        <v>-0.06</v>
      </c>
      <c r="CG3" s="32">
        <v>-5.5E-2</v>
      </c>
      <c r="CH3" s="32">
        <v>-0.05</v>
      </c>
      <c r="CI3" s="32">
        <v>-4.4999999999999998E-2</v>
      </c>
      <c r="CJ3" s="32">
        <v>-0.04</v>
      </c>
      <c r="CK3" s="32">
        <v>-3.5000000000000003E-2</v>
      </c>
      <c r="CL3" s="32">
        <v>-0.03</v>
      </c>
      <c r="CM3" s="32">
        <v>-2.5000000000000001E-2</v>
      </c>
      <c r="CN3" s="32">
        <v>-0.02</v>
      </c>
      <c r="CO3" s="32">
        <v>-1.4999999999999999E-2</v>
      </c>
      <c r="CP3" s="32">
        <v>-0.01</v>
      </c>
      <c r="CQ3" s="32">
        <v>-5.0000000000000001E-3</v>
      </c>
      <c r="CR3" s="33">
        <v>0</v>
      </c>
      <c r="CS3" s="32">
        <v>5.0000000000000001E-3</v>
      </c>
      <c r="CT3" s="32">
        <v>0.01</v>
      </c>
      <c r="CU3" s="32">
        <v>1.4999999999999999E-2</v>
      </c>
      <c r="CV3" s="32">
        <v>0.02</v>
      </c>
      <c r="CW3" s="32">
        <v>2.5000000000000001E-2</v>
      </c>
      <c r="CX3" s="32">
        <v>0.03</v>
      </c>
      <c r="CY3" s="32">
        <v>3.5000000000000003E-2</v>
      </c>
      <c r="CZ3" s="32">
        <v>0.04</v>
      </c>
      <c r="DA3" s="32">
        <v>4.4999999999999998E-2</v>
      </c>
      <c r="DB3" s="32">
        <v>0.05</v>
      </c>
      <c r="DC3" s="32">
        <v>5.5E-2</v>
      </c>
      <c r="DD3" s="32">
        <v>0.06</v>
      </c>
      <c r="DE3" s="32">
        <v>6.5000000000000002E-2</v>
      </c>
      <c r="DF3" s="32">
        <v>7.0000000000000007E-2</v>
      </c>
      <c r="DG3" s="32">
        <v>7.4999999999999997E-2</v>
      </c>
      <c r="DH3" s="32">
        <v>0.08</v>
      </c>
      <c r="DI3" s="32">
        <v>8.5000000000000006E-2</v>
      </c>
      <c r="DJ3" s="32">
        <v>0.09</v>
      </c>
      <c r="DK3" s="32">
        <v>9.5000000000000001E-2</v>
      </c>
      <c r="DL3" s="32">
        <v>0.1</v>
      </c>
      <c r="DM3" s="32">
        <v>0.105</v>
      </c>
      <c r="DN3" s="32">
        <v>0.11</v>
      </c>
      <c r="DO3" s="32">
        <v>0.115</v>
      </c>
      <c r="DP3" s="32">
        <v>0.12</v>
      </c>
      <c r="DQ3" s="32">
        <v>0.125</v>
      </c>
      <c r="DR3" s="32">
        <v>0.13</v>
      </c>
      <c r="DS3" s="32">
        <v>0.13500000000000001</v>
      </c>
      <c r="DT3" s="32">
        <v>0.14000000000000001</v>
      </c>
      <c r="DU3" s="32">
        <v>0.14499999999999999</v>
      </c>
      <c r="DV3" s="32">
        <v>0.15</v>
      </c>
      <c r="DW3" s="32">
        <v>0.155</v>
      </c>
      <c r="DX3" s="32">
        <v>0.16</v>
      </c>
      <c r="DY3" s="32">
        <v>0.16500000000000001</v>
      </c>
      <c r="DZ3" s="32">
        <v>0.17</v>
      </c>
      <c r="EA3" s="32">
        <v>0.17499999999999999</v>
      </c>
      <c r="EB3" s="32">
        <v>0.18</v>
      </c>
      <c r="EC3" s="32">
        <v>0.185</v>
      </c>
      <c r="ED3" s="32">
        <v>0.19</v>
      </c>
      <c r="EE3" s="32">
        <v>0.19500000000000001</v>
      </c>
      <c r="EF3" s="32">
        <v>0.2</v>
      </c>
      <c r="EG3" s="32">
        <v>0.20499999999999999</v>
      </c>
      <c r="EH3" s="32">
        <v>0.21</v>
      </c>
      <c r="EI3" s="32">
        <v>0.215</v>
      </c>
      <c r="EJ3" s="32">
        <v>0.22</v>
      </c>
      <c r="EK3" s="32">
        <v>0.22500000000000001</v>
      </c>
      <c r="EL3" s="32">
        <v>0.23</v>
      </c>
      <c r="EM3" s="32">
        <v>0.23499999999999999</v>
      </c>
      <c r="EN3" s="32">
        <v>0.24</v>
      </c>
      <c r="EO3" s="32">
        <v>0.245</v>
      </c>
      <c r="EP3" s="32">
        <v>0.25</v>
      </c>
      <c r="EQ3" s="32">
        <v>0.255</v>
      </c>
      <c r="ER3" s="32">
        <v>0.26</v>
      </c>
      <c r="ES3" s="32">
        <v>0.26500000000000001</v>
      </c>
      <c r="ET3" s="32">
        <v>0.27</v>
      </c>
      <c r="EU3" s="32">
        <v>0.27500000000000002</v>
      </c>
      <c r="EV3" s="32">
        <v>0.28000000000000003</v>
      </c>
      <c r="EW3" s="32">
        <v>0.28499999999999998</v>
      </c>
      <c r="EX3" s="32">
        <v>0.28999999999999998</v>
      </c>
      <c r="EY3" s="32">
        <v>0.29499999999999998</v>
      </c>
      <c r="EZ3" s="32">
        <v>0.3</v>
      </c>
      <c r="FA3" s="32">
        <v>0.30499999999999999</v>
      </c>
      <c r="FB3" s="32">
        <v>0.31</v>
      </c>
      <c r="FC3" s="32">
        <v>0.315</v>
      </c>
      <c r="FD3" s="32">
        <v>0.32</v>
      </c>
      <c r="FE3" s="32">
        <v>0.32500000000000001</v>
      </c>
      <c r="FF3" s="32">
        <v>0.33</v>
      </c>
      <c r="FG3" s="32">
        <v>0.33500000000000002</v>
      </c>
      <c r="FH3" s="32">
        <v>0.34</v>
      </c>
      <c r="FI3" s="32">
        <v>0.34499999999999997</v>
      </c>
      <c r="FJ3" s="32">
        <v>0.35</v>
      </c>
      <c r="FK3" s="32">
        <v>0.35499999999999998</v>
      </c>
      <c r="FL3" s="32">
        <v>0.36</v>
      </c>
      <c r="FM3" s="32">
        <v>0.36499999999999999</v>
      </c>
      <c r="FN3" s="32">
        <v>0.37</v>
      </c>
      <c r="FO3" s="32">
        <v>0.375</v>
      </c>
      <c r="FP3" s="32">
        <v>0.38</v>
      </c>
      <c r="FQ3" s="32">
        <v>0.38500000000000001</v>
      </c>
      <c r="FR3" s="32">
        <v>0.39</v>
      </c>
      <c r="FS3" s="32">
        <v>0.39500000000000002</v>
      </c>
      <c r="FT3" s="32">
        <v>0.4</v>
      </c>
      <c r="FU3" s="32">
        <v>0.40500000000000003</v>
      </c>
      <c r="FV3" s="32">
        <v>0.41</v>
      </c>
      <c r="FW3" s="32">
        <v>0.41499999999999998</v>
      </c>
      <c r="FX3" s="32">
        <v>0.42</v>
      </c>
      <c r="FY3" s="32">
        <v>0.42499999999999999</v>
      </c>
      <c r="FZ3" s="32">
        <v>0.43</v>
      </c>
      <c r="GA3" s="32">
        <v>0.435</v>
      </c>
      <c r="GB3" s="32">
        <v>0.44</v>
      </c>
      <c r="GC3" s="32">
        <v>0.44500000000000001</v>
      </c>
      <c r="GD3" s="32">
        <v>0.45</v>
      </c>
      <c r="GE3" s="32">
        <v>0.45500000000000002</v>
      </c>
      <c r="GF3" s="32">
        <v>0.46</v>
      </c>
      <c r="GG3" s="32">
        <v>0.46500000000000002</v>
      </c>
      <c r="GH3" s="32">
        <v>0.47</v>
      </c>
      <c r="GI3" s="32">
        <v>0.47499999999999998</v>
      </c>
      <c r="GJ3" s="32">
        <v>0.48</v>
      </c>
      <c r="GK3" s="32">
        <v>0.48499999999999999</v>
      </c>
      <c r="GL3" s="32">
        <v>0.49</v>
      </c>
      <c r="GM3" s="32">
        <v>0.495</v>
      </c>
      <c r="GN3" s="32">
        <v>0.5</v>
      </c>
    </row>
    <row r="4" spans="1:196">
      <c r="A4" s="3">
        <v>6</v>
      </c>
      <c r="B4" s="15" t="s">
        <v>61</v>
      </c>
      <c r="C4" s="4" t="s">
        <v>63</v>
      </c>
      <c r="D4" s="4" t="s">
        <v>64</v>
      </c>
      <c r="E4" s="4" t="s">
        <v>65</v>
      </c>
      <c r="F4" s="4" t="s">
        <v>18</v>
      </c>
      <c r="G4" s="4" t="s">
        <v>16</v>
      </c>
      <c r="H4" s="4" t="s">
        <v>66</v>
      </c>
      <c r="I4" s="4" t="s">
        <v>67</v>
      </c>
      <c r="J4" s="4" t="s">
        <v>68</v>
      </c>
      <c r="K4" s="4" t="s">
        <v>147</v>
      </c>
      <c r="L4" s="4" t="s">
        <v>17</v>
      </c>
      <c r="M4" s="4" t="s">
        <v>166</v>
      </c>
      <c r="N4" s="4" t="s">
        <v>56</v>
      </c>
      <c r="O4" s="4" t="s">
        <v>69</v>
      </c>
      <c r="P4" s="4" t="s">
        <v>70</v>
      </c>
      <c r="Q4" s="4" t="s">
        <v>71</v>
      </c>
      <c r="R4" s="16">
        <v>94299</v>
      </c>
      <c r="S4" s="17">
        <v>547497806</v>
      </c>
      <c r="T4" s="18">
        <v>1231</v>
      </c>
      <c r="U4" s="18">
        <v>3202</v>
      </c>
      <c r="V4" s="17">
        <v>400589797</v>
      </c>
      <c r="W4" s="26" t="s">
        <v>166</v>
      </c>
      <c r="X4" s="26">
        <v>68</v>
      </c>
      <c r="Y4" s="24">
        <f>369536/X4</f>
        <v>5434.3529411764703</v>
      </c>
      <c r="Z4" s="20">
        <v>0</v>
      </c>
      <c r="AA4" s="27">
        <f>Y4</f>
        <v>5434.3529411764703</v>
      </c>
      <c r="AB4" s="20">
        <v>17</v>
      </c>
      <c r="AC4" s="20">
        <v>0</v>
      </c>
      <c r="AD4" s="20">
        <v>4</v>
      </c>
      <c r="AE4" s="20">
        <f>'Ставки аренды'!$B$4*SUM(Лесные!AB4+Лесные!AC4+Лесные!AD4)/Лесные!X4</f>
        <v>494.11764705882354</v>
      </c>
      <c r="AF4" s="20">
        <f>'Ставки перевалки'!$B$2/X4*2</f>
        <v>661.76470588235293</v>
      </c>
      <c r="AG4" s="20"/>
      <c r="AH4" s="20">
        <f>0.86*AI4</f>
        <v>21301.538461538461</v>
      </c>
      <c r="AI4" s="20">
        <f>Цены!$C$3</f>
        <v>24769.23076923077</v>
      </c>
      <c r="AJ4" s="20"/>
      <c r="AK4" s="21"/>
      <c r="AL4" s="20"/>
      <c r="AM4" s="20"/>
      <c r="AN4" s="29">
        <f>(AI4-AH4-AG4-AF4-AE4-AA4)/AI4</f>
        <v>-0.12606540007307265</v>
      </c>
      <c r="AO4" s="20"/>
      <c r="AP4" s="20"/>
      <c r="AQ4" s="2"/>
      <c r="AR4" s="19"/>
      <c r="AS4" s="42">
        <v>0.8</v>
      </c>
      <c r="AT4" s="41">
        <f>MIN(IF($AS4=100%,1,1+VLOOKUP(($AI4-$AH4-$AG4-$AF4-$AE4-$AA4*(1+AT$3))/$AI4,'Технический лист'!$A:$B,2,1)-VLOOKUP($AN4,'Технический лист'!$A:$B,2,1)),1+(1-$AS4))</f>
        <v>1.2</v>
      </c>
      <c r="AU4" s="41">
        <f>MIN(IF($AS4=100%,1,1+VLOOKUP(($AI4-$AH4-$AG4-$AF4-$AE4-$AA4*(1+AU$3))/$AI4,'Технический лист'!$A:$B,2,1)-VLOOKUP($AN4,'Технический лист'!$A:$B,2,1)),1+(1-$AS4))</f>
        <v>1.2</v>
      </c>
      <c r="AV4" s="41">
        <f>MIN(IF($AS4=100%,1,1+VLOOKUP(($AI4-$AH4-$AG4-$AF4-$AE4-$AA4*(1+AV$3))/$AI4,'Технический лист'!$A:$B,2,1)-VLOOKUP($AN4,'Технический лист'!$A:$B,2,1)),1+(1-$AS4))</f>
        <v>1.2</v>
      </c>
      <c r="AW4" s="41">
        <f>MIN(IF($AS4=100%,1,1+VLOOKUP(($AI4-$AH4-$AG4-$AF4-$AE4-$AA4*(1+AW$3))/$AI4,'Технический лист'!$A:$B,2,1)-VLOOKUP($AN4,'Технический лист'!$A:$B,2,1)),1+(1-$AS4))</f>
        <v>1.2</v>
      </c>
      <c r="AX4" s="41">
        <f>MIN(IF($AS4=100%,1,1+VLOOKUP(($AI4-$AH4-$AG4-$AF4-$AE4-$AA4*(1+AX$3))/$AI4,'Технический лист'!$A:$B,2,1)-VLOOKUP($AN4,'Технический лист'!$A:$B,2,1)),1+(1-$AS4))</f>
        <v>1.2</v>
      </c>
      <c r="AY4" s="41">
        <f>MIN(IF($AS4=100%,1,1+VLOOKUP(($AI4-$AH4-$AG4-$AF4-$AE4-$AA4*(1+AY$3))/$AI4,'Технический лист'!$A:$B,2,1)-VLOOKUP($AN4,'Технический лист'!$A:$B,2,1)),1+(1-$AS4))</f>
        <v>1.2</v>
      </c>
      <c r="AZ4" s="41">
        <f>MIN(IF($AS4=100%,1,1+VLOOKUP(($AI4-$AH4-$AG4-$AF4-$AE4-$AA4*(1+AZ$3))/$AI4,'Технический лист'!$A:$B,2,1)-VLOOKUP($AN4,'Технический лист'!$A:$B,2,1)),1+(1-$AS4))</f>
        <v>1.2</v>
      </c>
      <c r="BA4" s="41">
        <f>MIN(IF($AS4=100%,1,1+VLOOKUP(($AI4-$AH4-$AG4-$AF4-$AE4-$AA4*(1+BA$3))/$AI4,'Технический лист'!$A:$B,2,1)-VLOOKUP($AN4,'Технический лист'!$A:$B,2,1)),1+(1-$AS4))</f>
        <v>1.2</v>
      </c>
      <c r="BB4" s="41">
        <f>MIN(IF($AS4=100%,1,1+VLOOKUP(($AI4-$AH4-$AG4-$AF4-$AE4-$AA4*(1+BB$3))/$AI4,'Технический лист'!$A:$B,2,1)-VLOOKUP($AN4,'Технический лист'!$A:$B,2,1)),1+(1-$AS4))</f>
        <v>1.2</v>
      </c>
      <c r="BC4" s="41">
        <f>MIN(IF($AS4=100%,1,1+VLOOKUP(($AI4-$AH4-$AG4-$AF4-$AE4-$AA4*(1+BC$3))/$AI4,'Технический лист'!$A:$B,2,1)-VLOOKUP($AN4,'Технический лист'!$A:$B,2,1)),1+(1-$AS4))</f>
        <v>1.2</v>
      </c>
      <c r="BD4" s="41">
        <f>MIN(IF($AS4=100%,1,1+VLOOKUP(($AI4-$AH4-$AG4-$AF4-$AE4-$AA4*(1+BD$3))/$AI4,'Технический лист'!$A:$B,2,1)-VLOOKUP($AN4,'Технический лист'!$A:$B,2,1)),1+(1-$AS4))</f>
        <v>1.2</v>
      </c>
      <c r="BE4" s="41">
        <f>MIN(IF($AS4=100%,1,1+VLOOKUP(($AI4-$AH4-$AG4-$AF4-$AE4-$AA4*(1+BE$3))/$AI4,'Технический лист'!$A:$B,2,1)-VLOOKUP($AN4,'Технический лист'!$A:$B,2,1)),1+(1-$AS4))</f>
        <v>1.2</v>
      </c>
      <c r="BF4" s="41">
        <f>MIN(IF($AS4=100%,1,1+VLOOKUP(($AI4-$AH4-$AG4-$AF4-$AE4-$AA4*(1+BF$3))/$AI4,'Технический лист'!$A:$B,2,1)-VLOOKUP($AN4,'Технический лист'!$A:$B,2,1)),1+(1-$AS4))</f>
        <v>1.2</v>
      </c>
      <c r="BG4" s="41">
        <f>MIN(IF($AS4=100%,1,1+VLOOKUP(($AI4-$AH4-$AG4-$AF4-$AE4-$AA4*(1+BG$3))/$AI4,'Технический лист'!$A:$B,2,1)-VLOOKUP($AN4,'Технический лист'!$A:$B,2,1)),1+(1-$AS4))</f>
        <v>1.2</v>
      </c>
      <c r="BH4" s="41">
        <f>MIN(IF($AS4=100%,1,1+VLOOKUP(($AI4-$AH4-$AG4-$AF4-$AE4-$AA4*(1+BH$3))/$AI4,'Технический лист'!$A:$B,2,1)-VLOOKUP($AN4,'Технический лист'!$A:$B,2,1)),1+(1-$AS4))</f>
        <v>1.2</v>
      </c>
      <c r="BI4" s="41">
        <f>MIN(IF($AS4=100%,1,1+VLOOKUP(($AI4-$AH4-$AG4-$AF4-$AE4-$AA4*(1+BI$3))/$AI4,'Технический лист'!$A:$B,2,1)-VLOOKUP($AN4,'Технический лист'!$A:$B,2,1)),1+(1-$AS4))</f>
        <v>1.2</v>
      </c>
      <c r="BJ4" s="41">
        <f>MIN(IF($AS4=100%,1,1+VLOOKUP(($AI4-$AH4-$AG4-$AF4-$AE4-$AA4*(1+BJ$3))/$AI4,'Технический лист'!$A:$B,2,1)-VLOOKUP($AN4,'Технический лист'!$A:$B,2,1)),1+(1-$AS4))</f>
        <v>1.2</v>
      </c>
      <c r="BK4" s="41">
        <f>MIN(IF($AS4=100%,1,1+VLOOKUP(($AI4-$AH4-$AG4-$AF4-$AE4-$AA4*(1+BK$3))/$AI4,'Технический лист'!$A:$B,2,1)-VLOOKUP($AN4,'Технический лист'!$A:$B,2,1)),1+(1-$AS4))</f>
        <v>1.2</v>
      </c>
      <c r="BL4" s="41">
        <f>MIN(IF($AS4=100%,1,1+VLOOKUP(($AI4-$AH4-$AG4-$AF4-$AE4-$AA4*(1+BL$3))/$AI4,'Технический лист'!$A:$B,2,1)-VLOOKUP($AN4,'Технический лист'!$A:$B,2,1)),1+(1-$AS4))</f>
        <v>1.2</v>
      </c>
      <c r="BM4" s="41">
        <f>MIN(IF($AS4=100%,1,1+VLOOKUP(($AI4-$AH4-$AG4-$AF4-$AE4-$AA4*(1+BM$3))/$AI4,'Технический лист'!$A:$B,2,1)-VLOOKUP($AN4,'Технический лист'!$A:$B,2,1)),1+(1-$AS4))</f>
        <v>1.2</v>
      </c>
      <c r="BN4" s="41">
        <f>MIN(IF($AS4=100%,1,1+VLOOKUP(($AI4-$AH4-$AG4-$AF4-$AE4-$AA4*(1+BN$3))/$AI4,'Технический лист'!$A:$B,2,1)-VLOOKUP($AN4,'Технический лист'!$A:$B,2,1)),1+(1-$AS4))</f>
        <v>1.2</v>
      </c>
      <c r="BO4" s="41">
        <f>MIN(IF($AS4=100%,1,1+VLOOKUP(($AI4-$AH4-$AG4-$AF4-$AE4-$AA4*(1+BO$3))/$AI4,'Технический лист'!$A:$B,2,1)-VLOOKUP($AN4,'Технический лист'!$A:$B,2,1)),1+(1-$AS4))</f>
        <v>1.2</v>
      </c>
      <c r="BP4" s="41">
        <f>MIN(IF($AS4=100%,1,1+VLOOKUP(($AI4-$AH4-$AG4-$AF4-$AE4-$AA4*(1+BP$3))/$AI4,'Технический лист'!$A:$B,2,1)-VLOOKUP($AN4,'Технический лист'!$A:$B,2,1)),1+(1-$AS4))</f>
        <v>1.2</v>
      </c>
      <c r="BQ4" s="41">
        <f>MIN(IF($AS4=100%,1,1+VLOOKUP(($AI4-$AH4-$AG4-$AF4-$AE4-$AA4*(1+BQ$3))/$AI4,'Технический лист'!$A:$B,2,1)-VLOOKUP($AN4,'Технический лист'!$A:$B,2,1)),1+(1-$AS4))</f>
        <v>1.2</v>
      </c>
      <c r="BR4" s="41">
        <f>MIN(IF($AS4=100%,1,1+VLOOKUP(($AI4-$AH4-$AG4-$AF4-$AE4-$AA4*(1+BR$3))/$AI4,'Технический лист'!$A:$B,2,1)-VLOOKUP($AN4,'Технический лист'!$A:$B,2,1)),1+(1-$AS4))</f>
        <v>1.2</v>
      </c>
      <c r="BS4" s="41">
        <f>MIN(IF($AS4=100%,1,1+VLOOKUP(($AI4-$AH4-$AG4-$AF4-$AE4-$AA4*(1+BS$3))/$AI4,'Технический лист'!$A:$B,2,1)-VLOOKUP($AN4,'Технический лист'!$A:$B,2,1)),1+(1-$AS4))</f>
        <v>1.2</v>
      </c>
      <c r="BT4" s="41">
        <f>MIN(IF($AS4=100%,1,1+VLOOKUP(($AI4-$AH4-$AG4-$AF4-$AE4-$AA4*(1+BT$3))/$AI4,'Технический лист'!$A:$B,2,1)-VLOOKUP($AN4,'Технический лист'!$A:$B,2,1)),1+(1-$AS4))</f>
        <v>1.2</v>
      </c>
      <c r="BU4" s="41">
        <f>MIN(IF($AS4=100%,1,1+VLOOKUP(($AI4-$AH4-$AG4-$AF4-$AE4-$AA4*(1+BU$3))/$AI4,'Технический лист'!$A:$B,2,1)-VLOOKUP($AN4,'Технический лист'!$A:$B,2,1)),1+(1-$AS4))</f>
        <v>1.1850000000000001</v>
      </c>
      <c r="BV4" s="41">
        <f>MIN(IF($AS4=100%,1,1+VLOOKUP(($AI4-$AH4-$AG4-$AF4-$AE4-$AA4*(1+BV$3))/$AI4,'Технический лист'!$A:$B,2,1)-VLOOKUP($AN4,'Технический лист'!$A:$B,2,1)),1+(1-$AS4))</f>
        <v>1.1850000000000001</v>
      </c>
      <c r="BW4" s="41">
        <f>MIN(IF($AS4=100%,1,1+VLOOKUP(($AI4-$AH4-$AG4-$AF4-$AE4-$AA4*(1+BW$3))/$AI4,'Технический лист'!$A:$B,2,1)-VLOOKUP($AN4,'Технический лист'!$A:$B,2,1)),1+(1-$AS4))</f>
        <v>1.1850000000000001</v>
      </c>
      <c r="BX4" s="41">
        <f>MIN(IF($AS4=100%,1,1+VLOOKUP(($AI4-$AH4-$AG4-$AF4-$AE4-$AA4*(1+BX$3))/$AI4,'Технический лист'!$A:$B,2,1)-VLOOKUP($AN4,'Технический лист'!$A:$B,2,1)),1+(1-$AS4))</f>
        <v>1.1850000000000001</v>
      </c>
      <c r="BY4" s="41">
        <f>MIN(IF($AS4=100%,1,1+VLOOKUP(($AI4-$AH4-$AG4-$AF4-$AE4-$AA4*(1+BY$3))/$AI4,'Технический лист'!$A:$B,2,1)-VLOOKUP($AN4,'Технический лист'!$A:$B,2,1)),1+(1-$AS4))</f>
        <v>1.1499999999999999</v>
      </c>
      <c r="BZ4" s="41">
        <f>MIN(IF($AS4=100%,1,1+VLOOKUP(($AI4-$AH4-$AG4-$AF4-$AE4-$AA4*(1+BZ$3))/$AI4,'Технический лист'!$A:$B,2,1)-VLOOKUP($AN4,'Технический лист'!$A:$B,2,1)),1+(1-$AS4))</f>
        <v>1.1499999999999999</v>
      </c>
      <c r="CA4" s="41">
        <f>MIN(IF($AS4=100%,1,1+VLOOKUP(($AI4-$AH4-$AG4-$AF4-$AE4-$AA4*(1+CA$3))/$AI4,'Технический лист'!$A:$B,2,1)-VLOOKUP($AN4,'Технический лист'!$A:$B,2,1)),1+(1-$AS4))</f>
        <v>1.1499999999999999</v>
      </c>
      <c r="CB4" s="41">
        <f>MIN(IF($AS4=100%,1,1+VLOOKUP(($AI4-$AH4-$AG4-$AF4-$AE4-$AA4*(1+CB$3))/$AI4,'Технический лист'!$A:$B,2,1)-VLOOKUP($AN4,'Технический лист'!$A:$B,2,1)),1+(1-$AS4))</f>
        <v>1.1499999999999999</v>
      </c>
      <c r="CC4" s="41">
        <f>MIN(IF($AS4=100%,1,1+VLOOKUP(($AI4-$AH4-$AG4-$AF4-$AE4-$AA4*(1+CC$3))/$AI4,'Технический лист'!$A:$B,2,1)-VLOOKUP($AN4,'Технический лист'!$A:$B,2,1)),1+(1-$AS4))</f>
        <v>1.1499999999999999</v>
      </c>
      <c r="CD4" s="41">
        <f>MIN(IF($AS4=100%,1,1+VLOOKUP(($AI4-$AH4-$AG4-$AF4-$AE4-$AA4*(1+CD$3))/$AI4,'Технический лист'!$A:$B,2,1)-VLOOKUP($AN4,'Технический лист'!$A:$B,2,1)),1+(1-$AS4))</f>
        <v>1.1149999999999998</v>
      </c>
      <c r="CE4" s="41">
        <f>MIN(IF($AS4=100%,1,1+VLOOKUP(($AI4-$AH4-$AG4-$AF4-$AE4-$AA4*(1+CE$3))/$AI4,'Технический лист'!$A:$B,2,1)-VLOOKUP($AN4,'Технический лист'!$A:$B,2,1)),1+(1-$AS4))</f>
        <v>1.1149999999999998</v>
      </c>
      <c r="CF4" s="41">
        <f>MIN(IF($AS4=100%,1,1+VLOOKUP(($AI4-$AH4-$AG4-$AF4-$AE4-$AA4*(1+CF$3))/$AI4,'Технический лист'!$A:$B,2,1)-VLOOKUP($AN4,'Технический лист'!$A:$B,2,1)),1+(1-$AS4))</f>
        <v>1.1149999999999998</v>
      </c>
      <c r="CG4" s="41">
        <f>MIN(IF($AS4=100%,1,1+VLOOKUP(($AI4-$AH4-$AG4-$AF4-$AE4-$AA4*(1+CG$3))/$AI4,'Технический лист'!$A:$B,2,1)-VLOOKUP($AN4,'Технический лист'!$A:$B,2,1)),1+(1-$AS4))</f>
        <v>1.1149999999999998</v>
      </c>
      <c r="CH4" s="41">
        <f>MIN(IF($AS4=100%,1,1+VLOOKUP(($AI4-$AH4-$AG4-$AF4-$AE4-$AA4*(1+CH$3))/$AI4,'Технический лист'!$A:$B,2,1)-VLOOKUP($AN4,'Технический лист'!$A:$B,2,1)),1+(1-$AS4))</f>
        <v>1.08</v>
      </c>
      <c r="CI4" s="41">
        <f>MIN(IF($AS4=100%,1,1+VLOOKUP(($AI4-$AH4-$AG4-$AF4-$AE4-$AA4*(1+CI$3))/$AI4,'Технический лист'!$A:$B,2,1)-VLOOKUP($AN4,'Технический лист'!$A:$B,2,1)),1+(1-$AS4))</f>
        <v>1.08</v>
      </c>
      <c r="CJ4" s="41">
        <f>MIN(IF($AS4=100%,1,1+VLOOKUP(($AI4-$AH4-$AG4-$AF4-$AE4-$AA4*(1+CJ$3))/$AI4,'Технический лист'!$A:$B,2,1)-VLOOKUP($AN4,'Технический лист'!$A:$B,2,1)),1+(1-$AS4))</f>
        <v>1.08</v>
      </c>
      <c r="CK4" s="41">
        <f>MIN(IF($AS4=100%,1,1+VLOOKUP(($AI4-$AH4-$AG4-$AF4-$AE4-$AA4*(1+CK$3))/$AI4,'Технический лист'!$A:$B,2,1)-VLOOKUP($AN4,'Технический лист'!$A:$B,2,1)),1+(1-$AS4))</f>
        <v>1.08</v>
      </c>
      <c r="CL4" s="41">
        <f>MIN(IF($AS4=100%,1,1+VLOOKUP(($AI4-$AH4-$AG4-$AF4-$AE4-$AA4*(1+CL$3))/$AI4,'Технический лист'!$A:$B,2,1)-VLOOKUP($AN4,'Технический лист'!$A:$B,2,1)),1+(1-$AS4))</f>
        <v>1.08</v>
      </c>
      <c r="CM4" s="41">
        <f>MIN(IF($AS4=100%,1,1+VLOOKUP(($AI4-$AH4-$AG4-$AF4-$AE4-$AA4*(1+CM$3))/$AI4,'Технический лист'!$A:$B,2,1)-VLOOKUP($AN4,'Технический лист'!$A:$B,2,1)),1+(1-$AS4))</f>
        <v>1.04</v>
      </c>
      <c r="CN4" s="41">
        <f>MIN(IF($AS4=100%,1,1+VLOOKUP(($AI4-$AH4-$AG4-$AF4-$AE4-$AA4*(1+CN$3))/$AI4,'Технический лист'!$A:$B,2,1)-VLOOKUP($AN4,'Технический лист'!$A:$B,2,1)),1+(1-$AS4))</f>
        <v>1.04</v>
      </c>
      <c r="CO4" s="41">
        <f>MIN(IF($AS4=100%,1,1+VLOOKUP(($AI4-$AH4-$AG4-$AF4-$AE4-$AA4*(1+CO$3))/$AI4,'Технический лист'!$A:$B,2,1)-VLOOKUP($AN4,'Технический лист'!$A:$B,2,1)),1+(1-$AS4))</f>
        <v>1.04</v>
      </c>
      <c r="CP4" s="41">
        <f>MIN(IF($AS4=100%,1,1+VLOOKUP(($AI4-$AH4-$AG4-$AF4-$AE4-$AA4*(1+CP$3))/$AI4,'Технический лист'!$A:$B,2,1)-VLOOKUP($AN4,'Технический лист'!$A:$B,2,1)),1+(1-$AS4))</f>
        <v>1.04</v>
      </c>
      <c r="CQ4" s="41">
        <f>MIN(IF($AS4=100%,1,1+VLOOKUP(($AI4-$AH4-$AG4-$AF4-$AE4-$AA4*(1+CQ$3))/$AI4,'Технический лист'!$A:$B,2,1)-VLOOKUP($AN4,'Технический лист'!$A:$B,2,1)),1+(1-$AS4))</f>
        <v>1.04</v>
      </c>
      <c r="CR4">
        <v>1</v>
      </c>
      <c r="CS4" s="41">
        <f>MIN(1,MAX(VLOOKUP(($AI4-$AH4-$AG4-$AF4-$AE4-$AA4*(1+CS$3))/$AI4,'[8]Технический лист'!$A:$B,2,1),(CR4-0.05)))</f>
        <v>0.95</v>
      </c>
      <c r="CT4" s="41">
        <f>MIN(1,MAX(VLOOKUP(($AI4-$AH4-$AG4-$AF4-$AE4-$AA4*(1+CT$3))/$AI4,'[8]Технический лист'!$A:$B,2,1),(CS4-0.05)))</f>
        <v>0.89999999999999991</v>
      </c>
      <c r="CU4" s="41">
        <f>MIN(1,MAX(VLOOKUP(($AI4-$AH4-$AG4-$AF4-$AE4-$AA4*(1+CU$3))/$AI4,'[8]Технический лист'!$A:$B,2,1),(CT4-0.05)))</f>
        <v>0.84999999999999987</v>
      </c>
      <c r="CV4" s="41">
        <f>MIN(1,MAX(VLOOKUP(($AI4-$AH4-$AG4-$AF4-$AE4-$AA4*(1+CV$3))/$AI4,'[8]Технический лист'!$A:$B,2,1),(CU4-0.05)))</f>
        <v>0.79999999999999982</v>
      </c>
      <c r="CW4" s="41">
        <f>MIN(1,MAX(VLOOKUP(($AI4-$AH4-$AG4-$AF4-$AE4-$AA4*(1+CW$3))/$AI4,'[8]Технический лист'!$A:$B,2,1),(CV4-0.05)))</f>
        <v>0.74999999999999978</v>
      </c>
      <c r="CX4" s="41">
        <f>MIN(1,MAX(VLOOKUP(($AI4-$AH4-$AG4-$AF4-$AE4-$AA4*(1+CX$3))/$AI4,'[8]Технический лист'!$A:$B,2,1),(CW4-0.05)))</f>
        <v>0.71</v>
      </c>
      <c r="CY4" s="41">
        <f>MIN(1,MAX(VLOOKUP(($AI4-$AH4-$AG4-$AF4-$AE4-$AA4*(1+CY$3))/$AI4,'[8]Технический лист'!$A:$B,2,1),(CX4-0.05)))</f>
        <v>0.71</v>
      </c>
      <c r="CZ4" s="41">
        <f>MIN(1,MAX(VLOOKUP(($AI4-$AH4-$AG4-$AF4-$AE4-$AA4*(1+CZ$3))/$AI4,'[8]Технический лист'!$A:$B,2,1),(CY4-0.05)))</f>
        <v>0.71</v>
      </c>
      <c r="DA4" s="41">
        <f>MIN(1,MAX(VLOOKUP(($AI4-$AH4-$AG4-$AF4-$AE4-$AA4*(1+DA$3))/$AI4,'[8]Технический лист'!$A:$B,2,1),(CZ4-0.05)))</f>
        <v>0.68500000000000005</v>
      </c>
      <c r="DB4" s="41">
        <f>MIN(1,MAX(VLOOKUP(($AI4-$AH4-$AG4-$AF4-$AE4-$AA4*(1+DB$3))/$AI4,'[8]Технический лист'!$A:$B,2,1),(DA4-0.05)))</f>
        <v>0.68500000000000005</v>
      </c>
      <c r="DC4" s="41">
        <f>MIN(1,MAX(VLOOKUP(($AI4-$AH4-$AG4-$AF4-$AE4-$AA4*(1+DC$3))/$AI4,'[8]Технический лист'!$A:$B,2,1),(DB4-0.05)))</f>
        <v>0.68500000000000005</v>
      </c>
      <c r="DD4" s="41">
        <f>MIN(1,MAX(VLOOKUP(($AI4-$AH4-$AG4-$AF4-$AE4-$AA4*(1+DD$3))/$AI4,'[8]Технический лист'!$A:$B,2,1),(DC4-0.05)))</f>
        <v>0.68500000000000005</v>
      </c>
      <c r="DE4" s="41">
        <f>MIN(1,MAX(VLOOKUP(($AI4-$AH4-$AG4-$AF4-$AE4-$AA4*(1+DE$3))/$AI4,'[8]Технический лист'!$A:$B,2,1),(DD4-0.05)))</f>
        <v>0.66</v>
      </c>
      <c r="DF4" s="41">
        <f>MIN(1,MAX(VLOOKUP(($AI4-$AH4-$AG4-$AF4-$AE4-$AA4*(1+DF$3))/$AI4,'[8]Технический лист'!$A:$B,2,1),(DE4-0.05)))</f>
        <v>0.66</v>
      </c>
      <c r="DG4" s="41">
        <f>MIN(1,MAX(VLOOKUP(($AI4-$AH4-$AG4-$AF4-$AE4-$AA4*(1+DG$3))/$AI4,'[8]Технический лист'!$A:$B,2,1),(DF4-0.05)))</f>
        <v>0.66</v>
      </c>
      <c r="DH4" s="41">
        <f>MIN(1,MAX(VLOOKUP(($AI4-$AH4-$AG4-$AF4-$AE4-$AA4*(1+DH$3))/$AI4,'[8]Технический лист'!$A:$B,2,1),(DG4-0.05)))</f>
        <v>0.66</v>
      </c>
      <c r="DI4" s="41">
        <f>MIN(1,MAX(VLOOKUP(($AI4-$AH4-$AG4-$AF4-$AE4-$AA4*(1+DI$3))/$AI4,'[8]Технический лист'!$A:$B,2,1),(DH4-0.05)))</f>
        <v>0.66</v>
      </c>
      <c r="DJ4" s="41">
        <f>MIN(1,MAX(VLOOKUP(($AI4-$AH4-$AG4-$AF4-$AE4-$AA4*(1+DJ$3))/$AI4,'[8]Технический лист'!$A:$B,2,1),(DI4-0.05)))</f>
        <v>0.63500000000000001</v>
      </c>
      <c r="DK4" s="41">
        <f>MIN(1,MAX(VLOOKUP(($AI4-$AH4-$AG4-$AF4-$AE4-$AA4*(1+DK$3))/$AI4,'[8]Технический лист'!$A:$B,2,1),(DJ4-0.05)))</f>
        <v>0.63500000000000001</v>
      </c>
      <c r="DL4" s="41">
        <f>MIN(1,MAX(VLOOKUP(($AI4-$AH4-$AG4-$AF4-$AE4-$AA4*(1+DL$3))/$AI4,'[8]Технический лист'!$A:$B,2,1),(DK4-0.05)))</f>
        <v>0.63500000000000001</v>
      </c>
      <c r="DM4" s="41">
        <f>MIN(1,MAX(VLOOKUP(($AI4-$AH4-$AG4-$AF4-$AE4-$AA4*(1+DM$3))/$AI4,'[8]Технический лист'!$A:$B,2,1),(DL4-0.05)))</f>
        <v>0.63500000000000001</v>
      </c>
      <c r="DN4" s="41">
        <f>MIN(1,MAX(VLOOKUP(($AI4-$AH4-$AG4-$AF4-$AE4-$AA4*(1+DN$3))/$AI4,'[8]Технический лист'!$A:$B,2,1),(DM4-0.05)))</f>
        <v>0.61</v>
      </c>
      <c r="DO4" s="41">
        <f>MIN(1,MAX(VLOOKUP(($AI4-$AH4-$AG4-$AF4-$AE4-$AA4*(1+DO$3))/$AI4,'[8]Технический лист'!$A:$B,2,1),(DN4-0.05)))</f>
        <v>0.61</v>
      </c>
      <c r="DP4" s="41">
        <f>MIN(1,MAX(VLOOKUP(($AI4-$AH4-$AG4-$AF4-$AE4-$AA4*(1+DP$3))/$AI4,'[8]Технический лист'!$A:$B,2,1),(DO4-0.05)))</f>
        <v>0.61</v>
      </c>
      <c r="DQ4" s="41">
        <f>MIN(1,MAX(VLOOKUP(($AI4-$AH4-$AG4-$AF4-$AE4-$AA4*(1+DQ$3))/$AI4,'[8]Технический лист'!$A:$B,2,1),(DP4-0.05)))</f>
        <v>0.61</v>
      </c>
      <c r="DR4" s="41">
        <f>MIN(1,MAX(VLOOKUP(($AI4-$AH4-$AG4-$AF4-$AE4-$AA4*(1+DR$3))/$AI4,'[8]Технический лист'!$A:$B,2,1),(DQ4-0.05)))</f>
        <v>0.61</v>
      </c>
      <c r="DS4" s="41">
        <f>MIN(1,MAX(VLOOKUP(($AI4-$AH4-$AG4-$AF4-$AE4-$AA4*(1+DS$3))/$AI4,'[8]Технический лист'!$A:$B,2,1),(DR4-0.05)))</f>
        <v>0.57999999999999996</v>
      </c>
      <c r="DT4" s="41">
        <f>MIN(1,MAX(VLOOKUP(($AI4-$AH4-$AG4-$AF4-$AE4-$AA4*(1+DT$3))/$AI4,'[8]Технический лист'!$A:$B,2,1),(DS4-0.05)))</f>
        <v>0.57999999999999996</v>
      </c>
      <c r="DU4" s="41">
        <f>MIN(1,MAX(VLOOKUP(($AI4-$AH4-$AG4-$AF4-$AE4-$AA4*(1+DU$3))/$AI4,'[8]Технический лист'!$A:$B,2,1),(DT4-0.05)))</f>
        <v>0.57999999999999996</v>
      </c>
      <c r="DV4" s="41">
        <f>MIN(1,MAX(VLOOKUP(($AI4-$AH4-$AG4-$AF4-$AE4-$AA4*(1+DV$3))/$AI4,'[8]Технический лист'!$A:$B,2,1),(DU4-0.05)))</f>
        <v>0.57999999999999996</v>
      </c>
      <c r="DW4" s="41">
        <f>MIN(1,MAX(VLOOKUP(($AI4-$AH4-$AG4-$AF4-$AE4-$AA4*(1+DW$3))/$AI4,'[8]Технический лист'!$A:$B,2,1),(DV4-0.05)))</f>
        <v>0.55000000000000004</v>
      </c>
      <c r="DX4" s="41">
        <f>MIN(1,MAX(VLOOKUP(($AI4-$AH4-$AG4-$AF4-$AE4-$AA4*(1+DX$3))/$AI4,'[8]Технический лист'!$A:$B,2,1),(DW4-0.05)))</f>
        <v>0.55000000000000004</v>
      </c>
      <c r="DY4" s="41">
        <f>MIN(1,MAX(VLOOKUP(($AI4-$AH4-$AG4-$AF4-$AE4-$AA4*(1+DY$3))/$AI4,'[8]Технический лист'!$A:$B,2,1),(DX4-0.05)))</f>
        <v>0.55000000000000004</v>
      </c>
      <c r="DZ4" s="41">
        <f>MIN(1,MAX(VLOOKUP(($AI4-$AH4-$AG4-$AF4-$AE4-$AA4*(1+DZ$3))/$AI4,'[8]Технический лист'!$A:$B,2,1),(DY4-0.05)))</f>
        <v>0.55000000000000004</v>
      </c>
      <c r="EA4" s="41">
        <f>MIN(1,MAX(VLOOKUP(($AI4-$AH4-$AG4-$AF4-$AE4-$AA4*(1+EA$3))/$AI4,'[8]Технический лист'!$A:$B,2,1),(DZ4-0.05)))</f>
        <v>0.55000000000000004</v>
      </c>
      <c r="EB4" s="41">
        <f>MIN(1,MAX(VLOOKUP(($AI4-$AH4-$AG4-$AF4-$AE4-$AA4*(1+EB$3))/$AI4,'[8]Технический лист'!$A:$B,2,1),(EA4-0.05)))</f>
        <v>0.52</v>
      </c>
      <c r="EC4" s="41">
        <f>MIN(1,MAX(VLOOKUP(($AI4-$AH4-$AG4-$AF4-$AE4-$AA4*(1+EC$3))/$AI4,'[8]Технический лист'!$A:$B,2,1),(EB4-0.05)))</f>
        <v>0.52</v>
      </c>
      <c r="ED4" s="41">
        <f>MIN(1,MAX(VLOOKUP(($AI4-$AH4-$AG4-$AF4-$AE4-$AA4*(1+ED$3))/$AI4,'[8]Технический лист'!$A:$B,2,1),(EC4-0.05)))</f>
        <v>0.52</v>
      </c>
      <c r="EE4" s="41">
        <f>MIN(1,MAX(VLOOKUP(($AI4-$AH4-$AG4-$AF4-$AE4-$AA4*(1+EE$3))/$AI4,'[8]Технический лист'!$A:$B,2,1),(ED4-0.05)))</f>
        <v>0.52</v>
      </c>
      <c r="EF4" s="41">
        <f>MIN(1,MAX(VLOOKUP(($AI4-$AH4-$AG4-$AF4-$AE4-$AA4*(1+EF$3))/$AI4,'[8]Технический лист'!$A:$B,2,1),(EE4-0.05)))</f>
        <v>0.52</v>
      </c>
      <c r="EG4" s="41">
        <f>MIN(1,MAX(VLOOKUP(($AI4-$AH4-$AG4-$AF4-$AE4-$AA4*(1+EG$3))/$AI4,'[8]Технический лист'!$A:$B,2,1),(EF4-0.05)))</f>
        <v>0.49</v>
      </c>
      <c r="EH4" s="41">
        <f>MIN(1,MAX(VLOOKUP(($AI4-$AH4-$AG4-$AF4-$AE4-$AA4*(1+EH$3))/$AI4,'[8]Технический лист'!$A:$B,2,1),(EG4-0.05)))</f>
        <v>0.49</v>
      </c>
      <c r="EI4" s="41">
        <f>MIN(1,MAX(VLOOKUP(($AI4-$AH4-$AG4-$AF4-$AE4-$AA4*(1+EI$3))/$AI4,'[8]Технический лист'!$A:$B,2,1),(EH4-0.05)))</f>
        <v>0.49</v>
      </c>
      <c r="EJ4" s="41">
        <f>MIN(1,MAX(VLOOKUP(($AI4-$AH4-$AG4-$AF4-$AE4-$AA4*(1+EJ$3))/$AI4,'[8]Технический лист'!$A:$B,2,1),(EI4-0.05)))</f>
        <v>0.49</v>
      </c>
      <c r="EK4" s="41">
        <f>MIN(1,MAX(VLOOKUP(($AI4-$AH4-$AG4-$AF4-$AE4-$AA4*(1+EK$3))/$AI4,'[8]Технический лист'!$A:$B,2,1),(EJ4-0.05)))</f>
        <v>0.46</v>
      </c>
      <c r="EL4" s="41">
        <f>MIN(1,MAX(VLOOKUP(($AI4-$AH4-$AG4-$AF4-$AE4-$AA4*(1+EL$3))/$AI4,'[8]Технический лист'!$A:$B,2,1),(EK4-0.05)))</f>
        <v>0.46</v>
      </c>
      <c r="EM4" s="41">
        <f>MIN(1,MAX(VLOOKUP(($AI4-$AH4-$AG4-$AF4-$AE4-$AA4*(1+EM$3))/$AI4,'[8]Технический лист'!$A:$B,2,1),(EL4-0.05)))</f>
        <v>0.46</v>
      </c>
      <c r="EN4" s="41">
        <f>MIN(1,MAX(VLOOKUP(($AI4-$AH4-$AG4-$AF4-$AE4-$AA4*(1+EN$3))/$AI4,'[8]Технический лист'!$A:$B,2,1),(EM4-0.05)))</f>
        <v>0.46</v>
      </c>
      <c r="EO4" s="41">
        <f>MIN(1,MAX(VLOOKUP(($AI4-$AH4-$AG4-$AF4-$AE4-$AA4*(1+EO$3))/$AI4,'[8]Технический лист'!$A:$B,2,1),(EN4-0.05)))</f>
        <v>0.46</v>
      </c>
      <c r="EP4" s="41">
        <f>MIN(1,MAX(VLOOKUP(($AI4-$AH4-$AG4-$AF4-$AE4-$AA4*(1+EP$3))/$AI4,'[8]Технический лист'!$A:$B,2,1),(EO4-0.05)))</f>
        <v>0.42499999999999999</v>
      </c>
      <c r="EQ4" s="41">
        <f>MIN(1,MAX(VLOOKUP(($AI4-$AH4-$AG4-$AF4-$AE4-$AA4*(1+EQ$3))/$AI4,'[8]Технический лист'!$A:$B,2,1),(EP4-0.05)))</f>
        <v>0.42499999999999999</v>
      </c>
      <c r="ER4" s="41">
        <f>MIN(1,MAX(VLOOKUP(($AI4-$AH4-$AG4-$AF4-$AE4-$AA4*(1+ER$3))/$AI4,'[8]Технический лист'!$A:$B,2,1),(EQ4-0.05)))</f>
        <v>0.42499999999999999</v>
      </c>
      <c r="ES4" s="41">
        <f>MIN(1,MAX(VLOOKUP(($AI4-$AH4-$AG4-$AF4-$AE4-$AA4*(1+ES$3))/$AI4,'[8]Технический лист'!$A:$B,2,1),(ER4-0.05)))</f>
        <v>0.42499999999999999</v>
      </c>
      <c r="ET4" s="41">
        <f>MIN(1,MAX(VLOOKUP(($AI4-$AH4-$AG4-$AF4-$AE4-$AA4*(1+ET$3))/$AI4,'[8]Технический лист'!$A:$B,2,1),(ES4-0.05)))</f>
        <v>0.39</v>
      </c>
      <c r="EU4" s="41">
        <f>MIN(1,MAX(VLOOKUP(($AI4-$AH4-$AG4-$AF4-$AE4-$AA4*(1+EU$3))/$AI4,'[8]Технический лист'!$A:$B,2,1),(ET4-0.05)))</f>
        <v>0.39</v>
      </c>
      <c r="EV4" s="41">
        <f>MIN(1,MAX(VLOOKUP(($AI4-$AH4-$AG4-$AF4-$AE4-$AA4*(1+EV$3))/$AI4,'[8]Технический лист'!$A:$B,2,1),(EU4-0.05)))</f>
        <v>0.39</v>
      </c>
      <c r="EW4" s="41">
        <f>MIN(1,MAX(VLOOKUP(($AI4-$AH4-$AG4-$AF4-$AE4-$AA4*(1+EW$3))/$AI4,'[8]Технический лист'!$A:$B,2,1),(EV4-0.05)))</f>
        <v>0.39</v>
      </c>
      <c r="EX4" s="41">
        <f>MIN(1,MAX(VLOOKUP(($AI4-$AH4-$AG4-$AF4-$AE4-$AA4*(1+EX$3))/$AI4,'[8]Технический лист'!$A:$B,2,1),(EW4-0.05)))</f>
        <v>0.39</v>
      </c>
      <c r="EY4" s="41">
        <f>MIN(1,MAX(VLOOKUP(($AI4-$AH4-$AG4-$AF4-$AE4-$AA4*(1+EY$3))/$AI4,'[8]Технический лист'!$A:$B,2,1),(EX4-0.05)))</f>
        <v>0.35499999999999998</v>
      </c>
      <c r="EZ4" s="41">
        <f>MIN(1,MAX(VLOOKUP(($AI4-$AH4-$AG4-$AF4-$AE4-$AA4*(1+EZ$3))/$AI4,'[8]Технический лист'!$A:$B,2,1),(EY4-0.05)))</f>
        <v>0.35499999999999998</v>
      </c>
      <c r="FA4" s="41">
        <f>MIN(1,MAX(VLOOKUP(($AI4-$AH4-$AG4-$AF4-$AE4-$AA4*(1+FA$3))/$AI4,'[8]Технический лист'!$A:$B,2,1),(EZ4-0.05)))</f>
        <v>0.35499999999999998</v>
      </c>
      <c r="FB4" s="41">
        <f>MIN(1,MAX(VLOOKUP(($AI4-$AH4-$AG4-$AF4-$AE4-$AA4*(1+FB$3))/$AI4,'[8]Технический лист'!$A:$B,2,1),(FA4-0.05)))</f>
        <v>0.35499999999999998</v>
      </c>
      <c r="FC4" s="41">
        <f>MIN(1,MAX(VLOOKUP(($AI4-$AH4-$AG4-$AF4-$AE4-$AA4*(1+FC$3))/$AI4,'[8]Технический лист'!$A:$B,2,1),(FB4-0.05)))</f>
        <v>0.32</v>
      </c>
      <c r="FD4" s="41">
        <f>MIN(1,MAX(VLOOKUP(($AI4-$AH4-$AG4-$AF4-$AE4-$AA4*(1+FD$3))/$AI4,'[8]Технический лист'!$A:$B,2,1),(FC4-0.05)))</f>
        <v>0.32</v>
      </c>
      <c r="FE4" s="41">
        <f>MIN(1,MAX(VLOOKUP(($AI4-$AH4-$AG4-$AF4-$AE4-$AA4*(1+FE$3))/$AI4,'[8]Технический лист'!$A:$B,2,1),(FD4-0.05)))</f>
        <v>0.32</v>
      </c>
      <c r="FF4" s="41">
        <f>MIN(1,MAX(VLOOKUP(($AI4-$AH4-$AG4-$AF4-$AE4-$AA4*(1+FF$3))/$AI4,'[8]Технический лист'!$A:$B,2,1),(FE4-0.05)))</f>
        <v>0.32</v>
      </c>
      <c r="FG4" s="41">
        <f>MIN(1,MAX(VLOOKUP(($AI4-$AH4-$AG4-$AF4-$AE4-$AA4*(1+FG$3))/$AI4,'[8]Технический лист'!$A:$B,2,1),(FF4-0.05)))</f>
        <v>0.32</v>
      </c>
      <c r="FH4" s="41">
        <f>MIN(1,MAX(VLOOKUP(($AI4-$AH4-$AG4-$AF4-$AE4-$AA4*(1+FH$3))/$AI4,'[8]Технический лист'!$A:$B,2,1),(FG4-0.05)))</f>
        <v>0.28000000000000003</v>
      </c>
      <c r="FI4" s="41">
        <f>MIN(1,MAX(VLOOKUP(($AI4-$AH4-$AG4-$AF4-$AE4-$AA4*(1+FI$3))/$AI4,'[8]Технический лист'!$A:$B,2,1),(FH4-0.05)))</f>
        <v>0.28000000000000003</v>
      </c>
      <c r="FJ4" s="41">
        <f>MIN(1,MAX(VLOOKUP(($AI4-$AH4-$AG4-$AF4-$AE4-$AA4*(1+FJ$3))/$AI4,'[8]Технический лист'!$A:$B,2,1),(FI4-0.05)))</f>
        <v>0.28000000000000003</v>
      </c>
      <c r="FK4" s="41">
        <f>MIN(1,MAX(VLOOKUP(($AI4-$AH4-$AG4-$AF4-$AE4-$AA4*(1+FK$3))/$AI4,'[8]Технический лист'!$A:$B,2,1),(FJ4-0.05)))</f>
        <v>0.28000000000000003</v>
      </c>
      <c r="FL4" s="41">
        <f>MIN(1,MAX(VLOOKUP(($AI4-$AH4-$AG4-$AF4-$AE4-$AA4*(1+FL$3))/$AI4,'[8]Технический лист'!$A:$B,2,1),(FK4-0.05)))</f>
        <v>0.24</v>
      </c>
      <c r="FM4" s="41">
        <f>MIN(1,MAX(VLOOKUP(($AI4-$AH4-$AG4-$AF4-$AE4-$AA4*(1+FM$3))/$AI4,'[8]Технический лист'!$A:$B,2,1),(FL4-0.05)))</f>
        <v>0.24</v>
      </c>
      <c r="FN4" s="41">
        <f>MIN(1,MAX(VLOOKUP(($AI4-$AH4-$AG4-$AF4-$AE4-$AA4*(1+FN$3))/$AI4,'[8]Технический лист'!$A:$B,2,1),(FM4-0.05)))</f>
        <v>0.24</v>
      </c>
      <c r="FO4" s="41">
        <f>MIN(1,MAX(VLOOKUP(($AI4-$AH4-$AG4-$AF4-$AE4-$AA4*(1+FO$3))/$AI4,'[8]Технический лист'!$A:$B,2,1),(FN4-0.05)))</f>
        <v>0.24</v>
      </c>
      <c r="FP4" s="41">
        <f>MIN(1,MAX(VLOOKUP(($AI4-$AH4-$AG4-$AF4-$AE4-$AA4*(1+FP$3))/$AI4,'[8]Технический лист'!$A:$B,2,1),(FO4-0.05)))</f>
        <v>0.24</v>
      </c>
      <c r="FQ4" s="41">
        <f>MIN(1,MAX(VLOOKUP(($AI4-$AH4-$AG4-$AF4-$AE4-$AA4*(1+FQ$3))/$AI4,'[8]Технический лист'!$A:$B,2,1),(FP4-0.05)))</f>
        <v>0.2</v>
      </c>
      <c r="FR4" s="41">
        <f>MIN(1,MAX(VLOOKUP(($AI4-$AH4-$AG4-$AF4-$AE4-$AA4*(1+FR$3))/$AI4,'[8]Технический лист'!$A:$B,2,1),(FQ4-0.05)))</f>
        <v>0.2</v>
      </c>
      <c r="FS4" s="41">
        <f>MIN(1,MAX(VLOOKUP(($AI4-$AH4-$AG4-$AF4-$AE4-$AA4*(1+FS$3))/$AI4,'[8]Технический лист'!$A:$B,2,1),(FR4-0.05)))</f>
        <v>0.2</v>
      </c>
      <c r="FT4" s="41">
        <f>MIN(1,MAX(VLOOKUP(($AI4-$AH4-$AG4-$AF4-$AE4-$AA4*(1+FT$3))/$AI4,'[8]Технический лист'!$A:$B,2,1),(FS4-0.05)))</f>
        <v>0.2</v>
      </c>
      <c r="FU4" s="41">
        <f>MIN(1,MAX(VLOOKUP(($AI4-$AH4-$AG4-$AF4-$AE4-$AA4*(1+FU$3))/$AI4,'[8]Технический лист'!$A:$B,2,1),(FT4-0.05)))</f>
        <v>0.2</v>
      </c>
      <c r="FV4" s="41">
        <f>MIN(1,MAX(VLOOKUP(($AI4-$AH4-$AG4-$AF4-$AE4-$AA4*(1+FV$3))/$AI4,'[8]Технический лист'!$A:$B,2,1),(FU4-0.05)))</f>
        <v>0.155</v>
      </c>
      <c r="FW4" s="41">
        <f>MIN(1,MAX(VLOOKUP(($AI4-$AH4-$AG4-$AF4-$AE4-$AA4*(1+FW$3))/$AI4,'[8]Технический лист'!$A:$B,2,1),(FV4-0.05)))</f>
        <v>0.155</v>
      </c>
      <c r="FX4" s="41">
        <f>MIN(1,MAX(VLOOKUP(($AI4-$AH4-$AG4-$AF4-$AE4-$AA4*(1+FX$3))/$AI4,'[8]Технический лист'!$A:$B,2,1),(FW4-0.05)))</f>
        <v>0.155</v>
      </c>
      <c r="FY4" s="41">
        <f>MIN(1,MAX(VLOOKUP(($AI4-$AH4-$AG4-$AF4-$AE4-$AA4*(1+FY$3))/$AI4,'[8]Технический лист'!$A:$B,2,1),(FX4-0.05)))</f>
        <v>0.155</v>
      </c>
      <c r="FZ4" s="41">
        <f>MIN(1,MAX(VLOOKUP(($AI4-$AH4-$AG4-$AF4-$AE4-$AA4*(1+FZ$3))/$AI4,'[8]Технический лист'!$A:$B,2,1),(FY4-0.05)))</f>
        <v>0.11</v>
      </c>
      <c r="GA4" s="41">
        <f>MIN(1,MAX(VLOOKUP(($AI4-$AH4-$AG4-$AF4-$AE4-$AA4*(1+GA$3))/$AI4,'[8]Технический лист'!$A:$B,2,1),(FZ4-0.05)))</f>
        <v>0.11</v>
      </c>
      <c r="GB4" s="41">
        <f>MIN(1,MAX(VLOOKUP(($AI4-$AH4-$AG4-$AF4-$AE4-$AA4*(1+GB$3))/$AI4,'[8]Технический лист'!$A:$B,2,1),(GA4-0.05)))</f>
        <v>0.11</v>
      </c>
      <c r="GC4" s="41">
        <f>MIN(1,MAX(VLOOKUP(($AI4-$AH4-$AG4-$AF4-$AE4-$AA4*(1+GC$3))/$AI4,'[8]Технический лист'!$A:$B,2,1),(GB4-0.05)))</f>
        <v>0.11</v>
      </c>
      <c r="GD4" s="41">
        <f>MIN(1,MAX(VLOOKUP(($AI4-$AH4-$AG4-$AF4-$AE4-$AA4*(1+GD$3))/$AI4,'[8]Технический лист'!$A:$B,2,1),(GC4-0.05)))</f>
        <v>0.11</v>
      </c>
      <c r="GE4" s="41">
        <f>MIN(1,MAX(VLOOKUP(($AI4-$AH4-$AG4-$AF4-$AE4-$AA4*(1+GE$3))/$AI4,'[8]Технический лист'!$A:$B,2,1),(GD4-0.05)))</f>
        <v>0.06</v>
      </c>
      <c r="GF4" s="41">
        <f>MIN(1,MAX(VLOOKUP(($AI4-$AH4-$AG4-$AF4-$AE4-$AA4*(1+GF$3))/$AI4,'[8]Технический лист'!$A:$B,2,1),(GE4-0.05)))</f>
        <v>0.06</v>
      </c>
      <c r="GG4" s="41">
        <f>MIN(1,MAX(VLOOKUP(($AI4-$AH4-$AG4-$AF4-$AE4-$AA4*(1+GG$3))/$AI4,'[8]Технический лист'!$A:$B,2,1),(GF4-0.05)))</f>
        <v>0.06</v>
      </c>
      <c r="GH4" s="41">
        <f>MIN(1,MAX(VLOOKUP(($AI4-$AH4-$AG4-$AF4-$AE4-$AA4*(1+GH$3))/$AI4,'[8]Технический лист'!$A:$B,2,1),(GG4-0.05)))</f>
        <v>0.06</v>
      </c>
      <c r="GI4" s="41">
        <f>MIN(1,MAX(VLOOKUP(($AI4-$AH4-$AG4-$AF4-$AE4-$AA4*(1+GI$3))/$AI4,'[8]Технический лист'!$A:$B,2,1),(GH4-0.05)))</f>
        <v>9.999999999999995E-3</v>
      </c>
      <c r="GJ4" s="41">
        <f>MIN(1,MAX(VLOOKUP(($AI4-$AH4-$AG4-$AF4-$AE4-$AA4*(1+GJ$3))/$AI4,'[8]Технический лист'!$A:$B,2,1),(GI4-0.05)))</f>
        <v>0</v>
      </c>
      <c r="GK4" s="41">
        <f>MIN(1,MAX(VLOOKUP(($AI4-$AH4-$AG4-$AF4-$AE4-$AA4*(1+GK$3))/$AI4,'[8]Технический лист'!$A:$B,2,1),(GJ4-0.05)))</f>
        <v>0</v>
      </c>
      <c r="GL4" s="41">
        <f>MIN(1,MAX(VLOOKUP(($AI4-$AH4-$AG4-$AF4-$AE4-$AA4*(1+GL$3))/$AI4,'[8]Технический лист'!$A:$B,2,1),(GK4-0.05)))</f>
        <v>0</v>
      </c>
      <c r="GM4" s="41">
        <f>MIN(1,MAX(VLOOKUP(($AI4-$AH4-$AG4-$AF4-$AE4-$AA4*(1+GM$3))/$AI4,'[8]Технический лист'!$A:$B,2,1),(GL4-0.05)))</f>
        <v>0</v>
      </c>
      <c r="GN4" s="41">
        <f>MIN(1,MAX(VLOOKUP(($AI4-$AH4-$AG4-$AF4-$AE4-$AA4*(1+GN$3))/$AI4,'[8]Технический лист'!$A:$B,2,1),(GM4-0.05)))</f>
        <v>0</v>
      </c>
    </row>
    <row r="5" spans="1:196">
      <c r="A5" s="3">
        <v>6</v>
      </c>
      <c r="B5" s="15" t="s">
        <v>61</v>
      </c>
      <c r="C5" s="4" t="s">
        <v>63</v>
      </c>
      <c r="D5" s="4" t="s">
        <v>64</v>
      </c>
      <c r="E5" s="4" t="s">
        <v>65</v>
      </c>
      <c r="F5" s="4" t="s">
        <v>25</v>
      </c>
      <c r="G5" s="4" t="s">
        <v>16</v>
      </c>
      <c r="H5" s="4" t="s">
        <v>72</v>
      </c>
      <c r="I5" s="4" t="s">
        <v>67</v>
      </c>
      <c r="J5" s="4" t="s">
        <v>73</v>
      </c>
      <c r="K5" s="4" t="s">
        <v>147</v>
      </c>
      <c r="L5" s="4" t="s">
        <v>17</v>
      </c>
      <c r="M5" s="4" t="s">
        <v>166</v>
      </c>
      <c r="N5" s="4" t="s">
        <v>56</v>
      </c>
      <c r="O5" s="4" t="s">
        <v>74</v>
      </c>
      <c r="P5" s="4" t="s">
        <v>75</v>
      </c>
      <c r="Q5" s="4" t="s">
        <v>76</v>
      </c>
      <c r="R5" s="16">
        <v>83674</v>
      </c>
      <c r="S5" s="17">
        <v>390548917</v>
      </c>
      <c r="T5" s="18">
        <v>0</v>
      </c>
      <c r="U5" s="18">
        <v>2869</v>
      </c>
      <c r="V5" s="17">
        <v>300954270</v>
      </c>
      <c r="W5" s="26" t="s">
        <v>166</v>
      </c>
      <c r="X5" s="26">
        <v>68</v>
      </c>
      <c r="Y5" s="24">
        <f>312098/X5</f>
        <v>4589.6764705882351</v>
      </c>
      <c r="Z5" s="20">
        <v>0</v>
      </c>
      <c r="AA5" s="27">
        <f>Y5</f>
        <v>4589.6764705882351</v>
      </c>
      <c r="AB5" s="20">
        <v>14</v>
      </c>
      <c r="AC5" s="20">
        <v>0</v>
      </c>
      <c r="AD5" s="20">
        <v>4</v>
      </c>
      <c r="AE5" s="20">
        <f>'Ставки аренды'!$B$4*SUM(Лесные!AB5+Лесные!AC5+Лесные!AD5)/Лесные!X5</f>
        <v>423.52941176470586</v>
      </c>
      <c r="AF5" s="20">
        <f>'Ставки перевалки'!$B$2/X5*2</f>
        <v>661.76470588235293</v>
      </c>
      <c r="AG5" s="20"/>
      <c r="AH5" s="20">
        <f>0.85*AI5</f>
        <v>21053.846153846152</v>
      </c>
      <c r="AI5" s="20">
        <f>Цены!$C$3</f>
        <v>24769.23076923077</v>
      </c>
      <c r="AJ5" s="20"/>
      <c r="AK5" s="21"/>
      <c r="AL5" s="20"/>
      <c r="AM5" s="20"/>
      <c r="AN5" s="29">
        <f t="shared" ref="AN5:AN24" si="0">(AI5-AH5-AG5-AF5-AE5-AA5)/AI5</f>
        <v>-7.9113719400803736E-2</v>
      </c>
      <c r="AO5" s="20"/>
      <c r="AP5" s="20"/>
      <c r="AQ5" s="2"/>
      <c r="AR5" s="19"/>
      <c r="AS5" s="42">
        <v>0.8</v>
      </c>
      <c r="AT5" s="41">
        <f>MIN(IF($AS5=100%,1,1+VLOOKUP(($AI5-$AH5-$AG5-$AF5-$AE5-$AA5*(1+AT$3))/$AI5,'Технический лист'!$A:$B,2,1)-VLOOKUP($AN5,'Технический лист'!$A:$B,2,1)),1+(1-$AS5))</f>
        <v>1.1950000000000001</v>
      </c>
      <c r="AU5" s="41">
        <f>MIN(IF($AS5=100%,1,1+VLOOKUP(($AI5-$AH5-$AG5-$AF5-$AE5-$AA5*(1+AU$3))/$AI5,'Технический лист'!$A:$B,2,1)-VLOOKUP($AN5,'Технический лист'!$A:$B,2,1)),1+(1-$AS5))</f>
        <v>1.1950000000000001</v>
      </c>
      <c r="AV5" s="41">
        <f>MIN(IF($AS5=100%,1,1+VLOOKUP(($AI5-$AH5-$AG5-$AF5-$AE5-$AA5*(1+AV$3))/$AI5,'Технический лист'!$A:$B,2,1)-VLOOKUP($AN5,'Технический лист'!$A:$B,2,1)),1+(1-$AS5))</f>
        <v>1.1950000000000001</v>
      </c>
      <c r="AW5" s="41">
        <f>MIN(IF($AS5=100%,1,1+VLOOKUP(($AI5-$AH5-$AG5-$AF5-$AE5-$AA5*(1+AW$3))/$AI5,'Технический лист'!$A:$B,2,1)-VLOOKUP($AN5,'Технический лист'!$A:$B,2,1)),1+(1-$AS5))</f>
        <v>1.1800000000000002</v>
      </c>
      <c r="AX5" s="41">
        <f>MIN(IF($AS5=100%,1,1+VLOOKUP(($AI5-$AH5-$AG5-$AF5-$AE5-$AA5*(1+AX$3))/$AI5,'Технический лист'!$A:$B,2,1)-VLOOKUP($AN5,'Технический лист'!$A:$B,2,1)),1+(1-$AS5))</f>
        <v>1.1800000000000002</v>
      </c>
      <c r="AY5" s="41">
        <f>MIN(IF($AS5=100%,1,1+VLOOKUP(($AI5-$AH5-$AG5-$AF5-$AE5-$AA5*(1+AY$3))/$AI5,'Технический лист'!$A:$B,2,1)-VLOOKUP($AN5,'Технический лист'!$A:$B,2,1)),1+(1-$AS5))</f>
        <v>1.1800000000000002</v>
      </c>
      <c r="AZ5" s="41">
        <f>MIN(IF($AS5=100%,1,1+VLOOKUP(($AI5-$AH5-$AG5-$AF5-$AE5-$AA5*(1+AZ$3))/$AI5,'Технический лист'!$A:$B,2,1)-VLOOKUP($AN5,'Технический лист'!$A:$B,2,1)),1+(1-$AS5))</f>
        <v>1.1800000000000002</v>
      </c>
      <c r="BA5" s="41">
        <f>MIN(IF($AS5=100%,1,1+VLOOKUP(($AI5-$AH5-$AG5-$AF5-$AE5-$AA5*(1+BA$3))/$AI5,'Технический лист'!$A:$B,2,1)-VLOOKUP($AN5,'Технический лист'!$A:$B,2,1)),1+(1-$AS5))</f>
        <v>1.1800000000000002</v>
      </c>
      <c r="BB5" s="41">
        <f>MIN(IF($AS5=100%,1,1+VLOOKUP(($AI5-$AH5-$AG5-$AF5-$AE5-$AA5*(1+BB$3))/$AI5,'Технический лист'!$A:$B,2,1)-VLOOKUP($AN5,'Технический лист'!$A:$B,2,1)),1+(1-$AS5))</f>
        <v>1.1600000000000001</v>
      </c>
      <c r="BC5" s="41">
        <f>MIN(IF($AS5=100%,1,1+VLOOKUP(($AI5-$AH5-$AG5-$AF5-$AE5-$AA5*(1+BC$3))/$AI5,'Технический лист'!$A:$B,2,1)-VLOOKUP($AN5,'Технический лист'!$A:$B,2,1)),1+(1-$AS5))</f>
        <v>1.1600000000000001</v>
      </c>
      <c r="BD5" s="41">
        <f>MIN(IF($AS5=100%,1,1+VLOOKUP(($AI5-$AH5-$AG5-$AF5-$AE5-$AA5*(1+BD$3))/$AI5,'Технический лист'!$A:$B,2,1)-VLOOKUP($AN5,'Технический лист'!$A:$B,2,1)),1+(1-$AS5))</f>
        <v>1.1600000000000001</v>
      </c>
      <c r="BE5" s="41">
        <f>MIN(IF($AS5=100%,1,1+VLOOKUP(($AI5-$AH5-$AG5-$AF5-$AE5-$AA5*(1+BE$3))/$AI5,'Технический лист'!$A:$B,2,1)-VLOOKUP($AN5,'Технический лист'!$A:$B,2,1)),1+(1-$AS5))</f>
        <v>1.1600000000000001</v>
      </c>
      <c r="BF5" s="41">
        <f>MIN(IF($AS5=100%,1,1+VLOOKUP(($AI5-$AH5-$AG5-$AF5-$AE5-$AA5*(1+BF$3))/$AI5,'Технический лист'!$A:$B,2,1)-VLOOKUP($AN5,'Технический лист'!$A:$B,2,1)),1+(1-$AS5))</f>
        <v>1.1600000000000001</v>
      </c>
      <c r="BG5" s="41">
        <f>MIN(IF($AS5=100%,1,1+VLOOKUP(($AI5-$AH5-$AG5-$AF5-$AE5-$AA5*(1+BG$3))/$AI5,'Технический лист'!$A:$B,2,1)-VLOOKUP($AN5,'Технический лист'!$A:$B,2,1)),1+(1-$AS5))</f>
        <v>1.1600000000000001</v>
      </c>
      <c r="BH5" s="41">
        <f>MIN(IF($AS5=100%,1,1+VLOOKUP(($AI5-$AH5-$AG5-$AF5-$AE5-$AA5*(1+BH$3))/$AI5,'Технический лист'!$A:$B,2,1)-VLOOKUP($AN5,'Технический лист'!$A:$B,2,1)),1+(1-$AS5))</f>
        <v>1.1400000000000001</v>
      </c>
      <c r="BI5" s="41">
        <f>MIN(IF($AS5=100%,1,1+VLOOKUP(($AI5-$AH5-$AG5-$AF5-$AE5-$AA5*(1+BI$3))/$AI5,'Технический лист'!$A:$B,2,1)-VLOOKUP($AN5,'Технический лист'!$A:$B,2,1)),1+(1-$AS5))</f>
        <v>1.1400000000000001</v>
      </c>
      <c r="BJ5" s="41">
        <f>MIN(IF($AS5=100%,1,1+VLOOKUP(($AI5-$AH5-$AG5-$AF5-$AE5-$AA5*(1+BJ$3))/$AI5,'Технический лист'!$A:$B,2,1)-VLOOKUP($AN5,'Технический лист'!$A:$B,2,1)),1+(1-$AS5))</f>
        <v>1.1400000000000001</v>
      </c>
      <c r="BK5" s="41">
        <f>MIN(IF($AS5=100%,1,1+VLOOKUP(($AI5-$AH5-$AG5-$AF5-$AE5-$AA5*(1+BK$3))/$AI5,'Технический лист'!$A:$B,2,1)-VLOOKUP($AN5,'Технический лист'!$A:$B,2,1)),1+(1-$AS5))</f>
        <v>1.1400000000000001</v>
      </c>
      <c r="BL5" s="41">
        <f>MIN(IF($AS5=100%,1,1+VLOOKUP(($AI5-$AH5-$AG5-$AF5-$AE5-$AA5*(1+BL$3))/$AI5,'Технический лист'!$A:$B,2,1)-VLOOKUP($AN5,'Технический лист'!$A:$B,2,1)),1+(1-$AS5))</f>
        <v>1.1400000000000001</v>
      </c>
      <c r="BM5" s="41">
        <f>MIN(IF($AS5=100%,1,1+VLOOKUP(($AI5-$AH5-$AG5-$AF5-$AE5-$AA5*(1+BM$3))/$AI5,'Технический лист'!$A:$B,2,1)-VLOOKUP($AN5,'Технический лист'!$A:$B,2,1)),1+(1-$AS5))</f>
        <v>1.1200000000000001</v>
      </c>
      <c r="BN5" s="41">
        <f>MIN(IF($AS5=100%,1,1+VLOOKUP(($AI5-$AH5-$AG5-$AF5-$AE5-$AA5*(1+BN$3))/$AI5,'Технический лист'!$A:$B,2,1)-VLOOKUP($AN5,'Технический лист'!$A:$B,2,1)),1+(1-$AS5))</f>
        <v>1.1200000000000001</v>
      </c>
      <c r="BO5" s="41">
        <f>MIN(IF($AS5=100%,1,1+VLOOKUP(($AI5-$AH5-$AG5-$AF5-$AE5-$AA5*(1+BO$3))/$AI5,'Технический лист'!$A:$B,2,1)-VLOOKUP($AN5,'Технический лист'!$A:$B,2,1)),1+(1-$AS5))</f>
        <v>1.1200000000000001</v>
      </c>
      <c r="BP5" s="41">
        <f>MIN(IF($AS5=100%,1,1+VLOOKUP(($AI5-$AH5-$AG5-$AF5-$AE5-$AA5*(1+BP$3))/$AI5,'Технический лист'!$A:$B,2,1)-VLOOKUP($AN5,'Технический лист'!$A:$B,2,1)),1+(1-$AS5))</f>
        <v>1.1200000000000001</v>
      </c>
      <c r="BQ5" s="41">
        <f>MIN(IF($AS5=100%,1,1+VLOOKUP(($AI5-$AH5-$AG5-$AF5-$AE5-$AA5*(1+BQ$3))/$AI5,'Технический лист'!$A:$B,2,1)-VLOOKUP($AN5,'Технический лист'!$A:$B,2,1)),1+(1-$AS5))</f>
        <v>1.1200000000000001</v>
      </c>
      <c r="BR5" s="41">
        <f>MIN(IF($AS5=100%,1,1+VLOOKUP(($AI5-$AH5-$AG5-$AF5-$AE5-$AA5*(1+BR$3))/$AI5,'Технический лист'!$A:$B,2,1)-VLOOKUP($AN5,'Технический лист'!$A:$B,2,1)),1+(1-$AS5))</f>
        <v>1.1000000000000001</v>
      </c>
      <c r="BS5" s="41">
        <f>MIN(IF($AS5=100%,1,1+VLOOKUP(($AI5-$AH5-$AG5-$AF5-$AE5-$AA5*(1+BS$3))/$AI5,'Технический лист'!$A:$B,2,1)-VLOOKUP($AN5,'Технический лист'!$A:$B,2,1)),1+(1-$AS5))</f>
        <v>1.1000000000000001</v>
      </c>
      <c r="BT5" s="41">
        <f>MIN(IF($AS5=100%,1,1+VLOOKUP(($AI5-$AH5-$AG5-$AF5-$AE5-$AA5*(1+BT$3))/$AI5,'Технический лист'!$A:$B,2,1)-VLOOKUP($AN5,'Технический лист'!$A:$B,2,1)),1+(1-$AS5))</f>
        <v>1.1000000000000001</v>
      </c>
      <c r="BU5" s="41">
        <f>MIN(IF($AS5=100%,1,1+VLOOKUP(($AI5-$AH5-$AG5-$AF5-$AE5-$AA5*(1+BU$3))/$AI5,'Технический лист'!$A:$B,2,1)-VLOOKUP($AN5,'Технический лист'!$A:$B,2,1)),1+(1-$AS5))</f>
        <v>1.1000000000000001</v>
      </c>
      <c r="BV5" s="41">
        <f>MIN(IF($AS5=100%,1,1+VLOOKUP(($AI5-$AH5-$AG5-$AF5-$AE5-$AA5*(1+BV$3))/$AI5,'Технический лист'!$A:$B,2,1)-VLOOKUP($AN5,'Технический лист'!$A:$B,2,1)),1+(1-$AS5))</f>
        <v>1.1000000000000001</v>
      </c>
      <c r="BW5" s="41">
        <f>MIN(IF($AS5=100%,1,1+VLOOKUP(($AI5-$AH5-$AG5-$AF5-$AE5-$AA5*(1+BW$3))/$AI5,'Технический лист'!$A:$B,2,1)-VLOOKUP($AN5,'Технический лист'!$A:$B,2,1)),1+(1-$AS5))</f>
        <v>1.1000000000000001</v>
      </c>
      <c r="BX5" s="41">
        <f>MIN(IF($AS5=100%,1,1+VLOOKUP(($AI5-$AH5-$AG5-$AF5-$AE5-$AA5*(1+BX$3))/$AI5,'Технический лист'!$A:$B,2,1)-VLOOKUP($AN5,'Технический лист'!$A:$B,2,1)),1+(1-$AS5))</f>
        <v>1.0750000000000002</v>
      </c>
      <c r="BY5" s="41">
        <f>MIN(IF($AS5=100%,1,1+VLOOKUP(($AI5-$AH5-$AG5-$AF5-$AE5-$AA5*(1+BY$3))/$AI5,'Технический лист'!$A:$B,2,1)-VLOOKUP($AN5,'Технический лист'!$A:$B,2,1)),1+(1-$AS5))</f>
        <v>1.0750000000000002</v>
      </c>
      <c r="BZ5" s="41">
        <f>MIN(IF($AS5=100%,1,1+VLOOKUP(($AI5-$AH5-$AG5-$AF5-$AE5-$AA5*(1+BZ$3))/$AI5,'Технический лист'!$A:$B,2,1)-VLOOKUP($AN5,'Технический лист'!$A:$B,2,1)),1+(1-$AS5))</f>
        <v>1.0750000000000002</v>
      </c>
      <c r="CA5" s="41">
        <f>MIN(IF($AS5=100%,1,1+VLOOKUP(($AI5-$AH5-$AG5-$AF5-$AE5-$AA5*(1+CA$3))/$AI5,'Технический лист'!$A:$B,2,1)-VLOOKUP($AN5,'Технический лист'!$A:$B,2,1)),1+(1-$AS5))</f>
        <v>1.0750000000000002</v>
      </c>
      <c r="CB5" s="41">
        <f>MIN(IF($AS5=100%,1,1+VLOOKUP(($AI5-$AH5-$AG5-$AF5-$AE5-$AA5*(1+CB$3))/$AI5,'Технический лист'!$A:$B,2,1)-VLOOKUP($AN5,'Технический лист'!$A:$B,2,1)),1+(1-$AS5))</f>
        <v>1.0750000000000002</v>
      </c>
      <c r="CC5" s="41">
        <f>MIN(IF($AS5=100%,1,1+VLOOKUP(($AI5-$AH5-$AG5-$AF5-$AE5-$AA5*(1+CC$3))/$AI5,'Технический лист'!$A:$B,2,1)-VLOOKUP($AN5,'Технический лист'!$A:$B,2,1)),1+(1-$AS5))</f>
        <v>1.05</v>
      </c>
      <c r="CD5" s="41">
        <f>MIN(IF($AS5=100%,1,1+VLOOKUP(($AI5-$AH5-$AG5-$AF5-$AE5-$AA5*(1+CD$3))/$AI5,'Технический лист'!$A:$B,2,1)-VLOOKUP($AN5,'Технический лист'!$A:$B,2,1)),1+(1-$AS5))</f>
        <v>1.05</v>
      </c>
      <c r="CE5" s="41">
        <f>MIN(IF($AS5=100%,1,1+VLOOKUP(($AI5-$AH5-$AG5-$AF5-$AE5-$AA5*(1+CE$3))/$AI5,'Технический лист'!$A:$B,2,1)-VLOOKUP($AN5,'Технический лист'!$A:$B,2,1)),1+(1-$AS5))</f>
        <v>1.05</v>
      </c>
      <c r="CF5" s="41">
        <f>MIN(IF($AS5=100%,1,1+VLOOKUP(($AI5-$AH5-$AG5-$AF5-$AE5-$AA5*(1+CF$3))/$AI5,'Технический лист'!$A:$B,2,1)-VLOOKUP($AN5,'Технический лист'!$A:$B,2,1)),1+(1-$AS5))</f>
        <v>1.05</v>
      </c>
      <c r="CG5" s="41">
        <f>MIN(IF($AS5=100%,1,1+VLOOKUP(($AI5-$AH5-$AG5-$AF5-$AE5-$AA5*(1+CG$3))/$AI5,'Технический лист'!$A:$B,2,1)-VLOOKUP($AN5,'Технический лист'!$A:$B,2,1)),1+(1-$AS5))</f>
        <v>1.05</v>
      </c>
      <c r="CH5" s="41">
        <f>MIN(IF($AS5=100%,1,1+VLOOKUP(($AI5-$AH5-$AG5-$AF5-$AE5-$AA5*(1+CH$3))/$AI5,'Технический лист'!$A:$B,2,1)-VLOOKUP($AN5,'Технический лист'!$A:$B,2,1)),1+(1-$AS5))</f>
        <v>1.05</v>
      </c>
      <c r="CI5" s="41">
        <f>MIN(IF($AS5=100%,1,1+VLOOKUP(($AI5-$AH5-$AG5-$AF5-$AE5-$AA5*(1+CI$3))/$AI5,'Технический лист'!$A:$B,2,1)-VLOOKUP($AN5,'Технический лист'!$A:$B,2,1)),1+(1-$AS5))</f>
        <v>1.0249999999999999</v>
      </c>
      <c r="CJ5" s="41">
        <f>MIN(IF($AS5=100%,1,1+VLOOKUP(($AI5-$AH5-$AG5-$AF5-$AE5-$AA5*(1+CJ$3))/$AI5,'Технический лист'!$A:$B,2,1)-VLOOKUP($AN5,'Технический лист'!$A:$B,2,1)),1+(1-$AS5))</f>
        <v>1.0249999999999999</v>
      </c>
      <c r="CK5" s="41">
        <f>MIN(IF($AS5=100%,1,1+VLOOKUP(($AI5-$AH5-$AG5-$AF5-$AE5-$AA5*(1+CK$3))/$AI5,'Технический лист'!$A:$B,2,1)-VLOOKUP($AN5,'Технический лист'!$A:$B,2,1)),1+(1-$AS5))</f>
        <v>1.0249999999999999</v>
      </c>
      <c r="CL5" s="41">
        <f>MIN(IF($AS5=100%,1,1+VLOOKUP(($AI5-$AH5-$AG5-$AF5-$AE5-$AA5*(1+CL$3))/$AI5,'Технический лист'!$A:$B,2,1)-VLOOKUP($AN5,'Технический лист'!$A:$B,2,1)),1+(1-$AS5))</f>
        <v>1.0249999999999999</v>
      </c>
      <c r="CM5" s="41">
        <f>MIN(IF($AS5=100%,1,1+VLOOKUP(($AI5-$AH5-$AG5-$AF5-$AE5-$AA5*(1+CM$3))/$AI5,'Технический лист'!$A:$B,2,1)-VLOOKUP($AN5,'Технический лист'!$A:$B,2,1)),1+(1-$AS5))</f>
        <v>1.0249999999999999</v>
      </c>
      <c r="CN5" s="41">
        <f>MIN(IF($AS5=100%,1,1+VLOOKUP(($AI5-$AH5-$AG5-$AF5-$AE5-$AA5*(1+CN$3))/$AI5,'Технический лист'!$A:$B,2,1)-VLOOKUP($AN5,'Технический лист'!$A:$B,2,1)),1+(1-$AS5))</f>
        <v>1</v>
      </c>
      <c r="CO5" s="41">
        <f>MIN(IF($AS5=100%,1,1+VLOOKUP(($AI5-$AH5-$AG5-$AF5-$AE5-$AA5*(1+CO$3))/$AI5,'Технический лист'!$A:$B,2,1)-VLOOKUP($AN5,'Технический лист'!$A:$B,2,1)),1+(1-$AS5))</f>
        <v>1</v>
      </c>
      <c r="CP5" s="41">
        <f>MIN(IF($AS5=100%,1,1+VLOOKUP(($AI5-$AH5-$AG5-$AF5-$AE5-$AA5*(1+CP$3))/$AI5,'Технический лист'!$A:$B,2,1)-VLOOKUP($AN5,'Технический лист'!$A:$B,2,1)),1+(1-$AS5))</f>
        <v>1</v>
      </c>
      <c r="CQ5" s="41">
        <f>MIN(IF($AS5=100%,1,1+VLOOKUP(($AI5-$AH5-$AG5-$AF5-$AE5-$AA5*(1+CQ$3))/$AI5,'Технический лист'!$A:$B,2,1)-VLOOKUP($AN5,'Технический лист'!$A:$B,2,1)),1+(1-$AS5))</f>
        <v>1</v>
      </c>
      <c r="CR5">
        <v>1</v>
      </c>
      <c r="CS5" s="41">
        <f>MIN(1,MAX(VLOOKUP(($AI5-$AH5-$AG5-$AF5-$AE5-$AA5*(1+CS$3))/$AI5,'[8]Технический лист'!$A:$B,2,1),(CR5-0.05)))</f>
        <v>0.95</v>
      </c>
      <c r="CT5" s="41">
        <f>MIN(1,MAX(VLOOKUP(($AI5-$AH5-$AG5-$AF5-$AE5-$AA5*(1+CT$3))/$AI5,'[8]Технический лист'!$A:$B,2,1),(CS5-0.05)))</f>
        <v>0.89999999999999991</v>
      </c>
      <c r="CU5" s="41">
        <f>MIN(1,MAX(VLOOKUP(($AI5-$AH5-$AG5-$AF5-$AE5-$AA5*(1+CU$3))/$AI5,'[8]Технический лист'!$A:$B,2,1),(CT5-0.05)))</f>
        <v>0.88500000000000001</v>
      </c>
      <c r="CV5" s="41">
        <f>MIN(1,MAX(VLOOKUP(($AI5-$AH5-$AG5-$AF5-$AE5-$AA5*(1+CV$3))/$AI5,'[8]Технический лист'!$A:$B,2,1),(CU5-0.05)))</f>
        <v>0.88500000000000001</v>
      </c>
      <c r="CW5" s="41">
        <f>MIN(1,MAX(VLOOKUP(($AI5-$AH5-$AG5-$AF5-$AE5-$AA5*(1+CW$3))/$AI5,'[8]Технический лист'!$A:$B,2,1),(CV5-0.05)))</f>
        <v>0.88500000000000001</v>
      </c>
      <c r="CX5" s="41">
        <f>MIN(1,MAX(VLOOKUP(($AI5-$AH5-$AG5-$AF5-$AE5-$AA5*(1+CX$3))/$AI5,'[8]Технический лист'!$A:$B,2,1),(CW5-0.05)))</f>
        <v>0.88500000000000001</v>
      </c>
      <c r="CY5" s="41">
        <f>MIN(1,MAX(VLOOKUP(($AI5-$AH5-$AG5-$AF5-$AE5-$AA5*(1+CY$3))/$AI5,'[8]Технический лист'!$A:$B,2,1),(CX5-0.05)))</f>
        <v>0.87</v>
      </c>
      <c r="CZ5" s="41">
        <f>MIN(1,MAX(VLOOKUP(($AI5-$AH5-$AG5-$AF5-$AE5-$AA5*(1+CZ$3))/$AI5,'[8]Технический лист'!$A:$B,2,1),(CY5-0.05)))</f>
        <v>0.87</v>
      </c>
      <c r="DA5" s="41">
        <f>MIN(1,MAX(VLOOKUP(($AI5-$AH5-$AG5-$AF5-$AE5-$AA5*(1+DA$3))/$AI5,'[8]Технический лист'!$A:$B,2,1),(CZ5-0.05)))</f>
        <v>0.87</v>
      </c>
      <c r="DB5" s="41">
        <f>MIN(1,MAX(VLOOKUP(($AI5-$AH5-$AG5-$AF5-$AE5-$AA5*(1+DB$3))/$AI5,'[8]Технический лист'!$A:$B,2,1),(DA5-0.05)))</f>
        <v>0.87</v>
      </c>
      <c r="DC5" s="41">
        <f>MIN(1,MAX(VLOOKUP(($AI5-$AH5-$AG5-$AF5-$AE5-$AA5*(1+DC$3))/$AI5,'[8]Технический лист'!$A:$B,2,1),(DB5-0.05)))</f>
        <v>0.87</v>
      </c>
      <c r="DD5" s="41">
        <f>MIN(1,MAX(VLOOKUP(($AI5-$AH5-$AG5-$AF5-$AE5-$AA5*(1+DD$3))/$AI5,'[8]Технический лист'!$A:$B,2,1),(DC5-0.05)))</f>
        <v>0.85499999999999998</v>
      </c>
      <c r="DE5" s="41">
        <f>MIN(1,MAX(VLOOKUP(($AI5-$AH5-$AG5-$AF5-$AE5-$AA5*(1+DE$3))/$AI5,'[8]Технический лист'!$A:$B,2,1),(DD5-0.05)))</f>
        <v>0.85499999999999998</v>
      </c>
      <c r="DF5" s="41">
        <f>MIN(1,MAX(VLOOKUP(($AI5-$AH5-$AG5-$AF5-$AE5-$AA5*(1+DF$3))/$AI5,'[8]Технический лист'!$A:$B,2,1),(DE5-0.05)))</f>
        <v>0.85499999999999998</v>
      </c>
      <c r="DG5" s="41">
        <f>MIN(1,MAX(VLOOKUP(($AI5-$AH5-$AG5-$AF5-$AE5-$AA5*(1+DG$3))/$AI5,'[8]Технический лист'!$A:$B,2,1),(DF5-0.05)))</f>
        <v>0.85499999999999998</v>
      </c>
      <c r="DH5" s="41">
        <f>MIN(1,MAX(VLOOKUP(($AI5-$AH5-$AG5-$AF5-$AE5-$AA5*(1+DH$3))/$AI5,'[8]Технический лист'!$A:$B,2,1),(DG5-0.05)))</f>
        <v>0.85499999999999998</v>
      </c>
      <c r="DI5" s="41">
        <f>MIN(1,MAX(VLOOKUP(($AI5-$AH5-$AG5-$AF5-$AE5-$AA5*(1+DI$3))/$AI5,'[8]Технический лист'!$A:$B,2,1),(DH5-0.05)))</f>
        <v>0.85499999999999998</v>
      </c>
      <c r="DJ5" s="41">
        <f>MIN(1,MAX(VLOOKUP(($AI5-$AH5-$AG5-$AF5-$AE5-$AA5*(1+DJ$3))/$AI5,'[8]Технический лист'!$A:$B,2,1),(DI5-0.05)))</f>
        <v>0.84</v>
      </c>
      <c r="DK5" s="41">
        <f>MIN(1,MAX(VLOOKUP(($AI5-$AH5-$AG5-$AF5-$AE5-$AA5*(1+DK$3))/$AI5,'[8]Технический лист'!$A:$B,2,1),(DJ5-0.05)))</f>
        <v>0.84</v>
      </c>
      <c r="DL5" s="41">
        <f>MIN(1,MAX(VLOOKUP(($AI5-$AH5-$AG5-$AF5-$AE5-$AA5*(1+DL$3))/$AI5,'[8]Технический лист'!$A:$B,2,1),(DK5-0.05)))</f>
        <v>0.84</v>
      </c>
      <c r="DM5" s="41">
        <f>MIN(1,MAX(VLOOKUP(($AI5-$AH5-$AG5-$AF5-$AE5-$AA5*(1+DM$3))/$AI5,'[8]Технический лист'!$A:$B,2,1),(DL5-0.05)))</f>
        <v>0.84</v>
      </c>
      <c r="DN5" s="41">
        <f>MIN(1,MAX(VLOOKUP(($AI5-$AH5-$AG5-$AF5-$AE5-$AA5*(1+DN$3))/$AI5,'[8]Технический лист'!$A:$B,2,1),(DM5-0.05)))</f>
        <v>0.84</v>
      </c>
      <c r="DO5" s="41">
        <f>MIN(1,MAX(VLOOKUP(($AI5-$AH5-$AG5-$AF5-$AE5-$AA5*(1+DO$3))/$AI5,'[8]Технический лист'!$A:$B,2,1),(DN5-0.05)))</f>
        <v>0.82499999999999996</v>
      </c>
      <c r="DP5" s="41">
        <f>MIN(1,MAX(VLOOKUP(($AI5-$AH5-$AG5-$AF5-$AE5-$AA5*(1+DP$3))/$AI5,'[8]Технический лист'!$A:$B,2,1),(DO5-0.05)))</f>
        <v>0.82499999999999996</v>
      </c>
      <c r="DQ5" s="41">
        <f>MIN(1,MAX(VLOOKUP(($AI5-$AH5-$AG5-$AF5-$AE5-$AA5*(1+DQ$3))/$AI5,'[8]Технический лист'!$A:$B,2,1),(DP5-0.05)))</f>
        <v>0.82499999999999996</v>
      </c>
      <c r="DR5" s="41">
        <f>MIN(1,MAX(VLOOKUP(($AI5-$AH5-$AG5-$AF5-$AE5-$AA5*(1+DR$3))/$AI5,'[8]Технический лист'!$A:$B,2,1),(DQ5-0.05)))</f>
        <v>0.82499999999999996</v>
      </c>
      <c r="DS5" s="41">
        <f>MIN(1,MAX(VLOOKUP(($AI5-$AH5-$AG5-$AF5-$AE5-$AA5*(1+DS$3))/$AI5,'[8]Технический лист'!$A:$B,2,1),(DR5-0.05)))</f>
        <v>0.82499999999999996</v>
      </c>
      <c r="DT5" s="41">
        <f>MIN(1,MAX(VLOOKUP(($AI5-$AH5-$AG5-$AF5-$AE5-$AA5*(1+DT$3))/$AI5,'[8]Технический лист'!$A:$B,2,1),(DS5-0.05)))</f>
        <v>0.81</v>
      </c>
      <c r="DU5" s="41">
        <f>MIN(1,MAX(VLOOKUP(($AI5-$AH5-$AG5-$AF5-$AE5-$AA5*(1+DU$3))/$AI5,'[8]Технический лист'!$A:$B,2,1),(DT5-0.05)))</f>
        <v>0.81</v>
      </c>
      <c r="DV5" s="41">
        <f>MIN(1,MAX(VLOOKUP(($AI5-$AH5-$AG5-$AF5-$AE5-$AA5*(1+DV$3))/$AI5,'[8]Технический лист'!$A:$B,2,1),(DU5-0.05)))</f>
        <v>0.81</v>
      </c>
      <c r="DW5" s="41">
        <f>MIN(1,MAX(VLOOKUP(($AI5-$AH5-$AG5-$AF5-$AE5-$AA5*(1+DW$3))/$AI5,'[8]Технический лист'!$A:$B,2,1),(DV5-0.05)))</f>
        <v>0.81</v>
      </c>
      <c r="DX5" s="41">
        <f>MIN(1,MAX(VLOOKUP(($AI5-$AH5-$AG5-$AF5-$AE5-$AA5*(1+DX$3))/$AI5,'[8]Технический лист'!$A:$B,2,1),(DW5-0.05)))</f>
        <v>0.81</v>
      </c>
      <c r="DY5" s="41">
        <f>MIN(1,MAX(VLOOKUP(($AI5-$AH5-$AG5-$AF5-$AE5-$AA5*(1+DY$3))/$AI5,'[8]Технический лист'!$A:$B,2,1),(DX5-0.05)))</f>
        <v>0.81</v>
      </c>
      <c r="DZ5" s="41">
        <f>MIN(1,MAX(VLOOKUP(($AI5-$AH5-$AG5-$AF5-$AE5-$AA5*(1+DZ$3))/$AI5,'[8]Технический лист'!$A:$B,2,1),(DY5-0.05)))</f>
        <v>0.79</v>
      </c>
      <c r="EA5" s="41">
        <f>MIN(1,MAX(VLOOKUP(($AI5-$AH5-$AG5-$AF5-$AE5-$AA5*(1+EA$3))/$AI5,'[8]Технический лист'!$A:$B,2,1),(DZ5-0.05)))</f>
        <v>0.79</v>
      </c>
      <c r="EB5" s="41">
        <f>MIN(1,MAX(VLOOKUP(($AI5-$AH5-$AG5-$AF5-$AE5-$AA5*(1+EB$3))/$AI5,'[8]Технический лист'!$A:$B,2,1),(EA5-0.05)))</f>
        <v>0.79</v>
      </c>
      <c r="EC5" s="41">
        <f>MIN(1,MAX(VLOOKUP(($AI5-$AH5-$AG5-$AF5-$AE5-$AA5*(1+EC$3))/$AI5,'[8]Технический лист'!$A:$B,2,1),(EB5-0.05)))</f>
        <v>0.79</v>
      </c>
      <c r="ED5" s="41">
        <f>MIN(1,MAX(VLOOKUP(($AI5-$AH5-$AG5-$AF5-$AE5-$AA5*(1+ED$3))/$AI5,'[8]Технический лист'!$A:$B,2,1),(EC5-0.05)))</f>
        <v>0.79</v>
      </c>
      <c r="EE5" s="41">
        <f>MIN(1,MAX(VLOOKUP(($AI5-$AH5-$AG5-$AF5-$AE5-$AA5*(1+EE$3))/$AI5,'[8]Технический лист'!$A:$B,2,1),(ED5-0.05)))</f>
        <v>0.77</v>
      </c>
      <c r="EF5" s="41">
        <f>MIN(1,MAX(VLOOKUP(($AI5-$AH5-$AG5-$AF5-$AE5-$AA5*(1+EF$3))/$AI5,'[8]Технический лист'!$A:$B,2,1),(EE5-0.05)))</f>
        <v>0.77</v>
      </c>
      <c r="EG5" s="41">
        <f>MIN(1,MAX(VLOOKUP(($AI5-$AH5-$AG5-$AF5-$AE5-$AA5*(1+EG$3))/$AI5,'[8]Технический лист'!$A:$B,2,1),(EF5-0.05)))</f>
        <v>0.77</v>
      </c>
      <c r="EH5" s="41">
        <f>MIN(1,MAX(VLOOKUP(($AI5-$AH5-$AG5-$AF5-$AE5-$AA5*(1+EH$3))/$AI5,'[8]Технический лист'!$A:$B,2,1),(EG5-0.05)))</f>
        <v>0.77</v>
      </c>
      <c r="EI5" s="41">
        <f>MIN(1,MAX(VLOOKUP(($AI5-$AH5-$AG5-$AF5-$AE5-$AA5*(1+EI$3))/$AI5,'[8]Технический лист'!$A:$B,2,1),(EH5-0.05)))</f>
        <v>0.77</v>
      </c>
      <c r="EJ5" s="41">
        <f>MIN(1,MAX(VLOOKUP(($AI5-$AH5-$AG5-$AF5-$AE5-$AA5*(1+EJ$3))/$AI5,'[8]Технический лист'!$A:$B,2,1),(EI5-0.05)))</f>
        <v>0.77</v>
      </c>
      <c r="EK5" s="41">
        <f>MIN(1,MAX(VLOOKUP(($AI5-$AH5-$AG5-$AF5-$AE5-$AA5*(1+EK$3))/$AI5,'[8]Технический лист'!$A:$B,2,1),(EJ5-0.05)))</f>
        <v>0.75</v>
      </c>
      <c r="EL5" s="41">
        <f>MIN(1,MAX(VLOOKUP(($AI5-$AH5-$AG5-$AF5-$AE5-$AA5*(1+EL$3))/$AI5,'[8]Технический лист'!$A:$B,2,1),(EK5-0.05)))</f>
        <v>0.75</v>
      </c>
      <c r="EM5" s="41">
        <f>MIN(1,MAX(VLOOKUP(($AI5-$AH5-$AG5-$AF5-$AE5-$AA5*(1+EM$3))/$AI5,'[8]Технический лист'!$A:$B,2,1),(EL5-0.05)))</f>
        <v>0.75</v>
      </c>
      <c r="EN5" s="41">
        <f>MIN(1,MAX(VLOOKUP(($AI5-$AH5-$AG5-$AF5-$AE5-$AA5*(1+EN$3))/$AI5,'[8]Технический лист'!$A:$B,2,1),(EM5-0.05)))</f>
        <v>0.75</v>
      </c>
      <c r="EO5" s="41">
        <f>MIN(1,MAX(VLOOKUP(($AI5-$AH5-$AG5-$AF5-$AE5-$AA5*(1+EO$3))/$AI5,'[8]Технический лист'!$A:$B,2,1),(EN5-0.05)))</f>
        <v>0.75</v>
      </c>
      <c r="EP5" s="41">
        <f>MIN(1,MAX(VLOOKUP(($AI5-$AH5-$AG5-$AF5-$AE5-$AA5*(1+EP$3))/$AI5,'[8]Технический лист'!$A:$B,2,1),(EO5-0.05)))</f>
        <v>0.73</v>
      </c>
      <c r="EQ5" s="41">
        <f>MIN(1,MAX(VLOOKUP(($AI5-$AH5-$AG5-$AF5-$AE5-$AA5*(1+EQ$3))/$AI5,'[8]Технический лист'!$A:$B,2,1),(EP5-0.05)))</f>
        <v>0.73</v>
      </c>
      <c r="ER5" s="41">
        <f>MIN(1,MAX(VLOOKUP(($AI5-$AH5-$AG5-$AF5-$AE5-$AA5*(1+ER$3))/$AI5,'[8]Технический лист'!$A:$B,2,1),(EQ5-0.05)))</f>
        <v>0.73</v>
      </c>
      <c r="ES5" s="41">
        <f>MIN(1,MAX(VLOOKUP(($AI5-$AH5-$AG5-$AF5-$AE5-$AA5*(1+ES$3))/$AI5,'[8]Технический лист'!$A:$B,2,1),(ER5-0.05)))</f>
        <v>0.73</v>
      </c>
      <c r="ET5" s="41">
        <f>MIN(1,MAX(VLOOKUP(($AI5-$AH5-$AG5-$AF5-$AE5-$AA5*(1+ET$3))/$AI5,'[8]Технический лист'!$A:$B,2,1),(ES5-0.05)))</f>
        <v>0.73</v>
      </c>
      <c r="EU5" s="41">
        <f>MIN(1,MAX(VLOOKUP(($AI5-$AH5-$AG5-$AF5-$AE5-$AA5*(1+EU$3))/$AI5,'[8]Технический лист'!$A:$B,2,1),(ET5-0.05)))</f>
        <v>0.71</v>
      </c>
      <c r="EV5" s="41">
        <f>MIN(1,MAX(VLOOKUP(($AI5-$AH5-$AG5-$AF5-$AE5-$AA5*(1+EV$3))/$AI5,'[8]Технический лист'!$A:$B,2,1),(EU5-0.05)))</f>
        <v>0.71</v>
      </c>
      <c r="EW5" s="41">
        <f>MIN(1,MAX(VLOOKUP(($AI5-$AH5-$AG5-$AF5-$AE5-$AA5*(1+EW$3))/$AI5,'[8]Технический лист'!$A:$B,2,1),(EV5-0.05)))</f>
        <v>0.71</v>
      </c>
      <c r="EX5" s="41">
        <f>MIN(1,MAX(VLOOKUP(($AI5-$AH5-$AG5-$AF5-$AE5-$AA5*(1+EX$3))/$AI5,'[8]Технический лист'!$A:$B,2,1),(EW5-0.05)))</f>
        <v>0.71</v>
      </c>
      <c r="EY5" s="41">
        <f>MIN(1,MAX(VLOOKUP(($AI5-$AH5-$AG5-$AF5-$AE5-$AA5*(1+EY$3))/$AI5,'[8]Технический лист'!$A:$B,2,1),(EX5-0.05)))</f>
        <v>0.71</v>
      </c>
      <c r="EZ5" s="41">
        <f>MIN(1,MAX(VLOOKUP(($AI5-$AH5-$AG5-$AF5-$AE5-$AA5*(1+EZ$3))/$AI5,'[8]Технический лист'!$A:$B,2,1),(EY5-0.05)))</f>
        <v>0.71</v>
      </c>
      <c r="FA5" s="41">
        <f>MIN(1,MAX(VLOOKUP(($AI5-$AH5-$AG5-$AF5-$AE5-$AA5*(1+FA$3))/$AI5,'[8]Технический лист'!$A:$B,2,1),(EZ5-0.05)))</f>
        <v>0.68500000000000005</v>
      </c>
      <c r="FB5" s="41">
        <f>MIN(1,MAX(VLOOKUP(($AI5-$AH5-$AG5-$AF5-$AE5-$AA5*(1+FB$3))/$AI5,'[8]Технический лист'!$A:$B,2,1),(FA5-0.05)))</f>
        <v>0.68500000000000005</v>
      </c>
      <c r="FC5" s="41">
        <f>MIN(1,MAX(VLOOKUP(($AI5-$AH5-$AG5-$AF5-$AE5-$AA5*(1+FC$3))/$AI5,'[8]Технический лист'!$A:$B,2,1),(FB5-0.05)))</f>
        <v>0.68500000000000005</v>
      </c>
      <c r="FD5" s="41">
        <f>MIN(1,MAX(VLOOKUP(($AI5-$AH5-$AG5-$AF5-$AE5-$AA5*(1+FD$3))/$AI5,'[8]Технический лист'!$A:$B,2,1),(FC5-0.05)))</f>
        <v>0.68500000000000005</v>
      </c>
      <c r="FE5" s="41">
        <f>MIN(1,MAX(VLOOKUP(($AI5-$AH5-$AG5-$AF5-$AE5-$AA5*(1+FE$3))/$AI5,'[8]Технический лист'!$A:$B,2,1),(FD5-0.05)))</f>
        <v>0.68500000000000005</v>
      </c>
      <c r="FF5" s="41">
        <f>MIN(1,MAX(VLOOKUP(($AI5-$AH5-$AG5-$AF5-$AE5-$AA5*(1+FF$3))/$AI5,'[8]Технический лист'!$A:$B,2,1),(FE5-0.05)))</f>
        <v>0.66</v>
      </c>
      <c r="FG5" s="41">
        <f>MIN(1,MAX(VLOOKUP(($AI5-$AH5-$AG5-$AF5-$AE5-$AA5*(1+FG$3))/$AI5,'[8]Технический лист'!$A:$B,2,1),(FF5-0.05)))</f>
        <v>0.66</v>
      </c>
      <c r="FH5" s="41">
        <f>MIN(1,MAX(VLOOKUP(($AI5-$AH5-$AG5-$AF5-$AE5-$AA5*(1+FH$3))/$AI5,'[8]Технический лист'!$A:$B,2,1),(FG5-0.05)))</f>
        <v>0.66</v>
      </c>
      <c r="FI5" s="41">
        <f>MIN(1,MAX(VLOOKUP(($AI5-$AH5-$AG5-$AF5-$AE5-$AA5*(1+FI$3))/$AI5,'[8]Технический лист'!$A:$B,2,1),(FH5-0.05)))</f>
        <v>0.66</v>
      </c>
      <c r="FJ5" s="41">
        <f>MIN(1,MAX(VLOOKUP(($AI5-$AH5-$AG5-$AF5-$AE5-$AA5*(1+FJ$3))/$AI5,'[8]Технический лист'!$A:$B,2,1),(FI5-0.05)))</f>
        <v>0.66</v>
      </c>
      <c r="FK5" s="41">
        <f>MIN(1,MAX(VLOOKUP(($AI5-$AH5-$AG5-$AF5-$AE5-$AA5*(1+FK$3))/$AI5,'[8]Технический лист'!$A:$B,2,1),(FJ5-0.05)))</f>
        <v>0.66</v>
      </c>
      <c r="FL5" s="41">
        <f>MIN(1,MAX(VLOOKUP(($AI5-$AH5-$AG5-$AF5-$AE5-$AA5*(1+FL$3))/$AI5,'[8]Технический лист'!$A:$B,2,1),(FK5-0.05)))</f>
        <v>0.63500000000000001</v>
      </c>
      <c r="FM5" s="41">
        <f>MIN(1,MAX(VLOOKUP(($AI5-$AH5-$AG5-$AF5-$AE5-$AA5*(1+FM$3))/$AI5,'[8]Технический лист'!$A:$B,2,1),(FL5-0.05)))</f>
        <v>0.63500000000000001</v>
      </c>
      <c r="FN5" s="41">
        <f>MIN(1,MAX(VLOOKUP(($AI5-$AH5-$AG5-$AF5-$AE5-$AA5*(1+FN$3))/$AI5,'[8]Технический лист'!$A:$B,2,1),(FM5-0.05)))</f>
        <v>0.63500000000000001</v>
      </c>
      <c r="FO5" s="41">
        <f>MIN(1,MAX(VLOOKUP(($AI5-$AH5-$AG5-$AF5-$AE5-$AA5*(1+FO$3))/$AI5,'[8]Технический лист'!$A:$B,2,1),(FN5-0.05)))</f>
        <v>0.63500000000000001</v>
      </c>
      <c r="FP5" s="41">
        <f>MIN(1,MAX(VLOOKUP(($AI5-$AH5-$AG5-$AF5-$AE5-$AA5*(1+FP$3))/$AI5,'[8]Технический лист'!$A:$B,2,1),(FO5-0.05)))</f>
        <v>0.63500000000000001</v>
      </c>
      <c r="FQ5" s="41">
        <f>MIN(1,MAX(VLOOKUP(($AI5-$AH5-$AG5-$AF5-$AE5-$AA5*(1+FQ$3))/$AI5,'[8]Технический лист'!$A:$B,2,1),(FP5-0.05)))</f>
        <v>0.61</v>
      </c>
      <c r="FR5" s="41">
        <f>MIN(1,MAX(VLOOKUP(($AI5-$AH5-$AG5-$AF5-$AE5-$AA5*(1+FR$3))/$AI5,'[8]Технический лист'!$A:$B,2,1),(FQ5-0.05)))</f>
        <v>0.61</v>
      </c>
      <c r="FS5" s="41">
        <f>MIN(1,MAX(VLOOKUP(($AI5-$AH5-$AG5-$AF5-$AE5-$AA5*(1+FS$3))/$AI5,'[8]Технический лист'!$A:$B,2,1),(FR5-0.05)))</f>
        <v>0.61</v>
      </c>
      <c r="FT5" s="41">
        <f>MIN(1,MAX(VLOOKUP(($AI5-$AH5-$AG5-$AF5-$AE5-$AA5*(1+FT$3))/$AI5,'[8]Технический лист'!$A:$B,2,1),(FS5-0.05)))</f>
        <v>0.61</v>
      </c>
      <c r="FU5" s="41">
        <f>MIN(1,MAX(VLOOKUP(($AI5-$AH5-$AG5-$AF5-$AE5-$AA5*(1+FU$3))/$AI5,'[8]Технический лист'!$A:$B,2,1),(FT5-0.05)))</f>
        <v>0.61</v>
      </c>
      <c r="FV5" s="41">
        <f>MIN(1,MAX(VLOOKUP(($AI5-$AH5-$AG5-$AF5-$AE5-$AA5*(1+FV$3))/$AI5,'[8]Технический лист'!$A:$B,2,1),(FU5-0.05)))</f>
        <v>0.57999999999999996</v>
      </c>
      <c r="FW5" s="41">
        <f>MIN(1,MAX(VLOOKUP(($AI5-$AH5-$AG5-$AF5-$AE5-$AA5*(1+FW$3))/$AI5,'[8]Технический лист'!$A:$B,2,1),(FV5-0.05)))</f>
        <v>0.57999999999999996</v>
      </c>
      <c r="FX5" s="41">
        <f>MIN(1,MAX(VLOOKUP(($AI5-$AH5-$AG5-$AF5-$AE5-$AA5*(1+FX$3))/$AI5,'[8]Технический лист'!$A:$B,2,1),(FW5-0.05)))</f>
        <v>0.57999999999999996</v>
      </c>
      <c r="FY5" s="41">
        <f>MIN(1,MAX(VLOOKUP(($AI5-$AH5-$AG5-$AF5-$AE5-$AA5*(1+FY$3))/$AI5,'[8]Технический лист'!$A:$B,2,1),(FX5-0.05)))</f>
        <v>0.57999999999999996</v>
      </c>
      <c r="FZ5" s="41">
        <f>MIN(1,MAX(VLOOKUP(($AI5-$AH5-$AG5-$AF5-$AE5-$AA5*(1+FZ$3))/$AI5,'[8]Технический лист'!$A:$B,2,1),(FY5-0.05)))</f>
        <v>0.57999999999999996</v>
      </c>
      <c r="GA5" s="41">
        <f>MIN(1,MAX(VLOOKUP(($AI5-$AH5-$AG5-$AF5-$AE5-$AA5*(1+GA$3))/$AI5,'[8]Технический лист'!$A:$B,2,1),(FZ5-0.05)))</f>
        <v>0.57999999999999996</v>
      </c>
      <c r="GB5" s="41">
        <f>MIN(1,MAX(VLOOKUP(($AI5-$AH5-$AG5-$AF5-$AE5-$AA5*(1+GB$3))/$AI5,'[8]Технический лист'!$A:$B,2,1),(GA5-0.05)))</f>
        <v>0.55000000000000004</v>
      </c>
      <c r="GC5" s="41">
        <f>MIN(1,MAX(VLOOKUP(($AI5-$AH5-$AG5-$AF5-$AE5-$AA5*(1+GC$3))/$AI5,'[8]Технический лист'!$A:$B,2,1),(GB5-0.05)))</f>
        <v>0.55000000000000004</v>
      </c>
      <c r="GD5" s="41">
        <f>MIN(1,MAX(VLOOKUP(($AI5-$AH5-$AG5-$AF5-$AE5-$AA5*(1+GD$3))/$AI5,'[8]Технический лист'!$A:$B,2,1),(GC5-0.05)))</f>
        <v>0.55000000000000004</v>
      </c>
      <c r="GE5" s="41">
        <f>MIN(1,MAX(VLOOKUP(($AI5-$AH5-$AG5-$AF5-$AE5-$AA5*(1+GE$3))/$AI5,'[8]Технический лист'!$A:$B,2,1),(GD5-0.05)))</f>
        <v>0.55000000000000004</v>
      </c>
      <c r="GF5" s="41">
        <f>MIN(1,MAX(VLOOKUP(($AI5-$AH5-$AG5-$AF5-$AE5-$AA5*(1+GF$3))/$AI5,'[8]Технический лист'!$A:$B,2,1),(GE5-0.05)))</f>
        <v>0.55000000000000004</v>
      </c>
      <c r="GG5" s="41">
        <f>MIN(1,MAX(VLOOKUP(($AI5-$AH5-$AG5-$AF5-$AE5-$AA5*(1+GG$3))/$AI5,'[8]Технический лист'!$A:$B,2,1),(GF5-0.05)))</f>
        <v>0.52</v>
      </c>
      <c r="GH5" s="41">
        <f>MIN(1,MAX(VLOOKUP(($AI5-$AH5-$AG5-$AF5-$AE5-$AA5*(1+GH$3))/$AI5,'[8]Технический лист'!$A:$B,2,1),(GG5-0.05)))</f>
        <v>0.52</v>
      </c>
      <c r="GI5" s="41">
        <f>MIN(1,MAX(VLOOKUP(($AI5-$AH5-$AG5-$AF5-$AE5-$AA5*(1+GI$3))/$AI5,'[8]Технический лист'!$A:$B,2,1),(GH5-0.05)))</f>
        <v>0.52</v>
      </c>
      <c r="GJ5" s="41">
        <f>MIN(1,MAX(VLOOKUP(($AI5-$AH5-$AG5-$AF5-$AE5-$AA5*(1+GJ$3))/$AI5,'[8]Технический лист'!$A:$B,2,1),(GI5-0.05)))</f>
        <v>0.52</v>
      </c>
      <c r="GK5" s="41">
        <f>MIN(1,MAX(VLOOKUP(($AI5-$AH5-$AG5-$AF5-$AE5-$AA5*(1+GK$3))/$AI5,'[8]Технический лист'!$A:$B,2,1),(GJ5-0.05)))</f>
        <v>0.52</v>
      </c>
      <c r="GL5" s="41">
        <f>MIN(1,MAX(VLOOKUP(($AI5-$AH5-$AG5-$AF5-$AE5-$AA5*(1+GL$3))/$AI5,'[8]Технический лист'!$A:$B,2,1),(GK5-0.05)))</f>
        <v>0.52</v>
      </c>
      <c r="GM5" s="41">
        <f>MIN(1,MAX(VLOOKUP(($AI5-$AH5-$AG5-$AF5-$AE5-$AA5*(1+GM$3))/$AI5,'[8]Технический лист'!$A:$B,2,1),(GL5-0.05)))</f>
        <v>0.49</v>
      </c>
      <c r="GN5" s="41">
        <f>MIN(1,MAX(VLOOKUP(($AI5-$AH5-$AG5-$AF5-$AE5-$AA5*(1+GN$3))/$AI5,'[8]Технический лист'!$A:$B,2,1),(GM5-0.05)))</f>
        <v>0.49</v>
      </c>
    </row>
    <row r="6" spans="1:196">
      <c r="A6" s="3">
        <v>6</v>
      </c>
      <c r="B6" s="15" t="s">
        <v>61</v>
      </c>
      <c r="C6" s="4" t="s">
        <v>77</v>
      </c>
      <c r="D6" s="4" t="s">
        <v>78</v>
      </c>
      <c r="E6" s="4" t="s">
        <v>79</v>
      </c>
      <c r="F6" s="4" t="s">
        <v>23</v>
      </c>
      <c r="G6" s="4" t="s">
        <v>23</v>
      </c>
      <c r="H6" s="4" t="s">
        <v>80</v>
      </c>
      <c r="I6" s="4" t="s">
        <v>81</v>
      </c>
      <c r="J6" s="4" t="s">
        <v>82</v>
      </c>
      <c r="K6" s="4" t="s">
        <v>83</v>
      </c>
      <c r="L6" s="4" t="s">
        <v>17</v>
      </c>
      <c r="M6" s="4" t="s">
        <v>167</v>
      </c>
      <c r="N6" s="4" t="s">
        <v>55</v>
      </c>
      <c r="O6" s="4" t="s">
        <v>84</v>
      </c>
      <c r="P6" s="4" t="s">
        <v>85</v>
      </c>
      <c r="Q6" s="4" t="s">
        <v>51</v>
      </c>
      <c r="R6" s="16">
        <v>147674</v>
      </c>
      <c r="S6" s="17">
        <v>134235464</v>
      </c>
      <c r="T6" s="18">
        <v>2222</v>
      </c>
      <c r="U6" s="18">
        <v>0</v>
      </c>
      <c r="V6" s="17">
        <v>271127201</v>
      </c>
      <c r="W6" s="26" t="s">
        <v>184</v>
      </c>
      <c r="X6" s="26">
        <v>66</v>
      </c>
      <c r="Y6" s="24">
        <v>2029.14</v>
      </c>
      <c r="Z6" s="27">
        <f>AA6-Y6</f>
        <v>279.87999999999988</v>
      </c>
      <c r="AA6" s="20">
        <v>2309.02</v>
      </c>
      <c r="AB6" s="20">
        <v>6</v>
      </c>
      <c r="AC6" s="20">
        <v>2</v>
      </c>
      <c r="AD6" s="20">
        <v>4</v>
      </c>
      <c r="AE6" s="20">
        <f>'Ставки аренды'!$B$3*SUM(Лесные!AB6+Лесные!AC6+Лесные!AD6)/Лесные!X6</f>
        <v>545.4545454545455</v>
      </c>
      <c r="AF6" s="20">
        <v>0</v>
      </c>
      <c r="AG6" s="20"/>
      <c r="AH6" s="20">
        <f>1.02*AI6</f>
        <v>24750</v>
      </c>
      <c r="AI6" s="20">
        <f>Цены!$C$5</f>
        <v>24264.705882352941</v>
      </c>
      <c r="AJ6" s="20"/>
      <c r="AK6" s="21"/>
      <c r="AL6" s="20"/>
      <c r="AM6" s="20"/>
      <c r="AN6" s="29">
        <f t="shared" si="0"/>
        <v>-0.13763895096418735</v>
      </c>
      <c r="AO6" s="20"/>
      <c r="AP6" s="20"/>
      <c r="AQ6" s="2"/>
      <c r="AR6" s="19"/>
      <c r="AS6" s="42">
        <v>0.8</v>
      </c>
      <c r="AT6" s="41">
        <f>MIN(IF($AS6=100%,1,1+VLOOKUP(($AI6-$AH6-$AG6-$AF6-$AE6-$AA6*(1+AT$3))/$AI6,'Технический лист'!$A:$B,2,1)-VLOOKUP($AN6,'Технический лист'!$A:$B,2,1)),1+(1-$AS6))</f>
        <v>1.1949999999999998</v>
      </c>
      <c r="AU6" s="41">
        <f>MIN(IF($AS6=100%,1,1+VLOOKUP(($AI6-$AH6-$AG6-$AF6-$AE6-$AA6*(1+AU$3))/$AI6,'Технический лист'!$A:$B,2,1)-VLOOKUP($AN6,'Технический лист'!$A:$B,2,1)),1+(1-$AS6))</f>
        <v>1.1949999999999998</v>
      </c>
      <c r="AV6" s="41">
        <f>MIN(IF($AS6=100%,1,1+VLOOKUP(($AI6-$AH6-$AG6-$AF6-$AE6-$AA6*(1+AV$3))/$AI6,'Технический лист'!$A:$B,2,1)-VLOOKUP($AN6,'Технический лист'!$A:$B,2,1)),1+(1-$AS6))</f>
        <v>1.1949999999999998</v>
      </c>
      <c r="AW6" s="41">
        <f>MIN(IF($AS6=100%,1,1+VLOOKUP(($AI6-$AH6-$AG6-$AF6-$AE6-$AA6*(1+AW$3))/$AI6,'Технический лист'!$A:$B,2,1)-VLOOKUP($AN6,'Технический лист'!$A:$B,2,1)),1+(1-$AS6))</f>
        <v>1.1599999999999999</v>
      </c>
      <c r="AX6" s="41">
        <f>MIN(IF($AS6=100%,1,1+VLOOKUP(($AI6-$AH6-$AG6-$AF6-$AE6-$AA6*(1+AX$3))/$AI6,'Технический лист'!$A:$B,2,1)-VLOOKUP($AN6,'Технический лист'!$A:$B,2,1)),1+(1-$AS6))</f>
        <v>1.1599999999999999</v>
      </c>
      <c r="AY6" s="41">
        <f>MIN(IF($AS6=100%,1,1+VLOOKUP(($AI6-$AH6-$AG6-$AF6-$AE6-$AA6*(1+AY$3))/$AI6,'Технический лист'!$A:$B,2,1)-VLOOKUP($AN6,'Технический лист'!$A:$B,2,1)),1+(1-$AS6))</f>
        <v>1.1599999999999999</v>
      </c>
      <c r="AZ6" s="41">
        <f>MIN(IF($AS6=100%,1,1+VLOOKUP(($AI6-$AH6-$AG6-$AF6-$AE6-$AA6*(1+AZ$3))/$AI6,'Технический лист'!$A:$B,2,1)-VLOOKUP($AN6,'Технический лист'!$A:$B,2,1)),1+(1-$AS6))</f>
        <v>1.1599999999999999</v>
      </c>
      <c r="BA6" s="41">
        <f>MIN(IF($AS6=100%,1,1+VLOOKUP(($AI6-$AH6-$AG6-$AF6-$AE6-$AA6*(1+BA$3))/$AI6,'Технический лист'!$A:$B,2,1)-VLOOKUP($AN6,'Технический лист'!$A:$B,2,1)),1+(1-$AS6))</f>
        <v>1.1599999999999999</v>
      </c>
      <c r="BB6" s="41">
        <f>MIN(IF($AS6=100%,1,1+VLOOKUP(($AI6-$AH6-$AG6-$AF6-$AE6-$AA6*(1+BB$3))/$AI6,'Технический лист'!$A:$B,2,1)-VLOOKUP($AN6,'Технический лист'!$A:$B,2,1)),1+(1-$AS6))</f>
        <v>1.1599999999999999</v>
      </c>
      <c r="BC6" s="41">
        <f>MIN(IF($AS6=100%,1,1+VLOOKUP(($AI6-$AH6-$AG6-$AF6-$AE6-$AA6*(1+BC$3))/$AI6,'Технический лист'!$A:$B,2,1)-VLOOKUP($AN6,'Технический лист'!$A:$B,2,1)),1+(1-$AS6))</f>
        <v>1.1599999999999999</v>
      </c>
      <c r="BD6" s="41">
        <f>MIN(IF($AS6=100%,1,1+VLOOKUP(($AI6-$AH6-$AG6-$AF6-$AE6-$AA6*(1+BD$3))/$AI6,'Технический лист'!$A:$B,2,1)-VLOOKUP($AN6,'Технический лист'!$A:$B,2,1)),1+(1-$AS6))</f>
        <v>1.1599999999999999</v>
      </c>
      <c r="BE6" s="41">
        <f>MIN(IF($AS6=100%,1,1+VLOOKUP(($AI6-$AH6-$AG6-$AF6-$AE6-$AA6*(1+BE$3))/$AI6,'Технический лист'!$A:$B,2,1)-VLOOKUP($AN6,'Технический лист'!$A:$B,2,1)),1+(1-$AS6))</f>
        <v>1.1599999999999999</v>
      </c>
      <c r="BF6" s="41">
        <f>MIN(IF($AS6=100%,1,1+VLOOKUP(($AI6-$AH6-$AG6-$AF6-$AE6-$AA6*(1+BF$3))/$AI6,'Технический лист'!$A:$B,2,1)-VLOOKUP($AN6,'Технический лист'!$A:$B,2,1)),1+(1-$AS6))</f>
        <v>1.1599999999999999</v>
      </c>
      <c r="BG6" s="41">
        <f>MIN(IF($AS6=100%,1,1+VLOOKUP(($AI6-$AH6-$AG6-$AF6-$AE6-$AA6*(1+BG$3))/$AI6,'Технический лист'!$A:$B,2,1)-VLOOKUP($AN6,'Технический лист'!$A:$B,2,1)),1+(1-$AS6))</f>
        <v>1.1199999999999999</v>
      </c>
      <c r="BH6" s="41">
        <f>MIN(IF($AS6=100%,1,1+VLOOKUP(($AI6-$AH6-$AG6-$AF6-$AE6-$AA6*(1+BH$3))/$AI6,'Технический лист'!$A:$B,2,1)-VLOOKUP($AN6,'Технический лист'!$A:$B,2,1)),1+(1-$AS6))</f>
        <v>1.1199999999999999</v>
      </c>
      <c r="BI6" s="41">
        <f>MIN(IF($AS6=100%,1,1+VLOOKUP(($AI6-$AH6-$AG6-$AF6-$AE6-$AA6*(1+BI$3))/$AI6,'Технический лист'!$A:$B,2,1)-VLOOKUP($AN6,'Технический лист'!$A:$B,2,1)),1+(1-$AS6))</f>
        <v>1.1199999999999999</v>
      </c>
      <c r="BJ6" s="41">
        <f>MIN(IF($AS6=100%,1,1+VLOOKUP(($AI6-$AH6-$AG6-$AF6-$AE6-$AA6*(1+BJ$3))/$AI6,'Технический лист'!$A:$B,2,1)-VLOOKUP($AN6,'Технический лист'!$A:$B,2,1)),1+(1-$AS6))</f>
        <v>1.1199999999999999</v>
      </c>
      <c r="BK6" s="41">
        <f>MIN(IF($AS6=100%,1,1+VLOOKUP(($AI6-$AH6-$AG6-$AF6-$AE6-$AA6*(1+BK$3))/$AI6,'Технический лист'!$A:$B,2,1)-VLOOKUP($AN6,'Технический лист'!$A:$B,2,1)),1+(1-$AS6))</f>
        <v>1.1199999999999999</v>
      </c>
      <c r="BL6" s="41">
        <f>MIN(IF($AS6=100%,1,1+VLOOKUP(($AI6-$AH6-$AG6-$AF6-$AE6-$AA6*(1+BL$3))/$AI6,'Технический лист'!$A:$B,2,1)-VLOOKUP($AN6,'Технический лист'!$A:$B,2,1)),1+(1-$AS6))</f>
        <v>1.1199999999999999</v>
      </c>
      <c r="BM6" s="41">
        <f>MIN(IF($AS6=100%,1,1+VLOOKUP(($AI6-$AH6-$AG6-$AF6-$AE6-$AA6*(1+BM$3))/$AI6,'Технический лист'!$A:$B,2,1)-VLOOKUP($AN6,'Технический лист'!$A:$B,2,1)),1+(1-$AS6))</f>
        <v>1.1199999999999999</v>
      </c>
      <c r="BN6" s="41">
        <f>MIN(IF($AS6=100%,1,1+VLOOKUP(($AI6-$AH6-$AG6-$AF6-$AE6-$AA6*(1+BN$3))/$AI6,'Технический лист'!$A:$B,2,1)-VLOOKUP($AN6,'Технический лист'!$A:$B,2,1)),1+(1-$AS6))</f>
        <v>1.1199999999999999</v>
      </c>
      <c r="BO6" s="41">
        <f>MIN(IF($AS6=100%,1,1+VLOOKUP(($AI6-$AH6-$AG6-$AF6-$AE6-$AA6*(1+BO$3))/$AI6,'Технический лист'!$A:$B,2,1)-VLOOKUP($AN6,'Технический лист'!$A:$B,2,1)),1+(1-$AS6))</f>
        <v>1.1199999999999999</v>
      </c>
      <c r="BP6" s="41">
        <f>MIN(IF($AS6=100%,1,1+VLOOKUP(($AI6-$AH6-$AG6-$AF6-$AE6-$AA6*(1+BP$3))/$AI6,'Технический лист'!$A:$B,2,1)-VLOOKUP($AN6,'Технический лист'!$A:$B,2,1)),1+(1-$AS6))</f>
        <v>1.1199999999999999</v>
      </c>
      <c r="BQ6" s="41">
        <f>MIN(IF($AS6=100%,1,1+VLOOKUP(($AI6-$AH6-$AG6-$AF6-$AE6-$AA6*(1+BQ$3))/$AI6,'Технический лист'!$A:$B,2,1)-VLOOKUP($AN6,'Технический лист'!$A:$B,2,1)),1+(1-$AS6))</f>
        <v>1.1199999999999999</v>
      </c>
      <c r="BR6" s="41">
        <f>MIN(IF($AS6=100%,1,1+VLOOKUP(($AI6-$AH6-$AG6-$AF6-$AE6-$AA6*(1+BR$3))/$AI6,'Технический лист'!$A:$B,2,1)-VLOOKUP($AN6,'Технический лист'!$A:$B,2,1)),1+(1-$AS6))</f>
        <v>1.08</v>
      </c>
      <c r="BS6" s="41">
        <f>MIN(IF($AS6=100%,1,1+VLOOKUP(($AI6-$AH6-$AG6-$AF6-$AE6-$AA6*(1+BS$3))/$AI6,'Технический лист'!$A:$B,2,1)-VLOOKUP($AN6,'Технический лист'!$A:$B,2,1)),1+(1-$AS6))</f>
        <v>1.08</v>
      </c>
      <c r="BT6" s="41">
        <f>MIN(IF($AS6=100%,1,1+VLOOKUP(($AI6-$AH6-$AG6-$AF6-$AE6-$AA6*(1+BT$3))/$AI6,'Технический лист'!$A:$B,2,1)-VLOOKUP($AN6,'Технический лист'!$A:$B,2,1)),1+(1-$AS6))</f>
        <v>1.08</v>
      </c>
      <c r="BU6" s="41">
        <f>MIN(IF($AS6=100%,1,1+VLOOKUP(($AI6-$AH6-$AG6-$AF6-$AE6-$AA6*(1+BU$3))/$AI6,'Технический лист'!$A:$B,2,1)-VLOOKUP($AN6,'Технический лист'!$A:$B,2,1)),1+(1-$AS6))</f>
        <v>1.08</v>
      </c>
      <c r="BV6" s="41">
        <f>MIN(IF($AS6=100%,1,1+VLOOKUP(($AI6-$AH6-$AG6-$AF6-$AE6-$AA6*(1+BV$3))/$AI6,'Технический лист'!$A:$B,2,1)-VLOOKUP($AN6,'Технический лист'!$A:$B,2,1)),1+(1-$AS6))</f>
        <v>1.08</v>
      </c>
      <c r="BW6" s="41">
        <f>MIN(IF($AS6=100%,1,1+VLOOKUP(($AI6-$AH6-$AG6-$AF6-$AE6-$AA6*(1+BW$3))/$AI6,'Технический лист'!$A:$B,2,1)-VLOOKUP($AN6,'Технический лист'!$A:$B,2,1)),1+(1-$AS6))</f>
        <v>1.08</v>
      </c>
      <c r="BX6" s="41">
        <f>MIN(IF($AS6=100%,1,1+VLOOKUP(($AI6-$AH6-$AG6-$AF6-$AE6-$AA6*(1+BX$3))/$AI6,'Технический лист'!$A:$B,2,1)-VLOOKUP($AN6,'Технический лист'!$A:$B,2,1)),1+(1-$AS6))</f>
        <v>1.08</v>
      </c>
      <c r="BY6" s="41">
        <f>MIN(IF($AS6=100%,1,1+VLOOKUP(($AI6-$AH6-$AG6-$AF6-$AE6-$AA6*(1+BY$3))/$AI6,'Технический лист'!$A:$B,2,1)-VLOOKUP($AN6,'Технический лист'!$A:$B,2,1)),1+(1-$AS6))</f>
        <v>1.08</v>
      </c>
      <c r="BZ6" s="41">
        <f>MIN(IF($AS6=100%,1,1+VLOOKUP(($AI6-$AH6-$AG6-$AF6-$AE6-$AA6*(1+BZ$3))/$AI6,'Технический лист'!$A:$B,2,1)-VLOOKUP($AN6,'Технический лист'!$A:$B,2,1)),1+(1-$AS6))</f>
        <v>1.08</v>
      </c>
      <c r="CA6" s="41">
        <f>MIN(IF($AS6=100%,1,1+VLOOKUP(($AI6-$AH6-$AG6-$AF6-$AE6-$AA6*(1+CA$3))/$AI6,'Технический лист'!$A:$B,2,1)-VLOOKUP($AN6,'Технический лист'!$A:$B,2,1)),1+(1-$AS6))</f>
        <v>1.08</v>
      </c>
      <c r="CB6" s="41">
        <f>MIN(IF($AS6=100%,1,1+VLOOKUP(($AI6-$AH6-$AG6-$AF6-$AE6-$AA6*(1+CB$3))/$AI6,'Технический лист'!$A:$B,2,1)-VLOOKUP($AN6,'Технический лист'!$A:$B,2,1)),1+(1-$AS6))</f>
        <v>1.04</v>
      </c>
      <c r="CC6" s="41">
        <f>MIN(IF($AS6=100%,1,1+VLOOKUP(($AI6-$AH6-$AG6-$AF6-$AE6-$AA6*(1+CC$3))/$AI6,'Технический лист'!$A:$B,2,1)-VLOOKUP($AN6,'Технический лист'!$A:$B,2,1)),1+(1-$AS6))</f>
        <v>1.04</v>
      </c>
      <c r="CD6" s="41">
        <f>MIN(IF($AS6=100%,1,1+VLOOKUP(($AI6-$AH6-$AG6-$AF6-$AE6-$AA6*(1+CD$3))/$AI6,'Технический лист'!$A:$B,2,1)-VLOOKUP($AN6,'Технический лист'!$A:$B,2,1)),1+(1-$AS6))</f>
        <v>1.04</v>
      </c>
      <c r="CE6" s="41">
        <f>MIN(IF($AS6=100%,1,1+VLOOKUP(($AI6-$AH6-$AG6-$AF6-$AE6-$AA6*(1+CE$3))/$AI6,'Технический лист'!$A:$B,2,1)-VLOOKUP($AN6,'Технический лист'!$A:$B,2,1)),1+(1-$AS6))</f>
        <v>1.04</v>
      </c>
      <c r="CF6" s="41">
        <f>MIN(IF($AS6=100%,1,1+VLOOKUP(($AI6-$AH6-$AG6-$AF6-$AE6-$AA6*(1+CF$3))/$AI6,'Технический лист'!$A:$B,2,1)-VLOOKUP($AN6,'Технический лист'!$A:$B,2,1)),1+(1-$AS6))</f>
        <v>1.04</v>
      </c>
      <c r="CG6" s="41">
        <f>MIN(IF($AS6=100%,1,1+VLOOKUP(($AI6-$AH6-$AG6-$AF6-$AE6-$AA6*(1+CG$3))/$AI6,'Технический лист'!$A:$B,2,1)-VLOOKUP($AN6,'Технический лист'!$A:$B,2,1)),1+(1-$AS6))</f>
        <v>1.04</v>
      </c>
      <c r="CH6" s="41">
        <f>MIN(IF($AS6=100%,1,1+VLOOKUP(($AI6-$AH6-$AG6-$AF6-$AE6-$AA6*(1+CH$3))/$AI6,'Технический лист'!$A:$B,2,1)-VLOOKUP($AN6,'Технический лист'!$A:$B,2,1)),1+(1-$AS6))</f>
        <v>1.04</v>
      </c>
      <c r="CI6" s="41">
        <f>MIN(IF($AS6=100%,1,1+VLOOKUP(($AI6-$AH6-$AG6-$AF6-$AE6-$AA6*(1+CI$3))/$AI6,'Технический лист'!$A:$B,2,1)-VLOOKUP($AN6,'Технический лист'!$A:$B,2,1)),1+(1-$AS6))</f>
        <v>1.04</v>
      </c>
      <c r="CJ6" s="41">
        <f>MIN(IF($AS6=100%,1,1+VLOOKUP(($AI6-$AH6-$AG6-$AF6-$AE6-$AA6*(1+CJ$3))/$AI6,'Технический лист'!$A:$B,2,1)-VLOOKUP($AN6,'Технический лист'!$A:$B,2,1)),1+(1-$AS6))</f>
        <v>1.04</v>
      </c>
      <c r="CK6" s="41">
        <f>MIN(IF($AS6=100%,1,1+VLOOKUP(($AI6-$AH6-$AG6-$AF6-$AE6-$AA6*(1+CK$3))/$AI6,'Технический лист'!$A:$B,2,1)-VLOOKUP($AN6,'Технический лист'!$A:$B,2,1)),1+(1-$AS6))</f>
        <v>1.04</v>
      </c>
      <c r="CL6" s="41">
        <f>MIN(IF($AS6=100%,1,1+VLOOKUP(($AI6-$AH6-$AG6-$AF6-$AE6-$AA6*(1+CL$3))/$AI6,'Технический лист'!$A:$B,2,1)-VLOOKUP($AN6,'Технический лист'!$A:$B,2,1)),1+(1-$AS6))</f>
        <v>1.04</v>
      </c>
      <c r="CM6" s="41">
        <f>MIN(IF($AS6=100%,1,1+VLOOKUP(($AI6-$AH6-$AG6-$AF6-$AE6-$AA6*(1+CM$3))/$AI6,'Технический лист'!$A:$B,2,1)-VLOOKUP($AN6,'Технический лист'!$A:$B,2,1)),1+(1-$AS6))</f>
        <v>1</v>
      </c>
      <c r="CN6" s="41">
        <f>MIN(IF($AS6=100%,1,1+VLOOKUP(($AI6-$AH6-$AG6-$AF6-$AE6-$AA6*(1+CN$3))/$AI6,'Технический лист'!$A:$B,2,1)-VLOOKUP($AN6,'Технический лист'!$A:$B,2,1)),1+(1-$AS6))</f>
        <v>1</v>
      </c>
      <c r="CO6" s="41">
        <f>MIN(IF($AS6=100%,1,1+VLOOKUP(($AI6-$AH6-$AG6-$AF6-$AE6-$AA6*(1+CO$3))/$AI6,'Технический лист'!$A:$B,2,1)-VLOOKUP($AN6,'Технический лист'!$A:$B,2,1)),1+(1-$AS6))</f>
        <v>1</v>
      </c>
      <c r="CP6" s="41">
        <f>MIN(IF($AS6=100%,1,1+VLOOKUP(($AI6-$AH6-$AG6-$AF6-$AE6-$AA6*(1+CP$3))/$AI6,'Технический лист'!$A:$B,2,1)-VLOOKUP($AN6,'Технический лист'!$A:$B,2,1)),1+(1-$AS6))</f>
        <v>1</v>
      </c>
      <c r="CQ6" s="41">
        <f>MIN(IF($AS6=100%,1,1+VLOOKUP(($AI6-$AH6-$AG6-$AF6-$AE6-$AA6*(1+CQ$3))/$AI6,'Технический лист'!$A:$B,2,1)-VLOOKUP($AN6,'Технический лист'!$A:$B,2,1)),1+(1-$AS6))</f>
        <v>1</v>
      </c>
      <c r="CR6">
        <v>1</v>
      </c>
      <c r="CS6" s="41">
        <f>MIN(1,MAX(VLOOKUP(($AI6-$AH6-$AG6-$AF6-$AE6-$AA6*(1+CS$3))/$AI6,'[8]Технический лист'!$A:$B,2,1),(CR6-0.05)))</f>
        <v>0.95</v>
      </c>
      <c r="CT6" s="41">
        <f>MIN(1,MAX(VLOOKUP(($AI6-$AH6-$AG6-$AF6-$AE6-$AA6*(1+CT$3))/$AI6,'[8]Технический лист'!$A:$B,2,1),(CS6-0.05)))</f>
        <v>0.89999999999999991</v>
      </c>
      <c r="CU6" s="41">
        <f>MIN(1,MAX(VLOOKUP(($AI6-$AH6-$AG6-$AF6-$AE6-$AA6*(1+CU$3))/$AI6,'[8]Технический лист'!$A:$B,2,1),(CT6-0.05)))</f>
        <v>0.84999999999999987</v>
      </c>
      <c r="CV6" s="41">
        <f>MIN(1,MAX(VLOOKUP(($AI6-$AH6-$AG6-$AF6-$AE6-$AA6*(1+CV$3))/$AI6,'[8]Технический лист'!$A:$B,2,1),(CU6-0.05)))</f>
        <v>0.79999999999999982</v>
      </c>
      <c r="CW6" s="41">
        <f>MIN(1,MAX(VLOOKUP(($AI6-$AH6-$AG6-$AF6-$AE6-$AA6*(1+CW$3))/$AI6,'[8]Технический лист'!$A:$B,2,1),(CV6-0.05)))</f>
        <v>0.74999999999999978</v>
      </c>
      <c r="CX6" s="41">
        <f>MIN(1,MAX(VLOOKUP(($AI6-$AH6-$AG6-$AF6-$AE6-$AA6*(1+CX$3))/$AI6,'[8]Технический лист'!$A:$B,2,1),(CW6-0.05)))</f>
        <v>0.69999999999999973</v>
      </c>
      <c r="CY6" s="41">
        <f>MIN(1,MAX(VLOOKUP(($AI6-$AH6-$AG6-$AF6-$AE6-$AA6*(1+CY$3))/$AI6,'[8]Технический лист'!$A:$B,2,1),(CX6-0.05)))</f>
        <v>0.66</v>
      </c>
      <c r="CZ6" s="41">
        <f>MIN(1,MAX(VLOOKUP(($AI6-$AH6-$AG6-$AF6-$AE6-$AA6*(1+CZ$3))/$AI6,'[8]Технический лист'!$A:$B,2,1),(CY6-0.05)))</f>
        <v>0.66</v>
      </c>
      <c r="DA6" s="41">
        <f>MIN(1,MAX(VLOOKUP(($AI6-$AH6-$AG6-$AF6-$AE6-$AA6*(1+DA$3))/$AI6,'[8]Технический лист'!$A:$B,2,1),(CZ6-0.05)))</f>
        <v>0.66</v>
      </c>
      <c r="DB6" s="41">
        <f>MIN(1,MAX(VLOOKUP(($AI6-$AH6-$AG6-$AF6-$AE6-$AA6*(1+DB$3))/$AI6,'[8]Технический лист'!$A:$B,2,1),(DA6-0.05)))</f>
        <v>0.66</v>
      </c>
      <c r="DC6" s="41">
        <f>MIN(1,MAX(VLOOKUP(($AI6-$AH6-$AG6-$AF6-$AE6-$AA6*(1+DC$3))/$AI6,'[8]Технический лист'!$A:$B,2,1),(DB6-0.05)))</f>
        <v>0.66</v>
      </c>
      <c r="DD6" s="41">
        <f>MIN(1,MAX(VLOOKUP(($AI6-$AH6-$AG6-$AF6-$AE6-$AA6*(1+DD$3))/$AI6,'[8]Технический лист'!$A:$B,2,1),(DC6-0.05)))</f>
        <v>0.66</v>
      </c>
      <c r="DE6" s="41">
        <f>MIN(1,MAX(VLOOKUP(($AI6-$AH6-$AG6-$AF6-$AE6-$AA6*(1+DE$3))/$AI6,'[8]Технический лист'!$A:$B,2,1),(DD6-0.05)))</f>
        <v>0.66</v>
      </c>
      <c r="DF6" s="41">
        <f>MIN(1,MAX(VLOOKUP(($AI6-$AH6-$AG6-$AF6-$AE6-$AA6*(1+DF$3))/$AI6,'[8]Технический лист'!$A:$B,2,1),(DE6-0.05)))</f>
        <v>0.66</v>
      </c>
      <c r="DG6" s="41">
        <f>MIN(1,MAX(VLOOKUP(($AI6-$AH6-$AG6-$AF6-$AE6-$AA6*(1+DG$3))/$AI6,'[8]Технический лист'!$A:$B,2,1),(DF6-0.05)))</f>
        <v>0.66</v>
      </c>
      <c r="DH6" s="41">
        <f>MIN(1,MAX(VLOOKUP(($AI6-$AH6-$AG6-$AF6-$AE6-$AA6*(1+DH$3))/$AI6,'[8]Технический лист'!$A:$B,2,1),(DG6-0.05)))</f>
        <v>0.63500000000000001</v>
      </c>
      <c r="DI6" s="41">
        <f>MIN(1,MAX(VLOOKUP(($AI6-$AH6-$AG6-$AF6-$AE6-$AA6*(1+DI$3))/$AI6,'[8]Технический лист'!$A:$B,2,1),(DH6-0.05)))</f>
        <v>0.63500000000000001</v>
      </c>
      <c r="DJ6" s="41">
        <f>MIN(1,MAX(VLOOKUP(($AI6-$AH6-$AG6-$AF6-$AE6-$AA6*(1+DJ$3))/$AI6,'[8]Технический лист'!$A:$B,2,1),(DI6-0.05)))</f>
        <v>0.63500000000000001</v>
      </c>
      <c r="DK6" s="41">
        <f>MIN(1,MAX(VLOOKUP(($AI6-$AH6-$AG6-$AF6-$AE6-$AA6*(1+DK$3))/$AI6,'[8]Технический лист'!$A:$B,2,1),(DJ6-0.05)))</f>
        <v>0.63500000000000001</v>
      </c>
      <c r="DL6" s="41">
        <f>MIN(1,MAX(VLOOKUP(($AI6-$AH6-$AG6-$AF6-$AE6-$AA6*(1+DL$3))/$AI6,'[8]Технический лист'!$A:$B,2,1),(DK6-0.05)))</f>
        <v>0.63500000000000001</v>
      </c>
      <c r="DM6" s="41">
        <f>MIN(1,MAX(VLOOKUP(($AI6-$AH6-$AG6-$AF6-$AE6-$AA6*(1+DM$3))/$AI6,'[8]Технический лист'!$A:$B,2,1),(DL6-0.05)))</f>
        <v>0.63500000000000001</v>
      </c>
      <c r="DN6" s="41">
        <f>MIN(1,MAX(VLOOKUP(($AI6-$AH6-$AG6-$AF6-$AE6-$AA6*(1+DN$3))/$AI6,'[8]Технический лист'!$A:$B,2,1),(DM6-0.05)))</f>
        <v>0.63500000000000001</v>
      </c>
      <c r="DO6" s="41">
        <f>MIN(1,MAX(VLOOKUP(($AI6-$AH6-$AG6-$AF6-$AE6-$AA6*(1+DO$3))/$AI6,'[8]Технический лист'!$A:$B,2,1),(DN6-0.05)))</f>
        <v>0.63500000000000001</v>
      </c>
      <c r="DP6" s="41">
        <f>MIN(1,MAX(VLOOKUP(($AI6-$AH6-$AG6-$AF6-$AE6-$AA6*(1+DP$3))/$AI6,'[8]Технический лист'!$A:$B,2,1),(DO6-0.05)))</f>
        <v>0.63500000000000001</v>
      </c>
      <c r="DQ6" s="41">
        <f>MIN(1,MAX(VLOOKUP(($AI6-$AH6-$AG6-$AF6-$AE6-$AA6*(1+DQ$3))/$AI6,'[8]Технический лист'!$A:$B,2,1),(DP6-0.05)))</f>
        <v>0.63500000000000001</v>
      </c>
      <c r="DR6" s="41">
        <f>MIN(1,MAX(VLOOKUP(($AI6-$AH6-$AG6-$AF6-$AE6-$AA6*(1+DR$3))/$AI6,'[8]Технический лист'!$A:$B,2,1),(DQ6-0.05)))</f>
        <v>0.61</v>
      </c>
      <c r="DS6" s="41">
        <f>MIN(1,MAX(VLOOKUP(($AI6-$AH6-$AG6-$AF6-$AE6-$AA6*(1+DS$3))/$AI6,'[8]Технический лист'!$A:$B,2,1),(DR6-0.05)))</f>
        <v>0.61</v>
      </c>
      <c r="DT6" s="41">
        <f>MIN(1,MAX(VLOOKUP(($AI6-$AH6-$AG6-$AF6-$AE6-$AA6*(1+DT$3))/$AI6,'[8]Технический лист'!$A:$B,2,1),(DS6-0.05)))</f>
        <v>0.61</v>
      </c>
      <c r="DU6" s="41">
        <f>MIN(1,MAX(VLOOKUP(($AI6-$AH6-$AG6-$AF6-$AE6-$AA6*(1+DU$3))/$AI6,'[8]Технический лист'!$A:$B,2,1),(DT6-0.05)))</f>
        <v>0.61</v>
      </c>
      <c r="DV6" s="41">
        <f>MIN(1,MAX(VLOOKUP(($AI6-$AH6-$AG6-$AF6-$AE6-$AA6*(1+DV$3))/$AI6,'[8]Технический лист'!$A:$B,2,1),(DU6-0.05)))</f>
        <v>0.61</v>
      </c>
      <c r="DW6" s="41">
        <f>MIN(1,MAX(VLOOKUP(($AI6-$AH6-$AG6-$AF6-$AE6-$AA6*(1+DW$3))/$AI6,'[8]Технический лист'!$A:$B,2,1),(DV6-0.05)))</f>
        <v>0.61</v>
      </c>
      <c r="DX6" s="41">
        <f>MIN(1,MAX(VLOOKUP(($AI6-$AH6-$AG6-$AF6-$AE6-$AA6*(1+DX$3))/$AI6,'[8]Технический лист'!$A:$B,2,1),(DW6-0.05)))</f>
        <v>0.61</v>
      </c>
      <c r="DY6" s="41">
        <f>MIN(1,MAX(VLOOKUP(($AI6-$AH6-$AG6-$AF6-$AE6-$AA6*(1+DY$3))/$AI6,'[8]Технический лист'!$A:$B,2,1),(DX6-0.05)))</f>
        <v>0.61</v>
      </c>
      <c r="DZ6" s="41">
        <f>MIN(1,MAX(VLOOKUP(($AI6-$AH6-$AG6-$AF6-$AE6-$AA6*(1+DZ$3))/$AI6,'[8]Технический лист'!$A:$B,2,1),(DY6-0.05)))</f>
        <v>0.61</v>
      </c>
      <c r="EA6" s="41">
        <f>MIN(1,MAX(VLOOKUP(($AI6-$AH6-$AG6-$AF6-$AE6-$AA6*(1+EA$3))/$AI6,'[8]Технический лист'!$A:$B,2,1),(DZ6-0.05)))</f>
        <v>0.61</v>
      </c>
      <c r="EB6" s="41">
        <f>MIN(1,MAX(VLOOKUP(($AI6-$AH6-$AG6-$AF6-$AE6-$AA6*(1+EB$3))/$AI6,'[8]Технический лист'!$A:$B,2,1),(EA6-0.05)))</f>
        <v>0.61</v>
      </c>
      <c r="EC6" s="41">
        <f>MIN(1,MAX(VLOOKUP(($AI6-$AH6-$AG6-$AF6-$AE6-$AA6*(1+EC$3))/$AI6,'[8]Технический лист'!$A:$B,2,1),(EB6-0.05)))</f>
        <v>0.57999999999999996</v>
      </c>
      <c r="ED6" s="41">
        <f>MIN(1,MAX(VLOOKUP(($AI6-$AH6-$AG6-$AF6-$AE6-$AA6*(1+ED$3))/$AI6,'[8]Технический лист'!$A:$B,2,1),(EC6-0.05)))</f>
        <v>0.57999999999999996</v>
      </c>
      <c r="EE6" s="41">
        <f>MIN(1,MAX(VLOOKUP(($AI6-$AH6-$AG6-$AF6-$AE6-$AA6*(1+EE$3))/$AI6,'[8]Технический лист'!$A:$B,2,1),(ED6-0.05)))</f>
        <v>0.57999999999999996</v>
      </c>
      <c r="EF6" s="41">
        <f>MIN(1,MAX(VLOOKUP(($AI6-$AH6-$AG6-$AF6-$AE6-$AA6*(1+EF$3))/$AI6,'[8]Технический лист'!$A:$B,2,1),(EE6-0.05)))</f>
        <v>0.57999999999999996</v>
      </c>
      <c r="EG6" s="41">
        <f>MIN(1,MAX(VLOOKUP(($AI6-$AH6-$AG6-$AF6-$AE6-$AA6*(1+EG$3))/$AI6,'[8]Технический лист'!$A:$B,2,1),(EF6-0.05)))</f>
        <v>0.57999999999999996</v>
      </c>
      <c r="EH6" s="41">
        <f>MIN(1,MAX(VLOOKUP(($AI6-$AH6-$AG6-$AF6-$AE6-$AA6*(1+EH$3))/$AI6,'[8]Технический лист'!$A:$B,2,1),(EG6-0.05)))</f>
        <v>0.57999999999999996</v>
      </c>
      <c r="EI6" s="41">
        <f>MIN(1,MAX(VLOOKUP(($AI6-$AH6-$AG6-$AF6-$AE6-$AA6*(1+EI$3))/$AI6,'[8]Технический лист'!$A:$B,2,1),(EH6-0.05)))</f>
        <v>0.57999999999999996</v>
      </c>
      <c r="EJ6" s="41">
        <f>MIN(1,MAX(VLOOKUP(($AI6-$AH6-$AG6-$AF6-$AE6-$AA6*(1+EJ$3))/$AI6,'[8]Технический лист'!$A:$B,2,1),(EI6-0.05)))</f>
        <v>0.57999999999999996</v>
      </c>
      <c r="EK6" s="41">
        <f>MIN(1,MAX(VLOOKUP(($AI6-$AH6-$AG6-$AF6-$AE6-$AA6*(1+EK$3))/$AI6,'[8]Технический лист'!$A:$B,2,1),(EJ6-0.05)))</f>
        <v>0.57999999999999996</v>
      </c>
      <c r="EL6" s="41">
        <f>MIN(1,MAX(VLOOKUP(($AI6-$AH6-$AG6-$AF6-$AE6-$AA6*(1+EL$3))/$AI6,'[8]Технический лист'!$A:$B,2,1),(EK6-0.05)))</f>
        <v>0.57999999999999996</v>
      </c>
      <c r="EM6" s="41">
        <f>MIN(1,MAX(VLOOKUP(($AI6-$AH6-$AG6-$AF6-$AE6-$AA6*(1+EM$3))/$AI6,'[8]Технический лист'!$A:$B,2,1),(EL6-0.05)))</f>
        <v>0.55000000000000004</v>
      </c>
      <c r="EN6" s="41">
        <f>MIN(1,MAX(VLOOKUP(($AI6-$AH6-$AG6-$AF6-$AE6-$AA6*(1+EN$3))/$AI6,'[8]Технический лист'!$A:$B,2,1),(EM6-0.05)))</f>
        <v>0.55000000000000004</v>
      </c>
      <c r="EO6" s="41">
        <f>MIN(1,MAX(VLOOKUP(($AI6-$AH6-$AG6-$AF6-$AE6-$AA6*(1+EO$3))/$AI6,'[8]Технический лист'!$A:$B,2,1),(EN6-0.05)))</f>
        <v>0.55000000000000004</v>
      </c>
      <c r="EP6" s="41">
        <f>MIN(1,MAX(VLOOKUP(($AI6-$AH6-$AG6-$AF6-$AE6-$AA6*(1+EP$3))/$AI6,'[8]Технический лист'!$A:$B,2,1),(EO6-0.05)))</f>
        <v>0.55000000000000004</v>
      </c>
      <c r="EQ6" s="41">
        <f>MIN(1,MAX(VLOOKUP(($AI6-$AH6-$AG6-$AF6-$AE6-$AA6*(1+EQ$3))/$AI6,'[8]Технический лист'!$A:$B,2,1),(EP6-0.05)))</f>
        <v>0.55000000000000004</v>
      </c>
      <c r="ER6" s="41">
        <f>MIN(1,MAX(VLOOKUP(($AI6-$AH6-$AG6-$AF6-$AE6-$AA6*(1+ER$3))/$AI6,'[8]Технический лист'!$A:$B,2,1),(EQ6-0.05)))</f>
        <v>0.55000000000000004</v>
      </c>
      <c r="ES6" s="41">
        <f>MIN(1,MAX(VLOOKUP(($AI6-$AH6-$AG6-$AF6-$AE6-$AA6*(1+ES$3))/$AI6,'[8]Технический лист'!$A:$B,2,1),(ER6-0.05)))</f>
        <v>0.55000000000000004</v>
      </c>
      <c r="ET6" s="41">
        <f>MIN(1,MAX(VLOOKUP(($AI6-$AH6-$AG6-$AF6-$AE6-$AA6*(1+ET$3))/$AI6,'[8]Технический лист'!$A:$B,2,1),(ES6-0.05)))</f>
        <v>0.55000000000000004</v>
      </c>
      <c r="EU6" s="41">
        <f>MIN(1,MAX(VLOOKUP(($AI6-$AH6-$AG6-$AF6-$AE6-$AA6*(1+EU$3))/$AI6,'[8]Технический лист'!$A:$B,2,1),(ET6-0.05)))</f>
        <v>0.55000000000000004</v>
      </c>
      <c r="EV6" s="41">
        <f>MIN(1,MAX(VLOOKUP(($AI6-$AH6-$AG6-$AF6-$AE6-$AA6*(1+EV$3))/$AI6,'[8]Технический лист'!$A:$B,2,1),(EU6-0.05)))</f>
        <v>0.55000000000000004</v>
      </c>
      <c r="EW6" s="41">
        <f>MIN(1,MAX(VLOOKUP(($AI6-$AH6-$AG6-$AF6-$AE6-$AA6*(1+EW$3))/$AI6,'[8]Технический лист'!$A:$B,2,1),(EV6-0.05)))</f>
        <v>0.55000000000000004</v>
      </c>
      <c r="EX6" s="41">
        <f>MIN(1,MAX(VLOOKUP(($AI6-$AH6-$AG6-$AF6-$AE6-$AA6*(1+EX$3))/$AI6,'[8]Технический лист'!$A:$B,2,1),(EW6-0.05)))</f>
        <v>0.52</v>
      </c>
      <c r="EY6" s="41">
        <f>MIN(1,MAX(VLOOKUP(($AI6-$AH6-$AG6-$AF6-$AE6-$AA6*(1+EY$3))/$AI6,'[8]Технический лист'!$A:$B,2,1),(EX6-0.05)))</f>
        <v>0.52</v>
      </c>
      <c r="EZ6" s="41">
        <f>MIN(1,MAX(VLOOKUP(($AI6-$AH6-$AG6-$AF6-$AE6-$AA6*(1+EZ$3))/$AI6,'[8]Технический лист'!$A:$B,2,1),(EY6-0.05)))</f>
        <v>0.52</v>
      </c>
      <c r="FA6" s="41">
        <f>MIN(1,MAX(VLOOKUP(($AI6-$AH6-$AG6-$AF6-$AE6-$AA6*(1+FA$3))/$AI6,'[8]Технический лист'!$A:$B,2,1),(EZ6-0.05)))</f>
        <v>0.52</v>
      </c>
      <c r="FB6" s="41">
        <f>MIN(1,MAX(VLOOKUP(($AI6-$AH6-$AG6-$AF6-$AE6-$AA6*(1+FB$3))/$AI6,'[8]Технический лист'!$A:$B,2,1),(FA6-0.05)))</f>
        <v>0.52</v>
      </c>
      <c r="FC6" s="41">
        <f>MIN(1,MAX(VLOOKUP(($AI6-$AH6-$AG6-$AF6-$AE6-$AA6*(1+FC$3))/$AI6,'[8]Технический лист'!$A:$B,2,1),(FB6-0.05)))</f>
        <v>0.52</v>
      </c>
      <c r="FD6" s="41">
        <f>MIN(1,MAX(VLOOKUP(($AI6-$AH6-$AG6-$AF6-$AE6-$AA6*(1+FD$3))/$AI6,'[8]Технический лист'!$A:$B,2,1),(FC6-0.05)))</f>
        <v>0.52</v>
      </c>
      <c r="FE6" s="41">
        <f>MIN(1,MAX(VLOOKUP(($AI6-$AH6-$AG6-$AF6-$AE6-$AA6*(1+FE$3))/$AI6,'[8]Технический лист'!$A:$B,2,1),(FD6-0.05)))</f>
        <v>0.52</v>
      </c>
      <c r="FF6" s="41">
        <f>MIN(1,MAX(VLOOKUP(($AI6-$AH6-$AG6-$AF6-$AE6-$AA6*(1+FF$3))/$AI6,'[8]Технический лист'!$A:$B,2,1),(FE6-0.05)))</f>
        <v>0.52</v>
      </c>
      <c r="FG6" s="41">
        <f>MIN(1,MAX(VLOOKUP(($AI6-$AH6-$AG6-$AF6-$AE6-$AA6*(1+FG$3))/$AI6,'[8]Технический лист'!$A:$B,2,1),(FF6-0.05)))</f>
        <v>0.52</v>
      </c>
      <c r="FH6" s="41">
        <f>MIN(1,MAX(VLOOKUP(($AI6-$AH6-$AG6-$AF6-$AE6-$AA6*(1+FH$3))/$AI6,'[8]Технический лист'!$A:$B,2,1),(FG6-0.05)))</f>
        <v>0.52</v>
      </c>
      <c r="FI6" s="41">
        <f>MIN(1,MAX(VLOOKUP(($AI6-$AH6-$AG6-$AF6-$AE6-$AA6*(1+FI$3))/$AI6,'[8]Технический лист'!$A:$B,2,1),(FH6-0.05)))</f>
        <v>0.49</v>
      </c>
      <c r="FJ6" s="41">
        <f>MIN(1,MAX(VLOOKUP(($AI6-$AH6-$AG6-$AF6-$AE6-$AA6*(1+FJ$3))/$AI6,'[8]Технический лист'!$A:$B,2,1),(FI6-0.05)))</f>
        <v>0.49</v>
      </c>
      <c r="FK6" s="41">
        <f>MIN(1,MAX(VLOOKUP(($AI6-$AH6-$AG6-$AF6-$AE6-$AA6*(1+FK$3))/$AI6,'[8]Технический лист'!$A:$B,2,1),(FJ6-0.05)))</f>
        <v>0.49</v>
      </c>
      <c r="FL6" s="41">
        <f>MIN(1,MAX(VLOOKUP(($AI6-$AH6-$AG6-$AF6-$AE6-$AA6*(1+FL$3))/$AI6,'[8]Технический лист'!$A:$B,2,1),(FK6-0.05)))</f>
        <v>0.49</v>
      </c>
      <c r="FM6" s="41">
        <f>MIN(1,MAX(VLOOKUP(($AI6-$AH6-$AG6-$AF6-$AE6-$AA6*(1+FM$3))/$AI6,'[8]Технический лист'!$A:$B,2,1),(FL6-0.05)))</f>
        <v>0.49</v>
      </c>
      <c r="FN6" s="41">
        <f>MIN(1,MAX(VLOOKUP(($AI6-$AH6-$AG6-$AF6-$AE6-$AA6*(1+FN$3))/$AI6,'[8]Технический лист'!$A:$B,2,1),(FM6-0.05)))</f>
        <v>0.49</v>
      </c>
      <c r="FO6" s="41">
        <f>MIN(1,MAX(VLOOKUP(($AI6-$AH6-$AG6-$AF6-$AE6-$AA6*(1+FO$3))/$AI6,'[8]Технический лист'!$A:$B,2,1),(FN6-0.05)))</f>
        <v>0.49</v>
      </c>
      <c r="FP6" s="41">
        <f>MIN(1,MAX(VLOOKUP(($AI6-$AH6-$AG6-$AF6-$AE6-$AA6*(1+FP$3))/$AI6,'[8]Технический лист'!$A:$B,2,1),(FO6-0.05)))</f>
        <v>0.49</v>
      </c>
      <c r="FQ6" s="41">
        <f>MIN(1,MAX(VLOOKUP(($AI6-$AH6-$AG6-$AF6-$AE6-$AA6*(1+FQ$3))/$AI6,'[8]Технический лист'!$A:$B,2,1),(FP6-0.05)))</f>
        <v>0.49</v>
      </c>
      <c r="FR6" s="41">
        <f>MIN(1,MAX(VLOOKUP(($AI6-$AH6-$AG6-$AF6-$AE6-$AA6*(1+FR$3))/$AI6,'[8]Технический лист'!$A:$B,2,1),(FQ6-0.05)))</f>
        <v>0.49</v>
      </c>
      <c r="FS6" s="41">
        <f>MIN(1,MAX(VLOOKUP(($AI6-$AH6-$AG6-$AF6-$AE6-$AA6*(1+FS$3))/$AI6,'[8]Технический лист'!$A:$B,2,1),(FR6-0.05)))</f>
        <v>0.46</v>
      </c>
      <c r="FT6" s="41">
        <f>MIN(1,MAX(VLOOKUP(($AI6-$AH6-$AG6-$AF6-$AE6-$AA6*(1+FT$3))/$AI6,'[8]Технический лист'!$A:$B,2,1),(FS6-0.05)))</f>
        <v>0.46</v>
      </c>
      <c r="FU6" s="41">
        <f>MIN(1,MAX(VLOOKUP(($AI6-$AH6-$AG6-$AF6-$AE6-$AA6*(1+FU$3))/$AI6,'[8]Технический лист'!$A:$B,2,1),(FT6-0.05)))</f>
        <v>0.46</v>
      </c>
      <c r="FV6" s="41">
        <f>MIN(1,MAX(VLOOKUP(($AI6-$AH6-$AG6-$AF6-$AE6-$AA6*(1+FV$3))/$AI6,'[8]Технический лист'!$A:$B,2,1),(FU6-0.05)))</f>
        <v>0.46</v>
      </c>
      <c r="FW6" s="41">
        <f>MIN(1,MAX(VLOOKUP(($AI6-$AH6-$AG6-$AF6-$AE6-$AA6*(1+FW$3))/$AI6,'[8]Технический лист'!$A:$B,2,1),(FV6-0.05)))</f>
        <v>0.46</v>
      </c>
      <c r="FX6" s="41">
        <f>MIN(1,MAX(VLOOKUP(($AI6-$AH6-$AG6-$AF6-$AE6-$AA6*(1+FX$3))/$AI6,'[8]Технический лист'!$A:$B,2,1),(FW6-0.05)))</f>
        <v>0.46</v>
      </c>
      <c r="FY6" s="41">
        <f>MIN(1,MAX(VLOOKUP(($AI6-$AH6-$AG6-$AF6-$AE6-$AA6*(1+FY$3))/$AI6,'[8]Технический лист'!$A:$B,2,1),(FX6-0.05)))</f>
        <v>0.46</v>
      </c>
      <c r="FZ6" s="41">
        <f>MIN(1,MAX(VLOOKUP(($AI6-$AH6-$AG6-$AF6-$AE6-$AA6*(1+FZ$3))/$AI6,'[8]Технический лист'!$A:$B,2,1),(FY6-0.05)))</f>
        <v>0.46</v>
      </c>
      <c r="GA6" s="41">
        <f>MIN(1,MAX(VLOOKUP(($AI6-$AH6-$AG6-$AF6-$AE6-$AA6*(1+GA$3))/$AI6,'[8]Технический лист'!$A:$B,2,1),(FZ6-0.05)))</f>
        <v>0.46</v>
      </c>
      <c r="GB6" s="41">
        <f>MIN(1,MAX(VLOOKUP(($AI6-$AH6-$AG6-$AF6-$AE6-$AA6*(1+GB$3))/$AI6,'[8]Технический лист'!$A:$B,2,1),(GA6-0.05)))</f>
        <v>0.46</v>
      </c>
      <c r="GC6" s="41">
        <f>MIN(1,MAX(VLOOKUP(($AI6-$AH6-$AG6-$AF6-$AE6-$AA6*(1+GC$3))/$AI6,'[8]Технический лист'!$A:$B,2,1),(GB6-0.05)))</f>
        <v>0.46</v>
      </c>
      <c r="GD6" s="41">
        <f>MIN(1,MAX(VLOOKUP(($AI6-$AH6-$AG6-$AF6-$AE6-$AA6*(1+GD$3))/$AI6,'[8]Технический лист'!$A:$B,2,1),(GC6-0.05)))</f>
        <v>0.42499999999999999</v>
      </c>
      <c r="GE6" s="41">
        <f>MIN(1,MAX(VLOOKUP(($AI6-$AH6-$AG6-$AF6-$AE6-$AA6*(1+GE$3))/$AI6,'[8]Технический лист'!$A:$B,2,1),(GD6-0.05)))</f>
        <v>0.42499999999999999</v>
      </c>
      <c r="GF6" s="41">
        <f>MIN(1,MAX(VLOOKUP(($AI6-$AH6-$AG6-$AF6-$AE6-$AA6*(1+GF$3))/$AI6,'[8]Технический лист'!$A:$B,2,1),(GE6-0.05)))</f>
        <v>0.42499999999999999</v>
      </c>
      <c r="GG6" s="41">
        <f>MIN(1,MAX(VLOOKUP(($AI6-$AH6-$AG6-$AF6-$AE6-$AA6*(1+GG$3))/$AI6,'[8]Технический лист'!$A:$B,2,1),(GF6-0.05)))</f>
        <v>0.42499999999999999</v>
      </c>
      <c r="GH6" s="41">
        <f>MIN(1,MAX(VLOOKUP(($AI6-$AH6-$AG6-$AF6-$AE6-$AA6*(1+GH$3))/$AI6,'[8]Технический лист'!$A:$B,2,1),(GG6-0.05)))</f>
        <v>0.42499999999999999</v>
      </c>
      <c r="GI6" s="41">
        <f>MIN(1,MAX(VLOOKUP(($AI6-$AH6-$AG6-$AF6-$AE6-$AA6*(1+GI$3))/$AI6,'[8]Технический лист'!$A:$B,2,1),(GH6-0.05)))</f>
        <v>0.42499999999999999</v>
      </c>
      <c r="GJ6" s="41">
        <f>MIN(1,MAX(VLOOKUP(($AI6-$AH6-$AG6-$AF6-$AE6-$AA6*(1+GJ$3))/$AI6,'[8]Технический лист'!$A:$B,2,1),(GI6-0.05)))</f>
        <v>0.42499999999999999</v>
      </c>
      <c r="GK6" s="41">
        <f>MIN(1,MAX(VLOOKUP(($AI6-$AH6-$AG6-$AF6-$AE6-$AA6*(1+GK$3))/$AI6,'[8]Технический лист'!$A:$B,2,1),(GJ6-0.05)))</f>
        <v>0.42499999999999999</v>
      </c>
      <c r="GL6" s="41">
        <f>MIN(1,MAX(VLOOKUP(($AI6-$AH6-$AG6-$AF6-$AE6-$AA6*(1+GL$3))/$AI6,'[8]Технический лист'!$A:$B,2,1),(GK6-0.05)))</f>
        <v>0.42499999999999999</v>
      </c>
      <c r="GM6" s="41">
        <f>MIN(1,MAX(VLOOKUP(($AI6-$AH6-$AG6-$AF6-$AE6-$AA6*(1+GM$3))/$AI6,'[8]Технический лист'!$A:$B,2,1),(GL6-0.05)))</f>
        <v>0.42499999999999999</v>
      </c>
      <c r="GN6" s="41">
        <f>MIN(1,MAX(VLOOKUP(($AI6-$AH6-$AG6-$AF6-$AE6-$AA6*(1+GN$3))/$AI6,'[8]Технический лист'!$A:$B,2,1),(GM6-0.05)))</f>
        <v>0.39</v>
      </c>
    </row>
    <row r="7" spans="1:196" ht="43.75">
      <c r="A7" s="3">
        <v>6</v>
      </c>
      <c r="B7" s="15" t="s">
        <v>61</v>
      </c>
      <c r="C7" s="4" t="s">
        <v>63</v>
      </c>
      <c r="D7" s="4" t="s">
        <v>64</v>
      </c>
      <c r="E7" s="4" t="s">
        <v>65</v>
      </c>
      <c r="F7" s="4" t="s">
        <v>58</v>
      </c>
      <c r="G7" s="4" t="s">
        <v>86</v>
      </c>
      <c r="H7" s="4" t="s">
        <v>87</v>
      </c>
      <c r="I7" s="4" t="s">
        <v>88</v>
      </c>
      <c r="J7" s="4" t="s">
        <v>89</v>
      </c>
      <c r="K7" s="4" t="s">
        <v>147</v>
      </c>
      <c r="L7" s="4" t="s">
        <v>17</v>
      </c>
      <c r="M7" s="4" t="s">
        <v>166</v>
      </c>
      <c r="N7" s="4" t="s">
        <v>56</v>
      </c>
      <c r="O7" s="4" t="s">
        <v>90</v>
      </c>
      <c r="P7" s="4" t="s">
        <v>91</v>
      </c>
      <c r="Q7" s="4" t="s">
        <v>92</v>
      </c>
      <c r="R7" s="16">
        <v>43568</v>
      </c>
      <c r="S7" s="17">
        <v>240656735</v>
      </c>
      <c r="T7" s="18">
        <v>0</v>
      </c>
      <c r="U7" s="18">
        <v>1509</v>
      </c>
      <c r="V7" s="17">
        <v>185370932</v>
      </c>
      <c r="W7" s="26" t="s">
        <v>166</v>
      </c>
      <c r="X7" s="26">
        <v>68</v>
      </c>
      <c r="Y7" s="24">
        <f>362574/X7</f>
        <v>5331.9705882352937</v>
      </c>
      <c r="Z7" s="20">
        <v>0</v>
      </c>
      <c r="AA7" s="27">
        <f>Y7</f>
        <v>5331.9705882352937</v>
      </c>
      <c r="AB7" s="20">
        <v>16</v>
      </c>
      <c r="AC7" s="20">
        <v>0</v>
      </c>
      <c r="AD7" s="20">
        <v>4</v>
      </c>
      <c r="AE7" s="20">
        <f>'Ставки аренды'!$B$4*SUM(Лесные!AB7+Лесные!AC7+Лесные!AD7)/Лесные!X7</f>
        <v>470.58823529411762</v>
      </c>
      <c r="AF7" s="20">
        <v>0</v>
      </c>
      <c r="AG7" s="20"/>
      <c r="AH7" s="20">
        <f>0.74*AI7</f>
        <v>18329.23076923077</v>
      </c>
      <c r="AI7" s="20">
        <f>Цены!$C$3</f>
        <v>24769.23076923077</v>
      </c>
      <c r="AJ7" s="20"/>
      <c r="AK7" s="21"/>
      <c r="AL7" s="20"/>
      <c r="AM7" s="20"/>
      <c r="AN7" s="29">
        <f t="shared" si="0"/>
        <v>2.5735202776762882E-2</v>
      </c>
      <c r="AO7" s="20"/>
      <c r="AP7" s="20"/>
      <c r="AQ7" s="2"/>
      <c r="AR7" s="19"/>
      <c r="AS7" s="42">
        <v>0.8</v>
      </c>
      <c r="AT7" s="41">
        <f>MIN(IF($AS7=100%,1,1+VLOOKUP(($AI7-$AH7-$AG7-$AF7-$AE7-$AA7*(1+AT$3))/$AI7,'Технический лист'!$A:$B,2,1)-VLOOKUP($AN7,'Технический лист'!$A:$B,2,1)),1+(1-$AS7))</f>
        <v>1.1999999999999995</v>
      </c>
      <c r="AU7" s="41">
        <f>MIN(IF($AS7=100%,1,1+VLOOKUP(($AI7-$AH7-$AG7-$AF7-$AE7-$AA7*(1+AU$3))/$AI7,'Технический лист'!$A:$B,2,1)-VLOOKUP($AN7,'Технический лист'!$A:$B,2,1)),1+(1-$AS7))</f>
        <v>1.1999999999999995</v>
      </c>
      <c r="AV7" s="41">
        <f>MIN(IF($AS7=100%,1,1+VLOOKUP(($AI7-$AH7-$AG7-$AF7-$AE7-$AA7*(1+AV$3))/$AI7,'Технический лист'!$A:$B,2,1)-VLOOKUP($AN7,'Технический лист'!$A:$B,2,1)),1+(1-$AS7))</f>
        <v>1.1999999999999995</v>
      </c>
      <c r="AW7" s="41">
        <f>MIN(IF($AS7=100%,1,1+VLOOKUP(($AI7-$AH7-$AG7-$AF7-$AE7-$AA7*(1+AW$3))/$AI7,'Технический лист'!$A:$B,2,1)-VLOOKUP($AN7,'Технический лист'!$A:$B,2,1)),1+(1-$AS7))</f>
        <v>1.1999999999999995</v>
      </c>
      <c r="AX7" s="41">
        <f>MIN(IF($AS7=100%,1,1+VLOOKUP(($AI7-$AH7-$AG7-$AF7-$AE7-$AA7*(1+AX$3))/$AI7,'Технический лист'!$A:$B,2,1)-VLOOKUP($AN7,'Технический лист'!$A:$B,2,1)),1+(1-$AS7))</f>
        <v>1.1999999999999995</v>
      </c>
      <c r="AY7" s="41">
        <f>MIN(IF($AS7=100%,1,1+VLOOKUP(($AI7-$AH7-$AG7-$AF7-$AE7-$AA7*(1+AY$3))/$AI7,'Технический лист'!$A:$B,2,1)-VLOOKUP($AN7,'Технический лист'!$A:$B,2,1)),1+(1-$AS7))</f>
        <v>1.1749999999999996</v>
      </c>
      <c r="AZ7" s="41">
        <f>MIN(IF($AS7=100%,1,1+VLOOKUP(($AI7-$AH7-$AG7-$AF7-$AE7-$AA7*(1+AZ$3))/$AI7,'Технический лист'!$A:$B,2,1)-VLOOKUP($AN7,'Технический лист'!$A:$B,2,1)),1+(1-$AS7))</f>
        <v>1.1749999999999996</v>
      </c>
      <c r="BA7" s="41">
        <f>MIN(IF($AS7=100%,1,1+VLOOKUP(($AI7-$AH7-$AG7-$AF7-$AE7-$AA7*(1+BA$3))/$AI7,'Технический лист'!$A:$B,2,1)-VLOOKUP($AN7,'Технический лист'!$A:$B,2,1)),1+(1-$AS7))</f>
        <v>1.1749999999999996</v>
      </c>
      <c r="BB7" s="41">
        <f>MIN(IF($AS7=100%,1,1+VLOOKUP(($AI7-$AH7-$AG7-$AF7-$AE7-$AA7*(1+BB$3))/$AI7,'Технический лист'!$A:$B,2,1)-VLOOKUP($AN7,'Технический лист'!$A:$B,2,1)),1+(1-$AS7))</f>
        <v>1.1749999999999996</v>
      </c>
      <c r="BC7" s="41">
        <f>MIN(IF($AS7=100%,1,1+VLOOKUP(($AI7-$AH7-$AG7-$AF7-$AE7-$AA7*(1+BC$3))/$AI7,'Технический лист'!$A:$B,2,1)-VLOOKUP($AN7,'Технический лист'!$A:$B,2,1)),1+(1-$AS7))</f>
        <v>1.1499999999999997</v>
      </c>
      <c r="BD7" s="41">
        <f>MIN(IF($AS7=100%,1,1+VLOOKUP(($AI7-$AH7-$AG7-$AF7-$AE7-$AA7*(1+BD$3))/$AI7,'Технический лист'!$A:$B,2,1)-VLOOKUP($AN7,'Технический лист'!$A:$B,2,1)),1+(1-$AS7))</f>
        <v>1.1499999999999997</v>
      </c>
      <c r="BE7" s="41">
        <f>MIN(IF($AS7=100%,1,1+VLOOKUP(($AI7-$AH7-$AG7-$AF7-$AE7-$AA7*(1+BE$3))/$AI7,'Технический лист'!$A:$B,2,1)-VLOOKUP($AN7,'Технический лист'!$A:$B,2,1)),1+(1-$AS7))</f>
        <v>1.1499999999999997</v>
      </c>
      <c r="BF7" s="41">
        <f>MIN(IF($AS7=100%,1,1+VLOOKUP(($AI7-$AH7-$AG7-$AF7-$AE7-$AA7*(1+BF$3))/$AI7,'Технический лист'!$A:$B,2,1)-VLOOKUP($AN7,'Технический лист'!$A:$B,2,1)),1+(1-$AS7))</f>
        <v>1.1499999999999997</v>
      </c>
      <c r="BG7" s="41">
        <f>MIN(IF($AS7=100%,1,1+VLOOKUP(($AI7-$AH7-$AG7-$AF7-$AE7-$AA7*(1+BG$3))/$AI7,'Технический лист'!$A:$B,2,1)-VLOOKUP($AN7,'Технический лист'!$A:$B,2,1)),1+(1-$AS7))</f>
        <v>1.1499999999999997</v>
      </c>
      <c r="BH7" s="41">
        <f>MIN(IF($AS7=100%,1,1+VLOOKUP(($AI7-$AH7-$AG7-$AF7-$AE7-$AA7*(1+BH$3))/$AI7,'Технический лист'!$A:$B,2,1)-VLOOKUP($AN7,'Технический лист'!$A:$B,2,1)),1+(1-$AS7))</f>
        <v>1.1249999999999998</v>
      </c>
      <c r="BI7" s="41">
        <f>MIN(IF($AS7=100%,1,1+VLOOKUP(($AI7-$AH7-$AG7-$AF7-$AE7-$AA7*(1+BI$3))/$AI7,'Технический лист'!$A:$B,2,1)-VLOOKUP($AN7,'Технический лист'!$A:$B,2,1)),1+(1-$AS7))</f>
        <v>1.1249999999999998</v>
      </c>
      <c r="BJ7" s="41">
        <f>MIN(IF($AS7=100%,1,1+VLOOKUP(($AI7-$AH7-$AG7-$AF7-$AE7-$AA7*(1+BJ$3))/$AI7,'Технический лист'!$A:$B,2,1)-VLOOKUP($AN7,'Технический лист'!$A:$B,2,1)),1+(1-$AS7))</f>
        <v>1.1249999999999998</v>
      </c>
      <c r="BK7" s="41">
        <f>MIN(IF($AS7=100%,1,1+VLOOKUP(($AI7-$AH7-$AG7-$AF7-$AE7-$AA7*(1+BK$3))/$AI7,'Технический лист'!$A:$B,2,1)-VLOOKUP($AN7,'Технический лист'!$A:$B,2,1)),1+(1-$AS7))</f>
        <v>1.1249999999999998</v>
      </c>
      <c r="BL7" s="41">
        <f>MIN(IF($AS7=100%,1,1+VLOOKUP(($AI7-$AH7-$AG7-$AF7-$AE7-$AA7*(1+BL$3))/$AI7,'Технический лист'!$A:$B,2,1)-VLOOKUP($AN7,'Технический лист'!$A:$B,2,1)),1+(1-$AS7))</f>
        <v>1.1249999999999998</v>
      </c>
      <c r="BM7" s="41">
        <f>MIN(IF($AS7=100%,1,1+VLOOKUP(($AI7-$AH7-$AG7-$AF7-$AE7-$AA7*(1+BM$3))/$AI7,'Технический лист'!$A:$B,2,1)-VLOOKUP($AN7,'Технический лист'!$A:$B,2,1)),1+(1-$AS7))</f>
        <v>1.1049999999999998</v>
      </c>
      <c r="BN7" s="41">
        <f>MIN(IF($AS7=100%,1,1+VLOOKUP(($AI7-$AH7-$AG7-$AF7-$AE7-$AA7*(1+BN$3))/$AI7,'Технический лист'!$A:$B,2,1)-VLOOKUP($AN7,'Технический лист'!$A:$B,2,1)),1+(1-$AS7))</f>
        <v>1.1049999999999998</v>
      </c>
      <c r="BO7" s="41">
        <f>MIN(IF($AS7=100%,1,1+VLOOKUP(($AI7-$AH7-$AG7-$AF7-$AE7-$AA7*(1+BO$3))/$AI7,'Технический лист'!$A:$B,2,1)-VLOOKUP($AN7,'Технический лист'!$A:$B,2,1)),1+(1-$AS7))</f>
        <v>1.1049999999999998</v>
      </c>
      <c r="BP7" s="41">
        <f>MIN(IF($AS7=100%,1,1+VLOOKUP(($AI7-$AH7-$AG7-$AF7-$AE7-$AA7*(1+BP$3))/$AI7,'Технический лист'!$A:$B,2,1)-VLOOKUP($AN7,'Технический лист'!$A:$B,2,1)),1+(1-$AS7))</f>
        <v>1.1049999999999998</v>
      </c>
      <c r="BQ7" s="41">
        <f>MIN(IF($AS7=100%,1,1+VLOOKUP(($AI7-$AH7-$AG7-$AF7-$AE7-$AA7*(1+BQ$3))/$AI7,'Технический лист'!$A:$B,2,1)-VLOOKUP($AN7,'Технический лист'!$A:$B,2,1)),1+(1-$AS7))</f>
        <v>1.0849999999999997</v>
      </c>
      <c r="BR7" s="41">
        <f>MIN(IF($AS7=100%,1,1+VLOOKUP(($AI7-$AH7-$AG7-$AF7-$AE7-$AA7*(1+BR$3))/$AI7,'Технический лист'!$A:$B,2,1)-VLOOKUP($AN7,'Технический лист'!$A:$B,2,1)),1+(1-$AS7))</f>
        <v>1.0849999999999997</v>
      </c>
      <c r="BS7" s="41">
        <f>MIN(IF($AS7=100%,1,1+VLOOKUP(($AI7-$AH7-$AG7-$AF7-$AE7-$AA7*(1+BS$3))/$AI7,'Технический лист'!$A:$B,2,1)-VLOOKUP($AN7,'Технический лист'!$A:$B,2,1)),1+(1-$AS7))</f>
        <v>1.0849999999999997</v>
      </c>
      <c r="BT7" s="41">
        <f>MIN(IF($AS7=100%,1,1+VLOOKUP(($AI7-$AH7-$AG7-$AF7-$AE7-$AA7*(1+BT$3))/$AI7,'Технический лист'!$A:$B,2,1)-VLOOKUP($AN7,'Технический лист'!$A:$B,2,1)),1+(1-$AS7))</f>
        <v>1.0849999999999997</v>
      </c>
      <c r="BU7" s="41">
        <f>MIN(IF($AS7=100%,1,1+VLOOKUP(($AI7-$AH7-$AG7-$AF7-$AE7-$AA7*(1+BU$3))/$AI7,'Технический лист'!$A:$B,2,1)-VLOOKUP($AN7,'Технический лист'!$A:$B,2,1)),1+(1-$AS7))</f>
        <v>1.0849999999999997</v>
      </c>
      <c r="BV7" s="41">
        <f>MIN(IF($AS7=100%,1,1+VLOOKUP(($AI7-$AH7-$AG7-$AF7-$AE7-$AA7*(1+BV$3))/$AI7,'Технический лист'!$A:$B,2,1)-VLOOKUP($AN7,'Технический лист'!$A:$B,2,1)),1+(1-$AS7))</f>
        <v>1.0649999999999997</v>
      </c>
      <c r="BW7" s="41">
        <f>MIN(IF($AS7=100%,1,1+VLOOKUP(($AI7-$AH7-$AG7-$AF7-$AE7-$AA7*(1+BW$3))/$AI7,'Технический лист'!$A:$B,2,1)-VLOOKUP($AN7,'Технический лист'!$A:$B,2,1)),1+(1-$AS7))</f>
        <v>1.0649999999999997</v>
      </c>
      <c r="BX7" s="41">
        <f>MIN(IF($AS7=100%,1,1+VLOOKUP(($AI7-$AH7-$AG7-$AF7-$AE7-$AA7*(1+BX$3))/$AI7,'Технический лист'!$A:$B,2,1)-VLOOKUP($AN7,'Технический лист'!$A:$B,2,1)),1+(1-$AS7))</f>
        <v>1.0649999999999997</v>
      </c>
      <c r="BY7" s="41">
        <f>MIN(IF($AS7=100%,1,1+VLOOKUP(($AI7-$AH7-$AG7-$AF7-$AE7-$AA7*(1+BY$3))/$AI7,'Технический лист'!$A:$B,2,1)-VLOOKUP($AN7,'Технический лист'!$A:$B,2,1)),1+(1-$AS7))</f>
        <v>1.0649999999999997</v>
      </c>
      <c r="BZ7" s="41">
        <f>MIN(IF($AS7=100%,1,1+VLOOKUP(($AI7-$AH7-$AG7-$AF7-$AE7-$AA7*(1+BZ$3))/$AI7,'Технический лист'!$A:$B,2,1)-VLOOKUP($AN7,'Технический лист'!$A:$B,2,1)),1+(1-$AS7))</f>
        <v>1.0649999999999997</v>
      </c>
      <c r="CA7" s="41">
        <f>MIN(IF($AS7=100%,1,1+VLOOKUP(($AI7-$AH7-$AG7-$AF7-$AE7-$AA7*(1+CA$3))/$AI7,'Технический лист'!$A:$B,2,1)-VLOOKUP($AN7,'Технический лист'!$A:$B,2,1)),1+(1-$AS7))</f>
        <v>1.0450000000000002</v>
      </c>
      <c r="CB7" s="41">
        <f>MIN(IF($AS7=100%,1,1+VLOOKUP(($AI7-$AH7-$AG7-$AF7-$AE7-$AA7*(1+CB$3))/$AI7,'Технический лист'!$A:$B,2,1)-VLOOKUP($AN7,'Технический лист'!$A:$B,2,1)),1+(1-$AS7))</f>
        <v>1.0450000000000002</v>
      </c>
      <c r="CC7" s="41">
        <f>MIN(IF($AS7=100%,1,1+VLOOKUP(($AI7-$AH7-$AG7-$AF7-$AE7-$AA7*(1+CC$3))/$AI7,'Технический лист'!$A:$B,2,1)-VLOOKUP($AN7,'Технический лист'!$A:$B,2,1)),1+(1-$AS7))</f>
        <v>1.0450000000000002</v>
      </c>
      <c r="CD7" s="41">
        <f>MIN(IF($AS7=100%,1,1+VLOOKUP(($AI7-$AH7-$AG7-$AF7-$AE7-$AA7*(1+CD$3))/$AI7,'Технический лист'!$A:$B,2,1)-VLOOKUP($AN7,'Технический лист'!$A:$B,2,1)),1+(1-$AS7))</f>
        <v>1.0450000000000002</v>
      </c>
      <c r="CE7" s="41">
        <f>MIN(IF($AS7=100%,1,1+VLOOKUP(($AI7-$AH7-$AG7-$AF7-$AE7-$AA7*(1+CE$3))/$AI7,'Технический лист'!$A:$B,2,1)-VLOOKUP($AN7,'Технический лист'!$A:$B,2,1)),1+(1-$AS7))</f>
        <v>1.03</v>
      </c>
      <c r="CF7" s="41">
        <f>MIN(IF($AS7=100%,1,1+VLOOKUP(($AI7-$AH7-$AG7-$AF7-$AE7-$AA7*(1+CF$3))/$AI7,'Технический лист'!$A:$B,2,1)-VLOOKUP($AN7,'Технический лист'!$A:$B,2,1)),1+(1-$AS7))</f>
        <v>1.03</v>
      </c>
      <c r="CG7" s="41">
        <f>MIN(IF($AS7=100%,1,1+VLOOKUP(($AI7-$AH7-$AG7-$AF7-$AE7-$AA7*(1+CG$3))/$AI7,'Технический лист'!$A:$B,2,1)-VLOOKUP($AN7,'Технический лист'!$A:$B,2,1)),1+(1-$AS7))</f>
        <v>1.03</v>
      </c>
      <c r="CH7" s="41">
        <f>MIN(IF($AS7=100%,1,1+VLOOKUP(($AI7-$AH7-$AG7-$AF7-$AE7-$AA7*(1+CH$3))/$AI7,'Технический лист'!$A:$B,2,1)-VLOOKUP($AN7,'Технический лист'!$A:$B,2,1)),1+(1-$AS7))</f>
        <v>1.03</v>
      </c>
      <c r="CI7" s="41">
        <f>MIN(IF($AS7=100%,1,1+VLOOKUP(($AI7-$AH7-$AG7-$AF7-$AE7-$AA7*(1+CI$3))/$AI7,'Технический лист'!$A:$B,2,1)-VLOOKUP($AN7,'Технический лист'!$A:$B,2,1)),1+(1-$AS7))</f>
        <v>1.03</v>
      </c>
      <c r="CJ7" s="41">
        <f>MIN(IF($AS7=100%,1,1+VLOOKUP(($AI7-$AH7-$AG7-$AF7-$AE7-$AA7*(1+CJ$3))/$AI7,'Технический лист'!$A:$B,2,1)-VLOOKUP($AN7,'Технический лист'!$A:$B,2,1)),1+(1-$AS7))</f>
        <v>1.0149999999999999</v>
      </c>
      <c r="CK7" s="41">
        <f>MIN(IF($AS7=100%,1,1+VLOOKUP(($AI7-$AH7-$AG7-$AF7-$AE7-$AA7*(1+CK$3))/$AI7,'Технический лист'!$A:$B,2,1)-VLOOKUP($AN7,'Технический лист'!$A:$B,2,1)),1+(1-$AS7))</f>
        <v>1.0149999999999999</v>
      </c>
      <c r="CL7" s="41">
        <f>MIN(IF($AS7=100%,1,1+VLOOKUP(($AI7-$AH7-$AG7-$AF7-$AE7-$AA7*(1+CL$3))/$AI7,'Технический лист'!$A:$B,2,1)-VLOOKUP($AN7,'Технический лист'!$A:$B,2,1)),1+(1-$AS7))</f>
        <v>1.0149999999999999</v>
      </c>
      <c r="CM7" s="41">
        <f>MIN(IF($AS7=100%,1,1+VLOOKUP(($AI7-$AH7-$AG7-$AF7-$AE7-$AA7*(1+CM$3))/$AI7,'Технический лист'!$A:$B,2,1)-VLOOKUP($AN7,'Технический лист'!$A:$B,2,1)),1+(1-$AS7))</f>
        <v>1.0149999999999999</v>
      </c>
      <c r="CN7" s="41">
        <f>MIN(IF($AS7=100%,1,1+VLOOKUP(($AI7-$AH7-$AG7-$AF7-$AE7-$AA7*(1+CN$3))/$AI7,'Технический лист'!$A:$B,2,1)-VLOOKUP($AN7,'Технический лист'!$A:$B,2,1)),1+(1-$AS7))</f>
        <v>1.0149999999999999</v>
      </c>
      <c r="CO7" s="41">
        <f>MIN(IF($AS7=100%,1,1+VLOOKUP(($AI7-$AH7-$AG7-$AF7-$AE7-$AA7*(1+CO$3))/$AI7,'Технический лист'!$A:$B,2,1)-VLOOKUP($AN7,'Технический лист'!$A:$B,2,1)),1+(1-$AS7))</f>
        <v>1.0000000000000002</v>
      </c>
      <c r="CP7" s="41">
        <f>MIN(IF($AS7=100%,1,1+VLOOKUP(($AI7-$AH7-$AG7-$AF7-$AE7-$AA7*(1+CP$3))/$AI7,'Технический лист'!$A:$B,2,1)-VLOOKUP($AN7,'Технический лист'!$A:$B,2,1)),1+(1-$AS7))</f>
        <v>1.0000000000000002</v>
      </c>
      <c r="CQ7" s="41">
        <f>MIN(IF($AS7=100%,1,1+VLOOKUP(($AI7-$AH7-$AG7-$AF7-$AE7-$AA7*(1+CQ$3))/$AI7,'Технический лист'!$A:$B,2,1)-VLOOKUP($AN7,'Технический лист'!$A:$B,2,1)),1+(1-$AS7))</f>
        <v>1.0000000000000002</v>
      </c>
      <c r="CR7">
        <v>1</v>
      </c>
      <c r="CS7" s="41">
        <f>MIN(1,MAX(VLOOKUP(($AI7-$AH7-$AG7-$AF7-$AE7-$AA7*(1+CS$3))/$AI7,'[8]Технический лист'!$A:$B,2,1),(CR7-0.05)))</f>
        <v>1</v>
      </c>
      <c r="CT7" s="41">
        <f>MIN(1,MAX(VLOOKUP(($AI7-$AH7-$AG7-$AF7-$AE7-$AA7*(1+CT$3))/$AI7,'[8]Технический лист'!$A:$B,2,1),(CS7-0.05)))</f>
        <v>1</v>
      </c>
      <c r="CU7" s="41">
        <f>MIN(1,MAX(VLOOKUP(($AI7-$AH7-$AG7-$AF7-$AE7-$AA7*(1+CU$3))/$AI7,'[8]Технический лист'!$A:$B,2,1),(CT7-0.05)))</f>
        <v>1</v>
      </c>
      <c r="CV7" s="41">
        <f>MIN(1,MAX(VLOOKUP(($AI7-$AH7-$AG7-$AF7-$AE7-$AA7*(1+CV$3))/$AI7,'[8]Технический лист'!$A:$B,2,1),(CU7-0.05)))</f>
        <v>1</v>
      </c>
      <c r="CW7" s="41">
        <f>MIN(1,MAX(VLOOKUP(($AI7-$AH7-$AG7-$AF7-$AE7-$AA7*(1+CW$3))/$AI7,'[8]Технический лист'!$A:$B,2,1),(CV7-0.05)))</f>
        <v>1</v>
      </c>
      <c r="CX7" s="41">
        <f>MIN(1,MAX(VLOOKUP(($AI7-$AH7-$AG7-$AF7-$AE7-$AA7*(1+CX$3))/$AI7,'[8]Технический лист'!$A:$B,2,1),(CW7-0.05)))</f>
        <v>1</v>
      </c>
      <c r="CY7" s="41">
        <f>MIN(1,MAX(VLOOKUP(($AI7-$AH7-$AG7-$AF7-$AE7-$AA7*(1+CY$3))/$AI7,'[8]Технический лист'!$A:$B,2,1),(CX7-0.05)))</f>
        <v>1</v>
      </c>
      <c r="CZ7" s="41">
        <f>MIN(1,MAX(VLOOKUP(($AI7-$AH7-$AG7-$AF7-$AE7-$AA7*(1+CZ$3))/$AI7,'[8]Технический лист'!$A:$B,2,1),(CY7-0.05)))</f>
        <v>1</v>
      </c>
      <c r="DA7" s="41">
        <f>MIN(1,MAX(VLOOKUP(($AI7-$AH7-$AG7-$AF7-$AE7-$AA7*(1+DA$3))/$AI7,'[8]Технический лист'!$A:$B,2,1),(CZ7-0.05)))</f>
        <v>1</v>
      </c>
      <c r="DB7" s="41">
        <f>MIN(1,MAX(VLOOKUP(($AI7-$AH7-$AG7-$AF7-$AE7-$AA7*(1+DB$3))/$AI7,'[8]Технический лист'!$A:$B,2,1),(DA7-0.05)))</f>
        <v>1</v>
      </c>
      <c r="DC7" s="41">
        <f>MIN(1,MAX(VLOOKUP(($AI7-$AH7-$AG7-$AF7-$AE7-$AA7*(1+DC$3))/$AI7,'[8]Технический лист'!$A:$B,2,1),(DB7-0.05)))</f>
        <v>1</v>
      </c>
      <c r="DD7" s="41">
        <f>MIN(1,MAX(VLOOKUP(($AI7-$AH7-$AG7-$AF7-$AE7-$AA7*(1+DD$3))/$AI7,'[8]Технический лист'!$A:$B,2,1),(DC7-0.05)))</f>
        <v>1</v>
      </c>
      <c r="DE7" s="41">
        <f>MIN(1,MAX(VLOOKUP(($AI7-$AH7-$AG7-$AF7-$AE7-$AA7*(1+DE$3))/$AI7,'[8]Технический лист'!$A:$B,2,1),(DD7-0.05)))</f>
        <v>1</v>
      </c>
      <c r="DF7" s="41">
        <f>MIN(1,MAX(VLOOKUP(($AI7-$AH7-$AG7-$AF7-$AE7-$AA7*(1+DF$3))/$AI7,'[8]Технический лист'!$A:$B,2,1),(DE7-0.05)))</f>
        <v>1</v>
      </c>
      <c r="DG7" s="41">
        <f>MIN(1,MAX(VLOOKUP(($AI7-$AH7-$AG7-$AF7-$AE7-$AA7*(1+DG$3))/$AI7,'[8]Технический лист'!$A:$B,2,1),(DF7-0.05)))</f>
        <v>1</v>
      </c>
      <c r="DH7" s="41">
        <f>MIN(1,MAX(VLOOKUP(($AI7-$AH7-$AG7-$AF7-$AE7-$AA7*(1+DH$3))/$AI7,'[8]Технический лист'!$A:$B,2,1),(DG7-0.05)))</f>
        <v>1</v>
      </c>
      <c r="DI7" s="41">
        <f>MIN(1,MAX(VLOOKUP(($AI7-$AH7-$AG7-$AF7-$AE7-$AA7*(1+DI$3))/$AI7,'[8]Технический лист'!$A:$B,2,1),(DH7-0.05)))</f>
        <v>1</v>
      </c>
      <c r="DJ7" s="41">
        <f>MIN(1,MAX(VLOOKUP(($AI7-$AH7-$AG7-$AF7-$AE7-$AA7*(1+DJ$3))/$AI7,'[8]Технический лист'!$A:$B,2,1),(DI7-0.05)))</f>
        <v>1</v>
      </c>
      <c r="DK7" s="41">
        <f>MIN(1,MAX(VLOOKUP(($AI7-$AH7-$AG7-$AF7-$AE7-$AA7*(1+DK$3))/$AI7,'[8]Технический лист'!$A:$B,2,1),(DJ7-0.05)))</f>
        <v>1</v>
      </c>
      <c r="DL7" s="41">
        <f>MIN(1,MAX(VLOOKUP(($AI7-$AH7-$AG7-$AF7-$AE7-$AA7*(1+DL$3))/$AI7,'[8]Технический лист'!$A:$B,2,1),(DK7-0.05)))</f>
        <v>1</v>
      </c>
      <c r="DM7" s="41">
        <f>MIN(1,MAX(VLOOKUP(($AI7-$AH7-$AG7-$AF7-$AE7-$AA7*(1+DM$3))/$AI7,'[8]Технический лист'!$A:$B,2,1),(DL7-0.05)))</f>
        <v>1</v>
      </c>
      <c r="DN7" s="41">
        <f>MIN(1,MAX(VLOOKUP(($AI7-$AH7-$AG7-$AF7-$AE7-$AA7*(1+DN$3))/$AI7,'[8]Технический лист'!$A:$B,2,1),(DM7-0.05)))</f>
        <v>1</v>
      </c>
      <c r="DO7" s="41">
        <f>MIN(1,MAX(VLOOKUP(($AI7-$AH7-$AG7-$AF7-$AE7-$AA7*(1+DO$3))/$AI7,'[8]Технический лист'!$A:$B,2,1),(DN7-0.05)))</f>
        <v>1</v>
      </c>
      <c r="DP7" s="41">
        <f>MIN(1,MAX(VLOOKUP(($AI7-$AH7-$AG7-$AF7-$AE7-$AA7*(1+DP$3))/$AI7,'[8]Технический лист'!$A:$B,2,1),(DO7-0.05)))</f>
        <v>1</v>
      </c>
      <c r="DQ7" s="41">
        <f>MIN(1,MAX(VLOOKUP(($AI7-$AH7-$AG7-$AF7-$AE7-$AA7*(1+DQ$3))/$AI7,'[8]Технический лист'!$A:$B,2,1),(DP7-0.05)))</f>
        <v>1</v>
      </c>
      <c r="DR7" s="41">
        <f>MIN(1,MAX(VLOOKUP(($AI7-$AH7-$AG7-$AF7-$AE7-$AA7*(1+DR$3))/$AI7,'[8]Технический лист'!$A:$B,2,1),(DQ7-0.05)))</f>
        <v>1</v>
      </c>
      <c r="DS7" s="41">
        <f>MIN(1,MAX(VLOOKUP(($AI7-$AH7-$AG7-$AF7-$AE7-$AA7*(1+DS$3))/$AI7,'[8]Технический лист'!$A:$B,2,1),(DR7-0.05)))</f>
        <v>1</v>
      </c>
      <c r="DT7" s="41">
        <f>MIN(1,MAX(VLOOKUP(($AI7-$AH7-$AG7-$AF7-$AE7-$AA7*(1+DT$3))/$AI7,'[8]Технический лист'!$A:$B,2,1),(DS7-0.05)))</f>
        <v>1</v>
      </c>
      <c r="DU7" s="41">
        <f>MIN(1,MAX(VLOOKUP(($AI7-$AH7-$AG7-$AF7-$AE7-$AA7*(1+DU$3))/$AI7,'[8]Технический лист'!$A:$B,2,1),(DT7-0.05)))</f>
        <v>1</v>
      </c>
      <c r="DV7" s="41">
        <f>MIN(1,MAX(VLOOKUP(($AI7-$AH7-$AG7-$AF7-$AE7-$AA7*(1+DV$3))/$AI7,'[8]Технический лист'!$A:$B,2,1),(DU7-0.05)))</f>
        <v>1</v>
      </c>
      <c r="DW7" s="41">
        <f>MIN(1,MAX(VLOOKUP(($AI7-$AH7-$AG7-$AF7-$AE7-$AA7*(1+DW$3))/$AI7,'[8]Технический лист'!$A:$B,2,1),(DV7-0.05)))</f>
        <v>1</v>
      </c>
      <c r="DX7" s="41">
        <f>MIN(1,MAX(VLOOKUP(($AI7-$AH7-$AG7-$AF7-$AE7-$AA7*(1+DX$3))/$AI7,'[8]Технический лист'!$A:$B,2,1),(DW7-0.05)))</f>
        <v>1</v>
      </c>
      <c r="DY7" s="41">
        <f>MIN(1,MAX(VLOOKUP(($AI7-$AH7-$AG7-$AF7-$AE7-$AA7*(1+DY$3))/$AI7,'[8]Технический лист'!$A:$B,2,1),(DX7-0.05)))</f>
        <v>1</v>
      </c>
      <c r="DZ7" s="41">
        <f>MIN(1,MAX(VLOOKUP(($AI7-$AH7-$AG7-$AF7-$AE7-$AA7*(1+DZ$3))/$AI7,'[8]Технический лист'!$A:$B,2,1),(DY7-0.05)))</f>
        <v>0.995</v>
      </c>
      <c r="EA7" s="41">
        <f>MIN(1,MAX(VLOOKUP(($AI7-$AH7-$AG7-$AF7-$AE7-$AA7*(1+EA$3))/$AI7,'[8]Технический лист'!$A:$B,2,1),(DZ7-0.05)))</f>
        <v>0.995</v>
      </c>
      <c r="EB7" s="41">
        <f>MIN(1,MAX(VLOOKUP(($AI7-$AH7-$AG7-$AF7-$AE7-$AA7*(1+EB$3))/$AI7,'[8]Технический лист'!$A:$B,2,1),(EA7-0.05)))</f>
        <v>0.995</v>
      </c>
      <c r="EC7" s="41">
        <f>MIN(1,MAX(VLOOKUP(($AI7-$AH7-$AG7-$AF7-$AE7-$AA7*(1+EC$3))/$AI7,'[8]Технический лист'!$A:$B,2,1),(EB7-0.05)))</f>
        <v>0.995</v>
      </c>
      <c r="ED7" s="41">
        <f>MIN(1,MAX(VLOOKUP(($AI7-$AH7-$AG7-$AF7-$AE7-$AA7*(1+ED$3))/$AI7,'[8]Технический лист'!$A:$B,2,1),(EC7-0.05)))</f>
        <v>0.99</v>
      </c>
      <c r="EE7" s="41">
        <f>MIN(1,MAX(VLOOKUP(($AI7-$AH7-$AG7-$AF7-$AE7-$AA7*(1+EE$3))/$AI7,'[8]Технический лист'!$A:$B,2,1),(ED7-0.05)))</f>
        <v>0.99</v>
      </c>
      <c r="EF7" s="41">
        <f>MIN(1,MAX(VLOOKUP(($AI7-$AH7-$AG7-$AF7-$AE7-$AA7*(1+EF$3))/$AI7,'[8]Технический лист'!$A:$B,2,1),(EE7-0.05)))</f>
        <v>0.99</v>
      </c>
      <c r="EG7" s="41">
        <f>MIN(1,MAX(VLOOKUP(($AI7-$AH7-$AG7-$AF7-$AE7-$AA7*(1+EG$3))/$AI7,'[8]Технический лист'!$A:$B,2,1),(EF7-0.05)))</f>
        <v>0.99</v>
      </c>
      <c r="EH7" s="41">
        <f>MIN(1,MAX(VLOOKUP(($AI7-$AH7-$AG7-$AF7-$AE7-$AA7*(1+EH$3))/$AI7,'[8]Технический лист'!$A:$B,2,1),(EG7-0.05)))</f>
        <v>0.99</v>
      </c>
      <c r="EI7" s="41">
        <f>MIN(1,MAX(VLOOKUP(($AI7-$AH7-$AG7-$AF7-$AE7-$AA7*(1+EI$3))/$AI7,'[8]Технический лист'!$A:$B,2,1),(EH7-0.05)))</f>
        <v>0.98499999999999999</v>
      </c>
      <c r="EJ7" s="41">
        <f>MIN(1,MAX(VLOOKUP(($AI7-$AH7-$AG7-$AF7-$AE7-$AA7*(1+EJ$3))/$AI7,'[8]Технический лист'!$A:$B,2,1),(EI7-0.05)))</f>
        <v>0.98499999999999999</v>
      </c>
      <c r="EK7" s="41">
        <f>MIN(1,MAX(VLOOKUP(($AI7-$AH7-$AG7-$AF7-$AE7-$AA7*(1+EK$3))/$AI7,'[8]Технический лист'!$A:$B,2,1),(EJ7-0.05)))</f>
        <v>0.98499999999999999</v>
      </c>
      <c r="EL7" s="41">
        <f>MIN(1,MAX(VLOOKUP(($AI7-$AH7-$AG7-$AF7-$AE7-$AA7*(1+EL$3))/$AI7,'[8]Технический лист'!$A:$B,2,1),(EK7-0.05)))</f>
        <v>0.98499999999999999</v>
      </c>
      <c r="EM7" s="41">
        <f>MIN(1,MAX(VLOOKUP(($AI7-$AH7-$AG7-$AF7-$AE7-$AA7*(1+EM$3))/$AI7,'[8]Технический лист'!$A:$B,2,1),(EL7-0.05)))</f>
        <v>0.98499999999999999</v>
      </c>
      <c r="EN7" s="41">
        <f>MIN(1,MAX(VLOOKUP(($AI7-$AH7-$AG7-$AF7-$AE7-$AA7*(1+EN$3))/$AI7,'[8]Технический лист'!$A:$B,2,1),(EM7-0.05)))</f>
        <v>0.98</v>
      </c>
      <c r="EO7" s="41">
        <f>MIN(1,MAX(VLOOKUP(($AI7-$AH7-$AG7-$AF7-$AE7-$AA7*(1+EO$3))/$AI7,'[8]Технический лист'!$A:$B,2,1),(EN7-0.05)))</f>
        <v>0.98</v>
      </c>
      <c r="EP7" s="41">
        <f>MIN(1,MAX(VLOOKUP(($AI7-$AH7-$AG7-$AF7-$AE7-$AA7*(1+EP$3))/$AI7,'[8]Технический лист'!$A:$B,2,1),(EO7-0.05)))</f>
        <v>0.98</v>
      </c>
      <c r="EQ7" s="41">
        <f>MIN(1,MAX(VLOOKUP(($AI7-$AH7-$AG7-$AF7-$AE7-$AA7*(1+EQ$3))/$AI7,'[8]Технический лист'!$A:$B,2,1),(EP7-0.05)))</f>
        <v>0.98</v>
      </c>
      <c r="ER7" s="41">
        <f>MIN(1,MAX(VLOOKUP(($AI7-$AH7-$AG7-$AF7-$AE7-$AA7*(1+ER$3))/$AI7,'[8]Технический лист'!$A:$B,2,1),(EQ7-0.05)))</f>
        <v>0.97499999999999998</v>
      </c>
      <c r="ES7" s="41">
        <f>MIN(1,MAX(VLOOKUP(($AI7-$AH7-$AG7-$AF7-$AE7-$AA7*(1+ES$3))/$AI7,'[8]Технический лист'!$A:$B,2,1),(ER7-0.05)))</f>
        <v>0.97499999999999998</v>
      </c>
      <c r="ET7" s="41">
        <f>MIN(1,MAX(VLOOKUP(($AI7-$AH7-$AG7-$AF7-$AE7-$AA7*(1+ET$3))/$AI7,'[8]Технический лист'!$A:$B,2,1),(ES7-0.05)))</f>
        <v>0.97499999999999998</v>
      </c>
      <c r="EU7" s="41">
        <f>MIN(1,MAX(VLOOKUP(($AI7-$AH7-$AG7-$AF7-$AE7-$AA7*(1+EU$3))/$AI7,'[8]Технический лист'!$A:$B,2,1),(ET7-0.05)))</f>
        <v>0.97499999999999998</v>
      </c>
      <c r="EV7" s="41">
        <f>MIN(1,MAX(VLOOKUP(($AI7-$AH7-$AG7-$AF7-$AE7-$AA7*(1+EV$3))/$AI7,'[8]Технический лист'!$A:$B,2,1),(EU7-0.05)))</f>
        <v>0.97499999999999998</v>
      </c>
      <c r="EW7" s="41">
        <f>MIN(1,MAX(VLOOKUP(($AI7-$AH7-$AG7-$AF7-$AE7-$AA7*(1+EW$3))/$AI7,'[8]Технический лист'!$A:$B,2,1),(EV7-0.05)))</f>
        <v>0.97</v>
      </c>
      <c r="EX7" s="41">
        <f>MIN(1,MAX(VLOOKUP(($AI7-$AH7-$AG7-$AF7-$AE7-$AA7*(1+EX$3))/$AI7,'[8]Технический лист'!$A:$B,2,1),(EW7-0.05)))</f>
        <v>0.97</v>
      </c>
      <c r="EY7" s="41">
        <f>MIN(1,MAX(VLOOKUP(($AI7-$AH7-$AG7-$AF7-$AE7-$AA7*(1+EY$3))/$AI7,'[8]Технический лист'!$A:$B,2,1),(EX7-0.05)))</f>
        <v>0.97</v>
      </c>
      <c r="EZ7" s="41">
        <f>MIN(1,MAX(VLOOKUP(($AI7-$AH7-$AG7-$AF7-$AE7-$AA7*(1+EZ$3))/$AI7,'[8]Технический лист'!$A:$B,2,1),(EY7-0.05)))</f>
        <v>0.97</v>
      </c>
      <c r="FA7" s="41">
        <f>MIN(1,MAX(VLOOKUP(($AI7-$AH7-$AG7-$AF7-$AE7-$AA7*(1+FA$3))/$AI7,'[8]Технический лист'!$A:$B,2,1),(EZ7-0.05)))</f>
        <v>0.97</v>
      </c>
      <c r="FB7" s="41">
        <f>MIN(1,MAX(VLOOKUP(($AI7-$AH7-$AG7-$AF7-$AE7-$AA7*(1+FB$3))/$AI7,'[8]Технический лист'!$A:$B,2,1),(FA7-0.05)))</f>
        <v>0.96499999999999997</v>
      </c>
      <c r="FC7" s="41">
        <f>MIN(1,MAX(VLOOKUP(($AI7-$AH7-$AG7-$AF7-$AE7-$AA7*(1+FC$3))/$AI7,'[8]Технический лист'!$A:$B,2,1),(FB7-0.05)))</f>
        <v>0.96499999999999997</v>
      </c>
      <c r="FD7" s="41">
        <f>MIN(1,MAX(VLOOKUP(($AI7-$AH7-$AG7-$AF7-$AE7-$AA7*(1+FD$3))/$AI7,'[8]Технический лист'!$A:$B,2,1),(FC7-0.05)))</f>
        <v>0.96499999999999997</v>
      </c>
      <c r="FE7" s="41">
        <f>MIN(1,MAX(VLOOKUP(($AI7-$AH7-$AG7-$AF7-$AE7-$AA7*(1+FE$3))/$AI7,'[8]Технический лист'!$A:$B,2,1),(FD7-0.05)))</f>
        <v>0.96499999999999997</v>
      </c>
      <c r="FF7" s="41">
        <f>MIN(1,MAX(VLOOKUP(($AI7-$AH7-$AG7-$AF7-$AE7-$AA7*(1+FF$3))/$AI7,'[8]Технический лист'!$A:$B,2,1),(FE7-0.05)))</f>
        <v>0.96</v>
      </c>
      <c r="FG7" s="41">
        <f>MIN(1,MAX(VLOOKUP(($AI7-$AH7-$AG7-$AF7-$AE7-$AA7*(1+FG$3))/$AI7,'[8]Технический лист'!$A:$B,2,1),(FF7-0.05)))</f>
        <v>0.96</v>
      </c>
      <c r="FH7" s="41">
        <f>MIN(1,MAX(VLOOKUP(($AI7-$AH7-$AG7-$AF7-$AE7-$AA7*(1+FH$3))/$AI7,'[8]Технический лист'!$A:$B,2,1),(FG7-0.05)))</f>
        <v>0.96</v>
      </c>
      <c r="FI7" s="41">
        <f>MIN(1,MAX(VLOOKUP(($AI7-$AH7-$AG7-$AF7-$AE7-$AA7*(1+FI$3))/$AI7,'[8]Технический лист'!$A:$B,2,1),(FH7-0.05)))</f>
        <v>0.96</v>
      </c>
      <c r="FJ7" s="41">
        <f>MIN(1,MAX(VLOOKUP(($AI7-$AH7-$AG7-$AF7-$AE7-$AA7*(1+FJ$3))/$AI7,'[8]Технический лист'!$A:$B,2,1),(FI7-0.05)))</f>
        <v>0.96</v>
      </c>
      <c r="FK7" s="41">
        <f>MIN(1,MAX(VLOOKUP(($AI7-$AH7-$AG7-$AF7-$AE7-$AA7*(1+FK$3))/$AI7,'[8]Технический лист'!$A:$B,2,1),(FJ7-0.05)))</f>
        <v>0.95</v>
      </c>
      <c r="FL7" s="41">
        <f>MIN(1,MAX(VLOOKUP(($AI7-$AH7-$AG7-$AF7-$AE7-$AA7*(1+FL$3))/$AI7,'[8]Технический лист'!$A:$B,2,1),(FK7-0.05)))</f>
        <v>0.95</v>
      </c>
      <c r="FM7" s="41">
        <f>MIN(1,MAX(VLOOKUP(($AI7-$AH7-$AG7-$AF7-$AE7-$AA7*(1+FM$3))/$AI7,'[8]Технический лист'!$A:$B,2,1),(FL7-0.05)))</f>
        <v>0.95</v>
      </c>
      <c r="FN7" s="41">
        <f>MIN(1,MAX(VLOOKUP(($AI7-$AH7-$AG7-$AF7-$AE7-$AA7*(1+FN$3))/$AI7,'[8]Технический лист'!$A:$B,2,1),(FM7-0.05)))</f>
        <v>0.95</v>
      </c>
      <c r="FO7" s="41">
        <f>MIN(1,MAX(VLOOKUP(($AI7-$AH7-$AG7-$AF7-$AE7-$AA7*(1+FO$3))/$AI7,'[8]Технический лист'!$A:$B,2,1),(FN7-0.05)))</f>
        <v>0.95</v>
      </c>
      <c r="FP7" s="41">
        <f>MIN(1,MAX(VLOOKUP(($AI7-$AH7-$AG7-$AF7-$AE7-$AA7*(1+FP$3))/$AI7,'[8]Технический лист'!$A:$B,2,1),(FO7-0.05)))</f>
        <v>0.94</v>
      </c>
      <c r="FQ7" s="41">
        <f>MIN(1,MAX(VLOOKUP(($AI7-$AH7-$AG7-$AF7-$AE7-$AA7*(1+FQ$3))/$AI7,'[8]Технический лист'!$A:$B,2,1),(FP7-0.05)))</f>
        <v>0.94</v>
      </c>
      <c r="FR7" s="41">
        <f>MIN(1,MAX(VLOOKUP(($AI7-$AH7-$AG7-$AF7-$AE7-$AA7*(1+FR$3))/$AI7,'[8]Технический лист'!$A:$B,2,1),(FQ7-0.05)))</f>
        <v>0.94</v>
      </c>
      <c r="FS7" s="41">
        <f>MIN(1,MAX(VLOOKUP(($AI7-$AH7-$AG7-$AF7-$AE7-$AA7*(1+FS$3))/$AI7,'[8]Технический лист'!$A:$B,2,1),(FR7-0.05)))</f>
        <v>0.94</v>
      </c>
      <c r="FT7" s="41">
        <f>MIN(1,MAX(VLOOKUP(($AI7-$AH7-$AG7-$AF7-$AE7-$AA7*(1+FT$3))/$AI7,'[8]Технический лист'!$A:$B,2,1),(FS7-0.05)))</f>
        <v>0.93</v>
      </c>
      <c r="FU7" s="41">
        <f>MIN(1,MAX(VLOOKUP(($AI7-$AH7-$AG7-$AF7-$AE7-$AA7*(1+FU$3))/$AI7,'[8]Технический лист'!$A:$B,2,1),(FT7-0.05)))</f>
        <v>0.93</v>
      </c>
      <c r="FV7" s="41">
        <f>MIN(1,MAX(VLOOKUP(($AI7-$AH7-$AG7-$AF7-$AE7-$AA7*(1+FV$3))/$AI7,'[8]Технический лист'!$A:$B,2,1),(FU7-0.05)))</f>
        <v>0.93</v>
      </c>
      <c r="FW7" s="41">
        <f>MIN(1,MAX(VLOOKUP(($AI7-$AH7-$AG7-$AF7-$AE7-$AA7*(1+FW$3))/$AI7,'[8]Технический лист'!$A:$B,2,1),(FV7-0.05)))</f>
        <v>0.93</v>
      </c>
      <c r="FX7" s="41">
        <f>MIN(1,MAX(VLOOKUP(($AI7-$AH7-$AG7-$AF7-$AE7-$AA7*(1+FX$3))/$AI7,'[8]Технический лист'!$A:$B,2,1),(FW7-0.05)))</f>
        <v>0.93</v>
      </c>
      <c r="FY7" s="41">
        <f>MIN(1,MAX(VLOOKUP(($AI7-$AH7-$AG7-$AF7-$AE7-$AA7*(1+FY$3))/$AI7,'[8]Технический лист'!$A:$B,2,1),(FX7-0.05)))</f>
        <v>0.92</v>
      </c>
      <c r="FZ7" s="41">
        <f>MIN(1,MAX(VLOOKUP(($AI7-$AH7-$AG7-$AF7-$AE7-$AA7*(1+FZ$3))/$AI7,'[8]Технический лист'!$A:$B,2,1),(FY7-0.05)))</f>
        <v>0.92</v>
      </c>
      <c r="GA7" s="41">
        <f>MIN(1,MAX(VLOOKUP(($AI7-$AH7-$AG7-$AF7-$AE7-$AA7*(1+GA$3))/$AI7,'[8]Технический лист'!$A:$B,2,1),(FZ7-0.05)))</f>
        <v>0.92</v>
      </c>
      <c r="GB7" s="41">
        <f>MIN(1,MAX(VLOOKUP(($AI7-$AH7-$AG7-$AF7-$AE7-$AA7*(1+GB$3))/$AI7,'[8]Технический лист'!$A:$B,2,1),(GA7-0.05)))</f>
        <v>0.92</v>
      </c>
      <c r="GC7" s="41">
        <f>MIN(1,MAX(VLOOKUP(($AI7-$AH7-$AG7-$AF7-$AE7-$AA7*(1+GC$3))/$AI7,'[8]Технический лист'!$A:$B,2,1),(GB7-0.05)))</f>
        <v>0.91</v>
      </c>
      <c r="GD7" s="41">
        <f>MIN(1,MAX(VLOOKUP(($AI7-$AH7-$AG7-$AF7-$AE7-$AA7*(1+GD$3))/$AI7,'[8]Технический лист'!$A:$B,2,1),(GC7-0.05)))</f>
        <v>0.91</v>
      </c>
      <c r="GE7" s="41">
        <f>MIN(1,MAX(VLOOKUP(($AI7-$AH7-$AG7-$AF7-$AE7-$AA7*(1+GE$3))/$AI7,'[8]Технический лист'!$A:$B,2,1),(GD7-0.05)))</f>
        <v>0.91</v>
      </c>
      <c r="GF7" s="41">
        <f>MIN(1,MAX(VLOOKUP(($AI7-$AH7-$AG7-$AF7-$AE7-$AA7*(1+GF$3))/$AI7,'[8]Технический лист'!$A:$B,2,1),(GE7-0.05)))</f>
        <v>0.91</v>
      </c>
      <c r="GG7" s="41">
        <f>MIN(1,MAX(VLOOKUP(($AI7-$AH7-$AG7-$AF7-$AE7-$AA7*(1+GG$3))/$AI7,'[8]Технический лист'!$A:$B,2,1),(GF7-0.05)))</f>
        <v>0.91</v>
      </c>
      <c r="GH7" s="41">
        <f>MIN(1,MAX(VLOOKUP(($AI7-$AH7-$AG7-$AF7-$AE7-$AA7*(1+GH$3))/$AI7,'[8]Технический лист'!$A:$B,2,1),(GG7-0.05)))</f>
        <v>0.9</v>
      </c>
      <c r="GI7" s="41">
        <f>MIN(1,MAX(VLOOKUP(($AI7-$AH7-$AG7-$AF7-$AE7-$AA7*(1+GI$3))/$AI7,'[8]Технический лист'!$A:$B,2,1),(GH7-0.05)))</f>
        <v>0.9</v>
      </c>
      <c r="GJ7" s="41">
        <f>MIN(1,MAX(VLOOKUP(($AI7-$AH7-$AG7-$AF7-$AE7-$AA7*(1+GJ$3))/$AI7,'[8]Технический лист'!$A:$B,2,1),(GI7-0.05)))</f>
        <v>0.9</v>
      </c>
      <c r="GK7" s="41">
        <f>MIN(1,MAX(VLOOKUP(($AI7-$AH7-$AG7-$AF7-$AE7-$AA7*(1+GK$3))/$AI7,'[8]Технический лист'!$A:$B,2,1),(GJ7-0.05)))</f>
        <v>0.9</v>
      </c>
      <c r="GL7" s="41">
        <f>MIN(1,MAX(VLOOKUP(($AI7-$AH7-$AG7-$AF7-$AE7-$AA7*(1+GL$3))/$AI7,'[8]Технический лист'!$A:$B,2,1),(GK7-0.05)))</f>
        <v>0.9</v>
      </c>
      <c r="GM7" s="41">
        <f>MIN(1,MAX(VLOOKUP(($AI7-$AH7-$AG7-$AF7-$AE7-$AA7*(1+GM$3))/$AI7,'[8]Технический лист'!$A:$B,2,1),(GL7-0.05)))</f>
        <v>0.88500000000000001</v>
      </c>
      <c r="GN7" s="41">
        <f>MIN(1,MAX(VLOOKUP(($AI7-$AH7-$AG7-$AF7-$AE7-$AA7*(1+GN$3))/$AI7,'[8]Технический лист'!$A:$B,2,1),(GM7-0.05)))</f>
        <v>0.88500000000000001</v>
      </c>
    </row>
    <row r="8" spans="1:196">
      <c r="A8" s="3">
        <v>6</v>
      </c>
      <c r="B8" s="15" t="s">
        <v>61</v>
      </c>
      <c r="C8" s="4" t="s">
        <v>77</v>
      </c>
      <c r="D8" s="4" t="s">
        <v>78</v>
      </c>
      <c r="E8" s="4" t="s">
        <v>79</v>
      </c>
      <c r="F8" s="4" t="s">
        <v>24</v>
      </c>
      <c r="G8" s="4" t="s">
        <v>20</v>
      </c>
      <c r="H8" s="4" t="s">
        <v>93</v>
      </c>
      <c r="I8" s="4" t="s">
        <v>59</v>
      </c>
      <c r="J8" s="4" t="s">
        <v>94</v>
      </c>
      <c r="K8" s="4" t="s">
        <v>83</v>
      </c>
      <c r="L8" s="4" t="s">
        <v>17</v>
      </c>
      <c r="M8" s="4" t="s">
        <v>167</v>
      </c>
      <c r="N8" s="4" t="s">
        <v>55</v>
      </c>
      <c r="O8" s="4" t="s">
        <v>95</v>
      </c>
      <c r="P8" s="4" t="s">
        <v>96</v>
      </c>
      <c r="Q8" s="4" t="s">
        <v>97</v>
      </c>
      <c r="R8" s="16">
        <v>41499</v>
      </c>
      <c r="S8" s="17">
        <v>95560050</v>
      </c>
      <c r="T8" s="18">
        <v>628</v>
      </c>
      <c r="U8" s="18">
        <v>0</v>
      </c>
      <c r="V8" s="17">
        <v>141253702</v>
      </c>
      <c r="W8" s="26" t="s">
        <v>184</v>
      </c>
      <c r="X8" s="26">
        <v>66</v>
      </c>
      <c r="Y8" s="24">
        <v>3748.76</v>
      </c>
      <c r="Z8" s="27">
        <f>AA8-Y8</f>
        <v>612.5</v>
      </c>
      <c r="AA8" s="20">
        <v>4361.26</v>
      </c>
      <c r="AB8" s="20">
        <v>12</v>
      </c>
      <c r="AC8" s="20">
        <v>3</v>
      </c>
      <c r="AD8" s="20">
        <v>4</v>
      </c>
      <c r="AE8" s="20">
        <f>'Ставки аренды'!$B$3*SUM(Лесные!AB8+Лесные!AC8+Лесные!AD8)/Лесные!X8</f>
        <v>863.63636363636363</v>
      </c>
      <c r="AF8" s="20">
        <v>0</v>
      </c>
      <c r="AG8" s="20"/>
      <c r="AH8" s="20">
        <f>0.68*AI8</f>
        <v>16500</v>
      </c>
      <c r="AI8" s="20">
        <f>Цены!$C$5</f>
        <v>24264.705882352941</v>
      </c>
      <c r="AJ8" s="20"/>
      <c r="AK8" s="21"/>
      <c r="AL8" s="20"/>
      <c r="AM8" s="20"/>
      <c r="AN8" s="29">
        <f t="shared" si="0"/>
        <v>0.10467093774104679</v>
      </c>
      <c r="AO8" s="20"/>
      <c r="AP8" s="20"/>
      <c r="AQ8" s="2"/>
      <c r="AR8" s="19"/>
      <c r="AS8" s="42">
        <v>0.8</v>
      </c>
      <c r="AT8" s="41">
        <f>MIN(IF($AS8=100%,1,1+VLOOKUP(($AI8-$AH8-$AG8-$AF8-$AE8-$AA8*(1+AT$3))/$AI8,'Технический лист'!$A:$B,2,1)-VLOOKUP($AN8,'Технический лист'!$A:$B,2,1)),1+(1-$AS8))</f>
        <v>1.2</v>
      </c>
      <c r="AU8" s="41">
        <f>MIN(IF($AS8=100%,1,1+VLOOKUP(($AI8-$AH8-$AG8-$AF8-$AE8-$AA8*(1+AU$3))/$AI8,'Технический лист'!$A:$B,2,1)-VLOOKUP($AN8,'Технический лист'!$A:$B,2,1)),1+(1-$AS8))</f>
        <v>1.2</v>
      </c>
      <c r="AV8" s="41">
        <f>MIN(IF($AS8=100%,1,1+VLOOKUP(($AI8-$AH8-$AG8-$AF8-$AE8-$AA8*(1+AV$3))/$AI8,'Технический лист'!$A:$B,2,1)-VLOOKUP($AN8,'Технический лист'!$A:$B,2,1)),1+(1-$AS8))</f>
        <v>1.2</v>
      </c>
      <c r="AW8" s="41">
        <f>MIN(IF($AS8=100%,1,1+VLOOKUP(($AI8-$AH8-$AG8-$AF8-$AE8-$AA8*(1+AW$3))/$AI8,'Технический лист'!$A:$B,2,1)-VLOOKUP($AN8,'Технический лист'!$A:$B,2,1)),1+(1-$AS8))</f>
        <v>1.2</v>
      </c>
      <c r="AX8" s="41">
        <f>MIN(IF($AS8=100%,1,1+VLOOKUP(($AI8-$AH8-$AG8-$AF8-$AE8-$AA8*(1+AX$3))/$AI8,'Технический лист'!$A:$B,2,1)-VLOOKUP($AN8,'Технический лист'!$A:$B,2,1)),1+(1-$AS8))</f>
        <v>1.2</v>
      </c>
      <c r="AY8" s="41">
        <f>MIN(IF($AS8=100%,1,1+VLOOKUP(($AI8-$AH8-$AG8-$AF8-$AE8-$AA8*(1+AY$3))/$AI8,'Технический лист'!$A:$B,2,1)-VLOOKUP($AN8,'Технический лист'!$A:$B,2,1)),1+(1-$AS8))</f>
        <v>1.2</v>
      </c>
      <c r="AZ8" s="41">
        <f>MIN(IF($AS8=100%,1,1+VLOOKUP(($AI8-$AH8-$AG8-$AF8-$AE8-$AA8*(1+AZ$3))/$AI8,'Технический лист'!$A:$B,2,1)-VLOOKUP($AN8,'Технический лист'!$A:$B,2,1)),1+(1-$AS8))</f>
        <v>1.2</v>
      </c>
      <c r="BA8" s="41">
        <f>MIN(IF($AS8=100%,1,1+VLOOKUP(($AI8-$AH8-$AG8-$AF8-$AE8-$AA8*(1+BA$3))/$AI8,'Технический лист'!$A:$B,2,1)-VLOOKUP($AN8,'Технический лист'!$A:$B,2,1)),1+(1-$AS8))</f>
        <v>1.2</v>
      </c>
      <c r="BB8" s="41">
        <f>MIN(IF($AS8=100%,1,1+VLOOKUP(($AI8-$AH8-$AG8-$AF8-$AE8-$AA8*(1+BB$3))/$AI8,'Технический лист'!$A:$B,2,1)-VLOOKUP($AN8,'Технический лист'!$A:$B,2,1)),1+(1-$AS8))</f>
        <v>1.2</v>
      </c>
      <c r="BC8" s="41">
        <f>MIN(IF($AS8=100%,1,1+VLOOKUP(($AI8-$AH8-$AG8-$AF8-$AE8-$AA8*(1+BC$3))/$AI8,'Технический лист'!$A:$B,2,1)-VLOOKUP($AN8,'Технический лист'!$A:$B,2,1)),1+(1-$AS8))</f>
        <v>1.2</v>
      </c>
      <c r="BD8" s="41">
        <f>MIN(IF($AS8=100%,1,1+VLOOKUP(($AI8-$AH8-$AG8-$AF8-$AE8-$AA8*(1+BD$3))/$AI8,'Технический лист'!$A:$B,2,1)-VLOOKUP($AN8,'Технический лист'!$A:$B,2,1)),1+(1-$AS8))</f>
        <v>1.2</v>
      </c>
      <c r="BE8" s="41">
        <f>MIN(IF($AS8=100%,1,1+VLOOKUP(($AI8-$AH8-$AG8-$AF8-$AE8-$AA8*(1+BE$3))/$AI8,'Технический лист'!$A:$B,2,1)-VLOOKUP($AN8,'Технический лист'!$A:$B,2,1)),1+(1-$AS8))</f>
        <v>1.2</v>
      </c>
      <c r="BF8" s="41">
        <f>MIN(IF($AS8=100%,1,1+VLOOKUP(($AI8-$AH8-$AG8-$AF8-$AE8-$AA8*(1+BF$3))/$AI8,'Технический лист'!$A:$B,2,1)-VLOOKUP($AN8,'Технический лист'!$A:$B,2,1)),1+(1-$AS8))</f>
        <v>1.2</v>
      </c>
      <c r="BG8" s="41">
        <f>MIN(IF($AS8=100%,1,1+VLOOKUP(($AI8-$AH8-$AG8-$AF8-$AE8-$AA8*(1+BG$3))/$AI8,'Технический лист'!$A:$B,2,1)-VLOOKUP($AN8,'Технический лист'!$A:$B,2,1)),1+(1-$AS8))</f>
        <v>1.2</v>
      </c>
      <c r="BH8" s="41">
        <f>MIN(IF($AS8=100%,1,1+VLOOKUP(($AI8-$AH8-$AG8-$AF8-$AE8-$AA8*(1+BH$3))/$AI8,'Технический лист'!$A:$B,2,1)-VLOOKUP($AN8,'Технический лист'!$A:$B,2,1)),1+(1-$AS8))</f>
        <v>1.2</v>
      </c>
      <c r="BI8" s="41">
        <f>MIN(IF($AS8=100%,1,1+VLOOKUP(($AI8-$AH8-$AG8-$AF8-$AE8-$AA8*(1+BI$3))/$AI8,'Технический лист'!$A:$B,2,1)-VLOOKUP($AN8,'Технический лист'!$A:$B,2,1)),1+(1-$AS8))</f>
        <v>1.2</v>
      </c>
      <c r="BJ8" s="41">
        <f>MIN(IF($AS8=100%,1,1+VLOOKUP(($AI8-$AH8-$AG8-$AF8-$AE8-$AA8*(1+BJ$3))/$AI8,'Технический лист'!$A:$B,2,1)-VLOOKUP($AN8,'Технический лист'!$A:$B,2,1)),1+(1-$AS8))</f>
        <v>1.2</v>
      </c>
      <c r="BK8" s="41">
        <f>MIN(IF($AS8=100%,1,1+VLOOKUP(($AI8-$AH8-$AG8-$AF8-$AE8-$AA8*(1+BK$3))/$AI8,'Технический лист'!$A:$B,2,1)-VLOOKUP($AN8,'Технический лист'!$A:$B,2,1)),1+(1-$AS8))</f>
        <v>1.2</v>
      </c>
      <c r="BL8" s="41">
        <f>MIN(IF($AS8=100%,1,1+VLOOKUP(($AI8-$AH8-$AG8-$AF8-$AE8-$AA8*(1+BL$3))/$AI8,'Технический лист'!$A:$B,2,1)-VLOOKUP($AN8,'Технический лист'!$A:$B,2,1)),1+(1-$AS8))</f>
        <v>1.2</v>
      </c>
      <c r="BM8" s="41">
        <f>MIN(IF($AS8=100%,1,1+VLOOKUP(($AI8-$AH8-$AG8-$AF8-$AE8-$AA8*(1+BM$3))/$AI8,'Технический лист'!$A:$B,2,1)-VLOOKUP($AN8,'Технический лист'!$A:$B,2,1)),1+(1-$AS8))</f>
        <v>1.2</v>
      </c>
      <c r="BN8" s="41">
        <f>MIN(IF($AS8=100%,1,1+VLOOKUP(($AI8-$AH8-$AG8-$AF8-$AE8-$AA8*(1+BN$3))/$AI8,'Технический лист'!$A:$B,2,1)-VLOOKUP($AN8,'Технический лист'!$A:$B,2,1)),1+(1-$AS8))</f>
        <v>1.2</v>
      </c>
      <c r="BO8" s="41">
        <f>MIN(IF($AS8=100%,1,1+VLOOKUP(($AI8-$AH8-$AG8-$AF8-$AE8-$AA8*(1+BO$3))/$AI8,'Технический лист'!$A:$B,2,1)-VLOOKUP($AN8,'Технический лист'!$A:$B,2,1)),1+(1-$AS8))</f>
        <v>1.2</v>
      </c>
      <c r="BP8" s="41">
        <f>MIN(IF($AS8=100%,1,1+VLOOKUP(($AI8-$AH8-$AG8-$AF8-$AE8-$AA8*(1+BP$3))/$AI8,'Технический лист'!$A:$B,2,1)-VLOOKUP($AN8,'Технический лист'!$A:$B,2,1)),1+(1-$AS8))</f>
        <v>1.1800000000000002</v>
      </c>
      <c r="BQ8" s="41">
        <f>MIN(IF($AS8=100%,1,1+VLOOKUP(($AI8-$AH8-$AG8-$AF8-$AE8-$AA8*(1+BQ$3))/$AI8,'Технический лист'!$A:$B,2,1)-VLOOKUP($AN8,'Технический лист'!$A:$B,2,1)),1+(1-$AS8))</f>
        <v>1.1800000000000002</v>
      </c>
      <c r="BR8" s="41">
        <f>MIN(IF($AS8=100%,1,1+VLOOKUP(($AI8-$AH8-$AG8-$AF8-$AE8-$AA8*(1+BR$3))/$AI8,'Технический лист'!$A:$B,2,1)-VLOOKUP($AN8,'Технический лист'!$A:$B,2,1)),1+(1-$AS8))</f>
        <v>1.1800000000000002</v>
      </c>
      <c r="BS8" s="41">
        <f>MIN(IF($AS8=100%,1,1+VLOOKUP(($AI8-$AH8-$AG8-$AF8-$AE8-$AA8*(1+BS$3))/$AI8,'Технический лист'!$A:$B,2,1)-VLOOKUP($AN8,'Технический лист'!$A:$B,2,1)),1+(1-$AS8))</f>
        <v>1.1800000000000002</v>
      </c>
      <c r="BT8" s="41">
        <f>MIN(IF($AS8=100%,1,1+VLOOKUP(($AI8-$AH8-$AG8-$AF8-$AE8-$AA8*(1+BT$3))/$AI8,'Технический лист'!$A:$B,2,1)-VLOOKUP($AN8,'Технический лист'!$A:$B,2,1)),1+(1-$AS8))</f>
        <v>1.1800000000000002</v>
      </c>
      <c r="BU8" s="41">
        <f>MIN(IF($AS8=100%,1,1+VLOOKUP(($AI8-$AH8-$AG8-$AF8-$AE8-$AA8*(1+BU$3))/$AI8,'Технический лист'!$A:$B,2,1)-VLOOKUP($AN8,'Технический лист'!$A:$B,2,1)),1+(1-$AS8))</f>
        <v>1.1800000000000002</v>
      </c>
      <c r="BV8" s="41">
        <f>MIN(IF($AS8=100%,1,1+VLOOKUP(($AI8-$AH8-$AG8-$AF8-$AE8-$AA8*(1+BV$3))/$AI8,'Технический лист'!$A:$B,2,1)-VLOOKUP($AN8,'Технический лист'!$A:$B,2,1)),1+(1-$AS8))</f>
        <v>1.1400000000000001</v>
      </c>
      <c r="BW8" s="41">
        <f>MIN(IF($AS8=100%,1,1+VLOOKUP(($AI8-$AH8-$AG8-$AF8-$AE8-$AA8*(1+BW$3))/$AI8,'Технический лист'!$A:$B,2,1)-VLOOKUP($AN8,'Технический лист'!$A:$B,2,1)),1+(1-$AS8))</f>
        <v>1.1400000000000001</v>
      </c>
      <c r="BX8" s="41">
        <f>MIN(IF($AS8=100%,1,1+VLOOKUP(($AI8-$AH8-$AG8-$AF8-$AE8-$AA8*(1+BX$3))/$AI8,'Технический лист'!$A:$B,2,1)-VLOOKUP($AN8,'Технический лист'!$A:$B,2,1)),1+(1-$AS8))</f>
        <v>1.1400000000000001</v>
      </c>
      <c r="BY8" s="41">
        <f>MIN(IF($AS8=100%,1,1+VLOOKUP(($AI8-$AH8-$AG8-$AF8-$AE8-$AA8*(1+BY$3))/$AI8,'Технический лист'!$A:$B,2,1)-VLOOKUP($AN8,'Технический лист'!$A:$B,2,1)),1+(1-$AS8))</f>
        <v>1.1400000000000001</v>
      </c>
      <c r="BZ8" s="41">
        <f>MIN(IF($AS8=100%,1,1+VLOOKUP(($AI8-$AH8-$AG8-$AF8-$AE8-$AA8*(1+BZ$3))/$AI8,'Технический лист'!$A:$B,2,1)-VLOOKUP($AN8,'Технический лист'!$A:$B,2,1)),1+(1-$AS8))</f>
        <v>1.1400000000000001</v>
      </c>
      <c r="CA8" s="41">
        <f>MIN(IF($AS8=100%,1,1+VLOOKUP(($AI8-$AH8-$AG8-$AF8-$AE8-$AA8*(1+CA$3))/$AI8,'Технический лист'!$A:$B,2,1)-VLOOKUP($AN8,'Технический лист'!$A:$B,2,1)),1+(1-$AS8))</f>
        <v>1.105</v>
      </c>
      <c r="CB8" s="41">
        <f>MIN(IF($AS8=100%,1,1+VLOOKUP(($AI8-$AH8-$AG8-$AF8-$AE8-$AA8*(1+CB$3))/$AI8,'Технический лист'!$A:$B,2,1)-VLOOKUP($AN8,'Технический лист'!$A:$B,2,1)),1+(1-$AS8))</f>
        <v>1.105</v>
      </c>
      <c r="CC8" s="41">
        <f>MIN(IF($AS8=100%,1,1+VLOOKUP(($AI8-$AH8-$AG8-$AF8-$AE8-$AA8*(1+CC$3))/$AI8,'Технический лист'!$A:$B,2,1)-VLOOKUP($AN8,'Технический лист'!$A:$B,2,1)),1+(1-$AS8))</f>
        <v>1.105</v>
      </c>
      <c r="CD8" s="41">
        <f>MIN(IF($AS8=100%,1,1+VLOOKUP(($AI8-$AH8-$AG8-$AF8-$AE8-$AA8*(1+CD$3))/$AI8,'Технический лист'!$A:$B,2,1)-VLOOKUP($AN8,'Технический лист'!$A:$B,2,1)),1+(1-$AS8))</f>
        <v>1.105</v>
      </c>
      <c r="CE8" s="41">
        <f>MIN(IF($AS8=100%,1,1+VLOOKUP(($AI8-$AH8-$AG8-$AF8-$AE8-$AA8*(1+CE$3))/$AI8,'Технический лист'!$A:$B,2,1)-VLOOKUP($AN8,'Технический лист'!$A:$B,2,1)),1+(1-$AS8))</f>
        <v>1.105</v>
      </c>
      <c r="CF8" s="41">
        <f>MIN(IF($AS8=100%,1,1+VLOOKUP(($AI8-$AH8-$AG8-$AF8-$AE8-$AA8*(1+CF$3))/$AI8,'Технический лист'!$A:$B,2,1)-VLOOKUP($AN8,'Технический лист'!$A:$B,2,1)),1+(1-$AS8))</f>
        <v>1.105</v>
      </c>
      <c r="CG8" s="41">
        <f>MIN(IF($AS8=100%,1,1+VLOOKUP(($AI8-$AH8-$AG8-$AF8-$AE8-$AA8*(1+CG$3))/$AI8,'Технический лист'!$A:$B,2,1)-VLOOKUP($AN8,'Технический лист'!$A:$B,2,1)),1+(1-$AS8))</f>
        <v>1.0699999999999998</v>
      </c>
      <c r="CH8" s="41">
        <f>MIN(IF($AS8=100%,1,1+VLOOKUP(($AI8-$AH8-$AG8-$AF8-$AE8-$AA8*(1+CH$3))/$AI8,'Технический лист'!$A:$B,2,1)-VLOOKUP($AN8,'Технический лист'!$A:$B,2,1)),1+(1-$AS8))</f>
        <v>1.0699999999999998</v>
      </c>
      <c r="CI8" s="41">
        <f>MIN(IF($AS8=100%,1,1+VLOOKUP(($AI8-$AH8-$AG8-$AF8-$AE8-$AA8*(1+CI$3))/$AI8,'Технический лист'!$A:$B,2,1)-VLOOKUP($AN8,'Технический лист'!$A:$B,2,1)),1+(1-$AS8))</f>
        <v>1.0699999999999998</v>
      </c>
      <c r="CJ8" s="41">
        <f>MIN(IF($AS8=100%,1,1+VLOOKUP(($AI8-$AH8-$AG8-$AF8-$AE8-$AA8*(1+CJ$3))/$AI8,'Технический лист'!$A:$B,2,1)-VLOOKUP($AN8,'Технический лист'!$A:$B,2,1)),1+(1-$AS8))</f>
        <v>1.0699999999999998</v>
      </c>
      <c r="CK8" s="41">
        <f>MIN(IF($AS8=100%,1,1+VLOOKUP(($AI8-$AH8-$AG8-$AF8-$AE8-$AA8*(1+CK$3))/$AI8,'Технический лист'!$A:$B,2,1)-VLOOKUP($AN8,'Технический лист'!$A:$B,2,1)),1+(1-$AS8))</f>
        <v>1.0699999999999998</v>
      </c>
      <c r="CL8" s="41">
        <f>MIN(IF($AS8=100%,1,1+VLOOKUP(($AI8-$AH8-$AG8-$AF8-$AE8-$AA8*(1+CL$3))/$AI8,'Технический лист'!$A:$B,2,1)-VLOOKUP($AN8,'Технический лист'!$A:$B,2,1)),1+(1-$AS8))</f>
        <v>1.0699999999999998</v>
      </c>
      <c r="CM8" s="41">
        <f>MIN(IF($AS8=100%,1,1+VLOOKUP(($AI8-$AH8-$AG8-$AF8-$AE8-$AA8*(1+CM$3))/$AI8,'Технический лист'!$A:$B,2,1)-VLOOKUP($AN8,'Технический лист'!$A:$B,2,1)),1+(1-$AS8))</f>
        <v>1.0349999999999997</v>
      </c>
      <c r="CN8" s="41">
        <f>MIN(IF($AS8=100%,1,1+VLOOKUP(($AI8-$AH8-$AG8-$AF8-$AE8-$AA8*(1+CN$3))/$AI8,'Технический лист'!$A:$B,2,1)-VLOOKUP($AN8,'Технический лист'!$A:$B,2,1)),1+(1-$AS8))</f>
        <v>1.0349999999999997</v>
      </c>
      <c r="CO8" s="41">
        <f>MIN(IF($AS8=100%,1,1+VLOOKUP(($AI8-$AH8-$AG8-$AF8-$AE8-$AA8*(1+CO$3))/$AI8,'Технический лист'!$A:$B,2,1)-VLOOKUP($AN8,'Технический лист'!$A:$B,2,1)),1+(1-$AS8))</f>
        <v>1.0349999999999997</v>
      </c>
      <c r="CP8" s="41">
        <f>MIN(IF($AS8=100%,1,1+VLOOKUP(($AI8-$AH8-$AG8-$AF8-$AE8-$AA8*(1+CP$3))/$AI8,'Технический лист'!$A:$B,2,1)-VLOOKUP($AN8,'Технический лист'!$A:$B,2,1)),1+(1-$AS8))</f>
        <v>1.0349999999999997</v>
      </c>
      <c r="CQ8" s="41">
        <f>MIN(IF($AS8=100%,1,1+VLOOKUP(($AI8-$AH8-$AG8-$AF8-$AE8-$AA8*(1+CQ$3))/$AI8,'Технический лист'!$A:$B,2,1)-VLOOKUP($AN8,'Технический лист'!$A:$B,2,1)),1+(1-$AS8))</f>
        <v>1.0349999999999997</v>
      </c>
      <c r="CR8">
        <v>1</v>
      </c>
      <c r="CS8" s="41">
        <f>MIN(1,MAX(VLOOKUP(($AI8-$AH8-$AG8-$AF8-$AE8-$AA8*(1+CS$3))/$AI8,'[8]Технический лист'!$A:$B,2,1),(CR8-0.05)))</f>
        <v>1</v>
      </c>
      <c r="CT8" s="41">
        <f>MIN(1,MAX(VLOOKUP(($AI8-$AH8-$AG8-$AF8-$AE8-$AA8*(1+CT$3))/$AI8,'[8]Технический лист'!$A:$B,2,1),(CS8-0.05)))</f>
        <v>1</v>
      </c>
      <c r="CU8" s="41">
        <f>MIN(1,MAX(VLOOKUP(($AI8-$AH8-$AG8-$AF8-$AE8-$AA8*(1+CU$3))/$AI8,'[8]Технический лист'!$A:$B,2,1),(CT8-0.05)))</f>
        <v>1</v>
      </c>
      <c r="CV8" s="41">
        <f>MIN(1,MAX(VLOOKUP(($AI8-$AH8-$AG8-$AF8-$AE8-$AA8*(1+CV$3))/$AI8,'[8]Технический лист'!$A:$B,2,1),(CU8-0.05)))</f>
        <v>1</v>
      </c>
      <c r="CW8" s="41">
        <f>MIN(1,MAX(VLOOKUP(($AI8-$AH8-$AG8-$AF8-$AE8-$AA8*(1+CW$3))/$AI8,'[8]Технический лист'!$A:$B,2,1),(CV8-0.05)))</f>
        <v>1</v>
      </c>
      <c r="CX8" s="41">
        <f>MIN(1,MAX(VLOOKUP(($AI8-$AH8-$AG8-$AF8-$AE8-$AA8*(1+CX$3))/$AI8,'[8]Технический лист'!$A:$B,2,1),(CW8-0.05)))</f>
        <v>1</v>
      </c>
      <c r="CY8" s="41">
        <f>MIN(1,MAX(VLOOKUP(($AI8-$AH8-$AG8-$AF8-$AE8-$AA8*(1+CY$3))/$AI8,'[8]Технический лист'!$A:$B,2,1),(CX8-0.05)))</f>
        <v>1</v>
      </c>
      <c r="CZ8" s="41">
        <f>MIN(1,MAX(VLOOKUP(($AI8-$AH8-$AG8-$AF8-$AE8-$AA8*(1+CZ$3))/$AI8,'[8]Технический лист'!$A:$B,2,1),(CY8-0.05)))</f>
        <v>1</v>
      </c>
      <c r="DA8" s="41">
        <f>MIN(1,MAX(VLOOKUP(($AI8-$AH8-$AG8-$AF8-$AE8-$AA8*(1+DA$3))/$AI8,'[8]Технический лист'!$A:$B,2,1),(CZ8-0.05)))</f>
        <v>1</v>
      </c>
      <c r="DB8" s="41">
        <f>MIN(1,MAX(VLOOKUP(($AI8-$AH8-$AG8-$AF8-$AE8-$AA8*(1+DB$3))/$AI8,'[8]Технический лист'!$A:$B,2,1),(DA8-0.05)))</f>
        <v>1</v>
      </c>
      <c r="DC8" s="41">
        <f>MIN(1,MAX(VLOOKUP(($AI8-$AH8-$AG8-$AF8-$AE8-$AA8*(1+DC$3))/$AI8,'[8]Технический лист'!$A:$B,2,1),(DB8-0.05)))</f>
        <v>1</v>
      </c>
      <c r="DD8" s="41">
        <f>MIN(1,MAX(VLOOKUP(($AI8-$AH8-$AG8-$AF8-$AE8-$AA8*(1+DD$3))/$AI8,'[8]Технический лист'!$A:$B,2,1),(DC8-0.05)))</f>
        <v>1</v>
      </c>
      <c r="DE8" s="41">
        <f>MIN(1,MAX(VLOOKUP(($AI8-$AH8-$AG8-$AF8-$AE8-$AA8*(1+DE$3))/$AI8,'[8]Технический лист'!$A:$B,2,1),(DD8-0.05)))</f>
        <v>1</v>
      </c>
      <c r="DF8" s="41">
        <f>MIN(1,MAX(VLOOKUP(($AI8-$AH8-$AG8-$AF8-$AE8-$AA8*(1+DF$3))/$AI8,'[8]Технический лист'!$A:$B,2,1),(DE8-0.05)))</f>
        <v>1</v>
      </c>
      <c r="DG8" s="41">
        <f>MIN(1,MAX(VLOOKUP(($AI8-$AH8-$AG8-$AF8-$AE8-$AA8*(1+DG$3))/$AI8,'[8]Технический лист'!$A:$B,2,1),(DF8-0.05)))</f>
        <v>1</v>
      </c>
      <c r="DH8" s="41">
        <f>MIN(1,MAX(VLOOKUP(($AI8-$AH8-$AG8-$AF8-$AE8-$AA8*(1+DH$3))/$AI8,'[8]Технический лист'!$A:$B,2,1),(DG8-0.05)))</f>
        <v>1</v>
      </c>
      <c r="DI8" s="41">
        <f>MIN(1,MAX(VLOOKUP(($AI8-$AH8-$AG8-$AF8-$AE8-$AA8*(1+DI$3))/$AI8,'[8]Технический лист'!$A:$B,2,1),(DH8-0.05)))</f>
        <v>1</v>
      </c>
      <c r="DJ8" s="41">
        <f>MIN(1,MAX(VLOOKUP(($AI8-$AH8-$AG8-$AF8-$AE8-$AA8*(1+DJ$3))/$AI8,'[8]Технический лист'!$A:$B,2,1),(DI8-0.05)))</f>
        <v>1</v>
      </c>
      <c r="DK8" s="41">
        <f>MIN(1,MAX(VLOOKUP(($AI8-$AH8-$AG8-$AF8-$AE8-$AA8*(1+DK$3))/$AI8,'[8]Технический лист'!$A:$B,2,1),(DJ8-0.05)))</f>
        <v>1</v>
      </c>
      <c r="DL8" s="41">
        <f>MIN(1,MAX(VLOOKUP(($AI8-$AH8-$AG8-$AF8-$AE8-$AA8*(1+DL$3))/$AI8,'[8]Технический лист'!$A:$B,2,1),(DK8-0.05)))</f>
        <v>1</v>
      </c>
      <c r="DM8" s="41">
        <f>MIN(1,MAX(VLOOKUP(($AI8-$AH8-$AG8-$AF8-$AE8-$AA8*(1+DM$3))/$AI8,'[8]Технический лист'!$A:$B,2,1),(DL8-0.05)))</f>
        <v>1</v>
      </c>
      <c r="DN8" s="41">
        <f>MIN(1,MAX(VLOOKUP(($AI8-$AH8-$AG8-$AF8-$AE8-$AA8*(1+DN$3))/$AI8,'[8]Технический лист'!$A:$B,2,1),(DM8-0.05)))</f>
        <v>1</v>
      </c>
      <c r="DO8" s="41">
        <f>MIN(1,MAX(VLOOKUP(($AI8-$AH8-$AG8-$AF8-$AE8-$AA8*(1+DO$3))/$AI8,'[8]Технический лист'!$A:$B,2,1),(DN8-0.05)))</f>
        <v>1</v>
      </c>
      <c r="DP8" s="41">
        <f>MIN(1,MAX(VLOOKUP(($AI8-$AH8-$AG8-$AF8-$AE8-$AA8*(1+DP$3))/$AI8,'[8]Технический лист'!$A:$B,2,1),(DO8-0.05)))</f>
        <v>1</v>
      </c>
      <c r="DQ8" s="41">
        <f>MIN(1,MAX(VLOOKUP(($AI8-$AH8-$AG8-$AF8-$AE8-$AA8*(1+DQ$3))/$AI8,'[8]Технический лист'!$A:$B,2,1),(DP8-0.05)))</f>
        <v>1</v>
      </c>
      <c r="DR8" s="41">
        <f>MIN(1,MAX(VLOOKUP(($AI8-$AH8-$AG8-$AF8-$AE8-$AA8*(1+DR$3))/$AI8,'[8]Технический лист'!$A:$B,2,1),(DQ8-0.05)))</f>
        <v>1</v>
      </c>
      <c r="DS8" s="41">
        <f>MIN(1,MAX(VLOOKUP(($AI8-$AH8-$AG8-$AF8-$AE8-$AA8*(1+DS$3))/$AI8,'[8]Технический лист'!$A:$B,2,1),(DR8-0.05)))</f>
        <v>1</v>
      </c>
      <c r="DT8" s="41">
        <f>MIN(1,MAX(VLOOKUP(($AI8-$AH8-$AG8-$AF8-$AE8-$AA8*(1+DT$3))/$AI8,'[8]Технический лист'!$A:$B,2,1),(DS8-0.05)))</f>
        <v>1</v>
      </c>
      <c r="DU8" s="41">
        <f>MIN(1,MAX(VLOOKUP(($AI8-$AH8-$AG8-$AF8-$AE8-$AA8*(1+DU$3))/$AI8,'[8]Технический лист'!$A:$B,2,1),(DT8-0.05)))</f>
        <v>1</v>
      </c>
      <c r="DV8" s="41">
        <f>MIN(1,MAX(VLOOKUP(($AI8-$AH8-$AG8-$AF8-$AE8-$AA8*(1+DV$3))/$AI8,'[8]Технический лист'!$A:$B,2,1),(DU8-0.05)))</f>
        <v>1</v>
      </c>
      <c r="DW8" s="41">
        <f>MIN(1,MAX(VLOOKUP(($AI8-$AH8-$AG8-$AF8-$AE8-$AA8*(1+DW$3))/$AI8,'[8]Технический лист'!$A:$B,2,1),(DV8-0.05)))</f>
        <v>1</v>
      </c>
      <c r="DX8" s="41">
        <f>MIN(1,MAX(VLOOKUP(($AI8-$AH8-$AG8-$AF8-$AE8-$AA8*(1+DX$3))/$AI8,'[8]Технический лист'!$A:$B,2,1),(DW8-0.05)))</f>
        <v>1</v>
      </c>
      <c r="DY8" s="41">
        <f>MIN(1,MAX(VLOOKUP(($AI8-$AH8-$AG8-$AF8-$AE8-$AA8*(1+DY$3))/$AI8,'[8]Технический лист'!$A:$B,2,1),(DX8-0.05)))</f>
        <v>1</v>
      </c>
      <c r="DZ8" s="41">
        <f>MIN(1,MAX(VLOOKUP(($AI8-$AH8-$AG8-$AF8-$AE8-$AA8*(1+DZ$3))/$AI8,'[8]Технический лист'!$A:$B,2,1),(DY8-0.05)))</f>
        <v>1</v>
      </c>
      <c r="EA8" s="41">
        <f>MIN(1,MAX(VLOOKUP(($AI8-$AH8-$AG8-$AF8-$AE8-$AA8*(1+EA$3))/$AI8,'[8]Технический лист'!$A:$B,2,1),(DZ8-0.05)))</f>
        <v>1</v>
      </c>
      <c r="EB8" s="41">
        <f>MIN(1,MAX(VLOOKUP(($AI8-$AH8-$AG8-$AF8-$AE8-$AA8*(1+EB$3))/$AI8,'[8]Технический лист'!$A:$B,2,1),(EA8-0.05)))</f>
        <v>1</v>
      </c>
      <c r="EC8" s="41">
        <f>MIN(1,MAX(VLOOKUP(($AI8-$AH8-$AG8-$AF8-$AE8-$AA8*(1+EC$3))/$AI8,'[8]Технический лист'!$A:$B,2,1),(EB8-0.05)))</f>
        <v>1</v>
      </c>
      <c r="ED8" s="41">
        <f>MIN(1,MAX(VLOOKUP(($AI8-$AH8-$AG8-$AF8-$AE8-$AA8*(1+ED$3))/$AI8,'[8]Технический лист'!$A:$B,2,1),(EC8-0.05)))</f>
        <v>1</v>
      </c>
      <c r="EE8" s="41">
        <f>MIN(1,MAX(VLOOKUP(($AI8-$AH8-$AG8-$AF8-$AE8-$AA8*(1+EE$3))/$AI8,'[8]Технический лист'!$A:$B,2,1),(ED8-0.05)))</f>
        <v>1</v>
      </c>
      <c r="EF8" s="41">
        <f>MIN(1,MAX(VLOOKUP(($AI8-$AH8-$AG8-$AF8-$AE8-$AA8*(1+EF$3))/$AI8,'[8]Технический лист'!$A:$B,2,1),(EE8-0.05)))</f>
        <v>1</v>
      </c>
      <c r="EG8" s="41">
        <f>MIN(1,MAX(VLOOKUP(($AI8-$AH8-$AG8-$AF8-$AE8-$AA8*(1+EG$3))/$AI8,'[8]Технический лист'!$A:$B,2,1),(EF8-0.05)))</f>
        <v>1</v>
      </c>
      <c r="EH8" s="41">
        <f>MIN(1,MAX(VLOOKUP(($AI8-$AH8-$AG8-$AF8-$AE8-$AA8*(1+EH$3))/$AI8,'[8]Технический лист'!$A:$B,2,1),(EG8-0.05)))</f>
        <v>1</v>
      </c>
      <c r="EI8" s="41">
        <f>MIN(1,MAX(VLOOKUP(($AI8-$AH8-$AG8-$AF8-$AE8-$AA8*(1+EI$3))/$AI8,'[8]Технический лист'!$A:$B,2,1),(EH8-0.05)))</f>
        <v>1</v>
      </c>
      <c r="EJ8" s="41">
        <f>MIN(1,MAX(VLOOKUP(($AI8-$AH8-$AG8-$AF8-$AE8-$AA8*(1+EJ$3))/$AI8,'[8]Технический лист'!$A:$B,2,1),(EI8-0.05)))</f>
        <v>1</v>
      </c>
      <c r="EK8" s="41">
        <f>MIN(1,MAX(VLOOKUP(($AI8-$AH8-$AG8-$AF8-$AE8-$AA8*(1+EK$3))/$AI8,'[8]Технический лист'!$A:$B,2,1),(EJ8-0.05)))</f>
        <v>1</v>
      </c>
      <c r="EL8" s="41">
        <f>MIN(1,MAX(VLOOKUP(($AI8-$AH8-$AG8-$AF8-$AE8-$AA8*(1+EL$3))/$AI8,'[8]Технический лист'!$A:$B,2,1),(EK8-0.05)))</f>
        <v>1</v>
      </c>
      <c r="EM8" s="41">
        <f>MIN(1,MAX(VLOOKUP(($AI8-$AH8-$AG8-$AF8-$AE8-$AA8*(1+EM$3))/$AI8,'[8]Технический лист'!$A:$B,2,1),(EL8-0.05)))</f>
        <v>1</v>
      </c>
      <c r="EN8" s="41">
        <f>MIN(1,MAX(VLOOKUP(($AI8-$AH8-$AG8-$AF8-$AE8-$AA8*(1+EN$3))/$AI8,'[8]Технический лист'!$A:$B,2,1),(EM8-0.05)))</f>
        <v>1</v>
      </c>
      <c r="EO8" s="41">
        <f>MIN(1,MAX(VLOOKUP(($AI8-$AH8-$AG8-$AF8-$AE8-$AA8*(1+EO$3))/$AI8,'[8]Технический лист'!$A:$B,2,1),(EN8-0.05)))</f>
        <v>1</v>
      </c>
      <c r="EP8" s="41">
        <f>MIN(1,MAX(VLOOKUP(($AI8-$AH8-$AG8-$AF8-$AE8-$AA8*(1+EP$3))/$AI8,'[8]Технический лист'!$A:$B,2,1),(EO8-0.05)))</f>
        <v>1</v>
      </c>
      <c r="EQ8" s="41">
        <f>MIN(1,MAX(VLOOKUP(($AI8-$AH8-$AG8-$AF8-$AE8-$AA8*(1+EQ$3))/$AI8,'[8]Технический лист'!$A:$B,2,1),(EP8-0.05)))</f>
        <v>1</v>
      </c>
      <c r="ER8" s="41">
        <f>MIN(1,MAX(VLOOKUP(($AI8-$AH8-$AG8-$AF8-$AE8-$AA8*(1+ER$3))/$AI8,'[8]Технический лист'!$A:$B,2,1),(EQ8-0.05)))</f>
        <v>1</v>
      </c>
      <c r="ES8" s="41">
        <f>MIN(1,MAX(VLOOKUP(($AI8-$AH8-$AG8-$AF8-$AE8-$AA8*(1+ES$3))/$AI8,'[8]Технический лист'!$A:$B,2,1),(ER8-0.05)))</f>
        <v>1</v>
      </c>
      <c r="ET8" s="41">
        <f>MIN(1,MAX(VLOOKUP(($AI8-$AH8-$AG8-$AF8-$AE8-$AA8*(1+ET$3))/$AI8,'[8]Технический лист'!$A:$B,2,1),(ES8-0.05)))</f>
        <v>1</v>
      </c>
      <c r="EU8" s="41">
        <f>MIN(1,MAX(VLOOKUP(($AI8-$AH8-$AG8-$AF8-$AE8-$AA8*(1+EU$3))/$AI8,'[8]Технический лист'!$A:$B,2,1),(ET8-0.05)))</f>
        <v>1</v>
      </c>
      <c r="EV8" s="41">
        <f>MIN(1,MAX(VLOOKUP(($AI8-$AH8-$AG8-$AF8-$AE8-$AA8*(1+EV$3))/$AI8,'[8]Технический лист'!$A:$B,2,1),(EU8-0.05)))</f>
        <v>1</v>
      </c>
      <c r="EW8" s="41">
        <f>MIN(1,MAX(VLOOKUP(($AI8-$AH8-$AG8-$AF8-$AE8-$AA8*(1+EW$3))/$AI8,'[8]Технический лист'!$A:$B,2,1),(EV8-0.05)))</f>
        <v>1</v>
      </c>
      <c r="EX8" s="41">
        <f>MIN(1,MAX(VLOOKUP(($AI8-$AH8-$AG8-$AF8-$AE8-$AA8*(1+EX$3))/$AI8,'[8]Технический лист'!$A:$B,2,1),(EW8-0.05)))</f>
        <v>1</v>
      </c>
      <c r="EY8" s="41">
        <f>MIN(1,MAX(VLOOKUP(($AI8-$AH8-$AG8-$AF8-$AE8-$AA8*(1+EY$3))/$AI8,'[8]Технический лист'!$A:$B,2,1),(EX8-0.05)))</f>
        <v>1</v>
      </c>
      <c r="EZ8" s="41">
        <f>MIN(1,MAX(VLOOKUP(($AI8-$AH8-$AG8-$AF8-$AE8-$AA8*(1+EZ$3))/$AI8,'[8]Технический лист'!$A:$B,2,1),(EY8-0.05)))</f>
        <v>1</v>
      </c>
      <c r="FA8" s="41">
        <f>MIN(1,MAX(VLOOKUP(($AI8-$AH8-$AG8-$AF8-$AE8-$AA8*(1+FA$3))/$AI8,'[8]Технический лист'!$A:$B,2,1),(EZ8-0.05)))</f>
        <v>1</v>
      </c>
      <c r="FB8" s="41">
        <f>MIN(1,MAX(VLOOKUP(($AI8-$AH8-$AG8-$AF8-$AE8-$AA8*(1+FB$3))/$AI8,'[8]Технический лист'!$A:$B,2,1),(FA8-0.05)))</f>
        <v>1</v>
      </c>
      <c r="FC8" s="41">
        <f>MIN(1,MAX(VLOOKUP(($AI8-$AH8-$AG8-$AF8-$AE8-$AA8*(1+FC$3))/$AI8,'[8]Технический лист'!$A:$B,2,1),(FB8-0.05)))</f>
        <v>1</v>
      </c>
      <c r="FD8" s="41">
        <f>MIN(1,MAX(VLOOKUP(($AI8-$AH8-$AG8-$AF8-$AE8-$AA8*(1+FD$3))/$AI8,'[8]Технический лист'!$A:$B,2,1),(FC8-0.05)))</f>
        <v>1</v>
      </c>
      <c r="FE8" s="41">
        <f>MIN(1,MAX(VLOOKUP(($AI8-$AH8-$AG8-$AF8-$AE8-$AA8*(1+FE$3))/$AI8,'[8]Технический лист'!$A:$B,2,1),(FD8-0.05)))</f>
        <v>1</v>
      </c>
      <c r="FF8" s="41">
        <f>MIN(1,MAX(VLOOKUP(($AI8-$AH8-$AG8-$AF8-$AE8-$AA8*(1+FF$3))/$AI8,'[8]Технический лист'!$A:$B,2,1),(FE8-0.05)))</f>
        <v>1</v>
      </c>
      <c r="FG8" s="41">
        <f>MIN(1,MAX(VLOOKUP(($AI8-$AH8-$AG8-$AF8-$AE8-$AA8*(1+FG$3))/$AI8,'[8]Технический лист'!$A:$B,2,1),(FF8-0.05)))</f>
        <v>1</v>
      </c>
      <c r="FH8" s="41">
        <f>MIN(1,MAX(VLOOKUP(($AI8-$AH8-$AG8-$AF8-$AE8-$AA8*(1+FH$3))/$AI8,'[8]Технический лист'!$A:$B,2,1),(FG8-0.05)))</f>
        <v>1</v>
      </c>
      <c r="FI8" s="41">
        <f>MIN(1,MAX(VLOOKUP(($AI8-$AH8-$AG8-$AF8-$AE8-$AA8*(1+FI$3))/$AI8,'[8]Технический лист'!$A:$B,2,1),(FH8-0.05)))</f>
        <v>1</v>
      </c>
      <c r="FJ8" s="41">
        <f>MIN(1,MAX(VLOOKUP(($AI8-$AH8-$AG8-$AF8-$AE8-$AA8*(1+FJ$3))/$AI8,'[8]Технический лист'!$A:$B,2,1),(FI8-0.05)))</f>
        <v>1</v>
      </c>
      <c r="FK8" s="41">
        <f>MIN(1,MAX(VLOOKUP(($AI8-$AH8-$AG8-$AF8-$AE8-$AA8*(1+FK$3))/$AI8,'[8]Технический лист'!$A:$B,2,1),(FJ8-0.05)))</f>
        <v>1</v>
      </c>
      <c r="FL8" s="41">
        <f>MIN(1,MAX(VLOOKUP(($AI8-$AH8-$AG8-$AF8-$AE8-$AA8*(1+FL$3))/$AI8,'[8]Технический лист'!$A:$B,2,1),(FK8-0.05)))</f>
        <v>1</v>
      </c>
      <c r="FM8" s="41">
        <f>MIN(1,MAX(VLOOKUP(($AI8-$AH8-$AG8-$AF8-$AE8-$AA8*(1+FM$3))/$AI8,'[8]Технический лист'!$A:$B,2,1),(FL8-0.05)))</f>
        <v>1</v>
      </c>
      <c r="FN8" s="41">
        <f>MIN(1,MAX(VLOOKUP(($AI8-$AH8-$AG8-$AF8-$AE8-$AA8*(1+FN$3))/$AI8,'[8]Технический лист'!$A:$B,2,1),(FM8-0.05)))</f>
        <v>1</v>
      </c>
      <c r="FO8" s="41">
        <f>MIN(1,MAX(VLOOKUP(($AI8-$AH8-$AG8-$AF8-$AE8-$AA8*(1+FO$3))/$AI8,'[8]Технический лист'!$A:$B,2,1),(FN8-0.05)))</f>
        <v>1</v>
      </c>
      <c r="FP8" s="41">
        <f>MIN(1,MAX(VLOOKUP(($AI8-$AH8-$AG8-$AF8-$AE8-$AA8*(1+FP$3))/$AI8,'[8]Технический лист'!$A:$B,2,1),(FO8-0.05)))</f>
        <v>1</v>
      </c>
      <c r="FQ8" s="41">
        <f>MIN(1,MAX(VLOOKUP(($AI8-$AH8-$AG8-$AF8-$AE8-$AA8*(1+FQ$3))/$AI8,'[8]Технический лист'!$A:$B,2,1),(FP8-0.05)))</f>
        <v>1</v>
      </c>
      <c r="FR8" s="41">
        <f>MIN(1,MAX(VLOOKUP(($AI8-$AH8-$AG8-$AF8-$AE8-$AA8*(1+FR$3))/$AI8,'[8]Технический лист'!$A:$B,2,1),(FQ8-0.05)))</f>
        <v>1</v>
      </c>
      <c r="FS8" s="41">
        <f>MIN(1,MAX(VLOOKUP(($AI8-$AH8-$AG8-$AF8-$AE8-$AA8*(1+FS$3))/$AI8,'[8]Технический лист'!$A:$B,2,1),(FR8-0.05)))</f>
        <v>1</v>
      </c>
      <c r="FT8" s="41">
        <f>MIN(1,MAX(VLOOKUP(($AI8-$AH8-$AG8-$AF8-$AE8-$AA8*(1+FT$3))/$AI8,'[8]Технический лист'!$A:$B,2,1),(FS8-0.05)))</f>
        <v>1</v>
      </c>
      <c r="FU8" s="41">
        <f>MIN(1,MAX(VLOOKUP(($AI8-$AH8-$AG8-$AF8-$AE8-$AA8*(1+FU$3))/$AI8,'[8]Технический лист'!$A:$B,2,1),(FT8-0.05)))</f>
        <v>1</v>
      </c>
      <c r="FV8" s="41">
        <f>MIN(1,MAX(VLOOKUP(($AI8-$AH8-$AG8-$AF8-$AE8-$AA8*(1+FV$3))/$AI8,'[8]Технический лист'!$A:$B,2,1),(FU8-0.05)))</f>
        <v>1</v>
      </c>
      <c r="FW8" s="41">
        <f>MIN(1,MAX(VLOOKUP(($AI8-$AH8-$AG8-$AF8-$AE8-$AA8*(1+FW$3))/$AI8,'[8]Технический лист'!$A:$B,2,1),(FV8-0.05)))</f>
        <v>1</v>
      </c>
      <c r="FX8" s="41">
        <f>MIN(1,MAX(VLOOKUP(($AI8-$AH8-$AG8-$AF8-$AE8-$AA8*(1+FX$3))/$AI8,'[8]Технический лист'!$A:$B,2,1),(FW8-0.05)))</f>
        <v>1</v>
      </c>
      <c r="FY8" s="41">
        <f>MIN(1,MAX(VLOOKUP(($AI8-$AH8-$AG8-$AF8-$AE8-$AA8*(1+FY$3))/$AI8,'[8]Технический лист'!$A:$B,2,1),(FX8-0.05)))</f>
        <v>1</v>
      </c>
      <c r="FZ8" s="41">
        <f>MIN(1,MAX(VLOOKUP(($AI8-$AH8-$AG8-$AF8-$AE8-$AA8*(1+FZ$3))/$AI8,'[8]Технический лист'!$A:$B,2,1),(FY8-0.05)))</f>
        <v>1</v>
      </c>
      <c r="GA8" s="41">
        <f>MIN(1,MAX(VLOOKUP(($AI8-$AH8-$AG8-$AF8-$AE8-$AA8*(1+GA$3))/$AI8,'[8]Технический лист'!$A:$B,2,1),(FZ8-0.05)))</f>
        <v>1</v>
      </c>
      <c r="GB8" s="41">
        <f>MIN(1,MAX(VLOOKUP(($AI8-$AH8-$AG8-$AF8-$AE8-$AA8*(1+GB$3))/$AI8,'[8]Технический лист'!$A:$B,2,1),(GA8-0.05)))</f>
        <v>1</v>
      </c>
      <c r="GC8" s="41">
        <f>MIN(1,MAX(VLOOKUP(($AI8-$AH8-$AG8-$AF8-$AE8-$AA8*(1+GC$3))/$AI8,'[8]Технический лист'!$A:$B,2,1),(GB8-0.05)))</f>
        <v>1</v>
      </c>
      <c r="GD8" s="41">
        <f>MIN(1,MAX(VLOOKUP(($AI8-$AH8-$AG8-$AF8-$AE8-$AA8*(1+GD$3))/$AI8,'[8]Технический лист'!$A:$B,2,1),(GC8-0.05)))</f>
        <v>1</v>
      </c>
      <c r="GE8" s="41">
        <f>MIN(1,MAX(VLOOKUP(($AI8-$AH8-$AG8-$AF8-$AE8-$AA8*(1+GE$3))/$AI8,'[8]Технический лист'!$A:$B,2,1),(GD8-0.05)))</f>
        <v>1</v>
      </c>
      <c r="GF8" s="41">
        <f>MIN(1,MAX(VLOOKUP(($AI8-$AH8-$AG8-$AF8-$AE8-$AA8*(1+GF$3))/$AI8,'[8]Технический лист'!$A:$B,2,1),(GE8-0.05)))</f>
        <v>1</v>
      </c>
      <c r="GG8" s="41">
        <f>MIN(1,MAX(VLOOKUP(($AI8-$AH8-$AG8-$AF8-$AE8-$AA8*(1+GG$3))/$AI8,'[8]Технический лист'!$A:$B,2,1),(GF8-0.05)))</f>
        <v>1</v>
      </c>
      <c r="GH8" s="41">
        <f>MIN(1,MAX(VLOOKUP(($AI8-$AH8-$AG8-$AF8-$AE8-$AA8*(1+GH$3))/$AI8,'[8]Технический лист'!$A:$B,2,1),(GG8-0.05)))</f>
        <v>1</v>
      </c>
      <c r="GI8" s="41">
        <f>MIN(1,MAX(VLOOKUP(($AI8-$AH8-$AG8-$AF8-$AE8-$AA8*(1+GI$3))/$AI8,'[8]Технический лист'!$A:$B,2,1),(GH8-0.05)))</f>
        <v>1</v>
      </c>
      <c r="GJ8" s="41">
        <f>MIN(1,MAX(VLOOKUP(($AI8-$AH8-$AG8-$AF8-$AE8-$AA8*(1+GJ$3))/$AI8,'[8]Технический лист'!$A:$B,2,1),(GI8-0.05)))</f>
        <v>1</v>
      </c>
      <c r="GK8" s="41">
        <f>MIN(1,MAX(VLOOKUP(($AI8-$AH8-$AG8-$AF8-$AE8-$AA8*(1+GK$3))/$AI8,'[8]Технический лист'!$A:$B,2,1),(GJ8-0.05)))</f>
        <v>1</v>
      </c>
      <c r="GL8" s="41">
        <f>MIN(1,MAX(VLOOKUP(($AI8-$AH8-$AG8-$AF8-$AE8-$AA8*(1+GL$3))/$AI8,'[8]Технический лист'!$A:$B,2,1),(GK8-0.05)))</f>
        <v>1</v>
      </c>
      <c r="GM8" s="41">
        <f>MIN(1,MAX(VLOOKUP(($AI8-$AH8-$AG8-$AF8-$AE8-$AA8*(1+GM$3))/$AI8,'[8]Технический лист'!$A:$B,2,1),(GL8-0.05)))</f>
        <v>1</v>
      </c>
      <c r="GN8" s="41">
        <f>MIN(1,MAX(VLOOKUP(($AI8-$AH8-$AG8-$AF8-$AE8-$AA8*(1+GN$3))/$AI8,'[8]Технический лист'!$A:$B,2,1),(GM8-0.05)))</f>
        <v>1</v>
      </c>
    </row>
    <row r="9" spans="1:196">
      <c r="A9" s="3">
        <v>6</v>
      </c>
      <c r="B9" s="15" t="s">
        <v>61</v>
      </c>
      <c r="C9" s="4" t="s">
        <v>63</v>
      </c>
      <c r="D9" s="4" t="s">
        <v>64</v>
      </c>
      <c r="E9" s="4" t="s">
        <v>65</v>
      </c>
      <c r="F9" s="4" t="s">
        <v>22</v>
      </c>
      <c r="G9" s="4" t="s">
        <v>86</v>
      </c>
      <c r="H9" s="4" t="s">
        <v>98</v>
      </c>
      <c r="I9" s="4" t="s">
        <v>88</v>
      </c>
      <c r="J9" s="4" t="s">
        <v>99</v>
      </c>
      <c r="K9" s="4" t="s">
        <v>147</v>
      </c>
      <c r="L9" s="4" t="s">
        <v>17</v>
      </c>
      <c r="M9" s="4" t="s">
        <v>166</v>
      </c>
      <c r="N9" s="4" t="s">
        <v>56</v>
      </c>
      <c r="O9" s="4" t="s">
        <v>100</v>
      </c>
      <c r="P9" s="4" t="s">
        <v>101</v>
      </c>
      <c r="Q9" s="4" t="s">
        <v>71</v>
      </c>
      <c r="R9" s="16">
        <v>27821</v>
      </c>
      <c r="S9" s="17">
        <v>194488314</v>
      </c>
      <c r="T9" s="18">
        <v>0</v>
      </c>
      <c r="U9" s="18">
        <v>1004</v>
      </c>
      <c r="V9" s="17">
        <v>138317952</v>
      </c>
      <c r="W9" s="26" t="s">
        <v>166</v>
      </c>
      <c r="X9" s="26">
        <v>68</v>
      </c>
      <c r="Y9" s="24">
        <f>404346/X9</f>
        <v>5946.2647058823532</v>
      </c>
      <c r="Z9" s="20">
        <v>0</v>
      </c>
      <c r="AA9" s="27">
        <f t="shared" ref="AA9:AA10" si="1">Y9</f>
        <v>5946.2647058823532</v>
      </c>
      <c r="AB9" s="20">
        <v>20</v>
      </c>
      <c r="AC9" s="20">
        <v>0</v>
      </c>
      <c r="AD9" s="20">
        <v>4</v>
      </c>
      <c r="AE9" s="20">
        <f>'Ставки аренды'!$B$4*SUM(Лесные!AB9+Лесные!AC9+Лесные!AD9)/Лесные!X9</f>
        <v>564.70588235294122</v>
      </c>
      <c r="AF9" s="20">
        <v>0</v>
      </c>
      <c r="AG9" s="20"/>
      <c r="AH9" s="20">
        <f>0.86*AI9</f>
        <v>21301.538461538461</v>
      </c>
      <c r="AI9" s="20">
        <f>Цены!$C$3</f>
        <v>24769.23076923077</v>
      </c>
      <c r="AJ9" s="20"/>
      <c r="AK9" s="21"/>
      <c r="AL9" s="20"/>
      <c r="AM9" s="20"/>
      <c r="AN9" s="29">
        <f t="shared" si="0"/>
        <v>-0.12286527219583485</v>
      </c>
      <c r="AO9" s="20"/>
      <c r="AP9" s="20"/>
      <c r="AQ9" s="2"/>
      <c r="AR9" s="19"/>
      <c r="AS9" s="42">
        <v>0.8</v>
      </c>
      <c r="AT9" s="41">
        <f>MIN(IF($AS9=100%,1,1+VLOOKUP(($AI9-$AH9-$AG9-$AF9-$AE9-$AA9*(1+AT$3))/$AI9,'Технический лист'!$A:$B,2,1)-VLOOKUP($AN9,'Технический лист'!$A:$B,2,1)),1+(1-$AS9))</f>
        <v>1.2</v>
      </c>
      <c r="AU9" s="41">
        <f>MIN(IF($AS9=100%,1,1+VLOOKUP(($AI9-$AH9-$AG9-$AF9-$AE9-$AA9*(1+AU$3))/$AI9,'Технический лист'!$A:$B,2,1)-VLOOKUP($AN9,'Технический лист'!$A:$B,2,1)),1+(1-$AS9))</f>
        <v>1.2</v>
      </c>
      <c r="AV9" s="41">
        <f>MIN(IF($AS9=100%,1,1+VLOOKUP(($AI9-$AH9-$AG9-$AF9-$AE9-$AA9*(1+AV$3))/$AI9,'Технический лист'!$A:$B,2,1)-VLOOKUP($AN9,'Технический лист'!$A:$B,2,1)),1+(1-$AS9))</f>
        <v>1.2</v>
      </c>
      <c r="AW9" s="41">
        <f>MIN(IF($AS9=100%,1,1+VLOOKUP(($AI9-$AH9-$AG9-$AF9-$AE9-$AA9*(1+AW$3))/$AI9,'Технический лист'!$A:$B,2,1)-VLOOKUP($AN9,'Технический лист'!$A:$B,2,1)),1+(1-$AS9))</f>
        <v>1.2</v>
      </c>
      <c r="AX9" s="41">
        <f>MIN(IF($AS9=100%,1,1+VLOOKUP(($AI9-$AH9-$AG9-$AF9-$AE9-$AA9*(1+AX$3))/$AI9,'Технический лист'!$A:$B,2,1)-VLOOKUP($AN9,'Технический лист'!$A:$B,2,1)),1+(1-$AS9))</f>
        <v>1.2</v>
      </c>
      <c r="AY9" s="41">
        <f>MIN(IF($AS9=100%,1,1+VLOOKUP(($AI9-$AH9-$AG9-$AF9-$AE9-$AA9*(1+AY$3))/$AI9,'Технический лист'!$A:$B,2,1)-VLOOKUP($AN9,'Технический лист'!$A:$B,2,1)),1+(1-$AS9))</f>
        <v>1.2</v>
      </c>
      <c r="AZ9" s="41">
        <f>MIN(IF($AS9=100%,1,1+VLOOKUP(($AI9-$AH9-$AG9-$AF9-$AE9-$AA9*(1+AZ$3))/$AI9,'Технический лист'!$A:$B,2,1)-VLOOKUP($AN9,'Технический лист'!$A:$B,2,1)),1+(1-$AS9))</f>
        <v>1.2</v>
      </c>
      <c r="BA9" s="41">
        <f>MIN(IF($AS9=100%,1,1+VLOOKUP(($AI9-$AH9-$AG9-$AF9-$AE9-$AA9*(1+BA$3))/$AI9,'Технический лист'!$A:$B,2,1)-VLOOKUP($AN9,'Технический лист'!$A:$B,2,1)),1+(1-$AS9))</f>
        <v>1.2</v>
      </c>
      <c r="BB9" s="41">
        <f>MIN(IF($AS9=100%,1,1+VLOOKUP(($AI9-$AH9-$AG9-$AF9-$AE9-$AA9*(1+BB$3))/$AI9,'Технический лист'!$A:$B,2,1)-VLOOKUP($AN9,'Технический лист'!$A:$B,2,1)),1+(1-$AS9))</f>
        <v>1.2</v>
      </c>
      <c r="BC9" s="41">
        <f>MIN(IF($AS9=100%,1,1+VLOOKUP(($AI9-$AH9-$AG9-$AF9-$AE9-$AA9*(1+BC$3))/$AI9,'Технический лист'!$A:$B,2,1)-VLOOKUP($AN9,'Технический лист'!$A:$B,2,1)),1+(1-$AS9))</f>
        <v>1.2</v>
      </c>
      <c r="BD9" s="41">
        <f>MIN(IF($AS9=100%,1,1+VLOOKUP(($AI9-$AH9-$AG9-$AF9-$AE9-$AA9*(1+BD$3))/$AI9,'Технический лист'!$A:$B,2,1)-VLOOKUP($AN9,'Технический лист'!$A:$B,2,1)),1+(1-$AS9))</f>
        <v>1.2</v>
      </c>
      <c r="BE9" s="41">
        <f>MIN(IF($AS9=100%,1,1+VLOOKUP(($AI9-$AH9-$AG9-$AF9-$AE9-$AA9*(1+BE$3))/$AI9,'Технический лист'!$A:$B,2,1)-VLOOKUP($AN9,'Технический лист'!$A:$B,2,1)),1+(1-$AS9))</f>
        <v>1.2</v>
      </c>
      <c r="BF9" s="41">
        <f>MIN(IF($AS9=100%,1,1+VLOOKUP(($AI9-$AH9-$AG9-$AF9-$AE9-$AA9*(1+BF$3))/$AI9,'Технический лист'!$A:$B,2,1)-VLOOKUP($AN9,'Технический лист'!$A:$B,2,1)),1+(1-$AS9))</f>
        <v>1.2</v>
      </c>
      <c r="BG9" s="41">
        <f>MIN(IF($AS9=100%,1,1+VLOOKUP(($AI9-$AH9-$AG9-$AF9-$AE9-$AA9*(1+BG$3))/$AI9,'Технический лист'!$A:$B,2,1)-VLOOKUP($AN9,'Технический лист'!$A:$B,2,1)),1+(1-$AS9))</f>
        <v>1.2</v>
      </c>
      <c r="BH9" s="41">
        <f>MIN(IF($AS9=100%,1,1+VLOOKUP(($AI9-$AH9-$AG9-$AF9-$AE9-$AA9*(1+BH$3))/$AI9,'Технический лист'!$A:$B,2,1)-VLOOKUP($AN9,'Технический лист'!$A:$B,2,1)),1+(1-$AS9))</f>
        <v>1.2</v>
      </c>
      <c r="BI9" s="41">
        <f>MIN(IF($AS9=100%,1,1+VLOOKUP(($AI9-$AH9-$AG9-$AF9-$AE9-$AA9*(1+BI$3))/$AI9,'Технический лист'!$A:$B,2,1)-VLOOKUP($AN9,'Технический лист'!$A:$B,2,1)),1+(1-$AS9))</f>
        <v>1.2</v>
      </c>
      <c r="BJ9" s="41">
        <f>MIN(IF($AS9=100%,1,1+VLOOKUP(($AI9-$AH9-$AG9-$AF9-$AE9-$AA9*(1+BJ$3))/$AI9,'Технический лист'!$A:$B,2,1)-VLOOKUP($AN9,'Технический лист'!$A:$B,2,1)),1+(1-$AS9))</f>
        <v>1.2</v>
      </c>
      <c r="BK9" s="41">
        <f>MIN(IF($AS9=100%,1,1+VLOOKUP(($AI9-$AH9-$AG9-$AF9-$AE9-$AA9*(1+BK$3))/$AI9,'Технический лист'!$A:$B,2,1)-VLOOKUP($AN9,'Технический лист'!$A:$B,2,1)),1+(1-$AS9))</f>
        <v>1.2</v>
      </c>
      <c r="BL9" s="41">
        <f>MIN(IF($AS9=100%,1,1+VLOOKUP(($AI9-$AH9-$AG9-$AF9-$AE9-$AA9*(1+BL$3))/$AI9,'Технический лист'!$A:$B,2,1)-VLOOKUP($AN9,'Технический лист'!$A:$B,2,1)),1+(1-$AS9))</f>
        <v>1.2</v>
      </c>
      <c r="BM9" s="41">
        <f>MIN(IF($AS9=100%,1,1+VLOOKUP(($AI9-$AH9-$AG9-$AF9-$AE9-$AA9*(1+BM$3))/$AI9,'Технический лист'!$A:$B,2,1)-VLOOKUP($AN9,'Технический лист'!$A:$B,2,1)),1+(1-$AS9))</f>
        <v>1.2</v>
      </c>
      <c r="BN9" s="41">
        <f>MIN(IF($AS9=100%,1,1+VLOOKUP(($AI9-$AH9-$AG9-$AF9-$AE9-$AA9*(1+BN$3))/$AI9,'Технический лист'!$A:$B,2,1)-VLOOKUP($AN9,'Технический лист'!$A:$B,2,1)),1+(1-$AS9))</f>
        <v>1.2</v>
      </c>
      <c r="BO9" s="41">
        <f>MIN(IF($AS9=100%,1,1+VLOOKUP(($AI9-$AH9-$AG9-$AF9-$AE9-$AA9*(1+BO$3))/$AI9,'Технический лист'!$A:$B,2,1)-VLOOKUP($AN9,'Технический лист'!$A:$B,2,1)),1+(1-$AS9))</f>
        <v>1.2</v>
      </c>
      <c r="BP9" s="41">
        <f>MIN(IF($AS9=100%,1,1+VLOOKUP(($AI9-$AH9-$AG9-$AF9-$AE9-$AA9*(1+BP$3))/$AI9,'Технический лист'!$A:$B,2,1)-VLOOKUP($AN9,'Технический лист'!$A:$B,2,1)),1+(1-$AS9))</f>
        <v>1.2</v>
      </c>
      <c r="BQ9" s="41">
        <f>MIN(IF($AS9=100%,1,1+VLOOKUP(($AI9-$AH9-$AG9-$AF9-$AE9-$AA9*(1+BQ$3))/$AI9,'Технический лист'!$A:$B,2,1)-VLOOKUP($AN9,'Технический лист'!$A:$B,2,1)),1+(1-$AS9))</f>
        <v>1.2</v>
      </c>
      <c r="BR9" s="41">
        <f>MIN(IF($AS9=100%,1,1+VLOOKUP(($AI9-$AH9-$AG9-$AF9-$AE9-$AA9*(1+BR$3))/$AI9,'Технический лист'!$A:$B,2,1)-VLOOKUP($AN9,'Технический лист'!$A:$B,2,1)),1+(1-$AS9))</f>
        <v>1.2</v>
      </c>
      <c r="BS9" s="41">
        <f>MIN(IF($AS9=100%,1,1+VLOOKUP(($AI9-$AH9-$AG9-$AF9-$AE9-$AA9*(1+BS$3))/$AI9,'Технический лист'!$A:$B,2,1)-VLOOKUP($AN9,'Технический лист'!$A:$B,2,1)),1+(1-$AS9))</f>
        <v>1.2</v>
      </c>
      <c r="BT9" s="41">
        <f>MIN(IF($AS9=100%,1,1+VLOOKUP(($AI9-$AH9-$AG9-$AF9-$AE9-$AA9*(1+BT$3))/$AI9,'Технический лист'!$A:$B,2,1)-VLOOKUP($AN9,'Технический лист'!$A:$B,2,1)),1+(1-$AS9))</f>
        <v>1.2</v>
      </c>
      <c r="BU9" s="41">
        <f>MIN(IF($AS9=100%,1,1+VLOOKUP(($AI9-$AH9-$AG9-$AF9-$AE9-$AA9*(1+BU$3))/$AI9,'Технический лист'!$A:$B,2,1)-VLOOKUP($AN9,'Технический лист'!$A:$B,2,1)),1+(1-$AS9))</f>
        <v>1.18</v>
      </c>
      <c r="BV9" s="41">
        <f>MIN(IF($AS9=100%,1,1+VLOOKUP(($AI9-$AH9-$AG9-$AF9-$AE9-$AA9*(1+BV$3))/$AI9,'Технический лист'!$A:$B,2,1)-VLOOKUP($AN9,'Технический лист'!$A:$B,2,1)),1+(1-$AS9))</f>
        <v>1.18</v>
      </c>
      <c r="BW9" s="41">
        <f>MIN(IF($AS9=100%,1,1+VLOOKUP(($AI9-$AH9-$AG9-$AF9-$AE9-$AA9*(1+BW$3))/$AI9,'Технический лист'!$A:$B,2,1)-VLOOKUP($AN9,'Технический лист'!$A:$B,2,1)),1+(1-$AS9))</f>
        <v>1.18</v>
      </c>
      <c r="BX9" s="41">
        <f>MIN(IF($AS9=100%,1,1+VLOOKUP(($AI9-$AH9-$AG9-$AF9-$AE9-$AA9*(1+BX$3))/$AI9,'Технический лист'!$A:$B,2,1)-VLOOKUP($AN9,'Технический лист'!$A:$B,2,1)),1+(1-$AS9))</f>
        <v>1.18</v>
      </c>
      <c r="BY9" s="41">
        <f>MIN(IF($AS9=100%,1,1+VLOOKUP(($AI9-$AH9-$AG9-$AF9-$AE9-$AA9*(1+BY$3))/$AI9,'Технический лист'!$A:$B,2,1)-VLOOKUP($AN9,'Технический лист'!$A:$B,2,1)),1+(1-$AS9))</f>
        <v>1.1450000000000002</v>
      </c>
      <c r="BZ9" s="41">
        <f>MIN(IF($AS9=100%,1,1+VLOOKUP(($AI9-$AH9-$AG9-$AF9-$AE9-$AA9*(1+BZ$3))/$AI9,'Технический лист'!$A:$B,2,1)-VLOOKUP($AN9,'Технический лист'!$A:$B,2,1)),1+(1-$AS9))</f>
        <v>1.1450000000000002</v>
      </c>
      <c r="CA9" s="41">
        <f>MIN(IF($AS9=100%,1,1+VLOOKUP(($AI9-$AH9-$AG9-$AF9-$AE9-$AA9*(1+CA$3))/$AI9,'Технический лист'!$A:$B,2,1)-VLOOKUP($AN9,'Технический лист'!$A:$B,2,1)),1+(1-$AS9))</f>
        <v>1.1450000000000002</v>
      </c>
      <c r="CB9" s="41">
        <f>MIN(IF($AS9=100%,1,1+VLOOKUP(($AI9-$AH9-$AG9-$AF9-$AE9-$AA9*(1+CB$3))/$AI9,'Технический лист'!$A:$B,2,1)-VLOOKUP($AN9,'Технический лист'!$A:$B,2,1)),1+(1-$AS9))</f>
        <v>1.1450000000000002</v>
      </c>
      <c r="CC9" s="41">
        <f>MIN(IF($AS9=100%,1,1+VLOOKUP(($AI9-$AH9-$AG9-$AF9-$AE9-$AA9*(1+CC$3))/$AI9,'Технический лист'!$A:$B,2,1)-VLOOKUP($AN9,'Технический лист'!$A:$B,2,1)),1+(1-$AS9))</f>
        <v>1.1450000000000002</v>
      </c>
      <c r="CD9" s="41">
        <f>MIN(IF($AS9=100%,1,1+VLOOKUP(($AI9-$AH9-$AG9-$AF9-$AE9-$AA9*(1+CD$3))/$AI9,'Технический лист'!$A:$B,2,1)-VLOOKUP($AN9,'Технический лист'!$A:$B,2,1)),1+(1-$AS9))</f>
        <v>1.1100000000000001</v>
      </c>
      <c r="CE9" s="41">
        <f>MIN(IF($AS9=100%,1,1+VLOOKUP(($AI9-$AH9-$AG9-$AF9-$AE9-$AA9*(1+CE$3))/$AI9,'Технический лист'!$A:$B,2,1)-VLOOKUP($AN9,'Технический лист'!$A:$B,2,1)),1+(1-$AS9))</f>
        <v>1.1100000000000001</v>
      </c>
      <c r="CF9" s="41">
        <f>MIN(IF($AS9=100%,1,1+VLOOKUP(($AI9-$AH9-$AG9-$AF9-$AE9-$AA9*(1+CF$3))/$AI9,'Технический лист'!$A:$B,2,1)-VLOOKUP($AN9,'Технический лист'!$A:$B,2,1)),1+(1-$AS9))</f>
        <v>1.1100000000000001</v>
      </c>
      <c r="CG9" s="41">
        <f>MIN(IF($AS9=100%,1,1+VLOOKUP(($AI9-$AH9-$AG9-$AF9-$AE9-$AA9*(1+CG$3))/$AI9,'Технический лист'!$A:$B,2,1)-VLOOKUP($AN9,'Технический лист'!$A:$B,2,1)),1+(1-$AS9))</f>
        <v>1.1100000000000001</v>
      </c>
      <c r="CH9" s="41">
        <f>MIN(IF($AS9=100%,1,1+VLOOKUP(($AI9-$AH9-$AG9-$AF9-$AE9-$AA9*(1+CH$3))/$AI9,'Технический лист'!$A:$B,2,1)-VLOOKUP($AN9,'Технический лист'!$A:$B,2,1)),1+(1-$AS9))</f>
        <v>1.075</v>
      </c>
      <c r="CI9" s="41">
        <f>MIN(IF($AS9=100%,1,1+VLOOKUP(($AI9-$AH9-$AG9-$AF9-$AE9-$AA9*(1+CI$3))/$AI9,'Технический лист'!$A:$B,2,1)-VLOOKUP($AN9,'Технический лист'!$A:$B,2,1)),1+(1-$AS9))</f>
        <v>1.075</v>
      </c>
      <c r="CJ9" s="41">
        <f>MIN(IF($AS9=100%,1,1+VLOOKUP(($AI9-$AH9-$AG9-$AF9-$AE9-$AA9*(1+CJ$3))/$AI9,'Технический лист'!$A:$B,2,1)-VLOOKUP($AN9,'Технический лист'!$A:$B,2,1)),1+(1-$AS9))</f>
        <v>1.075</v>
      </c>
      <c r="CK9" s="41">
        <f>MIN(IF($AS9=100%,1,1+VLOOKUP(($AI9-$AH9-$AG9-$AF9-$AE9-$AA9*(1+CK$3))/$AI9,'Технический лист'!$A:$B,2,1)-VLOOKUP($AN9,'Технический лист'!$A:$B,2,1)),1+(1-$AS9))</f>
        <v>1.075</v>
      </c>
      <c r="CL9" s="41">
        <f>MIN(IF($AS9=100%,1,1+VLOOKUP(($AI9-$AH9-$AG9-$AF9-$AE9-$AA9*(1+CL$3))/$AI9,'Технический лист'!$A:$B,2,1)-VLOOKUP($AN9,'Технический лист'!$A:$B,2,1)),1+(1-$AS9))</f>
        <v>1.04</v>
      </c>
      <c r="CM9" s="41">
        <f>MIN(IF($AS9=100%,1,1+VLOOKUP(($AI9-$AH9-$AG9-$AF9-$AE9-$AA9*(1+CM$3))/$AI9,'Технический лист'!$A:$B,2,1)-VLOOKUP($AN9,'Технический лист'!$A:$B,2,1)),1+(1-$AS9))</f>
        <v>1.04</v>
      </c>
      <c r="CN9" s="41">
        <f>MIN(IF($AS9=100%,1,1+VLOOKUP(($AI9-$AH9-$AG9-$AF9-$AE9-$AA9*(1+CN$3))/$AI9,'Технический лист'!$A:$B,2,1)-VLOOKUP($AN9,'Технический лист'!$A:$B,2,1)),1+(1-$AS9))</f>
        <v>1.04</v>
      </c>
      <c r="CO9" s="41">
        <f>MIN(IF($AS9=100%,1,1+VLOOKUP(($AI9-$AH9-$AG9-$AF9-$AE9-$AA9*(1+CO$3))/$AI9,'Технический лист'!$A:$B,2,1)-VLOOKUP($AN9,'Технический лист'!$A:$B,2,1)),1+(1-$AS9))</f>
        <v>1.04</v>
      </c>
      <c r="CP9" s="41">
        <f>MIN(IF($AS9=100%,1,1+VLOOKUP(($AI9-$AH9-$AG9-$AF9-$AE9-$AA9*(1+CP$3))/$AI9,'Технический лист'!$A:$B,2,1)-VLOOKUP($AN9,'Технический лист'!$A:$B,2,1)),1+(1-$AS9))</f>
        <v>1</v>
      </c>
      <c r="CQ9" s="41">
        <f>MIN(IF($AS9=100%,1,1+VLOOKUP(($AI9-$AH9-$AG9-$AF9-$AE9-$AA9*(1+CQ$3))/$AI9,'Технический лист'!$A:$B,2,1)-VLOOKUP($AN9,'Технический лист'!$A:$B,2,1)),1+(1-$AS9))</f>
        <v>1</v>
      </c>
      <c r="CR9">
        <v>1</v>
      </c>
      <c r="CS9" s="41">
        <f>MIN(1,MAX(VLOOKUP(($AI9-$AH9-$AG9-$AF9-$AE9-$AA9*(1+CS$3))/$AI9,'[8]Технический лист'!$A:$B,2,1),(CR9-0.05)))</f>
        <v>0.95</v>
      </c>
      <c r="CT9" s="41">
        <f>MIN(1,MAX(VLOOKUP(($AI9-$AH9-$AG9-$AF9-$AE9-$AA9*(1+CT$3))/$AI9,'[8]Технический лист'!$A:$B,2,1),(CS9-0.05)))</f>
        <v>0.89999999999999991</v>
      </c>
      <c r="CU9" s="41">
        <f>MIN(1,MAX(VLOOKUP(($AI9-$AH9-$AG9-$AF9-$AE9-$AA9*(1+CU$3))/$AI9,'[8]Технический лист'!$A:$B,2,1),(CT9-0.05)))</f>
        <v>0.84999999999999987</v>
      </c>
      <c r="CV9" s="41">
        <f>MIN(1,MAX(VLOOKUP(($AI9-$AH9-$AG9-$AF9-$AE9-$AA9*(1+CV$3))/$AI9,'[8]Технический лист'!$A:$B,2,1),(CU9-0.05)))</f>
        <v>0.79999999999999982</v>
      </c>
      <c r="CW9" s="41">
        <f>MIN(1,MAX(VLOOKUP(($AI9-$AH9-$AG9-$AF9-$AE9-$AA9*(1+CW$3))/$AI9,'[8]Технический лист'!$A:$B,2,1),(CV9-0.05)))</f>
        <v>0.74999999999999978</v>
      </c>
      <c r="CX9" s="41">
        <f>MIN(1,MAX(VLOOKUP(($AI9-$AH9-$AG9-$AF9-$AE9-$AA9*(1+CX$3))/$AI9,'[8]Технический лист'!$A:$B,2,1),(CW9-0.05)))</f>
        <v>0.71</v>
      </c>
      <c r="CY9" s="41">
        <f>MIN(1,MAX(VLOOKUP(($AI9-$AH9-$AG9-$AF9-$AE9-$AA9*(1+CY$3))/$AI9,'[8]Технический лист'!$A:$B,2,1),(CX9-0.05)))</f>
        <v>0.71</v>
      </c>
      <c r="CZ9" s="41">
        <f>MIN(1,MAX(VLOOKUP(($AI9-$AH9-$AG9-$AF9-$AE9-$AA9*(1+CZ$3))/$AI9,'[8]Технический лист'!$A:$B,2,1),(CY9-0.05)))</f>
        <v>0.71</v>
      </c>
      <c r="DA9" s="41">
        <f>MIN(1,MAX(VLOOKUP(($AI9-$AH9-$AG9-$AF9-$AE9-$AA9*(1+DA$3))/$AI9,'[8]Технический лист'!$A:$B,2,1),(CZ9-0.05)))</f>
        <v>0.71</v>
      </c>
      <c r="DB9" s="41">
        <f>MIN(1,MAX(VLOOKUP(($AI9-$AH9-$AG9-$AF9-$AE9-$AA9*(1+DB$3))/$AI9,'[8]Технический лист'!$A:$B,2,1),(DA9-0.05)))</f>
        <v>0.71</v>
      </c>
      <c r="DC9" s="41">
        <f>MIN(1,MAX(VLOOKUP(($AI9-$AH9-$AG9-$AF9-$AE9-$AA9*(1+DC$3))/$AI9,'[8]Технический лист'!$A:$B,2,1),(DB9-0.05)))</f>
        <v>0.68500000000000005</v>
      </c>
      <c r="DD9" s="41">
        <f>MIN(1,MAX(VLOOKUP(($AI9-$AH9-$AG9-$AF9-$AE9-$AA9*(1+DD$3))/$AI9,'[8]Технический лист'!$A:$B,2,1),(DC9-0.05)))</f>
        <v>0.68500000000000005</v>
      </c>
      <c r="DE9" s="41">
        <f>MIN(1,MAX(VLOOKUP(($AI9-$AH9-$AG9-$AF9-$AE9-$AA9*(1+DE$3))/$AI9,'[8]Технический лист'!$A:$B,2,1),(DD9-0.05)))</f>
        <v>0.68500000000000005</v>
      </c>
      <c r="DF9" s="41">
        <f>MIN(1,MAX(VLOOKUP(($AI9-$AH9-$AG9-$AF9-$AE9-$AA9*(1+DF$3))/$AI9,'[8]Технический лист'!$A:$B,2,1),(DE9-0.05)))</f>
        <v>0.68500000000000005</v>
      </c>
      <c r="DG9" s="41">
        <f>MIN(1,MAX(VLOOKUP(($AI9-$AH9-$AG9-$AF9-$AE9-$AA9*(1+DG$3))/$AI9,'[8]Технический лист'!$A:$B,2,1),(DF9-0.05)))</f>
        <v>0.66</v>
      </c>
      <c r="DH9" s="41">
        <f>MIN(1,MAX(VLOOKUP(($AI9-$AH9-$AG9-$AF9-$AE9-$AA9*(1+DH$3))/$AI9,'[8]Технический лист'!$A:$B,2,1),(DG9-0.05)))</f>
        <v>0.66</v>
      </c>
      <c r="DI9" s="41">
        <f>MIN(1,MAX(VLOOKUP(($AI9-$AH9-$AG9-$AF9-$AE9-$AA9*(1+DI$3))/$AI9,'[8]Технический лист'!$A:$B,2,1),(DH9-0.05)))</f>
        <v>0.66</v>
      </c>
      <c r="DJ9" s="41">
        <f>MIN(1,MAX(VLOOKUP(($AI9-$AH9-$AG9-$AF9-$AE9-$AA9*(1+DJ$3))/$AI9,'[8]Технический лист'!$A:$B,2,1),(DI9-0.05)))</f>
        <v>0.66</v>
      </c>
      <c r="DK9" s="41">
        <f>MIN(1,MAX(VLOOKUP(($AI9-$AH9-$AG9-$AF9-$AE9-$AA9*(1+DK$3))/$AI9,'[8]Технический лист'!$A:$B,2,1),(DJ9-0.05)))</f>
        <v>0.63500000000000001</v>
      </c>
      <c r="DL9" s="41">
        <f>MIN(1,MAX(VLOOKUP(($AI9-$AH9-$AG9-$AF9-$AE9-$AA9*(1+DL$3))/$AI9,'[8]Технический лист'!$A:$B,2,1),(DK9-0.05)))</f>
        <v>0.63500000000000001</v>
      </c>
      <c r="DM9" s="41">
        <f>MIN(1,MAX(VLOOKUP(($AI9-$AH9-$AG9-$AF9-$AE9-$AA9*(1+DM$3))/$AI9,'[8]Технический лист'!$A:$B,2,1),(DL9-0.05)))</f>
        <v>0.63500000000000001</v>
      </c>
      <c r="DN9" s="41">
        <f>MIN(1,MAX(VLOOKUP(($AI9-$AH9-$AG9-$AF9-$AE9-$AA9*(1+DN$3))/$AI9,'[8]Технический лист'!$A:$B,2,1),(DM9-0.05)))</f>
        <v>0.63500000000000001</v>
      </c>
      <c r="DO9" s="41">
        <f>MIN(1,MAX(VLOOKUP(($AI9-$AH9-$AG9-$AF9-$AE9-$AA9*(1+DO$3))/$AI9,'[8]Технический лист'!$A:$B,2,1),(DN9-0.05)))</f>
        <v>0.61</v>
      </c>
      <c r="DP9" s="41">
        <f>MIN(1,MAX(VLOOKUP(($AI9-$AH9-$AG9-$AF9-$AE9-$AA9*(1+DP$3))/$AI9,'[8]Технический лист'!$A:$B,2,1),(DO9-0.05)))</f>
        <v>0.61</v>
      </c>
      <c r="DQ9" s="41">
        <f>MIN(1,MAX(VLOOKUP(($AI9-$AH9-$AG9-$AF9-$AE9-$AA9*(1+DQ$3))/$AI9,'[8]Технический лист'!$A:$B,2,1),(DP9-0.05)))</f>
        <v>0.61</v>
      </c>
      <c r="DR9" s="41">
        <f>MIN(1,MAX(VLOOKUP(($AI9-$AH9-$AG9-$AF9-$AE9-$AA9*(1+DR$3))/$AI9,'[8]Технический лист'!$A:$B,2,1),(DQ9-0.05)))</f>
        <v>0.61</v>
      </c>
      <c r="DS9" s="41">
        <f>MIN(1,MAX(VLOOKUP(($AI9-$AH9-$AG9-$AF9-$AE9-$AA9*(1+DS$3))/$AI9,'[8]Технический лист'!$A:$B,2,1),(DR9-0.05)))</f>
        <v>0.57999999999999996</v>
      </c>
      <c r="DT9" s="41">
        <f>MIN(1,MAX(VLOOKUP(($AI9-$AH9-$AG9-$AF9-$AE9-$AA9*(1+DT$3))/$AI9,'[8]Технический лист'!$A:$B,2,1),(DS9-0.05)))</f>
        <v>0.57999999999999996</v>
      </c>
      <c r="DU9" s="41">
        <f>MIN(1,MAX(VLOOKUP(($AI9-$AH9-$AG9-$AF9-$AE9-$AA9*(1+DU$3))/$AI9,'[8]Технический лист'!$A:$B,2,1),(DT9-0.05)))</f>
        <v>0.57999999999999996</v>
      </c>
      <c r="DV9" s="41">
        <f>MIN(1,MAX(VLOOKUP(($AI9-$AH9-$AG9-$AF9-$AE9-$AA9*(1+DV$3))/$AI9,'[8]Технический лист'!$A:$B,2,1),(DU9-0.05)))</f>
        <v>0.57999999999999996</v>
      </c>
      <c r="DW9" s="41">
        <f>MIN(1,MAX(VLOOKUP(($AI9-$AH9-$AG9-$AF9-$AE9-$AA9*(1+DW$3))/$AI9,'[8]Технический лист'!$A:$B,2,1),(DV9-0.05)))</f>
        <v>0.55000000000000004</v>
      </c>
      <c r="DX9" s="41">
        <f>MIN(1,MAX(VLOOKUP(($AI9-$AH9-$AG9-$AF9-$AE9-$AA9*(1+DX$3))/$AI9,'[8]Технический лист'!$A:$B,2,1),(DW9-0.05)))</f>
        <v>0.55000000000000004</v>
      </c>
      <c r="DY9" s="41">
        <f>MIN(1,MAX(VLOOKUP(($AI9-$AH9-$AG9-$AF9-$AE9-$AA9*(1+DY$3))/$AI9,'[8]Технический лист'!$A:$B,2,1),(DX9-0.05)))</f>
        <v>0.55000000000000004</v>
      </c>
      <c r="DZ9" s="41">
        <f>MIN(1,MAX(VLOOKUP(($AI9-$AH9-$AG9-$AF9-$AE9-$AA9*(1+DZ$3))/$AI9,'[8]Технический лист'!$A:$B,2,1),(DY9-0.05)))</f>
        <v>0.55000000000000004</v>
      </c>
      <c r="EA9" s="41">
        <f>MIN(1,MAX(VLOOKUP(($AI9-$AH9-$AG9-$AF9-$AE9-$AA9*(1+EA$3))/$AI9,'[8]Технический лист'!$A:$B,2,1),(DZ9-0.05)))</f>
        <v>0.55000000000000004</v>
      </c>
      <c r="EB9" s="41">
        <f>MIN(1,MAX(VLOOKUP(($AI9-$AH9-$AG9-$AF9-$AE9-$AA9*(1+EB$3))/$AI9,'[8]Технический лист'!$A:$B,2,1),(EA9-0.05)))</f>
        <v>0.52</v>
      </c>
      <c r="EC9" s="41">
        <f>MIN(1,MAX(VLOOKUP(($AI9-$AH9-$AG9-$AF9-$AE9-$AA9*(1+EC$3))/$AI9,'[8]Технический лист'!$A:$B,2,1),(EB9-0.05)))</f>
        <v>0.52</v>
      </c>
      <c r="ED9" s="41">
        <f>MIN(1,MAX(VLOOKUP(($AI9-$AH9-$AG9-$AF9-$AE9-$AA9*(1+ED$3))/$AI9,'[8]Технический лист'!$A:$B,2,1),(EC9-0.05)))</f>
        <v>0.52</v>
      </c>
      <c r="EE9" s="41">
        <f>MIN(1,MAX(VLOOKUP(($AI9-$AH9-$AG9-$AF9-$AE9-$AA9*(1+EE$3))/$AI9,'[8]Технический лист'!$A:$B,2,1),(ED9-0.05)))</f>
        <v>0.52</v>
      </c>
      <c r="EF9" s="41">
        <f>MIN(1,MAX(VLOOKUP(($AI9-$AH9-$AG9-$AF9-$AE9-$AA9*(1+EF$3))/$AI9,'[8]Технический лист'!$A:$B,2,1),(EE9-0.05)))</f>
        <v>0.49</v>
      </c>
      <c r="EG9" s="41">
        <f>MIN(1,MAX(VLOOKUP(($AI9-$AH9-$AG9-$AF9-$AE9-$AA9*(1+EG$3))/$AI9,'[8]Технический лист'!$A:$B,2,1),(EF9-0.05)))</f>
        <v>0.49</v>
      </c>
      <c r="EH9" s="41">
        <f>MIN(1,MAX(VLOOKUP(($AI9-$AH9-$AG9-$AF9-$AE9-$AA9*(1+EH$3))/$AI9,'[8]Технический лист'!$A:$B,2,1),(EG9-0.05)))</f>
        <v>0.49</v>
      </c>
      <c r="EI9" s="41">
        <f>MIN(1,MAX(VLOOKUP(($AI9-$AH9-$AG9-$AF9-$AE9-$AA9*(1+EI$3))/$AI9,'[8]Технический лист'!$A:$B,2,1),(EH9-0.05)))</f>
        <v>0.49</v>
      </c>
      <c r="EJ9" s="41">
        <f>MIN(1,MAX(VLOOKUP(($AI9-$AH9-$AG9-$AF9-$AE9-$AA9*(1+EJ$3))/$AI9,'[8]Технический лист'!$A:$B,2,1),(EI9-0.05)))</f>
        <v>0.46</v>
      </c>
      <c r="EK9" s="41">
        <f>MIN(1,MAX(VLOOKUP(($AI9-$AH9-$AG9-$AF9-$AE9-$AA9*(1+EK$3))/$AI9,'[8]Технический лист'!$A:$B,2,1),(EJ9-0.05)))</f>
        <v>0.46</v>
      </c>
      <c r="EL9" s="41">
        <f>MIN(1,MAX(VLOOKUP(($AI9-$AH9-$AG9-$AF9-$AE9-$AA9*(1+EL$3))/$AI9,'[8]Технический лист'!$A:$B,2,1),(EK9-0.05)))</f>
        <v>0.46</v>
      </c>
      <c r="EM9" s="41">
        <f>MIN(1,MAX(VLOOKUP(($AI9-$AH9-$AG9-$AF9-$AE9-$AA9*(1+EM$3))/$AI9,'[8]Технический лист'!$A:$B,2,1),(EL9-0.05)))</f>
        <v>0.46</v>
      </c>
      <c r="EN9" s="41">
        <f>MIN(1,MAX(VLOOKUP(($AI9-$AH9-$AG9-$AF9-$AE9-$AA9*(1+EN$3))/$AI9,'[8]Технический лист'!$A:$B,2,1),(EM9-0.05)))</f>
        <v>0.42499999999999999</v>
      </c>
      <c r="EO9" s="41">
        <f>MIN(1,MAX(VLOOKUP(($AI9-$AH9-$AG9-$AF9-$AE9-$AA9*(1+EO$3))/$AI9,'[8]Технический лист'!$A:$B,2,1),(EN9-0.05)))</f>
        <v>0.42499999999999999</v>
      </c>
      <c r="EP9" s="41">
        <f>MIN(1,MAX(VLOOKUP(($AI9-$AH9-$AG9-$AF9-$AE9-$AA9*(1+EP$3))/$AI9,'[8]Технический лист'!$A:$B,2,1),(EO9-0.05)))</f>
        <v>0.42499999999999999</v>
      </c>
      <c r="EQ9" s="41">
        <f>MIN(1,MAX(VLOOKUP(($AI9-$AH9-$AG9-$AF9-$AE9-$AA9*(1+EQ$3))/$AI9,'[8]Технический лист'!$A:$B,2,1),(EP9-0.05)))</f>
        <v>0.42499999999999999</v>
      </c>
      <c r="ER9" s="41">
        <f>MIN(1,MAX(VLOOKUP(($AI9-$AH9-$AG9-$AF9-$AE9-$AA9*(1+ER$3))/$AI9,'[8]Технический лист'!$A:$B,2,1),(EQ9-0.05)))</f>
        <v>0.39</v>
      </c>
      <c r="ES9" s="41">
        <f>MIN(1,MAX(VLOOKUP(($AI9-$AH9-$AG9-$AF9-$AE9-$AA9*(1+ES$3))/$AI9,'[8]Технический лист'!$A:$B,2,1),(ER9-0.05)))</f>
        <v>0.39</v>
      </c>
      <c r="ET9" s="41">
        <f>MIN(1,MAX(VLOOKUP(($AI9-$AH9-$AG9-$AF9-$AE9-$AA9*(1+ET$3))/$AI9,'[8]Технический лист'!$A:$B,2,1),(ES9-0.05)))</f>
        <v>0.39</v>
      </c>
      <c r="EU9" s="41">
        <f>MIN(1,MAX(VLOOKUP(($AI9-$AH9-$AG9-$AF9-$AE9-$AA9*(1+EU$3))/$AI9,'[8]Технический лист'!$A:$B,2,1),(ET9-0.05)))</f>
        <v>0.39</v>
      </c>
      <c r="EV9" s="41">
        <f>MIN(1,MAX(VLOOKUP(($AI9-$AH9-$AG9-$AF9-$AE9-$AA9*(1+EV$3))/$AI9,'[8]Технический лист'!$A:$B,2,1),(EU9-0.05)))</f>
        <v>0.35499999999999998</v>
      </c>
      <c r="EW9" s="41">
        <f>MIN(1,MAX(VLOOKUP(($AI9-$AH9-$AG9-$AF9-$AE9-$AA9*(1+EW$3))/$AI9,'[8]Технический лист'!$A:$B,2,1),(EV9-0.05)))</f>
        <v>0.35499999999999998</v>
      </c>
      <c r="EX9" s="41">
        <f>MIN(1,MAX(VLOOKUP(($AI9-$AH9-$AG9-$AF9-$AE9-$AA9*(1+EX$3))/$AI9,'[8]Технический лист'!$A:$B,2,1),(EW9-0.05)))</f>
        <v>0.35499999999999998</v>
      </c>
      <c r="EY9" s="41">
        <f>MIN(1,MAX(VLOOKUP(($AI9-$AH9-$AG9-$AF9-$AE9-$AA9*(1+EY$3))/$AI9,'[8]Технический лист'!$A:$B,2,1),(EX9-0.05)))</f>
        <v>0.35499999999999998</v>
      </c>
      <c r="EZ9" s="41">
        <f>MIN(1,MAX(VLOOKUP(($AI9-$AH9-$AG9-$AF9-$AE9-$AA9*(1+EZ$3))/$AI9,'[8]Технический лист'!$A:$B,2,1),(EY9-0.05)))</f>
        <v>0.35499999999999998</v>
      </c>
      <c r="FA9" s="41">
        <f>MIN(1,MAX(VLOOKUP(($AI9-$AH9-$AG9-$AF9-$AE9-$AA9*(1+FA$3))/$AI9,'[8]Технический лист'!$A:$B,2,1),(EZ9-0.05)))</f>
        <v>0.32</v>
      </c>
      <c r="FB9" s="41">
        <f>MIN(1,MAX(VLOOKUP(($AI9-$AH9-$AG9-$AF9-$AE9-$AA9*(1+FB$3))/$AI9,'[8]Технический лист'!$A:$B,2,1),(FA9-0.05)))</f>
        <v>0.32</v>
      </c>
      <c r="FC9" s="41">
        <f>MIN(1,MAX(VLOOKUP(($AI9-$AH9-$AG9-$AF9-$AE9-$AA9*(1+FC$3))/$AI9,'[8]Технический лист'!$A:$B,2,1),(FB9-0.05)))</f>
        <v>0.32</v>
      </c>
      <c r="FD9" s="41">
        <f>MIN(1,MAX(VLOOKUP(($AI9-$AH9-$AG9-$AF9-$AE9-$AA9*(1+FD$3))/$AI9,'[8]Технический лист'!$A:$B,2,1),(FC9-0.05)))</f>
        <v>0.32</v>
      </c>
      <c r="FE9" s="41">
        <f>MIN(1,MAX(VLOOKUP(($AI9-$AH9-$AG9-$AF9-$AE9-$AA9*(1+FE$3))/$AI9,'[8]Технический лист'!$A:$B,2,1),(FD9-0.05)))</f>
        <v>0.28000000000000003</v>
      </c>
      <c r="FF9" s="41">
        <f>MIN(1,MAX(VLOOKUP(($AI9-$AH9-$AG9-$AF9-$AE9-$AA9*(1+FF$3))/$AI9,'[8]Технический лист'!$A:$B,2,1),(FE9-0.05)))</f>
        <v>0.28000000000000003</v>
      </c>
      <c r="FG9" s="41">
        <f>MIN(1,MAX(VLOOKUP(($AI9-$AH9-$AG9-$AF9-$AE9-$AA9*(1+FG$3))/$AI9,'[8]Технический лист'!$A:$B,2,1),(FF9-0.05)))</f>
        <v>0.28000000000000003</v>
      </c>
      <c r="FH9" s="41">
        <f>MIN(1,MAX(VLOOKUP(($AI9-$AH9-$AG9-$AF9-$AE9-$AA9*(1+FH$3))/$AI9,'[8]Технический лист'!$A:$B,2,1),(FG9-0.05)))</f>
        <v>0.28000000000000003</v>
      </c>
      <c r="FI9" s="41">
        <f>MIN(1,MAX(VLOOKUP(($AI9-$AH9-$AG9-$AF9-$AE9-$AA9*(1+FI$3))/$AI9,'[8]Технический лист'!$A:$B,2,1),(FH9-0.05)))</f>
        <v>0.24</v>
      </c>
      <c r="FJ9" s="41">
        <f>MIN(1,MAX(VLOOKUP(($AI9-$AH9-$AG9-$AF9-$AE9-$AA9*(1+FJ$3))/$AI9,'[8]Технический лист'!$A:$B,2,1),(FI9-0.05)))</f>
        <v>0.24</v>
      </c>
      <c r="FK9" s="41">
        <f>MIN(1,MAX(VLOOKUP(($AI9-$AH9-$AG9-$AF9-$AE9-$AA9*(1+FK$3))/$AI9,'[8]Технический лист'!$A:$B,2,1),(FJ9-0.05)))</f>
        <v>0.24</v>
      </c>
      <c r="FL9" s="41">
        <f>MIN(1,MAX(VLOOKUP(($AI9-$AH9-$AG9-$AF9-$AE9-$AA9*(1+FL$3))/$AI9,'[8]Технический лист'!$A:$B,2,1),(FK9-0.05)))</f>
        <v>0.24</v>
      </c>
      <c r="FM9" s="41">
        <f>MIN(1,MAX(VLOOKUP(($AI9-$AH9-$AG9-$AF9-$AE9-$AA9*(1+FM$3))/$AI9,'[8]Технический лист'!$A:$B,2,1),(FL9-0.05)))</f>
        <v>0.2</v>
      </c>
      <c r="FN9" s="41">
        <f>MIN(1,MAX(VLOOKUP(($AI9-$AH9-$AG9-$AF9-$AE9-$AA9*(1+FN$3))/$AI9,'[8]Технический лист'!$A:$B,2,1),(FM9-0.05)))</f>
        <v>0.2</v>
      </c>
      <c r="FO9" s="41">
        <f>MIN(1,MAX(VLOOKUP(($AI9-$AH9-$AG9-$AF9-$AE9-$AA9*(1+FO$3))/$AI9,'[8]Технический лист'!$A:$B,2,1),(FN9-0.05)))</f>
        <v>0.2</v>
      </c>
      <c r="FP9" s="41">
        <f>MIN(1,MAX(VLOOKUP(($AI9-$AH9-$AG9-$AF9-$AE9-$AA9*(1+FP$3))/$AI9,'[8]Технический лист'!$A:$B,2,1),(FO9-0.05)))</f>
        <v>0.2</v>
      </c>
      <c r="FQ9" s="41">
        <f>MIN(1,MAX(VLOOKUP(($AI9-$AH9-$AG9-$AF9-$AE9-$AA9*(1+FQ$3))/$AI9,'[8]Технический лист'!$A:$B,2,1),(FP9-0.05)))</f>
        <v>0.155</v>
      </c>
      <c r="FR9" s="41">
        <f>MIN(1,MAX(VLOOKUP(($AI9-$AH9-$AG9-$AF9-$AE9-$AA9*(1+FR$3))/$AI9,'[8]Технический лист'!$A:$B,2,1),(FQ9-0.05)))</f>
        <v>0.155</v>
      </c>
      <c r="FS9" s="41">
        <f>MIN(1,MAX(VLOOKUP(($AI9-$AH9-$AG9-$AF9-$AE9-$AA9*(1+FS$3))/$AI9,'[8]Технический лист'!$A:$B,2,1),(FR9-0.05)))</f>
        <v>0.155</v>
      </c>
      <c r="FT9" s="41">
        <f>MIN(1,MAX(VLOOKUP(($AI9-$AH9-$AG9-$AF9-$AE9-$AA9*(1+FT$3))/$AI9,'[8]Технический лист'!$A:$B,2,1),(FS9-0.05)))</f>
        <v>0.155</v>
      </c>
      <c r="FU9" s="41">
        <f>MIN(1,MAX(VLOOKUP(($AI9-$AH9-$AG9-$AF9-$AE9-$AA9*(1+FU$3))/$AI9,'[8]Технический лист'!$A:$B,2,1),(FT9-0.05)))</f>
        <v>0.11</v>
      </c>
      <c r="FV9" s="41">
        <f>MIN(1,MAX(VLOOKUP(($AI9-$AH9-$AG9-$AF9-$AE9-$AA9*(1+FV$3))/$AI9,'[8]Технический лист'!$A:$B,2,1),(FU9-0.05)))</f>
        <v>0.11</v>
      </c>
      <c r="FW9" s="41">
        <f>MIN(1,MAX(VLOOKUP(($AI9-$AH9-$AG9-$AF9-$AE9-$AA9*(1+FW$3))/$AI9,'[8]Технический лист'!$A:$B,2,1),(FV9-0.05)))</f>
        <v>0.11</v>
      </c>
      <c r="FX9" s="41">
        <f>MIN(1,MAX(VLOOKUP(($AI9-$AH9-$AG9-$AF9-$AE9-$AA9*(1+FX$3))/$AI9,'[8]Технический лист'!$A:$B,2,1),(FW9-0.05)))</f>
        <v>0.11</v>
      </c>
      <c r="FY9" s="41">
        <f>MIN(1,MAX(VLOOKUP(($AI9-$AH9-$AG9-$AF9-$AE9-$AA9*(1+FY$3))/$AI9,'[8]Технический лист'!$A:$B,2,1),(FX9-0.05)))</f>
        <v>0.11</v>
      </c>
      <c r="FZ9" s="41">
        <f>MIN(1,MAX(VLOOKUP(($AI9-$AH9-$AG9-$AF9-$AE9-$AA9*(1+FZ$3))/$AI9,'[8]Технический лист'!$A:$B,2,1),(FY9-0.05)))</f>
        <v>0.06</v>
      </c>
      <c r="GA9" s="41">
        <f>MIN(1,MAX(VLOOKUP(($AI9-$AH9-$AG9-$AF9-$AE9-$AA9*(1+GA$3))/$AI9,'[8]Технический лист'!$A:$B,2,1),(FZ9-0.05)))</f>
        <v>0.06</v>
      </c>
      <c r="GB9" s="41">
        <f>MIN(1,MAX(VLOOKUP(($AI9-$AH9-$AG9-$AF9-$AE9-$AA9*(1+GB$3))/$AI9,'[8]Технический лист'!$A:$B,2,1),(GA9-0.05)))</f>
        <v>0.06</v>
      </c>
      <c r="GC9" s="41">
        <f>MIN(1,MAX(VLOOKUP(($AI9-$AH9-$AG9-$AF9-$AE9-$AA9*(1+GC$3))/$AI9,'[8]Технический лист'!$A:$B,2,1),(GB9-0.05)))</f>
        <v>0.06</v>
      </c>
      <c r="GD9" s="41">
        <f>MIN(1,MAX(VLOOKUP(($AI9-$AH9-$AG9-$AF9-$AE9-$AA9*(1+GD$3))/$AI9,'[8]Технический лист'!$A:$B,2,1),(GC9-0.05)))</f>
        <v>9.999999999999995E-3</v>
      </c>
      <c r="GE9" s="41">
        <f>MIN(1,MAX(VLOOKUP(($AI9-$AH9-$AG9-$AF9-$AE9-$AA9*(1+GE$3))/$AI9,'[8]Технический лист'!$A:$B,2,1),(GD9-0.05)))</f>
        <v>0</v>
      </c>
      <c r="GF9" s="41">
        <f>MIN(1,MAX(VLOOKUP(($AI9-$AH9-$AG9-$AF9-$AE9-$AA9*(1+GF$3))/$AI9,'[8]Технический лист'!$A:$B,2,1),(GE9-0.05)))</f>
        <v>0</v>
      </c>
      <c r="GG9" s="41">
        <f>MIN(1,MAX(VLOOKUP(($AI9-$AH9-$AG9-$AF9-$AE9-$AA9*(1+GG$3))/$AI9,'[8]Технический лист'!$A:$B,2,1),(GF9-0.05)))</f>
        <v>0</v>
      </c>
      <c r="GH9" s="41">
        <f>MIN(1,MAX(VLOOKUP(($AI9-$AH9-$AG9-$AF9-$AE9-$AA9*(1+GH$3))/$AI9,'[8]Технический лист'!$A:$B,2,1),(GG9-0.05)))</f>
        <v>0</v>
      </c>
      <c r="GI9" s="41">
        <f>MIN(1,MAX(VLOOKUP(($AI9-$AH9-$AG9-$AF9-$AE9-$AA9*(1+GI$3))/$AI9,'[8]Технический лист'!$A:$B,2,1),(GH9-0.05)))</f>
        <v>0</v>
      </c>
      <c r="GJ9" s="41">
        <f>MIN(1,MAX(VLOOKUP(($AI9-$AH9-$AG9-$AF9-$AE9-$AA9*(1+GJ$3))/$AI9,'[8]Технический лист'!$A:$B,2,1),(GI9-0.05)))</f>
        <v>0</v>
      </c>
      <c r="GK9" s="41">
        <f>MIN(1,MAX(VLOOKUP(($AI9-$AH9-$AG9-$AF9-$AE9-$AA9*(1+GK$3))/$AI9,'[8]Технический лист'!$A:$B,2,1),(GJ9-0.05)))</f>
        <v>0</v>
      </c>
      <c r="GL9" s="41">
        <f>MIN(1,MAX(VLOOKUP(($AI9-$AH9-$AG9-$AF9-$AE9-$AA9*(1+GL$3))/$AI9,'[8]Технический лист'!$A:$B,2,1),(GK9-0.05)))</f>
        <v>0</v>
      </c>
      <c r="GM9" s="41">
        <f>MIN(1,MAX(VLOOKUP(($AI9-$AH9-$AG9-$AF9-$AE9-$AA9*(1+GM$3))/$AI9,'[8]Технический лист'!$A:$B,2,1),(GL9-0.05)))</f>
        <v>0</v>
      </c>
      <c r="GN9" s="41">
        <f>MIN(1,MAX(VLOOKUP(($AI9-$AH9-$AG9-$AF9-$AE9-$AA9*(1+GN$3))/$AI9,'[8]Технический лист'!$A:$B,2,1),(GM9-0.05)))</f>
        <v>0</v>
      </c>
    </row>
    <row r="10" spans="1:196">
      <c r="A10" s="3">
        <v>6</v>
      </c>
      <c r="B10" s="15" t="s">
        <v>61</v>
      </c>
      <c r="C10" s="4" t="s">
        <v>63</v>
      </c>
      <c r="D10" s="4" t="s">
        <v>64</v>
      </c>
      <c r="E10" s="4" t="s">
        <v>65</v>
      </c>
      <c r="F10" s="4" t="s">
        <v>25</v>
      </c>
      <c r="G10" s="4" t="s">
        <v>16</v>
      </c>
      <c r="H10" s="4" t="s">
        <v>72</v>
      </c>
      <c r="I10" s="4" t="s">
        <v>102</v>
      </c>
      <c r="J10" s="4" t="s">
        <v>103</v>
      </c>
      <c r="K10" s="4" t="s">
        <v>147</v>
      </c>
      <c r="L10" s="4" t="s">
        <v>17</v>
      </c>
      <c r="M10" s="4" t="s">
        <v>166</v>
      </c>
      <c r="N10" s="4" t="s">
        <v>56</v>
      </c>
      <c r="O10" s="4" t="s">
        <v>104</v>
      </c>
      <c r="P10" s="4" t="s">
        <v>105</v>
      </c>
      <c r="Q10" s="4" t="s">
        <v>106</v>
      </c>
      <c r="R10" s="16">
        <v>38704</v>
      </c>
      <c r="S10" s="17">
        <v>178405389</v>
      </c>
      <c r="T10" s="18">
        <v>0</v>
      </c>
      <c r="U10" s="18">
        <v>1323</v>
      </c>
      <c r="V10" s="17">
        <v>137364084</v>
      </c>
      <c r="W10" s="26" t="s">
        <v>166</v>
      </c>
      <c r="X10" s="26">
        <v>68</v>
      </c>
      <c r="Y10" s="24">
        <f>308618/X10</f>
        <v>4538.5</v>
      </c>
      <c r="Z10" s="20">
        <v>0</v>
      </c>
      <c r="AA10" s="27">
        <f t="shared" si="1"/>
        <v>4538.5</v>
      </c>
      <c r="AB10" s="20">
        <v>13</v>
      </c>
      <c r="AC10" s="20">
        <v>0</v>
      </c>
      <c r="AD10" s="20">
        <v>4</v>
      </c>
      <c r="AE10" s="20">
        <f>'Ставки аренды'!$B$4*SUM(Лесные!AB10+Лесные!AC10+Лесные!AD10)/Лесные!X10</f>
        <v>400</v>
      </c>
      <c r="AF10" s="20">
        <f>'Ставки перевалки'!$B$2/X10*2</f>
        <v>661.76470588235293</v>
      </c>
      <c r="AG10" s="20"/>
      <c r="AH10" s="20">
        <f>0.71*AI10</f>
        <v>17586.153846153844</v>
      </c>
      <c r="AI10" s="20">
        <f>Цены!$C$3</f>
        <v>24769.23076923077</v>
      </c>
      <c r="AJ10" s="20"/>
      <c r="AK10" s="21"/>
      <c r="AL10" s="20"/>
      <c r="AM10" s="20"/>
      <c r="AN10" s="29">
        <f t="shared" si="0"/>
        <v>6.3902356594811929E-2</v>
      </c>
      <c r="AO10" s="20"/>
      <c r="AP10" s="20"/>
      <c r="AQ10" s="2"/>
      <c r="AR10" s="19"/>
      <c r="AS10" s="42">
        <v>0.8</v>
      </c>
      <c r="AT10" s="41">
        <f>MIN(IF($AS10=100%,1,1+VLOOKUP(($AI10-$AH10-$AG10-$AF10-$AE10-$AA10*(1+AT$3))/$AI10,'Технический лист'!$A:$B,2,1)-VLOOKUP($AN10,'Технический лист'!$A:$B,2,1)),1+(1-$AS10))</f>
        <v>1.2</v>
      </c>
      <c r="AU10" s="41">
        <f>MIN(IF($AS10=100%,1,1+VLOOKUP(($AI10-$AH10-$AG10-$AF10-$AE10-$AA10*(1+AU$3))/$AI10,'Технический лист'!$A:$B,2,1)-VLOOKUP($AN10,'Технический лист'!$A:$B,2,1)),1+(1-$AS10))</f>
        <v>1.2</v>
      </c>
      <c r="AV10" s="41">
        <f>MIN(IF($AS10=100%,1,1+VLOOKUP(($AI10-$AH10-$AG10-$AF10-$AE10-$AA10*(1+AV$3))/$AI10,'Технический лист'!$A:$B,2,1)-VLOOKUP($AN10,'Технический лист'!$A:$B,2,1)),1+(1-$AS10))</f>
        <v>1.2</v>
      </c>
      <c r="AW10" s="41">
        <f>MIN(IF($AS10=100%,1,1+VLOOKUP(($AI10-$AH10-$AG10-$AF10-$AE10-$AA10*(1+AW$3))/$AI10,'Технический лист'!$A:$B,2,1)-VLOOKUP($AN10,'Технический лист'!$A:$B,2,1)),1+(1-$AS10))</f>
        <v>1.2</v>
      </c>
      <c r="AX10" s="41">
        <f>MIN(IF($AS10=100%,1,1+VLOOKUP(($AI10-$AH10-$AG10-$AF10-$AE10-$AA10*(1+AX$3))/$AI10,'Технический лист'!$A:$B,2,1)-VLOOKUP($AN10,'Технический лист'!$A:$B,2,1)),1+(1-$AS10))</f>
        <v>1.2</v>
      </c>
      <c r="AY10" s="41">
        <f>MIN(IF($AS10=100%,1,1+VLOOKUP(($AI10-$AH10-$AG10-$AF10-$AE10-$AA10*(1+AY$3))/$AI10,'Технический лист'!$A:$B,2,1)-VLOOKUP($AN10,'Технический лист'!$A:$B,2,1)),1+(1-$AS10))</f>
        <v>1.2</v>
      </c>
      <c r="AZ10" s="41">
        <f>MIN(IF($AS10=100%,1,1+VLOOKUP(($AI10-$AH10-$AG10-$AF10-$AE10-$AA10*(1+AZ$3))/$AI10,'Технический лист'!$A:$B,2,1)-VLOOKUP($AN10,'Технический лист'!$A:$B,2,1)),1+(1-$AS10))</f>
        <v>1.2</v>
      </c>
      <c r="BA10" s="41">
        <f>MIN(IF($AS10=100%,1,1+VLOOKUP(($AI10-$AH10-$AG10-$AF10-$AE10-$AA10*(1+BA$3))/$AI10,'Технический лист'!$A:$B,2,1)-VLOOKUP($AN10,'Технический лист'!$A:$B,2,1)),1+(1-$AS10))</f>
        <v>1.2</v>
      </c>
      <c r="BB10" s="41">
        <f>MIN(IF($AS10=100%,1,1+VLOOKUP(($AI10-$AH10-$AG10-$AF10-$AE10-$AA10*(1+BB$3))/$AI10,'Технический лист'!$A:$B,2,1)-VLOOKUP($AN10,'Технический лист'!$A:$B,2,1)),1+(1-$AS10))</f>
        <v>1.2</v>
      </c>
      <c r="BC10" s="41">
        <f>MIN(IF($AS10=100%,1,1+VLOOKUP(($AI10-$AH10-$AG10-$AF10-$AE10-$AA10*(1+BC$3))/$AI10,'Технический лист'!$A:$B,2,1)-VLOOKUP($AN10,'Технический лист'!$A:$B,2,1)),1+(1-$AS10))</f>
        <v>1.2</v>
      </c>
      <c r="BD10" s="41">
        <f>MIN(IF($AS10=100%,1,1+VLOOKUP(($AI10-$AH10-$AG10-$AF10-$AE10-$AA10*(1+BD$3))/$AI10,'Технический лист'!$A:$B,2,1)-VLOOKUP($AN10,'Технический лист'!$A:$B,2,1)),1+(1-$AS10))</f>
        <v>1.2</v>
      </c>
      <c r="BE10" s="41">
        <f>MIN(IF($AS10=100%,1,1+VLOOKUP(($AI10-$AH10-$AG10-$AF10-$AE10-$AA10*(1+BE$3))/$AI10,'Технический лист'!$A:$B,2,1)-VLOOKUP($AN10,'Технический лист'!$A:$B,2,1)),1+(1-$AS10))</f>
        <v>1.19</v>
      </c>
      <c r="BF10" s="41">
        <f>MIN(IF($AS10=100%,1,1+VLOOKUP(($AI10-$AH10-$AG10-$AF10-$AE10-$AA10*(1+BF$3))/$AI10,'Технический лист'!$A:$B,2,1)-VLOOKUP($AN10,'Технический лист'!$A:$B,2,1)),1+(1-$AS10))</f>
        <v>1.19</v>
      </c>
      <c r="BG10" s="41">
        <f>MIN(IF($AS10=100%,1,1+VLOOKUP(($AI10-$AH10-$AG10-$AF10-$AE10-$AA10*(1+BG$3))/$AI10,'Технический лист'!$A:$B,2,1)-VLOOKUP($AN10,'Технический лист'!$A:$B,2,1)),1+(1-$AS10))</f>
        <v>1.19</v>
      </c>
      <c r="BH10" s="41">
        <f>MIN(IF($AS10=100%,1,1+VLOOKUP(($AI10-$AH10-$AG10-$AF10-$AE10-$AA10*(1+BH$3))/$AI10,'Технический лист'!$A:$B,2,1)-VLOOKUP($AN10,'Технический лист'!$A:$B,2,1)),1+(1-$AS10))</f>
        <v>1.19</v>
      </c>
      <c r="BI10" s="41">
        <f>MIN(IF($AS10=100%,1,1+VLOOKUP(($AI10-$AH10-$AG10-$AF10-$AE10-$AA10*(1+BI$3))/$AI10,'Технический лист'!$A:$B,2,1)-VLOOKUP($AN10,'Технический лист'!$A:$B,2,1)),1+(1-$AS10))</f>
        <v>1.19</v>
      </c>
      <c r="BJ10" s="41">
        <f>MIN(IF($AS10=100%,1,1+VLOOKUP(($AI10-$AH10-$AG10-$AF10-$AE10-$AA10*(1+BJ$3))/$AI10,'Технический лист'!$A:$B,2,1)-VLOOKUP($AN10,'Технический лист'!$A:$B,2,1)),1+(1-$AS10))</f>
        <v>1.19</v>
      </c>
      <c r="BK10" s="41">
        <f>MIN(IF($AS10=100%,1,1+VLOOKUP(($AI10-$AH10-$AG10-$AF10-$AE10-$AA10*(1+BK$3))/$AI10,'Технический лист'!$A:$B,2,1)-VLOOKUP($AN10,'Технический лист'!$A:$B,2,1)),1+(1-$AS10))</f>
        <v>1.1599999999999997</v>
      </c>
      <c r="BL10" s="41">
        <f>MIN(IF($AS10=100%,1,1+VLOOKUP(($AI10-$AH10-$AG10-$AF10-$AE10-$AA10*(1+BL$3))/$AI10,'Технический лист'!$A:$B,2,1)-VLOOKUP($AN10,'Технический лист'!$A:$B,2,1)),1+(1-$AS10))</f>
        <v>1.1599999999999997</v>
      </c>
      <c r="BM10" s="41">
        <f>MIN(IF($AS10=100%,1,1+VLOOKUP(($AI10-$AH10-$AG10-$AF10-$AE10-$AA10*(1+BM$3))/$AI10,'Технический лист'!$A:$B,2,1)-VLOOKUP($AN10,'Технический лист'!$A:$B,2,1)),1+(1-$AS10))</f>
        <v>1.1599999999999997</v>
      </c>
      <c r="BN10" s="41">
        <f>MIN(IF($AS10=100%,1,1+VLOOKUP(($AI10-$AH10-$AG10-$AF10-$AE10-$AA10*(1+BN$3))/$AI10,'Технический лист'!$A:$B,2,1)-VLOOKUP($AN10,'Технический лист'!$A:$B,2,1)),1+(1-$AS10))</f>
        <v>1.1599999999999997</v>
      </c>
      <c r="BO10" s="41">
        <f>MIN(IF($AS10=100%,1,1+VLOOKUP(($AI10-$AH10-$AG10-$AF10-$AE10-$AA10*(1+BO$3))/$AI10,'Технический лист'!$A:$B,2,1)-VLOOKUP($AN10,'Технический лист'!$A:$B,2,1)),1+(1-$AS10))</f>
        <v>1.1599999999999997</v>
      </c>
      <c r="BP10" s="41">
        <f>MIN(IF($AS10=100%,1,1+VLOOKUP(($AI10-$AH10-$AG10-$AF10-$AE10-$AA10*(1+BP$3))/$AI10,'Технический лист'!$A:$B,2,1)-VLOOKUP($AN10,'Технический лист'!$A:$B,2,1)),1+(1-$AS10))</f>
        <v>1.1299999999999994</v>
      </c>
      <c r="BQ10" s="41">
        <f>MIN(IF($AS10=100%,1,1+VLOOKUP(($AI10-$AH10-$AG10-$AF10-$AE10-$AA10*(1+BQ$3))/$AI10,'Технический лист'!$A:$B,2,1)-VLOOKUP($AN10,'Технический лист'!$A:$B,2,1)),1+(1-$AS10))</f>
        <v>1.1299999999999994</v>
      </c>
      <c r="BR10" s="41">
        <f>MIN(IF($AS10=100%,1,1+VLOOKUP(($AI10-$AH10-$AG10-$AF10-$AE10-$AA10*(1+BR$3))/$AI10,'Технический лист'!$A:$B,2,1)-VLOOKUP($AN10,'Технический лист'!$A:$B,2,1)),1+(1-$AS10))</f>
        <v>1.1299999999999994</v>
      </c>
      <c r="BS10" s="41">
        <f>MIN(IF($AS10=100%,1,1+VLOOKUP(($AI10-$AH10-$AG10-$AF10-$AE10-$AA10*(1+BS$3))/$AI10,'Технический лист'!$A:$B,2,1)-VLOOKUP($AN10,'Технический лист'!$A:$B,2,1)),1+(1-$AS10))</f>
        <v>1.1299999999999994</v>
      </c>
      <c r="BT10" s="41">
        <f>MIN(IF($AS10=100%,1,1+VLOOKUP(($AI10-$AH10-$AG10-$AF10-$AE10-$AA10*(1+BT$3))/$AI10,'Технический лист'!$A:$B,2,1)-VLOOKUP($AN10,'Технический лист'!$A:$B,2,1)),1+(1-$AS10))</f>
        <v>1.1299999999999994</v>
      </c>
      <c r="BU10" s="41">
        <f>MIN(IF($AS10=100%,1,1+VLOOKUP(($AI10-$AH10-$AG10-$AF10-$AE10-$AA10*(1+BU$3))/$AI10,'Технический лист'!$A:$B,2,1)-VLOOKUP($AN10,'Технический лист'!$A:$B,2,1)),1+(1-$AS10))</f>
        <v>1.0999999999999996</v>
      </c>
      <c r="BV10" s="41">
        <f>MIN(IF($AS10=100%,1,1+VLOOKUP(($AI10-$AH10-$AG10-$AF10-$AE10-$AA10*(1+BV$3))/$AI10,'Технический лист'!$A:$B,2,1)-VLOOKUP($AN10,'Технический лист'!$A:$B,2,1)),1+(1-$AS10))</f>
        <v>1.0999999999999996</v>
      </c>
      <c r="BW10" s="41">
        <f>MIN(IF($AS10=100%,1,1+VLOOKUP(($AI10-$AH10-$AG10-$AF10-$AE10-$AA10*(1+BW$3))/$AI10,'Технический лист'!$A:$B,2,1)-VLOOKUP($AN10,'Технический лист'!$A:$B,2,1)),1+(1-$AS10))</f>
        <v>1.0999999999999996</v>
      </c>
      <c r="BX10" s="41">
        <f>MIN(IF($AS10=100%,1,1+VLOOKUP(($AI10-$AH10-$AG10-$AF10-$AE10-$AA10*(1+BX$3))/$AI10,'Технический лист'!$A:$B,2,1)-VLOOKUP($AN10,'Технический лист'!$A:$B,2,1)),1+(1-$AS10))</f>
        <v>1.0999999999999996</v>
      </c>
      <c r="BY10" s="41">
        <f>MIN(IF($AS10=100%,1,1+VLOOKUP(($AI10-$AH10-$AG10-$AF10-$AE10-$AA10*(1+BY$3))/$AI10,'Технический лист'!$A:$B,2,1)-VLOOKUP($AN10,'Технический лист'!$A:$B,2,1)),1+(1-$AS10))</f>
        <v>1.0999999999999996</v>
      </c>
      <c r="BZ10" s="41">
        <f>MIN(IF($AS10=100%,1,1+VLOOKUP(($AI10-$AH10-$AG10-$AF10-$AE10-$AA10*(1+BZ$3))/$AI10,'Технический лист'!$A:$B,2,1)-VLOOKUP($AN10,'Технический лист'!$A:$B,2,1)),1+(1-$AS10))</f>
        <v>1.0999999999999996</v>
      </c>
      <c r="CA10" s="41">
        <f>MIN(IF($AS10=100%,1,1+VLOOKUP(($AI10-$AH10-$AG10-$AF10-$AE10-$AA10*(1+CA$3))/$AI10,'Технический лист'!$A:$B,2,1)-VLOOKUP($AN10,'Технический лист'!$A:$B,2,1)),1+(1-$AS10))</f>
        <v>1.0749999999999997</v>
      </c>
      <c r="CB10" s="41">
        <f>MIN(IF($AS10=100%,1,1+VLOOKUP(($AI10-$AH10-$AG10-$AF10-$AE10-$AA10*(1+CB$3))/$AI10,'Технический лист'!$A:$B,2,1)-VLOOKUP($AN10,'Технический лист'!$A:$B,2,1)),1+(1-$AS10))</f>
        <v>1.0749999999999997</v>
      </c>
      <c r="CC10" s="41">
        <f>MIN(IF($AS10=100%,1,1+VLOOKUP(($AI10-$AH10-$AG10-$AF10-$AE10-$AA10*(1+CC$3))/$AI10,'Технический лист'!$A:$B,2,1)-VLOOKUP($AN10,'Технический лист'!$A:$B,2,1)),1+(1-$AS10))</f>
        <v>1.0749999999999997</v>
      </c>
      <c r="CD10" s="41">
        <f>MIN(IF($AS10=100%,1,1+VLOOKUP(($AI10-$AH10-$AG10-$AF10-$AE10-$AA10*(1+CD$3))/$AI10,'Технический лист'!$A:$B,2,1)-VLOOKUP($AN10,'Технический лист'!$A:$B,2,1)),1+(1-$AS10))</f>
        <v>1.0749999999999997</v>
      </c>
      <c r="CE10" s="41">
        <f>MIN(IF($AS10=100%,1,1+VLOOKUP(($AI10-$AH10-$AG10-$AF10-$AE10-$AA10*(1+CE$3))/$AI10,'Технический лист'!$A:$B,2,1)-VLOOKUP($AN10,'Технический лист'!$A:$B,2,1)),1+(1-$AS10))</f>
        <v>1.0749999999999997</v>
      </c>
      <c r="CF10" s="41">
        <f>MIN(IF($AS10=100%,1,1+VLOOKUP(($AI10-$AH10-$AG10-$AF10-$AE10-$AA10*(1+CF$3))/$AI10,'Технический лист'!$A:$B,2,1)-VLOOKUP($AN10,'Технический лист'!$A:$B,2,1)),1+(1-$AS10))</f>
        <v>1.0499999999999998</v>
      </c>
      <c r="CG10" s="41">
        <f>MIN(IF($AS10=100%,1,1+VLOOKUP(($AI10-$AH10-$AG10-$AF10-$AE10-$AA10*(1+CG$3))/$AI10,'Технический лист'!$A:$B,2,1)-VLOOKUP($AN10,'Технический лист'!$A:$B,2,1)),1+(1-$AS10))</f>
        <v>1.0499999999999998</v>
      </c>
      <c r="CH10" s="41">
        <f>MIN(IF($AS10=100%,1,1+VLOOKUP(($AI10-$AH10-$AG10-$AF10-$AE10-$AA10*(1+CH$3))/$AI10,'Технический лист'!$A:$B,2,1)-VLOOKUP($AN10,'Технический лист'!$A:$B,2,1)),1+(1-$AS10))</f>
        <v>1.0499999999999998</v>
      </c>
      <c r="CI10" s="41">
        <f>MIN(IF($AS10=100%,1,1+VLOOKUP(($AI10-$AH10-$AG10-$AF10-$AE10-$AA10*(1+CI$3))/$AI10,'Технический лист'!$A:$B,2,1)-VLOOKUP($AN10,'Технический лист'!$A:$B,2,1)),1+(1-$AS10))</f>
        <v>1.0499999999999998</v>
      </c>
      <c r="CJ10" s="41">
        <f>MIN(IF($AS10=100%,1,1+VLOOKUP(($AI10-$AH10-$AG10-$AF10-$AE10-$AA10*(1+CJ$3))/$AI10,'Технический лист'!$A:$B,2,1)-VLOOKUP($AN10,'Технический лист'!$A:$B,2,1)),1+(1-$AS10))</f>
        <v>1.0499999999999998</v>
      </c>
      <c r="CK10" s="41">
        <f>MIN(IF($AS10=100%,1,1+VLOOKUP(($AI10-$AH10-$AG10-$AF10-$AE10-$AA10*(1+CK$3))/$AI10,'Технический лист'!$A:$B,2,1)-VLOOKUP($AN10,'Технический лист'!$A:$B,2,1)),1+(1-$AS10))</f>
        <v>1.0499999999999998</v>
      </c>
      <c r="CL10" s="41">
        <f>MIN(IF($AS10=100%,1,1+VLOOKUP(($AI10-$AH10-$AG10-$AF10-$AE10-$AA10*(1+CL$3))/$AI10,'Технический лист'!$A:$B,2,1)-VLOOKUP($AN10,'Технический лист'!$A:$B,2,1)),1+(1-$AS10))</f>
        <v>1.0249999999999999</v>
      </c>
      <c r="CM10" s="41">
        <f>MIN(IF($AS10=100%,1,1+VLOOKUP(($AI10-$AH10-$AG10-$AF10-$AE10-$AA10*(1+CM$3))/$AI10,'Технический лист'!$A:$B,2,1)-VLOOKUP($AN10,'Технический лист'!$A:$B,2,1)),1+(1-$AS10))</f>
        <v>1.0249999999999999</v>
      </c>
      <c r="CN10" s="41">
        <f>MIN(IF($AS10=100%,1,1+VLOOKUP(($AI10-$AH10-$AG10-$AF10-$AE10-$AA10*(1+CN$3))/$AI10,'Технический лист'!$A:$B,2,1)-VLOOKUP($AN10,'Технический лист'!$A:$B,2,1)),1+(1-$AS10))</f>
        <v>1.0249999999999999</v>
      </c>
      <c r="CO10" s="41">
        <f>MIN(IF($AS10=100%,1,1+VLOOKUP(($AI10-$AH10-$AG10-$AF10-$AE10-$AA10*(1+CO$3))/$AI10,'Технический лист'!$A:$B,2,1)-VLOOKUP($AN10,'Технический лист'!$A:$B,2,1)),1+(1-$AS10))</f>
        <v>1.0249999999999999</v>
      </c>
      <c r="CP10" s="41">
        <f>MIN(IF($AS10=100%,1,1+VLOOKUP(($AI10-$AH10-$AG10-$AF10-$AE10-$AA10*(1+CP$3))/$AI10,'Технический лист'!$A:$B,2,1)-VLOOKUP($AN10,'Технический лист'!$A:$B,2,1)),1+(1-$AS10))</f>
        <v>1.0249999999999999</v>
      </c>
      <c r="CQ10" s="41">
        <f>MIN(IF($AS10=100%,1,1+VLOOKUP(($AI10-$AH10-$AG10-$AF10-$AE10-$AA10*(1+CQ$3))/$AI10,'Технический лист'!$A:$B,2,1)-VLOOKUP($AN10,'Технический лист'!$A:$B,2,1)),1+(1-$AS10))</f>
        <v>1</v>
      </c>
      <c r="CR10">
        <v>1</v>
      </c>
      <c r="CS10" s="41">
        <f>MIN(1,MAX(VLOOKUP(($AI10-$AH10-$AG10-$AF10-$AE10-$AA10*(1+CS$3))/$AI10,'[8]Технический лист'!$A:$B,2,1),(CR10-0.05)))</f>
        <v>1</v>
      </c>
      <c r="CT10" s="41">
        <f>MIN(1,MAX(VLOOKUP(($AI10-$AH10-$AG10-$AF10-$AE10-$AA10*(1+CT$3))/$AI10,'[8]Технический лист'!$A:$B,2,1),(CS10-0.05)))</f>
        <v>1</v>
      </c>
      <c r="CU10" s="41">
        <f>MIN(1,MAX(VLOOKUP(($AI10-$AH10-$AG10-$AF10-$AE10-$AA10*(1+CU$3))/$AI10,'[8]Технический лист'!$A:$B,2,1),(CT10-0.05)))</f>
        <v>1</v>
      </c>
      <c r="CV10" s="41">
        <f>MIN(1,MAX(VLOOKUP(($AI10-$AH10-$AG10-$AF10-$AE10-$AA10*(1+CV$3))/$AI10,'[8]Технический лист'!$A:$B,2,1),(CU10-0.05)))</f>
        <v>1</v>
      </c>
      <c r="CW10" s="41">
        <f>MIN(1,MAX(VLOOKUP(($AI10-$AH10-$AG10-$AF10-$AE10-$AA10*(1+CW$3))/$AI10,'[8]Технический лист'!$A:$B,2,1),(CV10-0.05)))</f>
        <v>1</v>
      </c>
      <c r="CX10" s="41">
        <f>MIN(1,MAX(VLOOKUP(($AI10-$AH10-$AG10-$AF10-$AE10-$AA10*(1+CX$3))/$AI10,'[8]Технический лист'!$A:$B,2,1),(CW10-0.05)))</f>
        <v>1</v>
      </c>
      <c r="CY10" s="41">
        <f>MIN(1,MAX(VLOOKUP(($AI10-$AH10-$AG10-$AF10-$AE10-$AA10*(1+CY$3))/$AI10,'[8]Технический лист'!$A:$B,2,1),(CX10-0.05)))</f>
        <v>1</v>
      </c>
      <c r="CZ10" s="41">
        <f>MIN(1,MAX(VLOOKUP(($AI10-$AH10-$AG10-$AF10-$AE10-$AA10*(1+CZ$3))/$AI10,'[8]Технический лист'!$A:$B,2,1),(CY10-0.05)))</f>
        <v>1</v>
      </c>
      <c r="DA10" s="41">
        <f>MIN(1,MAX(VLOOKUP(($AI10-$AH10-$AG10-$AF10-$AE10-$AA10*(1+DA$3))/$AI10,'[8]Технический лист'!$A:$B,2,1),(CZ10-0.05)))</f>
        <v>1</v>
      </c>
      <c r="DB10" s="41">
        <f>MIN(1,MAX(VLOOKUP(($AI10-$AH10-$AG10-$AF10-$AE10-$AA10*(1+DB$3))/$AI10,'[8]Технический лист'!$A:$B,2,1),(DA10-0.05)))</f>
        <v>1</v>
      </c>
      <c r="DC10" s="41">
        <f>MIN(1,MAX(VLOOKUP(($AI10-$AH10-$AG10-$AF10-$AE10-$AA10*(1+DC$3))/$AI10,'[8]Технический лист'!$A:$B,2,1),(DB10-0.05)))</f>
        <v>1</v>
      </c>
      <c r="DD10" s="41">
        <f>MIN(1,MAX(VLOOKUP(($AI10-$AH10-$AG10-$AF10-$AE10-$AA10*(1+DD$3))/$AI10,'[8]Технический лист'!$A:$B,2,1),(DC10-0.05)))</f>
        <v>1</v>
      </c>
      <c r="DE10" s="41">
        <f>MIN(1,MAX(VLOOKUP(($AI10-$AH10-$AG10-$AF10-$AE10-$AA10*(1+DE$3))/$AI10,'[8]Технический лист'!$A:$B,2,1),(DD10-0.05)))</f>
        <v>1</v>
      </c>
      <c r="DF10" s="41">
        <f>MIN(1,MAX(VLOOKUP(($AI10-$AH10-$AG10-$AF10-$AE10-$AA10*(1+DF$3))/$AI10,'[8]Технический лист'!$A:$B,2,1),(DE10-0.05)))</f>
        <v>1</v>
      </c>
      <c r="DG10" s="41">
        <f>MIN(1,MAX(VLOOKUP(($AI10-$AH10-$AG10-$AF10-$AE10-$AA10*(1+DG$3))/$AI10,'[8]Технический лист'!$A:$B,2,1),(DF10-0.05)))</f>
        <v>1</v>
      </c>
      <c r="DH10" s="41">
        <f>MIN(1,MAX(VLOOKUP(($AI10-$AH10-$AG10-$AF10-$AE10-$AA10*(1+DH$3))/$AI10,'[8]Технический лист'!$A:$B,2,1),(DG10-0.05)))</f>
        <v>1</v>
      </c>
      <c r="DI10" s="41">
        <f>MIN(1,MAX(VLOOKUP(($AI10-$AH10-$AG10-$AF10-$AE10-$AA10*(1+DI$3))/$AI10,'[8]Технический лист'!$A:$B,2,1),(DH10-0.05)))</f>
        <v>1</v>
      </c>
      <c r="DJ10" s="41">
        <f>MIN(1,MAX(VLOOKUP(($AI10-$AH10-$AG10-$AF10-$AE10-$AA10*(1+DJ$3))/$AI10,'[8]Технический лист'!$A:$B,2,1),(DI10-0.05)))</f>
        <v>1</v>
      </c>
      <c r="DK10" s="41">
        <f>MIN(1,MAX(VLOOKUP(($AI10-$AH10-$AG10-$AF10-$AE10-$AA10*(1+DK$3))/$AI10,'[8]Технический лист'!$A:$B,2,1),(DJ10-0.05)))</f>
        <v>1</v>
      </c>
      <c r="DL10" s="41">
        <f>MIN(1,MAX(VLOOKUP(($AI10-$AH10-$AG10-$AF10-$AE10-$AA10*(1+DL$3))/$AI10,'[8]Технический лист'!$A:$B,2,1),(DK10-0.05)))</f>
        <v>1</v>
      </c>
      <c r="DM10" s="41">
        <f>MIN(1,MAX(VLOOKUP(($AI10-$AH10-$AG10-$AF10-$AE10-$AA10*(1+DM$3))/$AI10,'[8]Технический лист'!$A:$B,2,1),(DL10-0.05)))</f>
        <v>1</v>
      </c>
      <c r="DN10" s="41">
        <f>MIN(1,MAX(VLOOKUP(($AI10-$AH10-$AG10-$AF10-$AE10-$AA10*(1+DN$3))/$AI10,'[8]Технический лист'!$A:$B,2,1),(DM10-0.05)))</f>
        <v>1</v>
      </c>
      <c r="DO10" s="41">
        <f>MIN(1,MAX(VLOOKUP(($AI10-$AH10-$AG10-$AF10-$AE10-$AA10*(1+DO$3))/$AI10,'[8]Технический лист'!$A:$B,2,1),(DN10-0.05)))</f>
        <v>1</v>
      </c>
      <c r="DP10" s="41">
        <f>MIN(1,MAX(VLOOKUP(($AI10-$AH10-$AG10-$AF10-$AE10-$AA10*(1+DP$3))/$AI10,'[8]Технический лист'!$A:$B,2,1),(DO10-0.05)))</f>
        <v>1</v>
      </c>
      <c r="DQ10" s="41">
        <f>MIN(1,MAX(VLOOKUP(($AI10-$AH10-$AG10-$AF10-$AE10-$AA10*(1+DQ$3))/$AI10,'[8]Технический лист'!$A:$B,2,1),(DP10-0.05)))</f>
        <v>1</v>
      </c>
      <c r="DR10" s="41">
        <f>MIN(1,MAX(VLOOKUP(($AI10-$AH10-$AG10-$AF10-$AE10-$AA10*(1+DR$3))/$AI10,'[8]Технический лист'!$A:$B,2,1),(DQ10-0.05)))</f>
        <v>1</v>
      </c>
      <c r="DS10" s="41">
        <f>MIN(1,MAX(VLOOKUP(($AI10-$AH10-$AG10-$AF10-$AE10-$AA10*(1+DS$3))/$AI10,'[8]Технический лист'!$A:$B,2,1),(DR10-0.05)))</f>
        <v>1</v>
      </c>
      <c r="DT10" s="41">
        <f>MIN(1,MAX(VLOOKUP(($AI10-$AH10-$AG10-$AF10-$AE10-$AA10*(1+DT$3))/$AI10,'[8]Технический лист'!$A:$B,2,1),(DS10-0.05)))</f>
        <v>1</v>
      </c>
      <c r="DU10" s="41">
        <f>MIN(1,MAX(VLOOKUP(($AI10-$AH10-$AG10-$AF10-$AE10-$AA10*(1+DU$3))/$AI10,'[8]Технический лист'!$A:$B,2,1),(DT10-0.05)))</f>
        <v>1</v>
      </c>
      <c r="DV10" s="41">
        <f>MIN(1,MAX(VLOOKUP(($AI10-$AH10-$AG10-$AF10-$AE10-$AA10*(1+DV$3))/$AI10,'[8]Технический лист'!$A:$B,2,1),(DU10-0.05)))</f>
        <v>1</v>
      </c>
      <c r="DW10" s="41">
        <f>MIN(1,MAX(VLOOKUP(($AI10-$AH10-$AG10-$AF10-$AE10-$AA10*(1+DW$3))/$AI10,'[8]Технический лист'!$A:$B,2,1),(DV10-0.05)))</f>
        <v>1</v>
      </c>
      <c r="DX10" s="41">
        <f>MIN(1,MAX(VLOOKUP(($AI10-$AH10-$AG10-$AF10-$AE10-$AA10*(1+DX$3))/$AI10,'[8]Технический лист'!$A:$B,2,1),(DW10-0.05)))</f>
        <v>1</v>
      </c>
      <c r="DY10" s="41">
        <f>MIN(1,MAX(VLOOKUP(($AI10-$AH10-$AG10-$AF10-$AE10-$AA10*(1+DY$3))/$AI10,'[8]Технический лист'!$A:$B,2,1),(DX10-0.05)))</f>
        <v>1</v>
      </c>
      <c r="DZ10" s="41">
        <f>MIN(1,MAX(VLOOKUP(($AI10-$AH10-$AG10-$AF10-$AE10-$AA10*(1+DZ$3))/$AI10,'[8]Технический лист'!$A:$B,2,1),(DY10-0.05)))</f>
        <v>1</v>
      </c>
      <c r="EA10" s="41">
        <f>MIN(1,MAX(VLOOKUP(($AI10-$AH10-$AG10-$AF10-$AE10-$AA10*(1+EA$3))/$AI10,'[8]Технический лист'!$A:$B,2,1),(DZ10-0.05)))</f>
        <v>1</v>
      </c>
      <c r="EB10" s="41">
        <f>MIN(1,MAX(VLOOKUP(($AI10-$AH10-$AG10-$AF10-$AE10-$AA10*(1+EB$3))/$AI10,'[8]Технический лист'!$A:$B,2,1),(EA10-0.05)))</f>
        <v>1</v>
      </c>
      <c r="EC10" s="41">
        <f>MIN(1,MAX(VLOOKUP(($AI10-$AH10-$AG10-$AF10-$AE10-$AA10*(1+EC$3))/$AI10,'[8]Технический лист'!$A:$B,2,1),(EB10-0.05)))</f>
        <v>1</v>
      </c>
      <c r="ED10" s="41">
        <f>MIN(1,MAX(VLOOKUP(($AI10-$AH10-$AG10-$AF10-$AE10-$AA10*(1+ED$3))/$AI10,'[8]Технический лист'!$A:$B,2,1),(EC10-0.05)))</f>
        <v>1</v>
      </c>
      <c r="EE10" s="41">
        <f>MIN(1,MAX(VLOOKUP(($AI10-$AH10-$AG10-$AF10-$AE10-$AA10*(1+EE$3))/$AI10,'[8]Технический лист'!$A:$B,2,1),(ED10-0.05)))</f>
        <v>1</v>
      </c>
      <c r="EF10" s="41">
        <f>MIN(1,MAX(VLOOKUP(($AI10-$AH10-$AG10-$AF10-$AE10-$AA10*(1+EF$3))/$AI10,'[8]Технический лист'!$A:$B,2,1),(EE10-0.05)))</f>
        <v>1</v>
      </c>
      <c r="EG10" s="41">
        <f>MIN(1,MAX(VLOOKUP(($AI10-$AH10-$AG10-$AF10-$AE10-$AA10*(1+EG$3))/$AI10,'[8]Технический лист'!$A:$B,2,1),(EF10-0.05)))</f>
        <v>1</v>
      </c>
      <c r="EH10" s="41">
        <f>MIN(1,MAX(VLOOKUP(($AI10-$AH10-$AG10-$AF10-$AE10-$AA10*(1+EH$3))/$AI10,'[8]Технический лист'!$A:$B,2,1),(EG10-0.05)))</f>
        <v>1</v>
      </c>
      <c r="EI10" s="41">
        <f>MIN(1,MAX(VLOOKUP(($AI10-$AH10-$AG10-$AF10-$AE10-$AA10*(1+EI$3))/$AI10,'[8]Технический лист'!$A:$B,2,1),(EH10-0.05)))</f>
        <v>1</v>
      </c>
      <c r="EJ10" s="41">
        <f>MIN(1,MAX(VLOOKUP(($AI10-$AH10-$AG10-$AF10-$AE10-$AA10*(1+EJ$3))/$AI10,'[8]Технический лист'!$A:$B,2,1),(EI10-0.05)))</f>
        <v>1</v>
      </c>
      <c r="EK10" s="41">
        <f>MIN(1,MAX(VLOOKUP(($AI10-$AH10-$AG10-$AF10-$AE10-$AA10*(1+EK$3))/$AI10,'[8]Технический лист'!$A:$B,2,1),(EJ10-0.05)))</f>
        <v>1</v>
      </c>
      <c r="EL10" s="41">
        <f>MIN(1,MAX(VLOOKUP(($AI10-$AH10-$AG10-$AF10-$AE10-$AA10*(1+EL$3))/$AI10,'[8]Технический лист'!$A:$B,2,1),(EK10-0.05)))</f>
        <v>1</v>
      </c>
      <c r="EM10" s="41">
        <f>MIN(1,MAX(VLOOKUP(($AI10-$AH10-$AG10-$AF10-$AE10-$AA10*(1+EM$3))/$AI10,'[8]Технический лист'!$A:$B,2,1),(EL10-0.05)))</f>
        <v>1</v>
      </c>
      <c r="EN10" s="41">
        <f>MIN(1,MAX(VLOOKUP(($AI10-$AH10-$AG10-$AF10-$AE10-$AA10*(1+EN$3))/$AI10,'[8]Технический лист'!$A:$B,2,1),(EM10-0.05)))</f>
        <v>1</v>
      </c>
      <c r="EO10" s="41">
        <f>MIN(1,MAX(VLOOKUP(($AI10-$AH10-$AG10-$AF10-$AE10-$AA10*(1+EO$3))/$AI10,'[8]Технический лист'!$A:$B,2,1),(EN10-0.05)))</f>
        <v>1</v>
      </c>
      <c r="EP10" s="41">
        <f>MIN(1,MAX(VLOOKUP(($AI10-$AH10-$AG10-$AF10-$AE10-$AA10*(1+EP$3))/$AI10,'[8]Технический лист'!$A:$B,2,1),(EO10-0.05)))</f>
        <v>1</v>
      </c>
      <c r="EQ10" s="41">
        <f>MIN(1,MAX(VLOOKUP(($AI10-$AH10-$AG10-$AF10-$AE10-$AA10*(1+EQ$3))/$AI10,'[8]Технический лист'!$A:$B,2,1),(EP10-0.05)))</f>
        <v>1</v>
      </c>
      <c r="ER10" s="41">
        <f>MIN(1,MAX(VLOOKUP(($AI10-$AH10-$AG10-$AF10-$AE10-$AA10*(1+ER$3))/$AI10,'[8]Технический лист'!$A:$B,2,1),(EQ10-0.05)))</f>
        <v>1</v>
      </c>
      <c r="ES10" s="41">
        <f>MIN(1,MAX(VLOOKUP(($AI10-$AH10-$AG10-$AF10-$AE10-$AA10*(1+ES$3))/$AI10,'[8]Технический лист'!$A:$B,2,1),(ER10-0.05)))</f>
        <v>1</v>
      </c>
      <c r="ET10" s="41">
        <f>MIN(1,MAX(VLOOKUP(($AI10-$AH10-$AG10-$AF10-$AE10-$AA10*(1+ET$3))/$AI10,'[8]Технический лист'!$A:$B,2,1),(ES10-0.05)))</f>
        <v>1</v>
      </c>
      <c r="EU10" s="41">
        <f>MIN(1,MAX(VLOOKUP(($AI10-$AH10-$AG10-$AF10-$AE10-$AA10*(1+EU$3))/$AI10,'[8]Технический лист'!$A:$B,2,1),(ET10-0.05)))</f>
        <v>1</v>
      </c>
      <c r="EV10" s="41">
        <f>MIN(1,MAX(VLOOKUP(($AI10-$AH10-$AG10-$AF10-$AE10-$AA10*(1+EV$3))/$AI10,'[8]Технический лист'!$A:$B,2,1),(EU10-0.05)))</f>
        <v>1</v>
      </c>
      <c r="EW10" s="41">
        <f>MIN(1,MAX(VLOOKUP(($AI10-$AH10-$AG10-$AF10-$AE10-$AA10*(1+EW$3))/$AI10,'[8]Технический лист'!$A:$B,2,1),(EV10-0.05)))</f>
        <v>1</v>
      </c>
      <c r="EX10" s="41">
        <f>MIN(1,MAX(VLOOKUP(($AI10-$AH10-$AG10-$AF10-$AE10-$AA10*(1+EX$3))/$AI10,'[8]Технический лист'!$A:$B,2,1),(EW10-0.05)))</f>
        <v>1</v>
      </c>
      <c r="EY10" s="41">
        <f>MIN(1,MAX(VLOOKUP(($AI10-$AH10-$AG10-$AF10-$AE10-$AA10*(1+EY$3))/$AI10,'[8]Технический лист'!$A:$B,2,1),(EX10-0.05)))</f>
        <v>1</v>
      </c>
      <c r="EZ10" s="41">
        <f>MIN(1,MAX(VLOOKUP(($AI10-$AH10-$AG10-$AF10-$AE10-$AA10*(1+EZ$3))/$AI10,'[8]Технический лист'!$A:$B,2,1),(EY10-0.05)))</f>
        <v>1</v>
      </c>
      <c r="FA10" s="41">
        <f>MIN(1,MAX(VLOOKUP(($AI10-$AH10-$AG10-$AF10-$AE10-$AA10*(1+FA$3))/$AI10,'[8]Технический лист'!$A:$B,2,1),(EZ10-0.05)))</f>
        <v>1</v>
      </c>
      <c r="FB10" s="41">
        <f>MIN(1,MAX(VLOOKUP(($AI10-$AH10-$AG10-$AF10-$AE10-$AA10*(1+FB$3))/$AI10,'[8]Технический лист'!$A:$B,2,1),(FA10-0.05)))</f>
        <v>1</v>
      </c>
      <c r="FC10" s="41">
        <f>MIN(1,MAX(VLOOKUP(($AI10-$AH10-$AG10-$AF10-$AE10-$AA10*(1+FC$3))/$AI10,'[8]Технический лист'!$A:$B,2,1),(FB10-0.05)))</f>
        <v>1</v>
      </c>
      <c r="FD10" s="41">
        <f>MIN(1,MAX(VLOOKUP(($AI10-$AH10-$AG10-$AF10-$AE10-$AA10*(1+FD$3))/$AI10,'[8]Технический лист'!$A:$B,2,1),(FC10-0.05)))</f>
        <v>1</v>
      </c>
      <c r="FE10" s="41">
        <f>MIN(1,MAX(VLOOKUP(($AI10-$AH10-$AG10-$AF10-$AE10-$AA10*(1+FE$3))/$AI10,'[8]Технический лист'!$A:$B,2,1),(FD10-0.05)))</f>
        <v>1</v>
      </c>
      <c r="FF10" s="41">
        <f>MIN(1,MAX(VLOOKUP(($AI10-$AH10-$AG10-$AF10-$AE10-$AA10*(1+FF$3))/$AI10,'[8]Технический лист'!$A:$B,2,1),(FE10-0.05)))</f>
        <v>1</v>
      </c>
      <c r="FG10" s="41">
        <f>MIN(1,MAX(VLOOKUP(($AI10-$AH10-$AG10-$AF10-$AE10-$AA10*(1+FG$3))/$AI10,'[8]Технический лист'!$A:$B,2,1),(FF10-0.05)))</f>
        <v>1</v>
      </c>
      <c r="FH10" s="41">
        <f>MIN(1,MAX(VLOOKUP(($AI10-$AH10-$AG10-$AF10-$AE10-$AA10*(1+FH$3))/$AI10,'[8]Технический лист'!$A:$B,2,1),(FG10-0.05)))</f>
        <v>1</v>
      </c>
      <c r="FI10" s="41">
        <f>MIN(1,MAX(VLOOKUP(($AI10-$AH10-$AG10-$AF10-$AE10-$AA10*(1+FI$3))/$AI10,'[8]Технический лист'!$A:$B,2,1),(FH10-0.05)))</f>
        <v>1</v>
      </c>
      <c r="FJ10" s="41">
        <f>MIN(1,MAX(VLOOKUP(($AI10-$AH10-$AG10-$AF10-$AE10-$AA10*(1+FJ$3))/$AI10,'[8]Технический лист'!$A:$B,2,1),(FI10-0.05)))</f>
        <v>1</v>
      </c>
      <c r="FK10" s="41">
        <f>MIN(1,MAX(VLOOKUP(($AI10-$AH10-$AG10-$AF10-$AE10-$AA10*(1+FK$3))/$AI10,'[8]Технический лист'!$A:$B,2,1),(FJ10-0.05)))</f>
        <v>1</v>
      </c>
      <c r="FL10" s="41">
        <f>MIN(1,MAX(VLOOKUP(($AI10-$AH10-$AG10-$AF10-$AE10-$AA10*(1+FL$3))/$AI10,'[8]Технический лист'!$A:$B,2,1),(FK10-0.05)))</f>
        <v>1</v>
      </c>
      <c r="FM10" s="41">
        <f>MIN(1,MAX(VLOOKUP(($AI10-$AH10-$AG10-$AF10-$AE10-$AA10*(1+FM$3))/$AI10,'[8]Технический лист'!$A:$B,2,1),(FL10-0.05)))</f>
        <v>1</v>
      </c>
      <c r="FN10" s="41">
        <f>MIN(1,MAX(VLOOKUP(($AI10-$AH10-$AG10-$AF10-$AE10-$AA10*(1+FN$3))/$AI10,'[8]Технический лист'!$A:$B,2,1),(FM10-0.05)))</f>
        <v>1</v>
      </c>
      <c r="FO10" s="41">
        <f>MIN(1,MAX(VLOOKUP(($AI10-$AH10-$AG10-$AF10-$AE10-$AA10*(1+FO$3))/$AI10,'[8]Технический лист'!$A:$B,2,1),(FN10-0.05)))</f>
        <v>1</v>
      </c>
      <c r="FP10" s="41">
        <f>MIN(1,MAX(VLOOKUP(($AI10-$AH10-$AG10-$AF10-$AE10-$AA10*(1+FP$3))/$AI10,'[8]Технический лист'!$A:$B,2,1),(FO10-0.05)))</f>
        <v>1</v>
      </c>
      <c r="FQ10" s="41">
        <f>MIN(1,MAX(VLOOKUP(($AI10-$AH10-$AG10-$AF10-$AE10-$AA10*(1+FQ$3))/$AI10,'[8]Технический лист'!$A:$B,2,1),(FP10-0.05)))</f>
        <v>1</v>
      </c>
      <c r="FR10" s="41">
        <f>MIN(1,MAX(VLOOKUP(($AI10-$AH10-$AG10-$AF10-$AE10-$AA10*(1+FR$3))/$AI10,'[8]Технический лист'!$A:$B,2,1),(FQ10-0.05)))</f>
        <v>1</v>
      </c>
      <c r="FS10" s="41">
        <f>MIN(1,MAX(VLOOKUP(($AI10-$AH10-$AG10-$AF10-$AE10-$AA10*(1+FS$3))/$AI10,'[8]Технический лист'!$A:$B,2,1),(FR10-0.05)))</f>
        <v>1</v>
      </c>
      <c r="FT10" s="41">
        <f>MIN(1,MAX(VLOOKUP(($AI10-$AH10-$AG10-$AF10-$AE10-$AA10*(1+FT$3))/$AI10,'[8]Технический лист'!$A:$B,2,1),(FS10-0.05)))</f>
        <v>1</v>
      </c>
      <c r="FU10" s="41">
        <f>MIN(1,MAX(VLOOKUP(($AI10-$AH10-$AG10-$AF10-$AE10-$AA10*(1+FU$3))/$AI10,'[8]Технический лист'!$A:$B,2,1),(FT10-0.05)))</f>
        <v>0.995</v>
      </c>
      <c r="FV10" s="41">
        <f>MIN(1,MAX(VLOOKUP(($AI10-$AH10-$AG10-$AF10-$AE10-$AA10*(1+FV$3))/$AI10,'[8]Технический лист'!$A:$B,2,1),(FU10-0.05)))</f>
        <v>0.995</v>
      </c>
      <c r="FW10" s="41">
        <f>MIN(1,MAX(VLOOKUP(($AI10-$AH10-$AG10-$AF10-$AE10-$AA10*(1+FW$3))/$AI10,'[8]Технический лист'!$A:$B,2,1),(FV10-0.05)))</f>
        <v>0.995</v>
      </c>
      <c r="FX10" s="41">
        <f>MIN(1,MAX(VLOOKUP(($AI10-$AH10-$AG10-$AF10-$AE10-$AA10*(1+FX$3))/$AI10,'[8]Технический лист'!$A:$B,2,1),(FW10-0.05)))</f>
        <v>0.995</v>
      </c>
      <c r="FY10" s="41">
        <f>MIN(1,MAX(VLOOKUP(($AI10-$AH10-$AG10-$AF10-$AE10-$AA10*(1+FY$3))/$AI10,'[8]Технический лист'!$A:$B,2,1),(FX10-0.05)))</f>
        <v>0.995</v>
      </c>
      <c r="FZ10" s="41">
        <f>MIN(1,MAX(VLOOKUP(($AI10-$AH10-$AG10-$AF10-$AE10-$AA10*(1+FZ$3))/$AI10,'[8]Технический лист'!$A:$B,2,1),(FY10-0.05)))</f>
        <v>0.995</v>
      </c>
      <c r="GA10" s="41">
        <f>MIN(1,MAX(VLOOKUP(($AI10-$AH10-$AG10-$AF10-$AE10-$AA10*(1+GA$3))/$AI10,'[8]Технический лист'!$A:$B,2,1),(FZ10-0.05)))</f>
        <v>0.99</v>
      </c>
      <c r="GB10" s="41">
        <f>MIN(1,MAX(VLOOKUP(($AI10-$AH10-$AG10-$AF10-$AE10-$AA10*(1+GB$3))/$AI10,'[8]Технический лист'!$A:$B,2,1),(GA10-0.05)))</f>
        <v>0.99</v>
      </c>
      <c r="GC10" s="41">
        <f>MIN(1,MAX(VLOOKUP(($AI10-$AH10-$AG10-$AF10-$AE10-$AA10*(1+GC$3))/$AI10,'[8]Технический лист'!$A:$B,2,1),(GB10-0.05)))</f>
        <v>0.99</v>
      </c>
      <c r="GD10" s="41">
        <f>MIN(1,MAX(VLOOKUP(($AI10-$AH10-$AG10-$AF10-$AE10-$AA10*(1+GD$3))/$AI10,'[8]Технический лист'!$A:$B,2,1),(GC10-0.05)))</f>
        <v>0.99</v>
      </c>
      <c r="GE10" s="41">
        <f>MIN(1,MAX(VLOOKUP(($AI10-$AH10-$AG10-$AF10-$AE10-$AA10*(1+GE$3))/$AI10,'[8]Технический лист'!$A:$B,2,1),(GD10-0.05)))</f>
        <v>0.99</v>
      </c>
      <c r="GF10" s="41">
        <f>MIN(1,MAX(VLOOKUP(($AI10-$AH10-$AG10-$AF10-$AE10-$AA10*(1+GF$3))/$AI10,'[8]Технический лист'!$A:$B,2,1),(GE10-0.05)))</f>
        <v>0.98499999999999999</v>
      </c>
      <c r="GG10" s="41">
        <f>MIN(1,MAX(VLOOKUP(($AI10-$AH10-$AG10-$AF10-$AE10-$AA10*(1+GG$3))/$AI10,'[8]Технический лист'!$A:$B,2,1),(GF10-0.05)))</f>
        <v>0.98499999999999999</v>
      </c>
      <c r="GH10" s="41">
        <f>MIN(1,MAX(VLOOKUP(($AI10-$AH10-$AG10-$AF10-$AE10-$AA10*(1+GH$3))/$AI10,'[8]Технический лист'!$A:$B,2,1),(GG10-0.05)))</f>
        <v>0.98499999999999999</v>
      </c>
      <c r="GI10" s="41">
        <f>MIN(1,MAX(VLOOKUP(($AI10-$AH10-$AG10-$AF10-$AE10-$AA10*(1+GI$3))/$AI10,'[8]Технический лист'!$A:$B,2,1),(GH10-0.05)))</f>
        <v>0.98499999999999999</v>
      </c>
      <c r="GJ10" s="41">
        <f>MIN(1,MAX(VLOOKUP(($AI10-$AH10-$AG10-$AF10-$AE10-$AA10*(1+GJ$3))/$AI10,'[8]Технический лист'!$A:$B,2,1),(GI10-0.05)))</f>
        <v>0.98499999999999999</v>
      </c>
      <c r="GK10" s="41">
        <f>MIN(1,MAX(VLOOKUP(($AI10-$AH10-$AG10-$AF10-$AE10-$AA10*(1+GK$3))/$AI10,'[8]Технический лист'!$A:$B,2,1),(GJ10-0.05)))</f>
        <v>0.98499999999999999</v>
      </c>
      <c r="GL10" s="41">
        <f>MIN(1,MAX(VLOOKUP(($AI10-$AH10-$AG10-$AF10-$AE10-$AA10*(1+GL$3))/$AI10,'[8]Технический лист'!$A:$B,2,1),(GK10-0.05)))</f>
        <v>0.98</v>
      </c>
      <c r="GM10" s="41">
        <f>MIN(1,MAX(VLOOKUP(($AI10-$AH10-$AG10-$AF10-$AE10-$AA10*(1+GM$3))/$AI10,'[8]Технический лист'!$A:$B,2,1),(GL10-0.05)))</f>
        <v>0.98</v>
      </c>
      <c r="GN10" s="41">
        <f>MIN(1,MAX(VLOOKUP(($AI10-$AH10-$AG10-$AF10-$AE10-$AA10*(1+GN$3))/$AI10,'[8]Технический лист'!$A:$B,2,1),(GM10-0.05)))</f>
        <v>0.98</v>
      </c>
    </row>
    <row r="11" spans="1:196" ht="29.15">
      <c r="A11" s="3">
        <v>6</v>
      </c>
      <c r="B11" s="15" t="s">
        <v>61</v>
      </c>
      <c r="C11" s="4" t="s">
        <v>107</v>
      </c>
      <c r="D11" s="4" t="s">
        <v>108</v>
      </c>
      <c r="E11" s="4" t="s">
        <v>109</v>
      </c>
      <c r="F11" s="4" t="s">
        <v>57</v>
      </c>
      <c r="G11" s="4" t="s">
        <v>110</v>
      </c>
      <c r="H11" s="4" t="s">
        <v>111</v>
      </c>
      <c r="I11" s="4" t="s">
        <v>112</v>
      </c>
      <c r="J11" s="4" t="s">
        <v>113</v>
      </c>
      <c r="K11" s="4" t="s">
        <v>147</v>
      </c>
      <c r="L11" s="4" t="s">
        <v>17</v>
      </c>
      <c r="M11" s="4" t="s">
        <v>166</v>
      </c>
      <c r="N11" s="4" t="s">
        <v>56</v>
      </c>
      <c r="O11" s="4" t="s">
        <v>114</v>
      </c>
      <c r="P11" s="4" t="s">
        <v>115</v>
      </c>
      <c r="Q11" s="4" t="s">
        <v>71</v>
      </c>
      <c r="R11" s="16">
        <v>20735</v>
      </c>
      <c r="S11" s="17">
        <v>157665729</v>
      </c>
      <c r="T11" s="18">
        <v>0</v>
      </c>
      <c r="U11" s="18">
        <v>704</v>
      </c>
      <c r="V11" s="17">
        <v>129424691</v>
      </c>
      <c r="W11" s="26" t="s">
        <v>166</v>
      </c>
      <c r="X11" s="26">
        <v>66</v>
      </c>
      <c r="Y11" s="24">
        <f>432194/X11</f>
        <v>6548.393939393939</v>
      </c>
      <c r="Z11" s="20">
        <v>0</v>
      </c>
      <c r="AA11" s="27">
        <f>Y11</f>
        <v>6548.393939393939</v>
      </c>
      <c r="AB11" s="20">
        <v>23</v>
      </c>
      <c r="AC11" s="20">
        <v>0</v>
      </c>
      <c r="AD11" s="20">
        <v>4</v>
      </c>
      <c r="AE11" s="20">
        <f>'Ставки аренды'!$B$4*SUM(Лесные!AB11+Лесные!AC11+Лесные!AD11)/Лесные!X11</f>
        <v>654.5454545454545</v>
      </c>
      <c r="AF11" s="20">
        <v>0</v>
      </c>
      <c r="AG11" s="20"/>
      <c r="AH11" s="20">
        <f>0.86*AI11</f>
        <v>56391.42857142858</v>
      </c>
      <c r="AI11" s="20">
        <f>Цены!$C$7</f>
        <v>65571.42857142858</v>
      </c>
      <c r="AJ11" s="20"/>
      <c r="AK11" s="21"/>
      <c r="AL11" s="20"/>
      <c r="AM11" s="20"/>
      <c r="AN11" s="29">
        <f t="shared" si="0"/>
        <v>3.0151251072819709E-2</v>
      </c>
      <c r="AO11" s="20"/>
      <c r="AP11" s="20"/>
      <c r="AQ11" s="2"/>
      <c r="AR11" s="19"/>
      <c r="AS11" s="42">
        <v>0.8</v>
      </c>
      <c r="AT11" s="41">
        <f>MIN(IF($AS11=100%,1,1+VLOOKUP(($AI11-$AH11-$AG11-$AF11-$AE11-$AA11*(1+AT$3))/$AI11,'Технический лист'!$A:$B,2,1)-VLOOKUP($AN11,'Технический лист'!$A:$B,2,1)),1+(1-$AS11))</f>
        <v>1.0899999999999999</v>
      </c>
      <c r="AU11" s="41">
        <f>MIN(IF($AS11=100%,1,1+VLOOKUP(($AI11-$AH11-$AG11-$AF11-$AE11-$AA11*(1+AU$3))/$AI11,'Технический лист'!$A:$B,2,1)-VLOOKUP($AN11,'Технический лист'!$A:$B,2,1)),1+(1-$AS11))</f>
        <v>1.0699999999999998</v>
      </c>
      <c r="AV11" s="41">
        <f>MIN(IF($AS11=100%,1,1+VLOOKUP(($AI11-$AH11-$AG11-$AF11-$AE11-$AA11*(1+AV$3))/$AI11,'Технический лист'!$A:$B,2,1)-VLOOKUP($AN11,'Технический лист'!$A:$B,2,1)),1+(1-$AS11))</f>
        <v>1.0699999999999998</v>
      </c>
      <c r="AW11" s="41">
        <f>MIN(IF($AS11=100%,1,1+VLOOKUP(($AI11-$AH11-$AG11-$AF11-$AE11-$AA11*(1+AW$3))/$AI11,'Технический лист'!$A:$B,2,1)-VLOOKUP($AN11,'Технический лист'!$A:$B,2,1)),1+(1-$AS11))</f>
        <v>1.0699999999999998</v>
      </c>
      <c r="AX11" s="41">
        <f>MIN(IF($AS11=100%,1,1+VLOOKUP(($AI11-$AH11-$AG11-$AF11-$AE11-$AA11*(1+AX$3))/$AI11,'Технический лист'!$A:$B,2,1)-VLOOKUP($AN11,'Технический лист'!$A:$B,2,1)),1+(1-$AS11))</f>
        <v>1.0699999999999998</v>
      </c>
      <c r="AY11" s="41">
        <f>MIN(IF($AS11=100%,1,1+VLOOKUP(($AI11-$AH11-$AG11-$AF11-$AE11-$AA11*(1+AY$3))/$AI11,'Технический лист'!$A:$B,2,1)-VLOOKUP($AN11,'Технический лист'!$A:$B,2,1)),1+(1-$AS11))</f>
        <v>1.0699999999999998</v>
      </c>
      <c r="AZ11" s="41">
        <f>MIN(IF($AS11=100%,1,1+VLOOKUP(($AI11-$AH11-$AG11-$AF11-$AE11-$AA11*(1+AZ$3))/$AI11,'Технический лист'!$A:$B,2,1)-VLOOKUP($AN11,'Технический лист'!$A:$B,2,1)),1+(1-$AS11))</f>
        <v>1.0699999999999998</v>
      </c>
      <c r="BA11" s="41">
        <f>MIN(IF($AS11=100%,1,1+VLOOKUP(($AI11-$AH11-$AG11-$AF11-$AE11-$AA11*(1+BA$3))/$AI11,'Технический лист'!$A:$B,2,1)-VLOOKUP($AN11,'Технический лист'!$A:$B,2,1)),1+(1-$AS11))</f>
        <v>1.0699999999999998</v>
      </c>
      <c r="BB11" s="41">
        <f>MIN(IF($AS11=100%,1,1+VLOOKUP(($AI11-$AH11-$AG11-$AF11-$AE11-$AA11*(1+BB$3))/$AI11,'Технический лист'!$A:$B,2,1)-VLOOKUP($AN11,'Технический лист'!$A:$B,2,1)),1+(1-$AS11))</f>
        <v>1.0699999999999998</v>
      </c>
      <c r="BC11" s="41">
        <f>MIN(IF($AS11=100%,1,1+VLOOKUP(($AI11-$AH11-$AG11-$AF11-$AE11-$AA11*(1+BC$3))/$AI11,'Технический лист'!$A:$B,2,1)-VLOOKUP($AN11,'Технический лист'!$A:$B,2,1)),1+(1-$AS11))</f>
        <v>1.0699999999999998</v>
      </c>
      <c r="BD11" s="41">
        <f>MIN(IF($AS11=100%,1,1+VLOOKUP(($AI11-$AH11-$AG11-$AF11-$AE11-$AA11*(1+BD$3))/$AI11,'Технический лист'!$A:$B,2,1)-VLOOKUP($AN11,'Технический лист'!$A:$B,2,1)),1+(1-$AS11))</f>
        <v>1.0699999999999998</v>
      </c>
      <c r="BE11" s="41">
        <f>MIN(IF($AS11=100%,1,1+VLOOKUP(($AI11-$AH11-$AG11-$AF11-$AE11-$AA11*(1+BE$3))/$AI11,'Технический лист'!$A:$B,2,1)-VLOOKUP($AN11,'Технический лист'!$A:$B,2,1)),1+(1-$AS11))</f>
        <v>1.0499999999999998</v>
      </c>
      <c r="BF11" s="41">
        <f>MIN(IF($AS11=100%,1,1+VLOOKUP(($AI11-$AH11-$AG11-$AF11-$AE11-$AA11*(1+BF$3))/$AI11,'Технический лист'!$A:$B,2,1)-VLOOKUP($AN11,'Технический лист'!$A:$B,2,1)),1+(1-$AS11))</f>
        <v>1.0499999999999998</v>
      </c>
      <c r="BG11" s="41">
        <f>MIN(IF($AS11=100%,1,1+VLOOKUP(($AI11-$AH11-$AG11-$AF11-$AE11-$AA11*(1+BG$3))/$AI11,'Технический лист'!$A:$B,2,1)-VLOOKUP($AN11,'Технический лист'!$A:$B,2,1)),1+(1-$AS11))</f>
        <v>1.0499999999999998</v>
      </c>
      <c r="BH11" s="41">
        <f>MIN(IF($AS11=100%,1,1+VLOOKUP(($AI11-$AH11-$AG11-$AF11-$AE11-$AA11*(1+BH$3))/$AI11,'Технический лист'!$A:$B,2,1)-VLOOKUP($AN11,'Технический лист'!$A:$B,2,1)),1+(1-$AS11))</f>
        <v>1.0499999999999998</v>
      </c>
      <c r="BI11" s="41">
        <f>MIN(IF($AS11=100%,1,1+VLOOKUP(($AI11-$AH11-$AG11-$AF11-$AE11-$AA11*(1+BI$3))/$AI11,'Технический лист'!$A:$B,2,1)-VLOOKUP($AN11,'Технический лист'!$A:$B,2,1)),1+(1-$AS11))</f>
        <v>1.0499999999999998</v>
      </c>
      <c r="BJ11" s="41">
        <f>MIN(IF($AS11=100%,1,1+VLOOKUP(($AI11-$AH11-$AG11-$AF11-$AE11-$AA11*(1+BJ$3))/$AI11,'Технический лист'!$A:$B,2,1)-VLOOKUP($AN11,'Технический лист'!$A:$B,2,1)),1+(1-$AS11))</f>
        <v>1.0499999999999998</v>
      </c>
      <c r="BK11" s="41">
        <f>MIN(IF($AS11=100%,1,1+VLOOKUP(($AI11-$AH11-$AG11-$AF11-$AE11-$AA11*(1+BK$3))/$AI11,'Технический лист'!$A:$B,2,1)-VLOOKUP($AN11,'Технический лист'!$A:$B,2,1)),1+(1-$AS11))</f>
        <v>1.0499999999999998</v>
      </c>
      <c r="BL11" s="41">
        <f>MIN(IF($AS11=100%,1,1+VLOOKUP(($AI11-$AH11-$AG11-$AF11-$AE11-$AA11*(1+BL$3))/$AI11,'Технический лист'!$A:$B,2,1)-VLOOKUP($AN11,'Технический лист'!$A:$B,2,1)),1+(1-$AS11))</f>
        <v>1.0499999999999998</v>
      </c>
      <c r="BM11" s="41">
        <f>MIN(IF($AS11=100%,1,1+VLOOKUP(($AI11-$AH11-$AG11-$AF11-$AE11-$AA11*(1+BM$3))/$AI11,'Технический лист'!$A:$B,2,1)-VLOOKUP($AN11,'Технический лист'!$A:$B,2,1)),1+(1-$AS11))</f>
        <v>1.0499999999999998</v>
      </c>
      <c r="BN11" s="41">
        <f>MIN(IF($AS11=100%,1,1+VLOOKUP(($AI11-$AH11-$AG11-$AF11-$AE11-$AA11*(1+BN$3))/$AI11,'Технический лист'!$A:$B,2,1)-VLOOKUP($AN11,'Технический лист'!$A:$B,2,1)),1+(1-$AS11))</f>
        <v>1.0499999999999998</v>
      </c>
      <c r="BO11" s="41">
        <f>MIN(IF($AS11=100%,1,1+VLOOKUP(($AI11-$AH11-$AG11-$AF11-$AE11-$AA11*(1+BO$3))/$AI11,'Технический лист'!$A:$B,2,1)-VLOOKUP($AN11,'Технический лист'!$A:$B,2,1)),1+(1-$AS11))</f>
        <v>1.0300000000000002</v>
      </c>
      <c r="BP11" s="41">
        <f>MIN(IF($AS11=100%,1,1+VLOOKUP(($AI11-$AH11-$AG11-$AF11-$AE11-$AA11*(1+BP$3))/$AI11,'Технический лист'!$A:$B,2,1)-VLOOKUP($AN11,'Технический лист'!$A:$B,2,1)),1+(1-$AS11))</f>
        <v>1.0300000000000002</v>
      </c>
      <c r="BQ11" s="41">
        <f>MIN(IF($AS11=100%,1,1+VLOOKUP(($AI11-$AH11-$AG11-$AF11-$AE11-$AA11*(1+BQ$3))/$AI11,'Технический лист'!$A:$B,2,1)-VLOOKUP($AN11,'Технический лист'!$A:$B,2,1)),1+(1-$AS11))</f>
        <v>1.0300000000000002</v>
      </c>
      <c r="BR11" s="41">
        <f>MIN(IF($AS11=100%,1,1+VLOOKUP(($AI11-$AH11-$AG11-$AF11-$AE11-$AA11*(1+BR$3))/$AI11,'Технический лист'!$A:$B,2,1)-VLOOKUP($AN11,'Технический лист'!$A:$B,2,1)),1+(1-$AS11))</f>
        <v>1.0300000000000002</v>
      </c>
      <c r="BS11" s="41">
        <f>MIN(IF($AS11=100%,1,1+VLOOKUP(($AI11-$AH11-$AG11-$AF11-$AE11-$AA11*(1+BS$3))/$AI11,'Технический лист'!$A:$B,2,1)-VLOOKUP($AN11,'Технический лист'!$A:$B,2,1)),1+(1-$AS11))</f>
        <v>1.0300000000000002</v>
      </c>
      <c r="BT11" s="41">
        <f>MIN(IF($AS11=100%,1,1+VLOOKUP(($AI11-$AH11-$AG11-$AF11-$AE11-$AA11*(1+BT$3))/$AI11,'Технический лист'!$A:$B,2,1)-VLOOKUP($AN11,'Технический лист'!$A:$B,2,1)),1+(1-$AS11))</f>
        <v>1.0300000000000002</v>
      </c>
      <c r="BU11" s="41">
        <f>MIN(IF($AS11=100%,1,1+VLOOKUP(($AI11-$AH11-$AG11-$AF11-$AE11-$AA11*(1+BU$3))/$AI11,'Технический лист'!$A:$B,2,1)-VLOOKUP($AN11,'Технический лист'!$A:$B,2,1)),1+(1-$AS11))</f>
        <v>1.0300000000000002</v>
      </c>
      <c r="BV11" s="41">
        <f>MIN(IF($AS11=100%,1,1+VLOOKUP(($AI11-$AH11-$AG11-$AF11-$AE11-$AA11*(1+BV$3))/$AI11,'Технический лист'!$A:$B,2,1)-VLOOKUP($AN11,'Технический лист'!$A:$B,2,1)),1+(1-$AS11))</f>
        <v>1.0300000000000002</v>
      </c>
      <c r="BW11" s="41">
        <f>MIN(IF($AS11=100%,1,1+VLOOKUP(($AI11-$AH11-$AG11-$AF11-$AE11-$AA11*(1+BW$3))/$AI11,'Технический лист'!$A:$B,2,1)-VLOOKUP($AN11,'Технический лист'!$A:$B,2,1)),1+(1-$AS11))</f>
        <v>1.0300000000000002</v>
      </c>
      <c r="BX11" s="41">
        <f>MIN(IF($AS11=100%,1,1+VLOOKUP(($AI11-$AH11-$AG11-$AF11-$AE11-$AA11*(1+BX$3))/$AI11,'Технический лист'!$A:$B,2,1)-VLOOKUP($AN11,'Технический лист'!$A:$B,2,1)),1+(1-$AS11))</f>
        <v>1.0300000000000002</v>
      </c>
      <c r="BY11" s="41">
        <f>MIN(IF($AS11=100%,1,1+VLOOKUP(($AI11-$AH11-$AG11-$AF11-$AE11-$AA11*(1+BY$3))/$AI11,'Технический лист'!$A:$B,2,1)-VLOOKUP($AN11,'Технический лист'!$A:$B,2,1)),1+(1-$AS11))</f>
        <v>1.0150000000000001</v>
      </c>
      <c r="BZ11" s="41">
        <f>MIN(IF($AS11=100%,1,1+VLOOKUP(($AI11-$AH11-$AG11-$AF11-$AE11-$AA11*(1+BZ$3))/$AI11,'Технический лист'!$A:$B,2,1)-VLOOKUP($AN11,'Технический лист'!$A:$B,2,1)),1+(1-$AS11))</f>
        <v>1.0150000000000001</v>
      </c>
      <c r="CA11" s="41">
        <f>MIN(IF($AS11=100%,1,1+VLOOKUP(($AI11-$AH11-$AG11-$AF11-$AE11-$AA11*(1+CA$3))/$AI11,'Технический лист'!$A:$B,2,1)-VLOOKUP($AN11,'Технический лист'!$A:$B,2,1)),1+(1-$AS11))</f>
        <v>1.0150000000000001</v>
      </c>
      <c r="CB11" s="41">
        <f>MIN(IF($AS11=100%,1,1+VLOOKUP(($AI11-$AH11-$AG11-$AF11-$AE11-$AA11*(1+CB$3))/$AI11,'Технический лист'!$A:$B,2,1)-VLOOKUP($AN11,'Технический лист'!$A:$B,2,1)),1+(1-$AS11))</f>
        <v>1.0150000000000001</v>
      </c>
      <c r="CC11" s="41">
        <f>MIN(IF($AS11=100%,1,1+VLOOKUP(($AI11-$AH11-$AG11-$AF11-$AE11-$AA11*(1+CC$3))/$AI11,'Технический лист'!$A:$B,2,1)-VLOOKUP($AN11,'Технический лист'!$A:$B,2,1)),1+(1-$AS11))</f>
        <v>1.0150000000000001</v>
      </c>
      <c r="CD11" s="41">
        <f>MIN(IF($AS11=100%,1,1+VLOOKUP(($AI11-$AH11-$AG11-$AF11-$AE11-$AA11*(1+CD$3))/$AI11,'Технический лист'!$A:$B,2,1)-VLOOKUP($AN11,'Технический лист'!$A:$B,2,1)),1+(1-$AS11))</f>
        <v>1.0150000000000001</v>
      </c>
      <c r="CE11" s="41">
        <f>MIN(IF($AS11=100%,1,1+VLOOKUP(($AI11-$AH11-$AG11-$AF11-$AE11-$AA11*(1+CE$3))/$AI11,'Технический лист'!$A:$B,2,1)-VLOOKUP($AN11,'Технический лист'!$A:$B,2,1)),1+(1-$AS11))</f>
        <v>1.0150000000000001</v>
      </c>
      <c r="CF11" s="41">
        <f>MIN(IF($AS11=100%,1,1+VLOOKUP(($AI11-$AH11-$AG11-$AF11-$AE11-$AA11*(1+CF$3))/$AI11,'Технический лист'!$A:$B,2,1)-VLOOKUP($AN11,'Технический лист'!$A:$B,2,1)),1+(1-$AS11))</f>
        <v>1.0150000000000001</v>
      </c>
      <c r="CG11" s="41">
        <f>MIN(IF($AS11=100%,1,1+VLOOKUP(($AI11-$AH11-$AG11-$AF11-$AE11-$AA11*(1+CG$3))/$AI11,'Технический лист'!$A:$B,2,1)-VLOOKUP($AN11,'Технический лист'!$A:$B,2,1)),1+(1-$AS11))</f>
        <v>1.0150000000000001</v>
      </c>
      <c r="CH11" s="41">
        <f>MIN(IF($AS11=100%,1,1+VLOOKUP(($AI11-$AH11-$AG11-$AF11-$AE11-$AA11*(1+CH$3))/$AI11,'Технический лист'!$A:$B,2,1)-VLOOKUP($AN11,'Технический лист'!$A:$B,2,1)),1+(1-$AS11))</f>
        <v>1.0150000000000001</v>
      </c>
      <c r="CI11" s="41">
        <f>MIN(IF($AS11=100%,1,1+VLOOKUP(($AI11-$AH11-$AG11-$AF11-$AE11-$AA11*(1+CI$3))/$AI11,'Технический лист'!$A:$B,2,1)-VLOOKUP($AN11,'Технический лист'!$A:$B,2,1)),1+(1-$AS11))</f>
        <v>1</v>
      </c>
      <c r="CJ11" s="41">
        <f>MIN(IF($AS11=100%,1,1+VLOOKUP(($AI11-$AH11-$AG11-$AF11-$AE11-$AA11*(1+CJ$3))/$AI11,'Технический лист'!$A:$B,2,1)-VLOOKUP($AN11,'Технический лист'!$A:$B,2,1)),1+(1-$AS11))</f>
        <v>1</v>
      </c>
      <c r="CK11" s="41">
        <f>MIN(IF($AS11=100%,1,1+VLOOKUP(($AI11-$AH11-$AG11-$AF11-$AE11-$AA11*(1+CK$3))/$AI11,'Технический лист'!$A:$B,2,1)-VLOOKUP($AN11,'Технический лист'!$A:$B,2,1)),1+(1-$AS11))</f>
        <v>1</v>
      </c>
      <c r="CL11" s="41">
        <f>MIN(IF($AS11=100%,1,1+VLOOKUP(($AI11-$AH11-$AG11-$AF11-$AE11-$AA11*(1+CL$3))/$AI11,'Технический лист'!$A:$B,2,1)-VLOOKUP($AN11,'Технический лист'!$A:$B,2,1)),1+(1-$AS11))</f>
        <v>1</v>
      </c>
      <c r="CM11" s="41">
        <f>MIN(IF($AS11=100%,1,1+VLOOKUP(($AI11-$AH11-$AG11-$AF11-$AE11-$AA11*(1+CM$3))/$AI11,'Технический лист'!$A:$B,2,1)-VLOOKUP($AN11,'Технический лист'!$A:$B,2,1)),1+(1-$AS11))</f>
        <v>1</v>
      </c>
      <c r="CN11" s="41">
        <f>MIN(IF($AS11=100%,1,1+VLOOKUP(($AI11-$AH11-$AG11-$AF11-$AE11-$AA11*(1+CN$3))/$AI11,'Технический лист'!$A:$B,2,1)-VLOOKUP($AN11,'Технический лист'!$A:$B,2,1)),1+(1-$AS11))</f>
        <v>1</v>
      </c>
      <c r="CO11" s="41">
        <f>MIN(IF($AS11=100%,1,1+VLOOKUP(($AI11-$AH11-$AG11-$AF11-$AE11-$AA11*(1+CO$3))/$AI11,'Технический лист'!$A:$B,2,1)-VLOOKUP($AN11,'Технический лист'!$A:$B,2,1)),1+(1-$AS11))</f>
        <v>1</v>
      </c>
      <c r="CP11" s="41">
        <f>MIN(IF($AS11=100%,1,1+VLOOKUP(($AI11-$AH11-$AG11-$AF11-$AE11-$AA11*(1+CP$3))/$AI11,'Технический лист'!$A:$B,2,1)-VLOOKUP($AN11,'Технический лист'!$A:$B,2,1)),1+(1-$AS11))</f>
        <v>1</v>
      </c>
      <c r="CQ11" s="41">
        <f>MIN(IF($AS11=100%,1,1+VLOOKUP(($AI11-$AH11-$AG11-$AF11-$AE11-$AA11*(1+CQ$3))/$AI11,'Технический лист'!$A:$B,2,1)-VLOOKUP($AN11,'Технический лист'!$A:$B,2,1)),1+(1-$AS11))</f>
        <v>1</v>
      </c>
      <c r="CR11">
        <v>1</v>
      </c>
      <c r="CS11" s="41">
        <f>MIN(1,MAX(VLOOKUP(($AI11-$AH11-$AG11-$AF11-$AE11-$AA11*(1+CS$3))/$AI11,'[8]Технический лист'!$A:$B,2,1),(CR11-0.05)))</f>
        <v>1</v>
      </c>
      <c r="CT11" s="41">
        <f>MIN(1,MAX(VLOOKUP(($AI11-$AH11-$AG11-$AF11-$AE11-$AA11*(1+CT$3))/$AI11,'[8]Технический лист'!$A:$B,2,1),(CS11-0.05)))</f>
        <v>1</v>
      </c>
      <c r="CU11" s="41">
        <f>MIN(1,MAX(VLOOKUP(($AI11-$AH11-$AG11-$AF11-$AE11-$AA11*(1+CU$3))/$AI11,'[8]Технический лист'!$A:$B,2,1),(CT11-0.05)))</f>
        <v>1</v>
      </c>
      <c r="CV11" s="41">
        <f>MIN(1,MAX(VLOOKUP(($AI11-$AH11-$AG11-$AF11-$AE11-$AA11*(1+CV$3))/$AI11,'[8]Технический лист'!$A:$B,2,1),(CU11-0.05)))</f>
        <v>1</v>
      </c>
      <c r="CW11" s="41">
        <f>MIN(1,MAX(VLOOKUP(($AI11-$AH11-$AG11-$AF11-$AE11-$AA11*(1+CW$3))/$AI11,'[8]Технический лист'!$A:$B,2,1),(CV11-0.05)))</f>
        <v>1</v>
      </c>
      <c r="CX11" s="41">
        <f>MIN(1,MAX(VLOOKUP(($AI11-$AH11-$AG11-$AF11-$AE11-$AA11*(1+CX$3))/$AI11,'[8]Технический лист'!$A:$B,2,1),(CW11-0.05)))</f>
        <v>1</v>
      </c>
      <c r="CY11" s="41">
        <f>MIN(1,MAX(VLOOKUP(($AI11-$AH11-$AG11-$AF11-$AE11-$AA11*(1+CY$3))/$AI11,'[8]Технический лист'!$A:$B,2,1),(CX11-0.05)))</f>
        <v>1</v>
      </c>
      <c r="CZ11" s="41">
        <f>MIN(1,MAX(VLOOKUP(($AI11-$AH11-$AG11-$AF11-$AE11-$AA11*(1+CZ$3))/$AI11,'[8]Технический лист'!$A:$B,2,1),(CY11-0.05)))</f>
        <v>1</v>
      </c>
      <c r="DA11" s="41">
        <f>MIN(1,MAX(VLOOKUP(($AI11-$AH11-$AG11-$AF11-$AE11-$AA11*(1+DA$3))/$AI11,'[8]Технический лист'!$A:$B,2,1),(CZ11-0.05)))</f>
        <v>1</v>
      </c>
      <c r="DB11" s="41">
        <f>MIN(1,MAX(VLOOKUP(($AI11-$AH11-$AG11-$AF11-$AE11-$AA11*(1+DB$3))/$AI11,'[8]Технический лист'!$A:$B,2,1),(DA11-0.05)))</f>
        <v>1</v>
      </c>
      <c r="DC11" s="41">
        <f>MIN(1,MAX(VLOOKUP(($AI11-$AH11-$AG11-$AF11-$AE11-$AA11*(1+DC$3))/$AI11,'[8]Технический лист'!$A:$B,2,1),(DB11-0.05)))</f>
        <v>1</v>
      </c>
      <c r="DD11" s="41">
        <f>MIN(1,MAX(VLOOKUP(($AI11-$AH11-$AG11-$AF11-$AE11-$AA11*(1+DD$3))/$AI11,'[8]Технический лист'!$A:$B,2,1),(DC11-0.05)))</f>
        <v>1</v>
      </c>
      <c r="DE11" s="41">
        <f>MIN(1,MAX(VLOOKUP(($AI11-$AH11-$AG11-$AF11-$AE11-$AA11*(1+DE$3))/$AI11,'[8]Технический лист'!$A:$B,2,1),(DD11-0.05)))</f>
        <v>1</v>
      </c>
      <c r="DF11" s="41">
        <f>MIN(1,MAX(VLOOKUP(($AI11-$AH11-$AG11-$AF11-$AE11-$AA11*(1+DF$3))/$AI11,'[8]Технический лист'!$A:$B,2,1),(DE11-0.05)))</f>
        <v>1</v>
      </c>
      <c r="DG11" s="41">
        <f>MIN(1,MAX(VLOOKUP(($AI11-$AH11-$AG11-$AF11-$AE11-$AA11*(1+DG$3))/$AI11,'[8]Технический лист'!$A:$B,2,1),(DF11-0.05)))</f>
        <v>1</v>
      </c>
      <c r="DH11" s="41">
        <f>MIN(1,MAX(VLOOKUP(($AI11-$AH11-$AG11-$AF11-$AE11-$AA11*(1+DH$3))/$AI11,'[8]Технический лист'!$A:$B,2,1),(DG11-0.05)))</f>
        <v>1</v>
      </c>
      <c r="DI11" s="41">
        <f>MIN(1,MAX(VLOOKUP(($AI11-$AH11-$AG11-$AF11-$AE11-$AA11*(1+DI$3))/$AI11,'[8]Технический лист'!$A:$B,2,1),(DH11-0.05)))</f>
        <v>1</v>
      </c>
      <c r="DJ11" s="41">
        <f>MIN(1,MAX(VLOOKUP(($AI11-$AH11-$AG11-$AF11-$AE11-$AA11*(1+DJ$3))/$AI11,'[8]Технический лист'!$A:$B,2,1),(DI11-0.05)))</f>
        <v>1</v>
      </c>
      <c r="DK11" s="41">
        <f>MIN(1,MAX(VLOOKUP(($AI11-$AH11-$AG11-$AF11-$AE11-$AA11*(1+DK$3))/$AI11,'[8]Технический лист'!$A:$B,2,1),(DJ11-0.05)))</f>
        <v>1</v>
      </c>
      <c r="DL11" s="41">
        <f>MIN(1,MAX(VLOOKUP(($AI11-$AH11-$AG11-$AF11-$AE11-$AA11*(1+DL$3))/$AI11,'[8]Технический лист'!$A:$B,2,1),(DK11-0.05)))</f>
        <v>1</v>
      </c>
      <c r="DM11" s="41">
        <f>MIN(1,MAX(VLOOKUP(($AI11-$AH11-$AG11-$AF11-$AE11-$AA11*(1+DM$3))/$AI11,'[8]Технический лист'!$A:$B,2,1),(DL11-0.05)))</f>
        <v>1</v>
      </c>
      <c r="DN11" s="41">
        <f>MIN(1,MAX(VLOOKUP(($AI11-$AH11-$AG11-$AF11-$AE11-$AA11*(1+DN$3))/$AI11,'[8]Технический лист'!$A:$B,2,1),(DM11-0.05)))</f>
        <v>1</v>
      </c>
      <c r="DO11" s="41">
        <f>MIN(1,MAX(VLOOKUP(($AI11-$AH11-$AG11-$AF11-$AE11-$AA11*(1+DO$3))/$AI11,'[8]Технический лист'!$A:$B,2,1),(DN11-0.05)))</f>
        <v>1</v>
      </c>
      <c r="DP11" s="41">
        <f>MIN(1,MAX(VLOOKUP(($AI11-$AH11-$AG11-$AF11-$AE11-$AA11*(1+DP$3))/$AI11,'[8]Технический лист'!$A:$B,2,1),(DO11-0.05)))</f>
        <v>1</v>
      </c>
      <c r="DQ11" s="41">
        <f>MIN(1,MAX(VLOOKUP(($AI11-$AH11-$AG11-$AF11-$AE11-$AA11*(1+DQ$3))/$AI11,'[8]Технический лист'!$A:$B,2,1),(DP11-0.05)))</f>
        <v>1</v>
      </c>
      <c r="DR11" s="41">
        <f>MIN(1,MAX(VLOOKUP(($AI11-$AH11-$AG11-$AF11-$AE11-$AA11*(1+DR$3))/$AI11,'[8]Технический лист'!$A:$B,2,1),(DQ11-0.05)))</f>
        <v>1</v>
      </c>
      <c r="DS11" s="41">
        <f>MIN(1,MAX(VLOOKUP(($AI11-$AH11-$AG11-$AF11-$AE11-$AA11*(1+DS$3))/$AI11,'[8]Технический лист'!$A:$B,2,1),(DR11-0.05)))</f>
        <v>1</v>
      </c>
      <c r="DT11" s="41">
        <f>MIN(1,MAX(VLOOKUP(($AI11-$AH11-$AG11-$AF11-$AE11-$AA11*(1+DT$3))/$AI11,'[8]Технический лист'!$A:$B,2,1),(DS11-0.05)))</f>
        <v>1</v>
      </c>
      <c r="DU11" s="41">
        <f>MIN(1,MAX(VLOOKUP(($AI11-$AH11-$AG11-$AF11-$AE11-$AA11*(1+DU$3))/$AI11,'[8]Технический лист'!$A:$B,2,1),(DT11-0.05)))</f>
        <v>1</v>
      </c>
      <c r="DV11" s="41">
        <f>MIN(1,MAX(VLOOKUP(($AI11-$AH11-$AG11-$AF11-$AE11-$AA11*(1+DV$3))/$AI11,'[8]Технический лист'!$A:$B,2,1),(DU11-0.05)))</f>
        <v>1</v>
      </c>
      <c r="DW11" s="41">
        <f>MIN(1,MAX(VLOOKUP(($AI11-$AH11-$AG11-$AF11-$AE11-$AA11*(1+DW$3))/$AI11,'[8]Технический лист'!$A:$B,2,1),(DV11-0.05)))</f>
        <v>1</v>
      </c>
      <c r="DX11" s="41">
        <f>MIN(1,MAX(VLOOKUP(($AI11-$AH11-$AG11-$AF11-$AE11-$AA11*(1+DX$3))/$AI11,'[8]Технический лист'!$A:$B,2,1),(DW11-0.05)))</f>
        <v>1</v>
      </c>
      <c r="DY11" s="41">
        <f>MIN(1,MAX(VLOOKUP(($AI11-$AH11-$AG11-$AF11-$AE11-$AA11*(1+DY$3))/$AI11,'[8]Технический лист'!$A:$B,2,1),(DX11-0.05)))</f>
        <v>1</v>
      </c>
      <c r="DZ11" s="41">
        <f>MIN(1,MAX(VLOOKUP(($AI11-$AH11-$AG11-$AF11-$AE11-$AA11*(1+DZ$3))/$AI11,'[8]Технический лист'!$A:$B,2,1),(DY11-0.05)))</f>
        <v>1</v>
      </c>
      <c r="EA11" s="41">
        <f>MIN(1,MAX(VLOOKUP(($AI11-$AH11-$AG11-$AF11-$AE11-$AA11*(1+EA$3))/$AI11,'[8]Технический лист'!$A:$B,2,1),(DZ11-0.05)))</f>
        <v>1</v>
      </c>
      <c r="EB11" s="41">
        <f>MIN(1,MAX(VLOOKUP(($AI11-$AH11-$AG11-$AF11-$AE11-$AA11*(1+EB$3))/$AI11,'[8]Технический лист'!$A:$B,2,1),(EA11-0.05)))</f>
        <v>1</v>
      </c>
      <c r="EC11" s="41">
        <f>MIN(1,MAX(VLOOKUP(($AI11-$AH11-$AG11-$AF11-$AE11-$AA11*(1+EC$3))/$AI11,'[8]Технический лист'!$A:$B,2,1),(EB11-0.05)))</f>
        <v>1</v>
      </c>
      <c r="ED11" s="41">
        <f>MIN(1,MAX(VLOOKUP(($AI11-$AH11-$AG11-$AF11-$AE11-$AA11*(1+ED$3))/$AI11,'[8]Технический лист'!$A:$B,2,1),(EC11-0.05)))</f>
        <v>1</v>
      </c>
      <c r="EE11" s="41">
        <f>MIN(1,MAX(VLOOKUP(($AI11-$AH11-$AG11-$AF11-$AE11-$AA11*(1+EE$3))/$AI11,'[8]Технический лист'!$A:$B,2,1),(ED11-0.05)))</f>
        <v>1</v>
      </c>
      <c r="EF11" s="41">
        <f>MIN(1,MAX(VLOOKUP(($AI11-$AH11-$AG11-$AF11-$AE11-$AA11*(1+EF$3))/$AI11,'[8]Технический лист'!$A:$B,2,1),(EE11-0.05)))</f>
        <v>1</v>
      </c>
      <c r="EG11" s="41">
        <f>MIN(1,MAX(VLOOKUP(($AI11-$AH11-$AG11-$AF11-$AE11-$AA11*(1+EG$3))/$AI11,'[8]Технический лист'!$A:$B,2,1),(EF11-0.05)))</f>
        <v>1</v>
      </c>
      <c r="EH11" s="41">
        <f>MIN(1,MAX(VLOOKUP(($AI11-$AH11-$AG11-$AF11-$AE11-$AA11*(1+EH$3))/$AI11,'[8]Технический лист'!$A:$B,2,1),(EG11-0.05)))</f>
        <v>1</v>
      </c>
      <c r="EI11" s="41">
        <f>MIN(1,MAX(VLOOKUP(($AI11-$AH11-$AG11-$AF11-$AE11-$AA11*(1+EI$3))/$AI11,'[8]Технический лист'!$A:$B,2,1),(EH11-0.05)))</f>
        <v>1</v>
      </c>
      <c r="EJ11" s="41">
        <f>MIN(1,MAX(VLOOKUP(($AI11-$AH11-$AG11-$AF11-$AE11-$AA11*(1+EJ$3))/$AI11,'[8]Технический лист'!$A:$B,2,1),(EI11-0.05)))</f>
        <v>1</v>
      </c>
      <c r="EK11" s="41">
        <f>MIN(1,MAX(VLOOKUP(($AI11-$AH11-$AG11-$AF11-$AE11-$AA11*(1+EK$3))/$AI11,'[8]Технический лист'!$A:$B,2,1),(EJ11-0.05)))</f>
        <v>1</v>
      </c>
      <c r="EL11" s="41">
        <f>MIN(1,MAX(VLOOKUP(($AI11-$AH11-$AG11-$AF11-$AE11-$AA11*(1+EL$3))/$AI11,'[8]Технический лист'!$A:$B,2,1),(EK11-0.05)))</f>
        <v>1</v>
      </c>
      <c r="EM11" s="41">
        <f>MIN(1,MAX(VLOOKUP(($AI11-$AH11-$AG11-$AF11-$AE11-$AA11*(1+EM$3))/$AI11,'[8]Технический лист'!$A:$B,2,1),(EL11-0.05)))</f>
        <v>1</v>
      </c>
      <c r="EN11" s="41">
        <f>MIN(1,MAX(VLOOKUP(($AI11-$AH11-$AG11-$AF11-$AE11-$AA11*(1+EN$3))/$AI11,'[8]Технический лист'!$A:$B,2,1),(EM11-0.05)))</f>
        <v>1</v>
      </c>
      <c r="EO11" s="41">
        <f>MIN(1,MAX(VLOOKUP(($AI11-$AH11-$AG11-$AF11-$AE11-$AA11*(1+EO$3))/$AI11,'[8]Технический лист'!$A:$B,2,1),(EN11-0.05)))</f>
        <v>1</v>
      </c>
      <c r="EP11" s="41">
        <f>MIN(1,MAX(VLOOKUP(($AI11-$AH11-$AG11-$AF11-$AE11-$AA11*(1+EP$3))/$AI11,'[8]Технический лист'!$A:$B,2,1),(EO11-0.05)))</f>
        <v>1</v>
      </c>
      <c r="EQ11" s="41">
        <f>MIN(1,MAX(VLOOKUP(($AI11-$AH11-$AG11-$AF11-$AE11-$AA11*(1+EQ$3))/$AI11,'[8]Технический лист'!$A:$B,2,1),(EP11-0.05)))</f>
        <v>1</v>
      </c>
      <c r="ER11" s="41">
        <f>MIN(1,MAX(VLOOKUP(($AI11-$AH11-$AG11-$AF11-$AE11-$AA11*(1+ER$3))/$AI11,'[8]Технический лист'!$A:$B,2,1),(EQ11-0.05)))</f>
        <v>1</v>
      </c>
      <c r="ES11" s="41">
        <f>MIN(1,MAX(VLOOKUP(($AI11-$AH11-$AG11-$AF11-$AE11-$AA11*(1+ES$3))/$AI11,'[8]Технический лист'!$A:$B,2,1),(ER11-0.05)))</f>
        <v>1</v>
      </c>
      <c r="ET11" s="41">
        <f>MIN(1,MAX(VLOOKUP(($AI11-$AH11-$AG11-$AF11-$AE11-$AA11*(1+ET$3))/$AI11,'[8]Технический лист'!$A:$B,2,1),(ES11-0.05)))</f>
        <v>1</v>
      </c>
      <c r="EU11" s="41">
        <f>MIN(1,MAX(VLOOKUP(($AI11-$AH11-$AG11-$AF11-$AE11-$AA11*(1+EU$3))/$AI11,'[8]Технический лист'!$A:$B,2,1),(ET11-0.05)))</f>
        <v>1</v>
      </c>
      <c r="EV11" s="41">
        <f>MIN(1,MAX(VLOOKUP(($AI11-$AH11-$AG11-$AF11-$AE11-$AA11*(1+EV$3))/$AI11,'[8]Технический лист'!$A:$B,2,1),(EU11-0.05)))</f>
        <v>1</v>
      </c>
      <c r="EW11" s="41">
        <f>MIN(1,MAX(VLOOKUP(($AI11-$AH11-$AG11-$AF11-$AE11-$AA11*(1+EW$3))/$AI11,'[8]Технический лист'!$A:$B,2,1),(EV11-0.05)))</f>
        <v>1</v>
      </c>
      <c r="EX11" s="41">
        <f>MIN(1,MAX(VLOOKUP(($AI11-$AH11-$AG11-$AF11-$AE11-$AA11*(1+EX$3))/$AI11,'[8]Технический лист'!$A:$B,2,1),(EW11-0.05)))</f>
        <v>1</v>
      </c>
      <c r="EY11" s="41">
        <f>MIN(1,MAX(VLOOKUP(($AI11-$AH11-$AG11-$AF11-$AE11-$AA11*(1+EY$3))/$AI11,'[8]Технический лист'!$A:$B,2,1),(EX11-0.05)))</f>
        <v>1</v>
      </c>
      <c r="EZ11" s="41">
        <f>MIN(1,MAX(VLOOKUP(($AI11-$AH11-$AG11-$AF11-$AE11-$AA11*(1+EZ$3))/$AI11,'[8]Технический лист'!$A:$B,2,1),(EY11-0.05)))</f>
        <v>1</v>
      </c>
      <c r="FA11" s="41">
        <f>MIN(1,MAX(VLOOKUP(($AI11-$AH11-$AG11-$AF11-$AE11-$AA11*(1+FA$3))/$AI11,'[8]Технический лист'!$A:$B,2,1),(EZ11-0.05)))</f>
        <v>1</v>
      </c>
      <c r="FB11" s="41">
        <f>MIN(1,MAX(VLOOKUP(($AI11-$AH11-$AG11-$AF11-$AE11-$AA11*(1+FB$3))/$AI11,'[8]Технический лист'!$A:$B,2,1),(FA11-0.05)))</f>
        <v>1</v>
      </c>
      <c r="FC11" s="41">
        <f>MIN(1,MAX(VLOOKUP(($AI11-$AH11-$AG11-$AF11-$AE11-$AA11*(1+FC$3))/$AI11,'[8]Технический лист'!$A:$B,2,1),(FB11-0.05)))</f>
        <v>1</v>
      </c>
      <c r="FD11" s="41">
        <f>MIN(1,MAX(VLOOKUP(($AI11-$AH11-$AG11-$AF11-$AE11-$AA11*(1+FD$3))/$AI11,'[8]Технический лист'!$A:$B,2,1),(FC11-0.05)))</f>
        <v>1</v>
      </c>
      <c r="FE11" s="41">
        <f>MIN(1,MAX(VLOOKUP(($AI11-$AH11-$AG11-$AF11-$AE11-$AA11*(1+FE$3))/$AI11,'[8]Технический лист'!$A:$B,2,1),(FD11-0.05)))</f>
        <v>1</v>
      </c>
      <c r="FF11" s="41">
        <f>MIN(1,MAX(VLOOKUP(($AI11-$AH11-$AG11-$AF11-$AE11-$AA11*(1+FF$3))/$AI11,'[8]Технический лист'!$A:$B,2,1),(FE11-0.05)))</f>
        <v>1</v>
      </c>
      <c r="FG11" s="41">
        <f>MIN(1,MAX(VLOOKUP(($AI11-$AH11-$AG11-$AF11-$AE11-$AA11*(1+FG$3))/$AI11,'[8]Технический лист'!$A:$B,2,1),(FF11-0.05)))</f>
        <v>1</v>
      </c>
      <c r="FH11" s="41">
        <f>MIN(1,MAX(VLOOKUP(($AI11-$AH11-$AG11-$AF11-$AE11-$AA11*(1+FH$3))/$AI11,'[8]Технический лист'!$A:$B,2,1),(FG11-0.05)))</f>
        <v>1</v>
      </c>
      <c r="FI11" s="41">
        <f>MIN(1,MAX(VLOOKUP(($AI11-$AH11-$AG11-$AF11-$AE11-$AA11*(1+FI$3))/$AI11,'[8]Технический лист'!$A:$B,2,1),(FH11-0.05)))</f>
        <v>1</v>
      </c>
      <c r="FJ11" s="41">
        <f>MIN(1,MAX(VLOOKUP(($AI11-$AH11-$AG11-$AF11-$AE11-$AA11*(1+FJ$3))/$AI11,'[8]Технический лист'!$A:$B,2,1),(FI11-0.05)))</f>
        <v>1</v>
      </c>
      <c r="FK11" s="41">
        <f>MIN(1,MAX(VLOOKUP(($AI11-$AH11-$AG11-$AF11-$AE11-$AA11*(1+FK$3))/$AI11,'[8]Технический лист'!$A:$B,2,1),(FJ11-0.05)))</f>
        <v>1</v>
      </c>
      <c r="FL11" s="41">
        <f>MIN(1,MAX(VLOOKUP(($AI11-$AH11-$AG11-$AF11-$AE11-$AA11*(1+FL$3))/$AI11,'[8]Технический лист'!$A:$B,2,1),(FK11-0.05)))</f>
        <v>1</v>
      </c>
      <c r="FM11" s="41">
        <f>MIN(1,MAX(VLOOKUP(($AI11-$AH11-$AG11-$AF11-$AE11-$AA11*(1+FM$3))/$AI11,'[8]Технический лист'!$A:$B,2,1),(FL11-0.05)))</f>
        <v>1</v>
      </c>
      <c r="FN11" s="41">
        <f>MIN(1,MAX(VLOOKUP(($AI11-$AH11-$AG11-$AF11-$AE11-$AA11*(1+FN$3))/$AI11,'[8]Технический лист'!$A:$B,2,1),(FM11-0.05)))</f>
        <v>1</v>
      </c>
      <c r="FO11" s="41">
        <f>MIN(1,MAX(VLOOKUP(($AI11-$AH11-$AG11-$AF11-$AE11-$AA11*(1+FO$3))/$AI11,'[8]Технический лист'!$A:$B,2,1),(FN11-0.05)))</f>
        <v>1</v>
      </c>
      <c r="FP11" s="41">
        <f>MIN(1,MAX(VLOOKUP(($AI11-$AH11-$AG11-$AF11-$AE11-$AA11*(1+FP$3))/$AI11,'[8]Технический лист'!$A:$B,2,1),(FO11-0.05)))</f>
        <v>1</v>
      </c>
      <c r="FQ11" s="41">
        <f>MIN(1,MAX(VLOOKUP(($AI11-$AH11-$AG11-$AF11-$AE11-$AA11*(1+FQ$3))/$AI11,'[8]Технический лист'!$A:$B,2,1),(FP11-0.05)))</f>
        <v>1</v>
      </c>
      <c r="FR11" s="41">
        <f>MIN(1,MAX(VLOOKUP(($AI11-$AH11-$AG11-$AF11-$AE11-$AA11*(1+FR$3))/$AI11,'[8]Технический лист'!$A:$B,2,1),(FQ11-0.05)))</f>
        <v>1</v>
      </c>
      <c r="FS11" s="41">
        <f>MIN(1,MAX(VLOOKUP(($AI11-$AH11-$AG11-$AF11-$AE11-$AA11*(1+FS$3))/$AI11,'[8]Технический лист'!$A:$B,2,1),(FR11-0.05)))</f>
        <v>1</v>
      </c>
      <c r="FT11" s="41">
        <f>MIN(1,MAX(VLOOKUP(($AI11-$AH11-$AG11-$AF11-$AE11-$AA11*(1+FT$3))/$AI11,'[8]Технический лист'!$A:$B,2,1),(FS11-0.05)))</f>
        <v>1</v>
      </c>
      <c r="FU11" s="41">
        <f>MIN(1,MAX(VLOOKUP(($AI11-$AH11-$AG11-$AF11-$AE11-$AA11*(1+FU$3))/$AI11,'[8]Технический лист'!$A:$B,2,1),(FT11-0.05)))</f>
        <v>0.995</v>
      </c>
      <c r="FV11" s="41">
        <f>MIN(1,MAX(VLOOKUP(($AI11-$AH11-$AG11-$AF11-$AE11-$AA11*(1+FV$3))/$AI11,'[8]Технический лист'!$A:$B,2,1),(FU11-0.05)))</f>
        <v>0.995</v>
      </c>
      <c r="FW11" s="41">
        <f>MIN(1,MAX(VLOOKUP(($AI11-$AH11-$AG11-$AF11-$AE11-$AA11*(1+FW$3))/$AI11,'[8]Технический лист'!$A:$B,2,1),(FV11-0.05)))</f>
        <v>0.995</v>
      </c>
      <c r="FX11" s="41">
        <f>MIN(1,MAX(VLOOKUP(($AI11-$AH11-$AG11-$AF11-$AE11-$AA11*(1+FX$3))/$AI11,'[8]Технический лист'!$A:$B,2,1),(FW11-0.05)))</f>
        <v>0.995</v>
      </c>
      <c r="FY11" s="41">
        <f>MIN(1,MAX(VLOOKUP(($AI11-$AH11-$AG11-$AF11-$AE11-$AA11*(1+FY$3))/$AI11,'[8]Технический лист'!$A:$B,2,1),(FX11-0.05)))</f>
        <v>0.995</v>
      </c>
      <c r="FZ11" s="41">
        <f>MIN(1,MAX(VLOOKUP(($AI11-$AH11-$AG11-$AF11-$AE11-$AA11*(1+FZ$3))/$AI11,'[8]Технический лист'!$A:$B,2,1),(FY11-0.05)))</f>
        <v>0.995</v>
      </c>
      <c r="GA11" s="41">
        <f>MIN(1,MAX(VLOOKUP(($AI11-$AH11-$AG11-$AF11-$AE11-$AA11*(1+GA$3))/$AI11,'[8]Технический лист'!$A:$B,2,1),(FZ11-0.05)))</f>
        <v>0.995</v>
      </c>
      <c r="GB11" s="41">
        <f>MIN(1,MAX(VLOOKUP(($AI11-$AH11-$AG11-$AF11-$AE11-$AA11*(1+GB$3))/$AI11,'[8]Технический лист'!$A:$B,2,1),(GA11-0.05)))</f>
        <v>0.995</v>
      </c>
      <c r="GC11" s="41">
        <f>MIN(1,MAX(VLOOKUP(($AI11-$AH11-$AG11-$AF11-$AE11-$AA11*(1+GC$3))/$AI11,'[8]Технический лист'!$A:$B,2,1),(GB11-0.05)))</f>
        <v>0.995</v>
      </c>
      <c r="GD11" s="41">
        <f>MIN(1,MAX(VLOOKUP(($AI11-$AH11-$AG11-$AF11-$AE11-$AA11*(1+GD$3))/$AI11,'[8]Технический лист'!$A:$B,2,1),(GC11-0.05)))</f>
        <v>0.995</v>
      </c>
      <c r="GE11" s="41">
        <f>MIN(1,MAX(VLOOKUP(($AI11-$AH11-$AG11-$AF11-$AE11-$AA11*(1+GE$3))/$AI11,'[8]Технический лист'!$A:$B,2,1),(GD11-0.05)))</f>
        <v>0.99</v>
      </c>
      <c r="GF11" s="41">
        <f>MIN(1,MAX(VLOOKUP(($AI11-$AH11-$AG11-$AF11-$AE11-$AA11*(1+GF$3))/$AI11,'[8]Технический лист'!$A:$B,2,1),(GE11-0.05)))</f>
        <v>0.99</v>
      </c>
      <c r="GG11" s="41">
        <f>MIN(1,MAX(VLOOKUP(($AI11-$AH11-$AG11-$AF11-$AE11-$AA11*(1+GG$3))/$AI11,'[8]Технический лист'!$A:$B,2,1),(GF11-0.05)))</f>
        <v>0.99</v>
      </c>
      <c r="GH11" s="41">
        <f>MIN(1,MAX(VLOOKUP(($AI11-$AH11-$AG11-$AF11-$AE11-$AA11*(1+GH$3))/$AI11,'[8]Технический лист'!$A:$B,2,1),(GG11-0.05)))</f>
        <v>0.99</v>
      </c>
      <c r="GI11" s="41">
        <f>MIN(1,MAX(VLOOKUP(($AI11-$AH11-$AG11-$AF11-$AE11-$AA11*(1+GI$3))/$AI11,'[8]Технический лист'!$A:$B,2,1),(GH11-0.05)))</f>
        <v>0.99</v>
      </c>
      <c r="GJ11" s="41">
        <f>MIN(1,MAX(VLOOKUP(($AI11-$AH11-$AG11-$AF11-$AE11-$AA11*(1+GJ$3))/$AI11,'[8]Технический лист'!$A:$B,2,1),(GI11-0.05)))</f>
        <v>0.99</v>
      </c>
      <c r="GK11" s="41">
        <f>MIN(1,MAX(VLOOKUP(($AI11-$AH11-$AG11-$AF11-$AE11-$AA11*(1+GK$3))/$AI11,'[8]Технический лист'!$A:$B,2,1),(GJ11-0.05)))</f>
        <v>0.99</v>
      </c>
      <c r="GL11" s="41">
        <f>MIN(1,MAX(VLOOKUP(($AI11-$AH11-$AG11-$AF11-$AE11-$AA11*(1+GL$3))/$AI11,'[8]Технический лист'!$A:$B,2,1),(GK11-0.05)))</f>
        <v>0.99</v>
      </c>
      <c r="GM11" s="41">
        <f>MIN(1,MAX(VLOOKUP(($AI11-$AH11-$AG11-$AF11-$AE11-$AA11*(1+GM$3))/$AI11,'[8]Технический лист'!$A:$B,2,1),(GL11-0.05)))</f>
        <v>0.99</v>
      </c>
      <c r="GN11" s="41">
        <f>MIN(1,MAX(VLOOKUP(($AI11-$AH11-$AG11-$AF11-$AE11-$AA11*(1+GN$3))/$AI11,'[8]Технический лист'!$A:$B,2,1),(GM11-0.05)))</f>
        <v>0.99</v>
      </c>
    </row>
    <row r="12" spans="1:196">
      <c r="A12" s="3">
        <v>6</v>
      </c>
      <c r="B12" s="15" t="s">
        <v>61</v>
      </c>
      <c r="C12" s="4" t="s">
        <v>77</v>
      </c>
      <c r="D12" s="4" t="s">
        <v>78</v>
      </c>
      <c r="E12" s="4" t="s">
        <v>79</v>
      </c>
      <c r="F12" s="4" t="s">
        <v>47</v>
      </c>
      <c r="G12" s="4" t="s">
        <v>26</v>
      </c>
      <c r="H12" s="4" t="s">
        <v>116</v>
      </c>
      <c r="I12" s="4" t="s">
        <v>117</v>
      </c>
      <c r="J12" s="4" t="s">
        <v>118</v>
      </c>
      <c r="K12" s="4" t="s">
        <v>83</v>
      </c>
      <c r="L12" s="4" t="s">
        <v>17</v>
      </c>
      <c r="M12" s="4" t="s">
        <v>167</v>
      </c>
      <c r="N12" s="4" t="s">
        <v>55</v>
      </c>
      <c r="O12" s="4" t="s">
        <v>119</v>
      </c>
      <c r="P12" s="4" t="s">
        <v>120</v>
      </c>
      <c r="Q12" s="4" t="s">
        <v>97</v>
      </c>
      <c r="R12" s="16">
        <v>68577</v>
      </c>
      <c r="S12" s="17">
        <v>49660473</v>
      </c>
      <c r="T12" s="18">
        <v>1056</v>
      </c>
      <c r="U12" s="18">
        <v>0</v>
      </c>
      <c r="V12" s="17">
        <v>108884824</v>
      </c>
      <c r="W12" s="26" t="s">
        <v>184</v>
      </c>
      <c r="X12" s="26">
        <v>66</v>
      </c>
      <c r="Y12" s="24">
        <v>1726.48</v>
      </c>
      <c r="Z12" s="27">
        <f>AA12-Y12</f>
        <v>215.75</v>
      </c>
      <c r="AA12" s="20">
        <v>1942.23</v>
      </c>
      <c r="AB12" s="20">
        <v>5</v>
      </c>
      <c r="AC12" s="20">
        <v>1</v>
      </c>
      <c r="AD12" s="20">
        <v>4</v>
      </c>
      <c r="AE12" s="20">
        <f>'Ставки аренды'!$B$3*SUM(Лесные!AB12+Лесные!AC12+Лесные!AD12)/Лесные!X12</f>
        <v>454.54545454545456</v>
      </c>
      <c r="AF12" s="20">
        <v>0</v>
      </c>
      <c r="AG12" s="20"/>
      <c r="AH12" s="20">
        <f>0.83*AI12</f>
        <v>20139.705882352941</v>
      </c>
      <c r="AI12" s="20">
        <f>Цены!$C$5</f>
        <v>24264.705882352941</v>
      </c>
      <c r="AJ12" s="20"/>
      <c r="AK12" s="21"/>
      <c r="AL12" s="20"/>
      <c r="AM12" s="20"/>
      <c r="AN12" s="29">
        <f t="shared" si="0"/>
        <v>7.1223799449035813E-2</v>
      </c>
      <c r="AO12" s="20"/>
      <c r="AP12" s="20"/>
      <c r="AQ12" s="2"/>
      <c r="AR12" s="19"/>
      <c r="AS12" s="42">
        <v>0.8</v>
      </c>
      <c r="AT12" s="41">
        <f>MIN(IF($AS12=100%,1,1+VLOOKUP(($AI12-$AH12-$AG12-$AF12-$AE12-$AA12*(1+AT$3))/$AI12,'Технический лист'!$A:$B,2,1)-VLOOKUP($AN12,'Технический лист'!$A:$B,2,1)),1+(1-$AS12))</f>
        <v>1.1099999999999999</v>
      </c>
      <c r="AU12" s="41">
        <f>MIN(IF($AS12=100%,1,1+VLOOKUP(($AI12-$AH12-$AG12-$AF12-$AE12-$AA12*(1+AU$3))/$AI12,'Технический лист'!$A:$B,2,1)-VLOOKUP($AN12,'Технический лист'!$A:$B,2,1)),1+(1-$AS12))</f>
        <v>1.1099999999999999</v>
      </c>
      <c r="AV12" s="41">
        <f>MIN(IF($AS12=100%,1,1+VLOOKUP(($AI12-$AH12-$AG12-$AF12-$AE12-$AA12*(1+AV$3))/$AI12,'Технический лист'!$A:$B,2,1)-VLOOKUP($AN12,'Технический лист'!$A:$B,2,1)),1+(1-$AS12))</f>
        <v>1.1099999999999999</v>
      </c>
      <c r="AW12" s="41">
        <f>MIN(IF($AS12=100%,1,1+VLOOKUP(($AI12-$AH12-$AG12-$AF12-$AE12-$AA12*(1+AW$3))/$AI12,'Технический лист'!$A:$B,2,1)-VLOOKUP($AN12,'Технический лист'!$A:$B,2,1)),1+(1-$AS12))</f>
        <v>1.1099999999999999</v>
      </c>
      <c r="AX12" s="41">
        <f>MIN(IF($AS12=100%,1,1+VLOOKUP(($AI12-$AH12-$AG12-$AF12-$AE12-$AA12*(1+AX$3))/$AI12,'Технический лист'!$A:$B,2,1)-VLOOKUP($AN12,'Технический лист'!$A:$B,2,1)),1+(1-$AS12))</f>
        <v>1.0799999999999996</v>
      </c>
      <c r="AY12" s="41">
        <f>MIN(IF($AS12=100%,1,1+VLOOKUP(($AI12-$AH12-$AG12-$AF12-$AE12-$AA12*(1+AY$3))/$AI12,'Технический лист'!$A:$B,2,1)-VLOOKUP($AN12,'Технический лист'!$A:$B,2,1)),1+(1-$AS12))</f>
        <v>1.0799999999999996</v>
      </c>
      <c r="AZ12" s="41">
        <f>MIN(IF($AS12=100%,1,1+VLOOKUP(($AI12-$AH12-$AG12-$AF12-$AE12-$AA12*(1+AZ$3))/$AI12,'Технический лист'!$A:$B,2,1)-VLOOKUP($AN12,'Технический лист'!$A:$B,2,1)),1+(1-$AS12))</f>
        <v>1.0799999999999996</v>
      </c>
      <c r="BA12" s="41">
        <f>MIN(IF($AS12=100%,1,1+VLOOKUP(($AI12-$AH12-$AG12-$AF12-$AE12-$AA12*(1+BA$3))/$AI12,'Технический лист'!$A:$B,2,1)-VLOOKUP($AN12,'Технический лист'!$A:$B,2,1)),1+(1-$AS12))</f>
        <v>1.0799999999999996</v>
      </c>
      <c r="BB12" s="41">
        <f>MIN(IF($AS12=100%,1,1+VLOOKUP(($AI12-$AH12-$AG12-$AF12-$AE12-$AA12*(1+BB$3))/$AI12,'Технический лист'!$A:$B,2,1)-VLOOKUP($AN12,'Технический лист'!$A:$B,2,1)),1+(1-$AS12))</f>
        <v>1.0799999999999996</v>
      </c>
      <c r="BC12" s="41">
        <f>MIN(IF($AS12=100%,1,1+VLOOKUP(($AI12-$AH12-$AG12-$AF12-$AE12-$AA12*(1+BC$3))/$AI12,'Технический лист'!$A:$B,2,1)-VLOOKUP($AN12,'Технический лист'!$A:$B,2,1)),1+(1-$AS12))</f>
        <v>1.0799999999999996</v>
      </c>
      <c r="BD12" s="41">
        <f>MIN(IF($AS12=100%,1,1+VLOOKUP(($AI12-$AH12-$AG12-$AF12-$AE12-$AA12*(1+BD$3))/$AI12,'Технический лист'!$A:$B,2,1)-VLOOKUP($AN12,'Технический лист'!$A:$B,2,1)),1+(1-$AS12))</f>
        <v>1.0799999999999996</v>
      </c>
      <c r="BE12" s="41">
        <f>MIN(IF($AS12=100%,1,1+VLOOKUP(($AI12-$AH12-$AG12-$AF12-$AE12-$AA12*(1+BE$3))/$AI12,'Технический лист'!$A:$B,2,1)-VLOOKUP($AN12,'Технический лист'!$A:$B,2,1)),1+(1-$AS12))</f>
        <v>1.0799999999999996</v>
      </c>
      <c r="BF12" s="41">
        <f>MIN(IF($AS12=100%,1,1+VLOOKUP(($AI12-$AH12-$AG12-$AF12-$AE12-$AA12*(1+BF$3))/$AI12,'Технический лист'!$A:$B,2,1)-VLOOKUP($AN12,'Технический лист'!$A:$B,2,1)),1+(1-$AS12))</f>
        <v>1.0799999999999996</v>
      </c>
      <c r="BG12" s="41">
        <f>MIN(IF($AS12=100%,1,1+VLOOKUP(($AI12-$AH12-$AG12-$AF12-$AE12-$AA12*(1+BG$3))/$AI12,'Технический лист'!$A:$B,2,1)-VLOOKUP($AN12,'Технический лист'!$A:$B,2,1)),1+(1-$AS12))</f>
        <v>1.0799999999999996</v>
      </c>
      <c r="BH12" s="41">
        <f>MIN(IF($AS12=100%,1,1+VLOOKUP(($AI12-$AH12-$AG12-$AF12-$AE12-$AA12*(1+BH$3))/$AI12,'Технический лист'!$A:$B,2,1)-VLOOKUP($AN12,'Технический лист'!$A:$B,2,1)),1+(1-$AS12))</f>
        <v>1.0799999999999996</v>
      </c>
      <c r="BI12" s="41">
        <f>MIN(IF($AS12=100%,1,1+VLOOKUP(($AI12-$AH12-$AG12-$AF12-$AE12-$AA12*(1+BI$3))/$AI12,'Технический лист'!$A:$B,2,1)-VLOOKUP($AN12,'Технический лист'!$A:$B,2,1)),1+(1-$AS12))</f>
        <v>1.0799999999999996</v>
      </c>
      <c r="BJ12" s="41">
        <f>MIN(IF($AS12=100%,1,1+VLOOKUP(($AI12-$AH12-$AG12-$AF12-$AE12-$AA12*(1+BJ$3))/$AI12,'Технический лист'!$A:$B,2,1)-VLOOKUP($AN12,'Технический лист'!$A:$B,2,1)),1+(1-$AS12))</f>
        <v>1.0499999999999998</v>
      </c>
      <c r="BK12" s="41">
        <f>MIN(IF($AS12=100%,1,1+VLOOKUP(($AI12-$AH12-$AG12-$AF12-$AE12-$AA12*(1+BK$3))/$AI12,'Технический лист'!$A:$B,2,1)-VLOOKUP($AN12,'Технический лист'!$A:$B,2,1)),1+(1-$AS12))</f>
        <v>1.0499999999999998</v>
      </c>
      <c r="BL12" s="41">
        <f>MIN(IF($AS12=100%,1,1+VLOOKUP(($AI12-$AH12-$AG12-$AF12-$AE12-$AA12*(1+BL$3))/$AI12,'Технический лист'!$A:$B,2,1)-VLOOKUP($AN12,'Технический лист'!$A:$B,2,1)),1+(1-$AS12))</f>
        <v>1.0499999999999998</v>
      </c>
      <c r="BM12" s="41">
        <f>MIN(IF($AS12=100%,1,1+VLOOKUP(($AI12-$AH12-$AG12-$AF12-$AE12-$AA12*(1+BM$3))/$AI12,'Технический лист'!$A:$B,2,1)-VLOOKUP($AN12,'Технический лист'!$A:$B,2,1)),1+(1-$AS12))</f>
        <v>1.0499999999999998</v>
      </c>
      <c r="BN12" s="41">
        <f>MIN(IF($AS12=100%,1,1+VLOOKUP(($AI12-$AH12-$AG12-$AF12-$AE12-$AA12*(1+BN$3))/$AI12,'Технический лист'!$A:$B,2,1)-VLOOKUP($AN12,'Технический лист'!$A:$B,2,1)),1+(1-$AS12))</f>
        <v>1.0499999999999998</v>
      </c>
      <c r="BO12" s="41">
        <f>MIN(IF($AS12=100%,1,1+VLOOKUP(($AI12-$AH12-$AG12-$AF12-$AE12-$AA12*(1+BO$3))/$AI12,'Технический лист'!$A:$B,2,1)-VLOOKUP($AN12,'Технический лист'!$A:$B,2,1)),1+(1-$AS12))</f>
        <v>1.0499999999999998</v>
      </c>
      <c r="BP12" s="41">
        <f>MIN(IF($AS12=100%,1,1+VLOOKUP(($AI12-$AH12-$AG12-$AF12-$AE12-$AA12*(1+BP$3))/$AI12,'Технический лист'!$A:$B,2,1)-VLOOKUP($AN12,'Технический лист'!$A:$B,2,1)),1+(1-$AS12))</f>
        <v>1.0499999999999998</v>
      </c>
      <c r="BQ12" s="41">
        <f>MIN(IF($AS12=100%,1,1+VLOOKUP(($AI12-$AH12-$AG12-$AF12-$AE12-$AA12*(1+BQ$3))/$AI12,'Технический лист'!$A:$B,2,1)-VLOOKUP($AN12,'Технический лист'!$A:$B,2,1)),1+(1-$AS12))</f>
        <v>1.0499999999999998</v>
      </c>
      <c r="BR12" s="41">
        <f>MIN(IF($AS12=100%,1,1+VLOOKUP(($AI12-$AH12-$AG12-$AF12-$AE12-$AA12*(1+BR$3))/$AI12,'Технический лист'!$A:$B,2,1)-VLOOKUP($AN12,'Технический лист'!$A:$B,2,1)),1+(1-$AS12))</f>
        <v>1.0499999999999998</v>
      </c>
      <c r="BS12" s="41">
        <f>MIN(IF($AS12=100%,1,1+VLOOKUP(($AI12-$AH12-$AG12-$AF12-$AE12-$AA12*(1+BS$3))/$AI12,'Технический лист'!$A:$B,2,1)-VLOOKUP($AN12,'Технический лист'!$A:$B,2,1)),1+(1-$AS12))</f>
        <v>1.0499999999999998</v>
      </c>
      <c r="BT12" s="41">
        <f>MIN(IF($AS12=100%,1,1+VLOOKUP(($AI12-$AH12-$AG12-$AF12-$AE12-$AA12*(1+BT$3))/$AI12,'Технический лист'!$A:$B,2,1)-VLOOKUP($AN12,'Технический лист'!$A:$B,2,1)),1+(1-$AS12))</f>
        <v>1.0499999999999998</v>
      </c>
      <c r="BU12" s="41">
        <f>MIN(IF($AS12=100%,1,1+VLOOKUP(($AI12-$AH12-$AG12-$AF12-$AE12-$AA12*(1+BU$3))/$AI12,'Технический лист'!$A:$B,2,1)-VLOOKUP($AN12,'Технический лист'!$A:$B,2,1)),1+(1-$AS12))</f>
        <v>1.0499999999999998</v>
      </c>
      <c r="BV12" s="41">
        <f>MIN(IF($AS12=100%,1,1+VLOOKUP(($AI12-$AH12-$AG12-$AF12-$AE12-$AA12*(1+BV$3))/$AI12,'Технический лист'!$A:$B,2,1)-VLOOKUP($AN12,'Технический лист'!$A:$B,2,1)),1+(1-$AS12))</f>
        <v>1.0499999999999998</v>
      </c>
      <c r="BW12" s="41">
        <f>MIN(IF($AS12=100%,1,1+VLOOKUP(($AI12-$AH12-$AG12-$AF12-$AE12-$AA12*(1+BW$3))/$AI12,'Технический лист'!$A:$B,2,1)-VLOOKUP($AN12,'Технический лист'!$A:$B,2,1)),1+(1-$AS12))</f>
        <v>1.0249999999999999</v>
      </c>
      <c r="BX12" s="41">
        <f>MIN(IF($AS12=100%,1,1+VLOOKUP(($AI12-$AH12-$AG12-$AF12-$AE12-$AA12*(1+BX$3))/$AI12,'Технический лист'!$A:$B,2,1)-VLOOKUP($AN12,'Технический лист'!$A:$B,2,1)),1+(1-$AS12))</f>
        <v>1.0249999999999999</v>
      </c>
      <c r="BY12" s="41">
        <f>MIN(IF($AS12=100%,1,1+VLOOKUP(($AI12-$AH12-$AG12-$AF12-$AE12-$AA12*(1+BY$3))/$AI12,'Технический лист'!$A:$B,2,1)-VLOOKUP($AN12,'Технический лист'!$A:$B,2,1)),1+(1-$AS12))</f>
        <v>1.0249999999999999</v>
      </c>
      <c r="BZ12" s="41">
        <f>MIN(IF($AS12=100%,1,1+VLOOKUP(($AI12-$AH12-$AG12-$AF12-$AE12-$AA12*(1+BZ$3))/$AI12,'Технический лист'!$A:$B,2,1)-VLOOKUP($AN12,'Технический лист'!$A:$B,2,1)),1+(1-$AS12))</f>
        <v>1.0249999999999999</v>
      </c>
      <c r="CA12" s="41">
        <f>MIN(IF($AS12=100%,1,1+VLOOKUP(($AI12-$AH12-$AG12-$AF12-$AE12-$AA12*(1+CA$3))/$AI12,'Технический лист'!$A:$B,2,1)-VLOOKUP($AN12,'Технический лист'!$A:$B,2,1)),1+(1-$AS12))</f>
        <v>1.0249999999999999</v>
      </c>
      <c r="CB12" s="41">
        <f>MIN(IF($AS12=100%,1,1+VLOOKUP(($AI12-$AH12-$AG12-$AF12-$AE12-$AA12*(1+CB$3))/$AI12,'Технический лист'!$A:$B,2,1)-VLOOKUP($AN12,'Технический лист'!$A:$B,2,1)),1+(1-$AS12))</f>
        <v>1.0249999999999999</v>
      </c>
      <c r="CC12" s="41">
        <f>MIN(IF($AS12=100%,1,1+VLOOKUP(($AI12-$AH12-$AG12-$AF12-$AE12-$AA12*(1+CC$3))/$AI12,'Технический лист'!$A:$B,2,1)-VLOOKUP($AN12,'Технический лист'!$A:$B,2,1)),1+(1-$AS12))</f>
        <v>1.0249999999999999</v>
      </c>
      <c r="CD12" s="41">
        <f>MIN(IF($AS12=100%,1,1+VLOOKUP(($AI12-$AH12-$AG12-$AF12-$AE12-$AA12*(1+CD$3))/$AI12,'Технический лист'!$A:$B,2,1)-VLOOKUP($AN12,'Технический лист'!$A:$B,2,1)),1+(1-$AS12))</f>
        <v>1.0249999999999999</v>
      </c>
      <c r="CE12" s="41">
        <f>MIN(IF($AS12=100%,1,1+VLOOKUP(($AI12-$AH12-$AG12-$AF12-$AE12-$AA12*(1+CE$3))/$AI12,'Технический лист'!$A:$B,2,1)-VLOOKUP($AN12,'Технический лист'!$A:$B,2,1)),1+(1-$AS12))</f>
        <v>1.0249999999999999</v>
      </c>
      <c r="CF12" s="41">
        <f>MIN(IF($AS12=100%,1,1+VLOOKUP(($AI12-$AH12-$AG12-$AF12-$AE12-$AA12*(1+CF$3))/$AI12,'Технический лист'!$A:$B,2,1)-VLOOKUP($AN12,'Технический лист'!$A:$B,2,1)),1+(1-$AS12))</f>
        <v>1.0249999999999999</v>
      </c>
      <c r="CG12" s="41">
        <f>MIN(IF($AS12=100%,1,1+VLOOKUP(($AI12-$AH12-$AG12-$AF12-$AE12-$AA12*(1+CG$3))/$AI12,'Технический лист'!$A:$B,2,1)-VLOOKUP($AN12,'Технический лист'!$A:$B,2,1)),1+(1-$AS12))</f>
        <v>1.0249999999999999</v>
      </c>
      <c r="CH12" s="41">
        <f>MIN(IF($AS12=100%,1,1+VLOOKUP(($AI12-$AH12-$AG12-$AF12-$AE12-$AA12*(1+CH$3))/$AI12,'Технический лист'!$A:$B,2,1)-VLOOKUP($AN12,'Технический лист'!$A:$B,2,1)),1+(1-$AS12))</f>
        <v>1.0249999999999999</v>
      </c>
      <c r="CI12" s="41">
        <f>MIN(IF($AS12=100%,1,1+VLOOKUP(($AI12-$AH12-$AG12-$AF12-$AE12-$AA12*(1+CI$3))/$AI12,'Технический лист'!$A:$B,2,1)-VLOOKUP($AN12,'Технический лист'!$A:$B,2,1)),1+(1-$AS12))</f>
        <v>1</v>
      </c>
      <c r="CJ12" s="41">
        <f>MIN(IF($AS12=100%,1,1+VLOOKUP(($AI12-$AH12-$AG12-$AF12-$AE12-$AA12*(1+CJ$3))/$AI12,'Технический лист'!$A:$B,2,1)-VLOOKUP($AN12,'Технический лист'!$A:$B,2,1)),1+(1-$AS12))</f>
        <v>1</v>
      </c>
      <c r="CK12" s="41">
        <f>MIN(IF($AS12=100%,1,1+VLOOKUP(($AI12-$AH12-$AG12-$AF12-$AE12-$AA12*(1+CK$3))/$AI12,'Технический лист'!$A:$B,2,1)-VLOOKUP($AN12,'Технический лист'!$A:$B,2,1)),1+(1-$AS12))</f>
        <v>1</v>
      </c>
      <c r="CL12" s="41">
        <f>MIN(IF($AS12=100%,1,1+VLOOKUP(($AI12-$AH12-$AG12-$AF12-$AE12-$AA12*(1+CL$3))/$AI12,'Технический лист'!$A:$B,2,1)-VLOOKUP($AN12,'Технический лист'!$A:$B,2,1)),1+(1-$AS12))</f>
        <v>1</v>
      </c>
      <c r="CM12" s="41">
        <f>MIN(IF($AS12=100%,1,1+VLOOKUP(($AI12-$AH12-$AG12-$AF12-$AE12-$AA12*(1+CM$3))/$AI12,'Технический лист'!$A:$B,2,1)-VLOOKUP($AN12,'Технический лист'!$A:$B,2,1)),1+(1-$AS12))</f>
        <v>1</v>
      </c>
      <c r="CN12" s="41">
        <f>MIN(IF($AS12=100%,1,1+VLOOKUP(($AI12-$AH12-$AG12-$AF12-$AE12-$AA12*(1+CN$3))/$AI12,'Технический лист'!$A:$B,2,1)-VLOOKUP($AN12,'Технический лист'!$A:$B,2,1)),1+(1-$AS12))</f>
        <v>1</v>
      </c>
      <c r="CO12" s="41">
        <f>MIN(IF($AS12=100%,1,1+VLOOKUP(($AI12-$AH12-$AG12-$AF12-$AE12-$AA12*(1+CO$3))/$AI12,'Технический лист'!$A:$B,2,1)-VLOOKUP($AN12,'Технический лист'!$A:$B,2,1)),1+(1-$AS12))</f>
        <v>1</v>
      </c>
      <c r="CP12" s="41">
        <f>MIN(IF($AS12=100%,1,1+VLOOKUP(($AI12-$AH12-$AG12-$AF12-$AE12-$AA12*(1+CP$3))/$AI12,'Технический лист'!$A:$B,2,1)-VLOOKUP($AN12,'Технический лист'!$A:$B,2,1)),1+(1-$AS12))</f>
        <v>1</v>
      </c>
      <c r="CQ12" s="41">
        <f>MIN(IF($AS12=100%,1,1+VLOOKUP(($AI12-$AH12-$AG12-$AF12-$AE12-$AA12*(1+CQ$3))/$AI12,'Технический лист'!$A:$B,2,1)-VLOOKUP($AN12,'Технический лист'!$A:$B,2,1)),1+(1-$AS12))</f>
        <v>1</v>
      </c>
      <c r="CR12">
        <v>1</v>
      </c>
      <c r="CS12" s="41">
        <f>MIN(1,MAX(VLOOKUP(($AI12-$AH12-$AG12-$AF12-$AE12-$AA12*(1+CS$3))/$AI12,'[8]Технический лист'!$A:$B,2,1),(CR12-0.05)))</f>
        <v>1</v>
      </c>
      <c r="CT12" s="41">
        <f>MIN(1,MAX(VLOOKUP(($AI12-$AH12-$AG12-$AF12-$AE12-$AA12*(1+CT$3))/$AI12,'[8]Технический лист'!$A:$B,2,1),(CS12-0.05)))</f>
        <v>1</v>
      </c>
      <c r="CU12" s="41">
        <f>MIN(1,MAX(VLOOKUP(($AI12-$AH12-$AG12-$AF12-$AE12-$AA12*(1+CU$3))/$AI12,'[8]Технический лист'!$A:$B,2,1),(CT12-0.05)))</f>
        <v>1</v>
      </c>
      <c r="CV12" s="41">
        <f>MIN(1,MAX(VLOOKUP(($AI12-$AH12-$AG12-$AF12-$AE12-$AA12*(1+CV$3))/$AI12,'[8]Технический лист'!$A:$B,2,1),(CU12-0.05)))</f>
        <v>1</v>
      </c>
      <c r="CW12" s="41">
        <f>MIN(1,MAX(VLOOKUP(($AI12-$AH12-$AG12-$AF12-$AE12-$AA12*(1+CW$3))/$AI12,'[8]Технический лист'!$A:$B,2,1),(CV12-0.05)))</f>
        <v>1</v>
      </c>
      <c r="CX12" s="41">
        <f>MIN(1,MAX(VLOOKUP(($AI12-$AH12-$AG12-$AF12-$AE12-$AA12*(1+CX$3))/$AI12,'[8]Технический лист'!$A:$B,2,1),(CW12-0.05)))</f>
        <v>1</v>
      </c>
      <c r="CY12" s="41">
        <f>MIN(1,MAX(VLOOKUP(($AI12-$AH12-$AG12-$AF12-$AE12-$AA12*(1+CY$3))/$AI12,'[8]Технический лист'!$A:$B,2,1),(CX12-0.05)))</f>
        <v>1</v>
      </c>
      <c r="CZ12" s="41">
        <f>MIN(1,MAX(VLOOKUP(($AI12-$AH12-$AG12-$AF12-$AE12-$AA12*(1+CZ$3))/$AI12,'[8]Технический лист'!$A:$B,2,1),(CY12-0.05)))</f>
        <v>1</v>
      </c>
      <c r="DA12" s="41">
        <f>MIN(1,MAX(VLOOKUP(($AI12-$AH12-$AG12-$AF12-$AE12-$AA12*(1+DA$3))/$AI12,'[8]Технический лист'!$A:$B,2,1),(CZ12-0.05)))</f>
        <v>1</v>
      </c>
      <c r="DB12" s="41">
        <f>MIN(1,MAX(VLOOKUP(($AI12-$AH12-$AG12-$AF12-$AE12-$AA12*(1+DB$3))/$AI12,'[8]Технический лист'!$A:$B,2,1),(DA12-0.05)))</f>
        <v>1</v>
      </c>
      <c r="DC12" s="41">
        <f>MIN(1,MAX(VLOOKUP(($AI12-$AH12-$AG12-$AF12-$AE12-$AA12*(1+DC$3))/$AI12,'[8]Технический лист'!$A:$B,2,1),(DB12-0.05)))</f>
        <v>1</v>
      </c>
      <c r="DD12" s="41">
        <f>MIN(1,MAX(VLOOKUP(($AI12-$AH12-$AG12-$AF12-$AE12-$AA12*(1+DD$3))/$AI12,'[8]Технический лист'!$A:$B,2,1),(DC12-0.05)))</f>
        <v>1</v>
      </c>
      <c r="DE12" s="41">
        <f>MIN(1,MAX(VLOOKUP(($AI12-$AH12-$AG12-$AF12-$AE12-$AA12*(1+DE$3))/$AI12,'[8]Технический лист'!$A:$B,2,1),(DD12-0.05)))</f>
        <v>1</v>
      </c>
      <c r="DF12" s="41">
        <f>MIN(1,MAX(VLOOKUP(($AI12-$AH12-$AG12-$AF12-$AE12-$AA12*(1+DF$3))/$AI12,'[8]Технический лист'!$A:$B,2,1),(DE12-0.05)))</f>
        <v>1</v>
      </c>
      <c r="DG12" s="41">
        <f>MIN(1,MAX(VLOOKUP(($AI12-$AH12-$AG12-$AF12-$AE12-$AA12*(1+DG$3))/$AI12,'[8]Технический лист'!$A:$B,2,1),(DF12-0.05)))</f>
        <v>1</v>
      </c>
      <c r="DH12" s="41">
        <f>MIN(1,MAX(VLOOKUP(($AI12-$AH12-$AG12-$AF12-$AE12-$AA12*(1+DH$3))/$AI12,'[8]Технический лист'!$A:$B,2,1),(DG12-0.05)))</f>
        <v>1</v>
      </c>
      <c r="DI12" s="41">
        <f>MIN(1,MAX(VLOOKUP(($AI12-$AH12-$AG12-$AF12-$AE12-$AA12*(1+DI$3))/$AI12,'[8]Технический лист'!$A:$B,2,1),(DH12-0.05)))</f>
        <v>1</v>
      </c>
      <c r="DJ12" s="41">
        <f>MIN(1,MAX(VLOOKUP(($AI12-$AH12-$AG12-$AF12-$AE12-$AA12*(1+DJ$3))/$AI12,'[8]Технический лист'!$A:$B,2,1),(DI12-0.05)))</f>
        <v>1</v>
      </c>
      <c r="DK12" s="41">
        <f>MIN(1,MAX(VLOOKUP(($AI12-$AH12-$AG12-$AF12-$AE12-$AA12*(1+DK$3))/$AI12,'[8]Технический лист'!$A:$B,2,1),(DJ12-0.05)))</f>
        <v>1</v>
      </c>
      <c r="DL12" s="41">
        <f>MIN(1,MAX(VLOOKUP(($AI12-$AH12-$AG12-$AF12-$AE12-$AA12*(1+DL$3))/$AI12,'[8]Технический лист'!$A:$B,2,1),(DK12-0.05)))</f>
        <v>1</v>
      </c>
      <c r="DM12" s="41">
        <f>MIN(1,MAX(VLOOKUP(($AI12-$AH12-$AG12-$AF12-$AE12-$AA12*(1+DM$3))/$AI12,'[8]Технический лист'!$A:$B,2,1),(DL12-0.05)))</f>
        <v>1</v>
      </c>
      <c r="DN12" s="41">
        <f>MIN(1,MAX(VLOOKUP(($AI12-$AH12-$AG12-$AF12-$AE12-$AA12*(1+DN$3))/$AI12,'[8]Технический лист'!$A:$B,2,1),(DM12-0.05)))</f>
        <v>1</v>
      </c>
      <c r="DO12" s="41">
        <f>MIN(1,MAX(VLOOKUP(($AI12-$AH12-$AG12-$AF12-$AE12-$AA12*(1+DO$3))/$AI12,'[8]Технический лист'!$A:$B,2,1),(DN12-0.05)))</f>
        <v>1</v>
      </c>
      <c r="DP12" s="41">
        <f>MIN(1,MAX(VLOOKUP(($AI12-$AH12-$AG12-$AF12-$AE12-$AA12*(1+DP$3))/$AI12,'[8]Технический лист'!$A:$B,2,1),(DO12-0.05)))</f>
        <v>1</v>
      </c>
      <c r="DQ12" s="41">
        <f>MIN(1,MAX(VLOOKUP(($AI12-$AH12-$AG12-$AF12-$AE12-$AA12*(1+DQ$3))/$AI12,'[8]Технический лист'!$A:$B,2,1),(DP12-0.05)))</f>
        <v>1</v>
      </c>
      <c r="DR12" s="41">
        <f>MIN(1,MAX(VLOOKUP(($AI12-$AH12-$AG12-$AF12-$AE12-$AA12*(1+DR$3))/$AI12,'[8]Технический лист'!$A:$B,2,1),(DQ12-0.05)))</f>
        <v>1</v>
      </c>
      <c r="DS12" s="41">
        <f>MIN(1,MAX(VLOOKUP(($AI12-$AH12-$AG12-$AF12-$AE12-$AA12*(1+DS$3))/$AI12,'[8]Технический лист'!$A:$B,2,1),(DR12-0.05)))</f>
        <v>1</v>
      </c>
      <c r="DT12" s="41">
        <f>MIN(1,MAX(VLOOKUP(($AI12-$AH12-$AG12-$AF12-$AE12-$AA12*(1+DT$3))/$AI12,'[8]Технический лист'!$A:$B,2,1),(DS12-0.05)))</f>
        <v>1</v>
      </c>
      <c r="DU12" s="41">
        <f>MIN(1,MAX(VLOOKUP(($AI12-$AH12-$AG12-$AF12-$AE12-$AA12*(1+DU$3))/$AI12,'[8]Технический лист'!$A:$B,2,1),(DT12-0.05)))</f>
        <v>1</v>
      </c>
      <c r="DV12" s="41">
        <f>MIN(1,MAX(VLOOKUP(($AI12-$AH12-$AG12-$AF12-$AE12-$AA12*(1+DV$3))/$AI12,'[8]Технический лист'!$A:$B,2,1),(DU12-0.05)))</f>
        <v>1</v>
      </c>
      <c r="DW12" s="41">
        <f>MIN(1,MAX(VLOOKUP(($AI12-$AH12-$AG12-$AF12-$AE12-$AA12*(1+DW$3))/$AI12,'[8]Технический лист'!$A:$B,2,1),(DV12-0.05)))</f>
        <v>1</v>
      </c>
      <c r="DX12" s="41">
        <f>MIN(1,MAX(VLOOKUP(($AI12-$AH12-$AG12-$AF12-$AE12-$AA12*(1+DX$3))/$AI12,'[8]Технический лист'!$A:$B,2,1),(DW12-0.05)))</f>
        <v>1</v>
      </c>
      <c r="DY12" s="41">
        <f>MIN(1,MAX(VLOOKUP(($AI12-$AH12-$AG12-$AF12-$AE12-$AA12*(1+DY$3))/$AI12,'[8]Технический лист'!$A:$B,2,1),(DX12-0.05)))</f>
        <v>1</v>
      </c>
      <c r="DZ12" s="41">
        <f>MIN(1,MAX(VLOOKUP(($AI12-$AH12-$AG12-$AF12-$AE12-$AA12*(1+DZ$3))/$AI12,'[8]Технический лист'!$A:$B,2,1),(DY12-0.05)))</f>
        <v>1</v>
      </c>
      <c r="EA12" s="41">
        <f>MIN(1,MAX(VLOOKUP(($AI12-$AH12-$AG12-$AF12-$AE12-$AA12*(1+EA$3))/$AI12,'[8]Технический лист'!$A:$B,2,1),(DZ12-0.05)))</f>
        <v>1</v>
      </c>
      <c r="EB12" s="41">
        <f>MIN(1,MAX(VLOOKUP(($AI12-$AH12-$AG12-$AF12-$AE12-$AA12*(1+EB$3))/$AI12,'[8]Технический лист'!$A:$B,2,1),(EA12-0.05)))</f>
        <v>1</v>
      </c>
      <c r="EC12" s="41">
        <f>MIN(1,MAX(VLOOKUP(($AI12-$AH12-$AG12-$AF12-$AE12-$AA12*(1+EC$3))/$AI12,'[8]Технический лист'!$A:$B,2,1),(EB12-0.05)))</f>
        <v>1</v>
      </c>
      <c r="ED12" s="41">
        <f>MIN(1,MAX(VLOOKUP(($AI12-$AH12-$AG12-$AF12-$AE12-$AA12*(1+ED$3))/$AI12,'[8]Технический лист'!$A:$B,2,1),(EC12-0.05)))</f>
        <v>1</v>
      </c>
      <c r="EE12" s="41">
        <f>MIN(1,MAX(VLOOKUP(($AI12-$AH12-$AG12-$AF12-$AE12-$AA12*(1+EE$3))/$AI12,'[8]Технический лист'!$A:$B,2,1),(ED12-0.05)))</f>
        <v>1</v>
      </c>
      <c r="EF12" s="41">
        <f>MIN(1,MAX(VLOOKUP(($AI12-$AH12-$AG12-$AF12-$AE12-$AA12*(1+EF$3))/$AI12,'[8]Технический лист'!$A:$B,2,1),(EE12-0.05)))</f>
        <v>1</v>
      </c>
      <c r="EG12" s="41">
        <f>MIN(1,MAX(VLOOKUP(($AI12-$AH12-$AG12-$AF12-$AE12-$AA12*(1+EG$3))/$AI12,'[8]Технический лист'!$A:$B,2,1),(EF12-0.05)))</f>
        <v>1</v>
      </c>
      <c r="EH12" s="41">
        <f>MIN(1,MAX(VLOOKUP(($AI12-$AH12-$AG12-$AF12-$AE12-$AA12*(1+EH$3))/$AI12,'[8]Технический лист'!$A:$B,2,1),(EG12-0.05)))</f>
        <v>1</v>
      </c>
      <c r="EI12" s="41">
        <f>MIN(1,MAX(VLOOKUP(($AI12-$AH12-$AG12-$AF12-$AE12-$AA12*(1+EI$3))/$AI12,'[8]Технический лист'!$A:$B,2,1),(EH12-0.05)))</f>
        <v>1</v>
      </c>
      <c r="EJ12" s="41">
        <f>MIN(1,MAX(VLOOKUP(($AI12-$AH12-$AG12-$AF12-$AE12-$AA12*(1+EJ$3))/$AI12,'[8]Технический лист'!$A:$B,2,1),(EI12-0.05)))</f>
        <v>1</v>
      </c>
      <c r="EK12" s="41">
        <f>MIN(1,MAX(VLOOKUP(($AI12-$AH12-$AG12-$AF12-$AE12-$AA12*(1+EK$3))/$AI12,'[8]Технический лист'!$A:$B,2,1),(EJ12-0.05)))</f>
        <v>1</v>
      </c>
      <c r="EL12" s="41">
        <f>MIN(1,MAX(VLOOKUP(($AI12-$AH12-$AG12-$AF12-$AE12-$AA12*(1+EL$3))/$AI12,'[8]Технический лист'!$A:$B,2,1),(EK12-0.05)))</f>
        <v>1</v>
      </c>
      <c r="EM12" s="41">
        <f>MIN(1,MAX(VLOOKUP(($AI12-$AH12-$AG12-$AF12-$AE12-$AA12*(1+EM$3))/$AI12,'[8]Технический лист'!$A:$B,2,1),(EL12-0.05)))</f>
        <v>1</v>
      </c>
      <c r="EN12" s="41">
        <f>MIN(1,MAX(VLOOKUP(($AI12-$AH12-$AG12-$AF12-$AE12-$AA12*(1+EN$3))/$AI12,'[8]Технический лист'!$A:$B,2,1),(EM12-0.05)))</f>
        <v>1</v>
      </c>
      <c r="EO12" s="41">
        <f>MIN(1,MAX(VLOOKUP(($AI12-$AH12-$AG12-$AF12-$AE12-$AA12*(1+EO$3))/$AI12,'[8]Технический лист'!$A:$B,2,1),(EN12-0.05)))</f>
        <v>1</v>
      </c>
      <c r="EP12" s="41">
        <f>MIN(1,MAX(VLOOKUP(($AI12-$AH12-$AG12-$AF12-$AE12-$AA12*(1+EP$3))/$AI12,'[8]Технический лист'!$A:$B,2,1),(EO12-0.05)))</f>
        <v>1</v>
      </c>
      <c r="EQ12" s="41">
        <f>MIN(1,MAX(VLOOKUP(($AI12-$AH12-$AG12-$AF12-$AE12-$AA12*(1+EQ$3))/$AI12,'[8]Технический лист'!$A:$B,2,1),(EP12-0.05)))</f>
        <v>1</v>
      </c>
      <c r="ER12" s="41">
        <f>MIN(1,MAX(VLOOKUP(($AI12-$AH12-$AG12-$AF12-$AE12-$AA12*(1+ER$3))/$AI12,'[8]Технический лист'!$A:$B,2,1),(EQ12-0.05)))</f>
        <v>1</v>
      </c>
      <c r="ES12" s="41">
        <f>MIN(1,MAX(VLOOKUP(($AI12-$AH12-$AG12-$AF12-$AE12-$AA12*(1+ES$3))/$AI12,'[8]Технический лист'!$A:$B,2,1),(ER12-0.05)))</f>
        <v>1</v>
      </c>
      <c r="ET12" s="41">
        <f>MIN(1,MAX(VLOOKUP(($AI12-$AH12-$AG12-$AF12-$AE12-$AA12*(1+ET$3))/$AI12,'[8]Технический лист'!$A:$B,2,1),(ES12-0.05)))</f>
        <v>1</v>
      </c>
      <c r="EU12" s="41">
        <f>MIN(1,MAX(VLOOKUP(($AI12-$AH12-$AG12-$AF12-$AE12-$AA12*(1+EU$3))/$AI12,'[8]Технический лист'!$A:$B,2,1),(ET12-0.05)))</f>
        <v>1</v>
      </c>
      <c r="EV12" s="41">
        <f>MIN(1,MAX(VLOOKUP(($AI12-$AH12-$AG12-$AF12-$AE12-$AA12*(1+EV$3))/$AI12,'[8]Технический лист'!$A:$B,2,1),(EU12-0.05)))</f>
        <v>1</v>
      </c>
      <c r="EW12" s="41">
        <f>MIN(1,MAX(VLOOKUP(($AI12-$AH12-$AG12-$AF12-$AE12-$AA12*(1+EW$3))/$AI12,'[8]Технический лист'!$A:$B,2,1),(EV12-0.05)))</f>
        <v>1</v>
      </c>
      <c r="EX12" s="41">
        <f>MIN(1,MAX(VLOOKUP(($AI12-$AH12-$AG12-$AF12-$AE12-$AA12*(1+EX$3))/$AI12,'[8]Технический лист'!$A:$B,2,1),(EW12-0.05)))</f>
        <v>1</v>
      </c>
      <c r="EY12" s="41">
        <f>MIN(1,MAX(VLOOKUP(($AI12-$AH12-$AG12-$AF12-$AE12-$AA12*(1+EY$3))/$AI12,'[8]Технический лист'!$A:$B,2,1),(EX12-0.05)))</f>
        <v>1</v>
      </c>
      <c r="EZ12" s="41">
        <f>MIN(1,MAX(VLOOKUP(($AI12-$AH12-$AG12-$AF12-$AE12-$AA12*(1+EZ$3))/$AI12,'[8]Технический лист'!$A:$B,2,1),(EY12-0.05)))</f>
        <v>1</v>
      </c>
      <c r="FA12" s="41">
        <f>MIN(1,MAX(VLOOKUP(($AI12-$AH12-$AG12-$AF12-$AE12-$AA12*(1+FA$3))/$AI12,'[8]Технический лист'!$A:$B,2,1),(EZ12-0.05)))</f>
        <v>1</v>
      </c>
      <c r="FB12" s="41">
        <f>MIN(1,MAX(VLOOKUP(($AI12-$AH12-$AG12-$AF12-$AE12-$AA12*(1+FB$3))/$AI12,'[8]Технический лист'!$A:$B,2,1),(FA12-0.05)))</f>
        <v>1</v>
      </c>
      <c r="FC12" s="41">
        <f>MIN(1,MAX(VLOOKUP(($AI12-$AH12-$AG12-$AF12-$AE12-$AA12*(1+FC$3))/$AI12,'[8]Технический лист'!$A:$B,2,1),(FB12-0.05)))</f>
        <v>1</v>
      </c>
      <c r="FD12" s="41">
        <f>MIN(1,MAX(VLOOKUP(($AI12-$AH12-$AG12-$AF12-$AE12-$AA12*(1+FD$3))/$AI12,'[8]Технический лист'!$A:$B,2,1),(FC12-0.05)))</f>
        <v>1</v>
      </c>
      <c r="FE12" s="41">
        <f>MIN(1,MAX(VLOOKUP(($AI12-$AH12-$AG12-$AF12-$AE12-$AA12*(1+FE$3))/$AI12,'[8]Технический лист'!$A:$B,2,1),(FD12-0.05)))</f>
        <v>1</v>
      </c>
      <c r="FF12" s="41">
        <f>MIN(1,MAX(VLOOKUP(($AI12-$AH12-$AG12-$AF12-$AE12-$AA12*(1+FF$3))/$AI12,'[8]Технический лист'!$A:$B,2,1),(FE12-0.05)))</f>
        <v>1</v>
      </c>
      <c r="FG12" s="41">
        <f>MIN(1,MAX(VLOOKUP(($AI12-$AH12-$AG12-$AF12-$AE12-$AA12*(1+FG$3))/$AI12,'[8]Технический лист'!$A:$B,2,1),(FF12-0.05)))</f>
        <v>1</v>
      </c>
      <c r="FH12" s="41">
        <f>MIN(1,MAX(VLOOKUP(($AI12-$AH12-$AG12-$AF12-$AE12-$AA12*(1+FH$3))/$AI12,'[8]Технический лист'!$A:$B,2,1),(FG12-0.05)))</f>
        <v>1</v>
      </c>
      <c r="FI12" s="41">
        <f>MIN(1,MAX(VLOOKUP(($AI12-$AH12-$AG12-$AF12-$AE12-$AA12*(1+FI$3))/$AI12,'[8]Технический лист'!$A:$B,2,1),(FH12-0.05)))</f>
        <v>1</v>
      </c>
      <c r="FJ12" s="41">
        <f>MIN(1,MAX(VLOOKUP(($AI12-$AH12-$AG12-$AF12-$AE12-$AA12*(1+FJ$3))/$AI12,'[8]Технический лист'!$A:$B,2,1),(FI12-0.05)))</f>
        <v>1</v>
      </c>
      <c r="FK12" s="41">
        <f>MIN(1,MAX(VLOOKUP(($AI12-$AH12-$AG12-$AF12-$AE12-$AA12*(1+FK$3))/$AI12,'[8]Технический лист'!$A:$B,2,1),(FJ12-0.05)))</f>
        <v>1</v>
      </c>
      <c r="FL12" s="41">
        <f>MIN(1,MAX(VLOOKUP(($AI12-$AH12-$AG12-$AF12-$AE12-$AA12*(1+FL$3))/$AI12,'[8]Технический лист'!$A:$B,2,1),(FK12-0.05)))</f>
        <v>1</v>
      </c>
      <c r="FM12" s="41">
        <f>MIN(1,MAX(VLOOKUP(($AI12-$AH12-$AG12-$AF12-$AE12-$AA12*(1+FM$3))/$AI12,'[8]Технический лист'!$A:$B,2,1),(FL12-0.05)))</f>
        <v>1</v>
      </c>
      <c r="FN12" s="41">
        <f>MIN(1,MAX(VLOOKUP(($AI12-$AH12-$AG12-$AF12-$AE12-$AA12*(1+FN$3))/$AI12,'[8]Технический лист'!$A:$B,2,1),(FM12-0.05)))</f>
        <v>1</v>
      </c>
      <c r="FO12" s="41">
        <f>MIN(1,MAX(VLOOKUP(($AI12-$AH12-$AG12-$AF12-$AE12-$AA12*(1+FO$3))/$AI12,'[8]Технический лист'!$A:$B,2,1),(FN12-0.05)))</f>
        <v>1</v>
      </c>
      <c r="FP12" s="41">
        <f>MIN(1,MAX(VLOOKUP(($AI12-$AH12-$AG12-$AF12-$AE12-$AA12*(1+FP$3))/$AI12,'[8]Технический лист'!$A:$B,2,1),(FO12-0.05)))</f>
        <v>1</v>
      </c>
      <c r="FQ12" s="41">
        <f>MIN(1,MAX(VLOOKUP(($AI12-$AH12-$AG12-$AF12-$AE12-$AA12*(1+FQ$3))/$AI12,'[8]Технический лист'!$A:$B,2,1),(FP12-0.05)))</f>
        <v>1</v>
      </c>
      <c r="FR12" s="41">
        <f>MIN(1,MAX(VLOOKUP(($AI12-$AH12-$AG12-$AF12-$AE12-$AA12*(1+FR$3))/$AI12,'[8]Технический лист'!$A:$B,2,1),(FQ12-0.05)))</f>
        <v>1</v>
      </c>
      <c r="FS12" s="41">
        <f>MIN(1,MAX(VLOOKUP(($AI12-$AH12-$AG12-$AF12-$AE12-$AA12*(1+FS$3))/$AI12,'[8]Технический лист'!$A:$B,2,1),(FR12-0.05)))</f>
        <v>1</v>
      </c>
      <c r="FT12" s="41">
        <f>MIN(1,MAX(VLOOKUP(($AI12-$AH12-$AG12-$AF12-$AE12-$AA12*(1+FT$3))/$AI12,'[8]Технический лист'!$A:$B,2,1),(FS12-0.05)))</f>
        <v>1</v>
      </c>
      <c r="FU12" s="41">
        <f>MIN(1,MAX(VLOOKUP(($AI12-$AH12-$AG12-$AF12-$AE12-$AA12*(1+FU$3))/$AI12,'[8]Технический лист'!$A:$B,2,1),(FT12-0.05)))</f>
        <v>1</v>
      </c>
      <c r="FV12" s="41">
        <f>MIN(1,MAX(VLOOKUP(($AI12-$AH12-$AG12-$AF12-$AE12-$AA12*(1+FV$3))/$AI12,'[8]Технический лист'!$A:$B,2,1),(FU12-0.05)))</f>
        <v>1</v>
      </c>
      <c r="FW12" s="41">
        <f>MIN(1,MAX(VLOOKUP(($AI12-$AH12-$AG12-$AF12-$AE12-$AA12*(1+FW$3))/$AI12,'[8]Технический лист'!$A:$B,2,1),(FV12-0.05)))</f>
        <v>1</v>
      </c>
      <c r="FX12" s="41">
        <f>MIN(1,MAX(VLOOKUP(($AI12-$AH12-$AG12-$AF12-$AE12-$AA12*(1+FX$3))/$AI12,'[8]Технический лист'!$A:$B,2,1),(FW12-0.05)))</f>
        <v>1</v>
      </c>
      <c r="FY12" s="41">
        <f>MIN(1,MAX(VLOOKUP(($AI12-$AH12-$AG12-$AF12-$AE12-$AA12*(1+FY$3))/$AI12,'[8]Технический лист'!$A:$B,2,1),(FX12-0.05)))</f>
        <v>1</v>
      </c>
      <c r="FZ12" s="41">
        <f>MIN(1,MAX(VLOOKUP(($AI12-$AH12-$AG12-$AF12-$AE12-$AA12*(1+FZ$3))/$AI12,'[8]Технический лист'!$A:$B,2,1),(FY12-0.05)))</f>
        <v>1</v>
      </c>
      <c r="GA12" s="41">
        <f>MIN(1,MAX(VLOOKUP(($AI12-$AH12-$AG12-$AF12-$AE12-$AA12*(1+GA$3))/$AI12,'[8]Технический лист'!$A:$B,2,1),(FZ12-0.05)))</f>
        <v>1</v>
      </c>
      <c r="GB12" s="41">
        <f>MIN(1,MAX(VLOOKUP(($AI12-$AH12-$AG12-$AF12-$AE12-$AA12*(1+GB$3))/$AI12,'[8]Технический лист'!$A:$B,2,1),(GA12-0.05)))</f>
        <v>1</v>
      </c>
      <c r="GC12" s="41">
        <f>MIN(1,MAX(VLOOKUP(($AI12-$AH12-$AG12-$AF12-$AE12-$AA12*(1+GC$3))/$AI12,'[8]Технический лист'!$A:$B,2,1),(GB12-0.05)))</f>
        <v>1</v>
      </c>
      <c r="GD12" s="41">
        <f>MIN(1,MAX(VLOOKUP(($AI12-$AH12-$AG12-$AF12-$AE12-$AA12*(1+GD$3))/$AI12,'[8]Технический лист'!$A:$B,2,1),(GC12-0.05)))</f>
        <v>1</v>
      </c>
      <c r="GE12" s="41">
        <f>MIN(1,MAX(VLOOKUP(($AI12-$AH12-$AG12-$AF12-$AE12-$AA12*(1+GE$3))/$AI12,'[8]Технический лист'!$A:$B,2,1),(GD12-0.05)))</f>
        <v>1</v>
      </c>
      <c r="GF12" s="41">
        <f>MIN(1,MAX(VLOOKUP(($AI12-$AH12-$AG12-$AF12-$AE12-$AA12*(1+GF$3))/$AI12,'[8]Технический лист'!$A:$B,2,1),(GE12-0.05)))</f>
        <v>1</v>
      </c>
      <c r="GG12" s="41">
        <f>MIN(1,MAX(VLOOKUP(($AI12-$AH12-$AG12-$AF12-$AE12-$AA12*(1+GG$3))/$AI12,'[8]Технический лист'!$A:$B,2,1),(GF12-0.05)))</f>
        <v>1</v>
      </c>
      <c r="GH12" s="41">
        <f>MIN(1,MAX(VLOOKUP(($AI12-$AH12-$AG12-$AF12-$AE12-$AA12*(1+GH$3))/$AI12,'[8]Технический лист'!$A:$B,2,1),(GG12-0.05)))</f>
        <v>1</v>
      </c>
      <c r="GI12" s="41">
        <f>MIN(1,MAX(VLOOKUP(($AI12-$AH12-$AG12-$AF12-$AE12-$AA12*(1+GI$3))/$AI12,'[8]Технический лист'!$A:$B,2,1),(GH12-0.05)))</f>
        <v>1</v>
      </c>
      <c r="GJ12" s="41">
        <f>MIN(1,MAX(VLOOKUP(($AI12-$AH12-$AG12-$AF12-$AE12-$AA12*(1+GJ$3))/$AI12,'[8]Технический лист'!$A:$B,2,1),(GI12-0.05)))</f>
        <v>1</v>
      </c>
      <c r="GK12" s="41">
        <f>MIN(1,MAX(VLOOKUP(($AI12-$AH12-$AG12-$AF12-$AE12-$AA12*(1+GK$3))/$AI12,'[8]Технический лист'!$A:$B,2,1),(GJ12-0.05)))</f>
        <v>1</v>
      </c>
      <c r="GL12" s="41">
        <f>MIN(1,MAX(VLOOKUP(($AI12-$AH12-$AG12-$AF12-$AE12-$AA12*(1+GL$3))/$AI12,'[8]Технический лист'!$A:$B,2,1),(GK12-0.05)))</f>
        <v>1</v>
      </c>
      <c r="GM12" s="41">
        <f>MIN(1,MAX(VLOOKUP(($AI12-$AH12-$AG12-$AF12-$AE12-$AA12*(1+GM$3))/$AI12,'[8]Технический лист'!$A:$B,2,1),(GL12-0.05)))</f>
        <v>1</v>
      </c>
      <c r="GN12" s="41">
        <f>MIN(1,MAX(VLOOKUP(($AI12-$AH12-$AG12-$AF12-$AE12-$AA12*(1+GN$3))/$AI12,'[8]Технический лист'!$A:$B,2,1),(GM12-0.05)))</f>
        <v>1</v>
      </c>
    </row>
    <row r="13" spans="1:196" ht="29.15">
      <c r="A13" s="3">
        <v>6</v>
      </c>
      <c r="B13" s="15" t="s">
        <v>61</v>
      </c>
      <c r="C13" s="4" t="s">
        <v>63</v>
      </c>
      <c r="D13" s="4" t="s">
        <v>64</v>
      </c>
      <c r="E13" s="4" t="s">
        <v>65</v>
      </c>
      <c r="F13" s="4" t="s">
        <v>22</v>
      </c>
      <c r="G13" s="4" t="s">
        <v>86</v>
      </c>
      <c r="H13" s="4" t="s">
        <v>121</v>
      </c>
      <c r="I13" s="4" t="s">
        <v>88</v>
      </c>
      <c r="J13" s="4" t="s">
        <v>122</v>
      </c>
      <c r="K13" s="4" t="s">
        <v>147</v>
      </c>
      <c r="L13" s="4" t="s">
        <v>17</v>
      </c>
      <c r="M13" s="4" t="s">
        <v>166</v>
      </c>
      <c r="N13" s="4" t="s">
        <v>56</v>
      </c>
      <c r="O13" s="4" t="s">
        <v>123</v>
      </c>
      <c r="P13" s="4" t="s">
        <v>124</v>
      </c>
      <c r="Q13" s="4" t="s">
        <v>125</v>
      </c>
      <c r="R13" s="16">
        <v>22193</v>
      </c>
      <c r="S13" s="17">
        <v>142654904</v>
      </c>
      <c r="T13" s="18">
        <v>0</v>
      </c>
      <c r="U13" s="18">
        <v>756</v>
      </c>
      <c r="V13" s="17">
        <v>100712036</v>
      </c>
      <c r="W13" s="26" t="s">
        <v>166</v>
      </c>
      <c r="X13" s="26">
        <v>68</v>
      </c>
      <c r="Y13" s="24">
        <f>390422/X13</f>
        <v>5741.5</v>
      </c>
      <c r="Z13" s="20">
        <v>0</v>
      </c>
      <c r="AA13" s="27">
        <f>Y13</f>
        <v>5741.5</v>
      </c>
      <c r="AB13" s="20">
        <v>19</v>
      </c>
      <c r="AC13" s="20">
        <v>0</v>
      </c>
      <c r="AD13" s="20">
        <v>4</v>
      </c>
      <c r="AE13" s="20">
        <f>'Ставки аренды'!$B$4*SUM(Лесные!AB13+Лесные!AC13+Лесные!AD13)/Лесные!X13</f>
        <v>541.17647058823525</v>
      </c>
      <c r="AF13" s="20">
        <v>0</v>
      </c>
      <c r="AG13" s="20"/>
      <c r="AH13" s="20">
        <f>0.73*AI13</f>
        <v>18081.538461538461</v>
      </c>
      <c r="AI13" s="20">
        <f>Цены!$C$3</f>
        <v>24769.23076923077</v>
      </c>
      <c r="AJ13" s="20"/>
      <c r="AK13" s="21"/>
      <c r="AL13" s="20"/>
      <c r="AM13" s="20"/>
      <c r="AN13" s="29">
        <f t="shared" si="0"/>
        <v>1.6351571063207931E-2</v>
      </c>
      <c r="AO13" s="20"/>
      <c r="AP13" s="20"/>
      <c r="AQ13" s="2"/>
      <c r="AR13" s="19"/>
      <c r="AS13" s="42">
        <v>0.8</v>
      </c>
      <c r="AT13" s="41">
        <f>MIN(IF($AS13=100%,1,1+VLOOKUP(($AI13-$AH13-$AG13-$AF13-$AE13-$AA13*(1+AT$3))/$AI13,'Технический лист'!$A:$B,2,1)-VLOOKUP($AN13,'Технический лист'!$A:$B,2,1)),1+(1-$AS13))</f>
        <v>1.2</v>
      </c>
      <c r="AU13" s="41">
        <f>MIN(IF($AS13=100%,1,1+VLOOKUP(($AI13-$AH13-$AG13-$AF13-$AE13-$AA13*(1+AU$3))/$AI13,'Технический лист'!$A:$B,2,1)-VLOOKUP($AN13,'Технический лист'!$A:$B,2,1)),1+(1-$AS13))</f>
        <v>1.2</v>
      </c>
      <c r="AV13" s="41">
        <f>MIN(IF($AS13=100%,1,1+VLOOKUP(($AI13-$AH13-$AG13-$AF13-$AE13-$AA13*(1+AV$3))/$AI13,'Технический лист'!$A:$B,2,1)-VLOOKUP($AN13,'Технический лист'!$A:$B,2,1)),1+(1-$AS13))</f>
        <v>1.2</v>
      </c>
      <c r="AW13" s="41">
        <f>MIN(IF($AS13=100%,1,1+VLOOKUP(($AI13-$AH13-$AG13-$AF13-$AE13-$AA13*(1+AW$3))/$AI13,'Технический лист'!$A:$B,2,1)-VLOOKUP($AN13,'Технический лист'!$A:$B,2,1)),1+(1-$AS13))</f>
        <v>1.2</v>
      </c>
      <c r="AX13" s="41">
        <f>MIN(IF($AS13=100%,1,1+VLOOKUP(($AI13-$AH13-$AG13-$AF13-$AE13-$AA13*(1+AX$3))/$AI13,'Технический лист'!$A:$B,2,1)-VLOOKUP($AN13,'Технический лист'!$A:$B,2,1)),1+(1-$AS13))</f>
        <v>1.1799999999999997</v>
      </c>
      <c r="AY13" s="41">
        <f>MIN(IF($AS13=100%,1,1+VLOOKUP(($AI13-$AH13-$AG13-$AF13-$AE13-$AA13*(1+AY$3))/$AI13,'Технический лист'!$A:$B,2,1)-VLOOKUP($AN13,'Технический лист'!$A:$B,2,1)),1+(1-$AS13))</f>
        <v>1.1799999999999997</v>
      </c>
      <c r="AZ13" s="41">
        <f>MIN(IF($AS13=100%,1,1+VLOOKUP(($AI13-$AH13-$AG13-$AF13-$AE13-$AA13*(1+AZ$3))/$AI13,'Технический лист'!$A:$B,2,1)-VLOOKUP($AN13,'Технический лист'!$A:$B,2,1)),1+(1-$AS13))</f>
        <v>1.1799999999999997</v>
      </c>
      <c r="BA13" s="41">
        <f>MIN(IF($AS13=100%,1,1+VLOOKUP(($AI13-$AH13-$AG13-$AF13-$AE13-$AA13*(1+BA$3))/$AI13,'Технический лист'!$A:$B,2,1)-VLOOKUP($AN13,'Технический лист'!$A:$B,2,1)),1+(1-$AS13))</f>
        <v>1.1799999999999997</v>
      </c>
      <c r="BB13" s="41">
        <f>MIN(IF($AS13=100%,1,1+VLOOKUP(($AI13-$AH13-$AG13-$AF13-$AE13-$AA13*(1+BB$3))/$AI13,'Технический лист'!$A:$B,2,1)-VLOOKUP($AN13,'Технический лист'!$A:$B,2,1)),1+(1-$AS13))</f>
        <v>1.1799999999999997</v>
      </c>
      <c r="BC13" s="41">
        <f>MIN(IF($AS13=100%,1,1+VLOOKUP(($AI13-$AH13-$AG13-$AF13-$AE13-$AA13*(1+BC$3))/$AI13,'Технический лист'!$A:$B,2,1)-VLOOKUP($AN13,'Технический лист'!$A:$B,2,1)),1+(1-$AS13))</f>
        <v>1.1549999999999998</v>
      </c>
      <c r="BD13" s="41">
        <f>MIN(IF($AS13=100%,1,1+VLOOKUP(($AI13-$AH13-$AG13-$AF13-$AE13-$AA13*(1+BD$3))/$AI13,'Технический лист'!$A:$B,2,1)-VLOOKUP($AN13,'Технический лист'!$A:$B,2,1)),1+(1-$AS13))</f>
        <v>1.1549999999999998</v>
      </c>
      <c r="BE13" s="41">
        <f>MIN(IF($AS13=100%,1,1+VLOOKUP(($AI13-$AH13-$AG13-$AF13-$AE13-$AA13*(1+BE$3))/$AI13,'Технический лист'!$A:$B,2,1)-VLOOKUP($AN13,'Технический лист'!$A:$B,2,1)),1+(1-$AS13))</f>
        <v>1.1549999999999998</v>
      </c>
      <c r="BF13" s="41">
        <f>MIN(IF($AS13=100%,1,1+VLOOKUP(($AI13-$AH13-$AG13-$AF13-$AE13-$AA13*(1+BF$3))/$AI13,'Технический лист'!$A:$B,2,1)-VLOOKUP($AN13,'Технический лист'!$A:$B,2,1)),1+(1-$AS13))</f>
        <v>1.1549999999999998</v>
      </c>
      <c r="BG13" s="41">
        <f>MIN(IF($AS13=100%,1,1+VLOOKUP(($AI13-$AH13-$AG13-$AF13-$AE13-$AA13*(1+BG$3))/$AI13,'Технический лист'!$A:$B,2,1)-VLOOKUP($AN13,'Технический лист'!$A:$B,2,1)),1+(1-$AS13))</f>
        <v>1.1349999999999998</v>
      </c>
      <c r="BH13" s="41">
        <f>MIN(IF($AS13=100%,1,1+VLOOKUP(($AI13-$AH13-$AG13-$AF13-$AE13-$AA13*(1+BH$3))/$AI13,'Технический лист'!$A:$B,2,1)-VLOOKUP($AN13,'Технический лист'!$A:$B,2,1)),1+(1-$AS13))</f>
        <v>1.1349999999999998</v>
      </c>
      <c r="BI13" s="41">
        <f>MIN(IF($AS13=100%,1,1+VLOOKUP(($AI13-$AH13-$AG13-$AF13-$AE13-$AA13*(1+BI$3))/$AI13,'Технический лист'!$A:$B,2,1)-VLOOKUP($AN13,'Технический лист'!$A:$B,2,1)),1+(1-$AS13))</f>
        <v>1.1349999999999998</v>
      </c>
      <c r="BJ13" s="41">
        <f>MIN(IF($AS13=100%,1,1+VLOOKUP(($AI13-$AH13-$AG13-$AF13-$AE13-$AA13*(1+BJ$3))/$AI13,'Технический лист'!$A:$B,2,1)-VLOOKUP($AN13,'Технический лист'!$A:$B,2,1)),1+(1-$AS13))</f>
        <v>1.1349999999999998</v>
      </c>
      <c r="BK13" s="41">
        <f>MIN(IF($AS13=100%,1,1+VLOOKUP(($AI13-$AH13-$AG13-$AF13-$AE13-$AA13*(1+BK$3))/$AI13,'Технический лист'!$A:$B,2,1)-VLOOKUP($AN13,'Технический лист'!$A:$B,2,1)),1+(1-$AS13))</f>
        <v>1.1149999999999998</v>
      </c>
      <c r="BL13" s="41">
        <f>MIN(IF($AS13=100%,1,1+VLOOKUP(($AI13-$AH13-$AG13-$AF13-$AE13-$AA13*(1+BL$3))/$AI13,'Технический лист'!$A:$B,2,1)-VLOOKUP($AN13,'Технический лист'!$A:$B,2,1)),1+(1-$AS13))</f>
        <v>1.1149999999999998</v>
      </c>
      <c r="BM13" s="41">
        <f>MIN(IF($AS13=100%,1,1+VLOOKUP(($AI13-$AH13-$AG13-$AF13-$AE13-$AA13*(1+BM$3))/$AI13,'Технический лист'!$A:$B,2,1)-VLOOKUP($AN13,'Технический лист'!$A:$B,2,1)),1+(1-$AS13))</f>
        <v>1.1149999999999998</v>
      </c>
      <c r="BN13" s="41">
        <f>MIN(IF($AS13=100%,1,1+VLOOKUP(($AI13-$AH13-$AG13-$AF13-$AE13-$AA13*(1+BN$3))/$AI13,'Технический лист'!$A:$B,2,1)-VLOOKUP($AN13,'Технический лист'!$A:$B,2,1)),1+(1-$AS13))</f>
        <v>1.1149999999999998</v>
      </c>
      <c r="BO13" s="41">
        <f>MIN(IF($AS13=100%,1,1+VLOOKUP(($AI13-$AH13-$AG13-$AF13-$AE13-$AA13*(1+BO$3))/$AI13,'Технический лист'!$A:$B,2,1)-VLOOKUP($AN13,'Технический лист'!$A:$B,2,1)),1+(1-$AS13))</f>
        <v>1.0949999999999998</v>
      </c>
      <c r="BP13" s="41">
        <f>MIN(IF($AS13=100%,1,1+VLOOKUP(($AI13-$AH13-$AG13-$AF13-$AE13-$AA13*(1+BP$3))/$AI13,'Технический лист'!$A:$B,2,1)-VLOOKUP($AN13,'Технический лист'!$A:$B,2,1)),1+(1-$AS13))</f>
        <v>1.0949999999999998</v>
      </c>
      <c r="BQ13" s="41">
        <f>MIN(IF($AS13=100%,1,1+VLOOKUP(($AI13-$AH13-$AG13-$AF13-$AE13-$AA13*(1+BQ$3))/$AI13,'Технический лист'!$A:$B,2,1)-VLOOKUP($AN13,'Технический лист'!$A:$B,2,1)),1+(1-$AS13))</f>
        <v>1.0949999999999998</v>
      </c>
      <c r="BR13" s="41">
        <f>MIN(IF($AS13=100%,1,1+VLOOKUP(($AI13-$AH13-$AG13-$AF13-$AE13-$AA13*(1+BR$3))/$AI13,'Технический лист'!$A:$B,2,1)-VLOOKUP($AN13,'Технический лист'!$A:$B,2,1)),1+(1-$AS13))</f>
        <v>1.0949999999999998</v>
      </c>
      <c r="BS13" s="41">
        <f>MIN(IF($AS13=100%,1,1+VLOOKUP(($AI13-$AH13-$AG13-$AF13-$AE13-$AA13*(1+BS$3))/$AI13,'Технический лист'!$A:$B,2,1)-VLOOKUP($AN13,'Технический лист'!$A:$B,2,1)),1+(1-$AS13))</f>
        <v>1.0949999999999998</v>
      </c>
      <c r="BT13" s="41">
        <f>MIN(IF($AS13=100%,1,1+VLOOKUP(($AI13-$AH13-$AG13-$AF13-$AE13-$AA13*(1+BT$3))/$AI13,'Технический лист'!$A:$B,2,1)-VLOOKUP($AN13,'Технический лист'!$A:$B,2,1)),1+(1-$AS13))</f>
        <v>1.0750000000000002</v>
      </c>
      <c r="BU13" s="41">
        <f>MIN(IF($AS13=100%,1,1+VLOOKUP(($AI13-$AH13-$AG13-$AF13-$AE13-$AA13*(1+BU$3))/$AI13,'Технический лист'!$A:$B,2,1)-VLOOKUP($AN13,'Технический лист'!$A:$B,2,1)),1+(1-$AS13))</f>
        <v>1.0750000000000002</v>
      </c>
      <c r="BV13" s="41">
        <f>MIN(IF($AS13=100%,1,1+VLOOKUP(($AI13-$AH13-$AG13-$AF13-$AE13-$AA13*(1+BV$3))/$AI13,'Технический лист'!$A:$B,2,1)-VLOOKUP($AN13,'Технический лист'!$A:$B,2,1)),1+(1-$AS13))</f>
        <v>1.0750000000000002</v>
      </c>
      <c r="BW13" s="41">
        <f>MIN(IF($AS13=100%,1,1+VLOOKUP(($AI13-$AH13-$AG13-$AF13-$AE13-$AA13*(1+BW$3))/$AI13,'Технический лист'!$A:$B,2,1)-VLOOKUP($AN13,'Технический лист'!$A:$B,2,1)),1+(1-$AS13))</f>
        <v>1.0750000000000002</v>
      </c>
      <c r="BX13" s="41">
        <f>MIN(IF($AS13=100%,1,1+VLOOKUP(($AI13-$AH13-$AG13-$AF13-$AE13-$AA13*(1+BX$3))/$AI13,'Технический лист'!$A:$B,2,1)-VLOOKUP($AN13,'Технический лист'!$A:$B,2,1)),1+(1-$AS13))</f>
        <v>1.06</v>
      </c>
      <c r="BY13" s="41">
        <f>MIN(IF($AS13=100%,1,1+VLOOKUP(($AI13-$AH13-$AG13-$AF13-$AE13-$AA13*(1+BY$3))/$AI13,'Технический лист'!$A:$B,2,1)-VLOOKUP($AN13,'Технический лист'!$A:$B,2,1)),1+(1-$AS13))</f>
        <v>1.06</v>
      </c>
      <c r="BZ13" s="41">
        <f>MIN(IF($AS13=100%,1,1+VLOOKUP(($AI13-$AH13-$AG13-$AF13-$AE13-$AA13*(1+BZ$3))/$AI13,'Технический лист'!$A:$B,2,1)-VLOOKUP($AN13,'Технический лист'!$A:$B,2,1)),1+(1-$AS13))</f>
        <v>1.06</v>
      </c>
      <c r="CA13" s="41">
        <f>MIN(IF($AS13=100%,1,1+VLOOKUP(($AI13-$AH13-$AG13-$AF13-$AE13-$AA13*(1+CA$3))/$AI13,'Технический лист'!$A:$B,2,1)-VLOOKUP($AN13,'Технический лист'!$A:$B,2,1)),1+(1-$AS13))</f>
        <v>1.06</v>
      </c>
      <c r="CB13" s="41">
        <f>MIN(IF($AS13=100%,1,1+VLOOKUP(($AI13-$AH13-$AG13-$AF13-$AE13-$AA13*(1+CB$3))/$AI13,'Технический лист'!$A:$B,2,1)-VLOOKUP($AN13,'Технический лист'!$A:$B,2,1)),1+(1-$AS13))</f>
        <v>1.0449999999999999</v>
      </c>
      <c r="CC13" s="41">
        <f>MIN(IF($AS13=100%,1,1+VLOOKUP(($AI13-$AH13-$AG13-$AF13-$AE13-$AA13*(1+CC$3))/$AI13,'Технический лист'!$A:$B,2,1)-VLOOKUP($AN13,'Технический лист'!$A:$B,2,1)),1+(1-$AS13))</f>
        <v>1.0449999999999999</v>
      </c>
      <c r="CD13" s="41">
        <f>MIN(IF($AS13=100%,1,1+VLOOKUP(($AI13-$AH13-$AG13-$AF13-$AE13-$AA13*(1+CD$3))/$AI13,'Технический лист'!$A:$B,2,1)-VLOOKUP($AN13,'Технический лист'!$A:$B,2,1)),1+(1-$AS13))</f>
        <v>1.0449999999999999</v>
      </c>
      <c r="CE13" s="41">
        <f>MIN(IF($AS13=100%,1,1+VLOOKUP(($AI13-$AH13-$AG13-$AF13-$AE13-$AA13*(1+CE$3))/$AI13,'Технический лист'!$A:$B,2,1)-VLOOKUP($AN13,'Технический лист'!$A:$B,2,1)),1+(1-$AS13))</f>
        <v>1.0449999999999999</v>
      </c>
      <c r="CF13" s="41">
        <f>MIN(IF($AS13=100%,1,1+VLOOKUP(($AI13-$AH13-$AG13-$AF13-$AE13-$AA13*(1+CF$3))/$AI13,'Технический лист'!$A:$B,2,1)-VLOOKUP($AN13,'Технический лист'!$A:$B,2,1)),1+(1-$AS13))</f>
        <v>1.0449999999999999</v>
      </c>
      <c r="CG13" s="41">
        <f>MIN(IF($AS13=100%,1,1+VLOOKUP(($AI13-$AH13-$AG13-$AF13-$AE13-$AA13*(1+CG$3))/$AI13,'Технический лист'!$A:$B,2,1)-VLOOKUP($AN13,'Технический лист'!$A:$B,2,1)),1+(1-$AS13))</f>
        <v>1.0300000000000002</v>
      </c>
      <c r="CH13" s="41">
        <f>MIN(IF($AS13=100%,1,1+VLOOKUP(($AI13-$AH13-$AG13-$AF13-$AE13-$AA13*(1+CH$3))/$AI13,'Технический лист'!$A:$B,2,1)-VLOOKUP($AN13,'Технический лист'!$A:$B,2,1)),1+(1-$AS13))</f>
        <v>1.0300000000000002</v>
      </c>
      <c r="CI13" s="41">
        <f>MIN(IF($AS13=100%,1,1+VLOOKUP(($AI13-$AH13-$AG13-$AF13-$AE13-$AA13*(1+CI$3))/$AI13,'Технический лист'!$A:$B,2,1)-VLOOKUP($AN13,'Технический лист'!$A:$B,2,1)),1+(1-$AS13))</f>
        <v>1.0300000000000002</v>
      </c>
      <c r="CJ13" s="41">
        <f>MIN(IF($AS13=100%,1,1+VLOOKUP(($AI13-$AH13-$AG13-$AF13-$AE13-$AA13*(1+CJ$3))/$AI13,'Технический лист'!$A:$B,2,1)-VLOOKUP($AN13,'Технический лист'!$A:$B,2,1)),1+(1-$AS13))</f>
        <v>1.0300000000000002</v>
      </c>
      <c r="CK13" s="41">
        <f>MIN(IF($AS13=100%,1,1+VLOOKUP(($AI13-$AH13-$AG13-$AF13-$AE13-$AA13*(1+CK$3))/$AI13,'Технический лист'!$A:$B,2,1)-VLOOKUP($AN13,'Технический лист'!$A:$B,2,1)),1+(1-$AS13))</f>
        <v>1.0150000000000001</v>
      </c>
      <c r="CL13" s="41">
        <f>MIN(IF($AS13=100%,1,1+VLOOKUP(($AI13-$AH13-$AG13-$AF13-$AE13-$AA13*(1+CL$3))/$AI13,'Технический лист'!$A:$B,2,1)-VLOOKUP($AN13,'Технический лист'!$A:$B,2,1)),1+(1-$AS13))</f>
        <v>1.0150000000000001</v>
      </c>
      <c r="CM13" s="41">
        <f>MIN(IF($AS13=100%,1,1+VLOOKUP(($AI13-$AH13-$AG13-$AF13-$AE13-$AA13*(1+CM$3))/$AI13,'Технический лист'!$A:$B,2,1)-VLOOKUP($AN13,'Технический лист'!$A:$B,2,1)),1+(1-$AS13))</f>
        <v>1.0150000000000001</v>
      </c>
      <c r="CN13" s="41">
        <f>MIN(IF($AS13=100%,1,1+VLOOKUP(($AI13-$AH13-$AG13-$AF13-$AE13-$AA13*(1+CN$3))/$AI13,'Технический лист'!$A:$B,2,1)-VLOOKUP($AN13,'Технический лист'!$A:$B,2,1)),1+(1-$AS13))</f>
        <v>1.0150000000000001</v>
      </c>
      <c r="CO13" s="41">
        <f>MIN(IF($AS13=100%,1,1+VLOOKUP(($AI13-$AH13-$AG13-$AF13-$AE13-$AA13*(1+CO$3))/$AI13,'Технический лист'!$A:$B,2,1)-VLOOKUP($AN13,'Технический лист'!$A:$B,2,1)),1+(1-$AS13))</f>
        <v>1</v>
      </c>
      <c r="CP13" s="41">
        <f>MIN(IF($AS13=100%,1,1+VLOOKUP(($AI13-$AH13-$AG13-$AF13-$AE13-$AA13*(1+CP$3))/$AI13,'Технический лист'!$A:$B,2,1)-VLOOKUP($AN13,'Технический лист'!$A:$B,2,1)),1+(1-$AS13))</f>
        <v>1</v>
      </c>
      <c r="CQ13" s="41">
        <f>MIN(IF($AS13=100%,1,1+VLOOKUP(($AI13-$AH13-$AG13-$AF13-$AE13-$AA13*(1+CQ$3))/$AI13,'Технический лист'!$A:$B,2,1)-VLOOKUP($AN13,'Технический лист'!$A:$B,2,1)),1+(1-$AS13))</f>
        <v>1</v>
      </c>
      <c r="CR13">
        <v>1</v>
      </c>
      <c r="CS13" s="41">
        <f>MIN(1,MAX(VLOOKUP(($AI13-$AH13-$AG13-$AF13-$AE13-$AA13*(1+CS$3))/$AI13,'[8]Технический лист'!$A:$B,2,1),(CR13-0.05)))</f>
        <v>1</v>
      </c>
      <c r="CT13" s="41">
        <f>MIN(1,MAX(VLOOKUP(($AI13-$AH13-$AG13-$AF13-$AE13-$AA13*(1+CT$3))/$AI13,'[8]Технический лист'!$A:$B,2,1),(CS13-0.05)))</f>
        <v>1</v>
      </c>
      <c r="CU13" s="41">
        <f>MIN(1,MAX(VLOOKUP(($AI13-$AH13-$AG13-$AF13-$AE13-$AA13*(1+CU$3))/$AI13,'[8]Технический лист'!$A:$B,2,1),(CT13-0.05)))</f>
        <v>1</v>
      </c>
      <c r="CV13" s="41">
        <f>MIN(1,MAX(VLOOKUP(($AI13-$AH13-$AG13-$AF13-$AE13-$AA13*(1+CV$3))/$AI13,'[8]Технический лист'!$A:$B,2,1),(CU13-0.05)))</f>
        <v>1</v>
      </c>
      <c r="CW13" s="41">
        <f>MIN(1,MAX(VLOOKUP(($AI13-$AH13-$AG13-$AF13-$AE13-$AA13*(1+CW$3))/$AI13,'[8]Технический лист'!$A:$B,2,1),(CV13-0.05)))</f>
        <v>1</v>
      </c>
      <c r="CX13" s="41">
        <f>MIN(1,MAX(VLOOKUP(($AI13-$AH13-$AG13-$AF13-$AE13-$AA13*(1+CX$3))/$AI13,'[8]Технический лист'!$A:$B,2,1),(CW13-0.05)))</f>
        <v>1</v>
      </c>
      <c r="CY13" s="41">
        <f>MIN(1,MAX(VLOOKUP(($AI13-$AH13-$AG13-$AF13-$AE13-$AA13*(1+CY$3))/$AI13,'[8]Технический лист'!$A:$B,2,1),(CX13-0.05)))</f>
        <v>1</v>
      </c>
      <c r="CZ13" s="41">
        <f>MIN(1,MAX(VLOOKUP(($AI13-$AH13-$AG13-$AF13-$AE13-$AA13*(1+CZ$3))/$AI13,'[8]Технический лист'!$A:$B,2,1),(CY13-0.05)))</f>
        <v>1</v>
      </c>
      <c r="DA13" s="41">
        <f>MIN(1,MAX(VLOOKUP(($AI13-$AH13-$AG13-$AF13-$AE13-$AA13*(1+DA$3))/$AI13,'[8]Технический лист'!$A:$B,2,1),(CZ13-0.05)))</f>
        <v>1</v>
      </c>
      <c r="DB13" s="41">
        <f>MIN(1,MAX(VLOOKUP(($AI13-$AH13-$AG13-$AF13-$AE13-$AA13*(1+DB$3))/$AI13,'[8]Технический лист'!$A:$B,2,1),(DA13-0.05)))</f>
        <v>1</v>
      </c>
      <c r="DC13" s="41">
        <f>MIN(1,MAX(VLOOKUP(($AI13-$AH13-$AG13-$AF13-$AE13-$AA13*(1+DC$3))/$AI13,'[8]Технический лист'!$A:$B,2,1),(DB13-0.05)))</f>
        <v>1</v>
      </c>
      <c r="DD13" s="41">
        <f>MIN(1,MAX(VLOOKUP(($AI13-$AH13-$AG13-$AF13-$AE13-$AA13*(1+DD$3))/$AI13,'[8]Технический лист'!$A:$B,2,1),(DC13-0.05)))</f>
        <v>1</v>
      </c>
      <c r="DE13" s="41">
        <f>MIN(1,MAX(VLOOKUP(($AI13-$AH13-$AG13-$AF13-$AE13-$AA13*(1+DE$3))/$AI13,'[8]Технический лист'!$A:$B,2,1),(DD13-0.05)))</f>
        <v>1</v>
      </c>
      <c r="DF13" s="41">
        <f>MIN(1,MAX(VLOOKUP(($AI13-$AH13-$AG13-$AF13-$AE13-$AA13*(1+DF$3))/$AI13,'[8]Технический лист'!$A:$B,2,1),(DE13-0.05)))</f>
        <v>1</v>
      </c>
      <c r="DG13" s="41">
        <f>MIN(1,MAX(VLOOKUP(($AI13-$AH13-$AG13-$AF13-$AE13-$AA13*(1+DG$3))/$AI13,'[8]Технический лист'!$A:$B,2,1),(DF13-0.05)))</f>
        <v>1</v>
      </c>
      <c r="DH13" s="41">
        <f>MIN(1,MAX(VLOOKUP(($AI13-$AH13-$AG13-$AF13-$AE13-$AA13*(1+DH$3))/$AI13,'[8]Технический лист'!$A:$B,2,1),(DG13-0.05)))</f>
        <v>1</v>
      </c>
      <c r="DI13" s="41">
        <f>MIN(1,MAX(VLOOKUP(($AI13-$AH13-$AG13-$AF13-$AE13-$AA13*(1+DI$3))/$AI13,'[8]Технический лист'!$A:$B,2,1),(DH13-0.05)))</f>
        <v>1</v>
      </c>
      <c r="DJ13" s="41">
        <f>MIN(1,MAX(VLOOKUP(($AI13-$AH13-$AG13-$AF13-$AE13-$AA13*(1+DJ$3))/$AI13,'[8]Технический лист'!$A:$B,2,1),(DI13-0.05)))</f>
        <v>1</v>
      </c>
      <c r="DK13" s="41">
        <f>MIN(1,MAX(VLOOKUP(($AI13-$AH13-$AG13-$AF13-$AE13-$AA13*(1+DK$3))/$AI13,'[8]Технический лист'!$A:$B,2,1),(DJ13-0.05)))</f>
        <v>1</v>
      </c>
      <c r="DL13" s="41">
        <f>MIN(1,MAX(VLOOKUP(($AI13-$AH13-$AG13-$AF13-$AE13-$AA13*(1+DL$3))/$AI13,'[8]Технический лист'!$A:$B,2,1),(DK13-0.05)))</f>
        <v>1</v>
      </c>
      <c r="DM13" s="41">
        <f>MIN(1,MAX(VLOOKUP(($AI13-$AH13-$AG13-$AF13-$AE13-$AA13*(1+DM$3))/$AI13,'[8]Технический лист'!$A:$B,2,1),(DL13-0.05)))</f>
        <v>1</v>
      </c>
      <c r="DN13" s="41">
        <f>MIN(1,MAX(VLOOKUP(($AI13-$AH13-$AG13-$AF13-$AE13-$AA13*(1+DN$3))/$AI13,'[8]Технический лист'!$A:$B,2,1),(DM13-0.05)))</f>
        <v>1</v>
      </c>
      <c r="DO13" s="41">
        <f>MIN(1,MAX(VLOOKUP(($AI13-$AH13-$AG13-$AF13-$AE13-$AA13*(1+DO$3))/$AI13,'[8]Технический лист'!$A:$B,2,1),(DN13-0.05)))</f>
        <v>0.995</v>
      </c>
      <c r="DP13" s="41">
        <f>MIN(1,MAX(VLOOKUP(($AI13-$AH13-$AG13-$AF13-$AE13-$AA13*(1+DP$3))/$AI13,'[8]Технический лист'!$A:$B,2,1),(DO13-0.05)))</f>
        <v>0.995</v>
      </c>
      <c r="DQ13" s="41">
        <f>MIN(1,MAX(VLOOKUP(($AI13-$AH13-$AG13-$AF13-$AE13-$AA13*(1+DQ$3))/$AI13,'[8]Технический лист'!$A:$B,2,1),(DP13-0.05)))</f>
        <v>0.995</v>
      </c>
      <c r="DR13" s="41">
        <f>MIN(1,MAX(VLOOKUP(($AI13-$AH13-$AG13-$AF13-$AE13-$AA13*(1+DR$3))/$AI13,'[8]Технический лист'!$A:$B,2,1),(DQ13-0.05)))</f>
        <v>0.995</v>
      </c>
      <c r="DS13" s="41">
        <f>MIN(1,MAX(VLOOKUP(($AI13-$AH13-$AG13-$AF13-$AE13-$AA13*(1+DS$3))/$AI13,'[8]Технический лист'!$A:$B,2,1),(DR13-0.05)))</f>
        <v>0.995</v>
      </c>
      <c r="DT13" s="41">
        <f>MIN(1,MAX(VLOOKUP(($AI13-$AH13-$AG13-$AF13-$AE13-$AA13*(1+DT$3))/$AI13,'[8]Технический лист'!$A:$B,2,1),(DS13-0.05)))</f>
        <v>0.99</v>
      </c>
      <c r="DU13" s="41">
        <f>MIN(1,MAX(VLOOKUP(($AI13-$AH13-$AG13-$AF13-$AE13-$AA13*(1+DU$3))/$AI13,'[8]Технический лист'!$A:$B,2,1),(DT13-0.05)))</f>
        <v>0.99</v>
      </c>
      <c r="DV13" s="41">
        <f>MIN(1,MAX(VLOOKUP(($AI13-$AH13-$AG13-$AF13-$AE13-$AA13*(1+DV$3))/$AI13,'[8]Технический лист'!$A:$B,2,1),(DU13-0.05)))</f>
        <v>0.99</v>
      </c>
      <c r="DW13" s="41">
        <f>MIN(1,MAX(VLOOKUP(($AI13-$AH13-$AG13-$AF13-$AE13-$AA13*(1+DW$3))/$AI13,'[8]Технический лист'!$A:$B,2,1),(DV13-0.05)))</f>
        <v>0.99</v>
      </c>
      <c r="DX13" s="41">
        <f>MIN(1,MAX(VLOOKUP(($AI13-$AH13-$AG13-$AF13-$AE13-$AA13*(1+DX$3))/$AI13,'[8]Технический лист'!$A:$B,2,1),(DW13-0.05)))</f>
        <v>0.98499999999999999</v>
      </c>
      <c r="DY13" s="41">
        <f>MIN(1,MAX(VLOOKUP(($AI13-$AH13-$AG13-$AF13-$AE13-$AA13*(1+DY$3))/$AI13,'[8]Технический лист'!$A:$B,2,1),(DX13-0.05)))</f>
        <v>0.98499999999999999</v>
      </c>
      <c r="DZ13" s="41">
        <f>MIN(1,MAX(VLOOKUP(($AI13-$AH13-$AG13-$AF13-$AE13-$AA13*(1+DZ$3))/$AI13,'[8]Технический лист'!$A:$B,2,1),(DY13-0.05)))</f>
        <v>0.98499999999999999</v>
      </c>
      <c r="EA13" s="41">
        <f>MIN(1,MAX(VLOOKUP(($AI13-$AH13-$AG13-$AF13-$AE13-$AA13*(1+EA$3))/$AI13,'[8]Технический лист'!$A:$B,2,1),(DZ13-0.05)))</f>
        <v>0.98499999999999999</v>
      </c>
      <c r="EB13" s="41">
        <f>MIN(1,MAX(VLOOKUP(($AI13-$AH13-$AG13-$AF13-$AE13-$AA13*(1+EB$3))/$AI13,'[8]Технический лист'!$A:$B,2,1),(EA13-0.05)))</f>
        <v>0.98</v>
      </c>
      <c r="EC13" s="41">
        <f>MIN(1,MAX(VLOOKUP(($AI13-$AH13-$AG13-$AF13-$AE13-$AA13*(1+EC$3))/$AI13,'[8]Технический лист'!$A:$B,2,1),(EB13-0.05)))</f>
        <v>0.98</v>
      </c>
      <c r="ED13" s="41">
        <f>MIN(1,MAX(VLOOKUP(($AI13-$AH13-$AG13-$AF13-$AE13-$AA13*(1+ED$3))/$AI13,'[8]Технический лист'!$A:$B,2,1),(EC13-0.05)))</f>
        <v>0.98</v>
      </c>
      <c r="EE13" s="41">
        <f>MIN(1,MAX(VLOOKUP(($AI13-$AH13-$AG13-$AF13-$AE13-$AA13*(1+EE$3))/$AI13,'[8]Технический лист'!$A:$B,2,1),(ED13-0.05)))</f>
        <v>0.98</v>
      </c>
      <c r="EF13" s="41">
        <f>MIN(1,MAX(VLOOKUP(($AI13-$AH13-$AG13-$AF13-$AE13-$AA13*(1+EF$3))/$AI13,'[8]Технический лист'!$A:$B,2,1),(EE13-0.05)))</f>
        <v>0.97499999999999998</v>
      </c>
      <c r="EG13" s="41">
        <f>MIN(1,MAX(VLOOKUP(($AI13-$AH13-$AG13-$AF13-$AE13-$AA13*(1+EG$3))/$AI13,'[8]Технический лист'!$A:$B,2,1),(EF13-0.05)))</f>
        <v>0.97499999999999998</v>
      </c>
      <c r="EH13" s="41">
        <f>MIN(1,MAX(VLOOKUP(($AI13-$AH13-$AG13-$AF13-$AE13-$AA13*(1+EH$3))/$AI13,'[8]Технический лист'!$A:$B,2,1),(EG13-0.05)))</f>
        <v>0.97499999999999998</v>
      </c>
      <c r="EI13" s="41">
        <f>MIN(1,MAX(VLOOKUP(($AI13-$AH13-$AG13-$AF13-$AE13-$AA13*(1+EI$3))/$AI13,'[8]Технический лист'!$A:$B,2,1),(EH13-0.05)))</f>
        <v>0.97499999999999998</v>
      </c>
      <c r="EJ13" s="41">
        <f>MIN(1,MAX(VLOOKUP(($AI13-$AH13-$AG13-$AF13-$AE13-$AA13*(1+EJ$3))/$AI13,'[8]Технический лист'!$A:$B,2,1),(EI13-0.05)))</f>
        <v>0.97499999999999998</v>
      </c>
      <c r="EK13" s="41">
        <f>MIN(1,MAX(VLOOKUP(($AI13-$AH13-$AG13-$AF13-$AE13-$AA13*(1+EK$3))/$AI13,'[8]Технический лист'!$A:$B,2,1),(EJ13-0.05)))</f>
        <v>0.97</v>
      </c>
      <c r="EL13" s="41">
        <f>MIN(1,MAX(VLOOKUP(($AI13-$AH13-$AG13-$AF13-$AE13-$AA13*(1+EL$3))/$AI13,'[8]Технический лист'!$A:$B,2,1),(EK13-0.05)))</f>
        <v>0.97</v>
      </c>
      <c r="EM13" s="41">
        <f>MIN(1,MAX(VLOOKUP(($AI13-$AH13-$AG13-$AF13-$AE13-$AA13*(1+EM$3))/$AI13,'[8]Технический лист'!$A:$B,2,1),(EL13-0.05)))</f>
        <v>0.97</v>
      </c>
      <c r="EN13" s="41">
        <f>MIN(1,MAX(VLOOKUP(($AI13-$AH13-$AG13-$AF13-$AE13-$AA13*(1+EN$3))/$AI13,'[8]Технический лист'!$A:$B,2,1),(EM13-0.05)))</f>
        <v>0.97</v>
      </c>
      <c r="EO13" s="41">
        <f>MIN(1,MAX(VLOOKUP(($AI13-$AH13-$AG13-$AF13-$AE13-$AA13*(1+EO$3))/$AI13,'[8]Технический лист'!$A:$B,2,1),(EN13-0.05)))</f>
        <v>0.96499999999999997</v>
      </c>
      <c r="EP13" s="41">
        <f>MIN(1,MAX(VLOOKUP(($AI13-$AH13-$AG13-$AF13-$AE13-$AA13*(1+EP$3))/$AI13,'[8]Технический лист'!$A:$B,2,1),(EO13-0.05)))</f>
        <v>0.96499999999999997</v>
      </c>
      <c r="EQ13" s="41">
        <f>MIN(1,MAX(VLOOKUP(($AI13-$AH13-$AG13-$AF13-$AE13-$AA13*(1+EQ$3))/$AI13,'[8]Технический лист'!$A:$B,2,1),(EP13-0.05)))</f>
        <v>0.96499999999999997</v>
      </c>
      <c r="ER13" s="41">
        <f>MIN(1,MAX(VLOOKUP(($AI13-$AH13-$AG13-$AF13-$AE13-$AA13*(1+ER$3))/$AI13,'[8]Технический лист'!$A:$B,2,1),(EQ13-0.05)))</f>
        <v>0.96499999999999997</v>
      </c>
      <c r="ES13" s="41">
        <f>MIN(1,MAX(VLOOKUP(($AI13-$AH13-$AG13-$AF13-$AE13-$AA13*(1+ES$3))/$AI13,'[8]Технический лист'!$A:$B,2,1),(ER13-0.05)))</f>
        <v>0.96</v>
      </c>
      <c r="ET13" s="41">
        <f>MIN(1,MAX(VLOOKUP(($AI13-$AH13-$AG13-$AF13-$AE13-$AA13*(1+ET$3))/$AI13,'[8]Технический лист'!$A:$B,2,1),(ES13-0.05)))</f>
        <v>0.96</v>
      </c>
      <c r="EU13" s="41">
        <f>MIN(1,MAX(VLOOKUP(($AI13-$AH13-$AG13-$AF13-$AE13-$AA13*(1+EU$3))/$AI13,'[8]Технический лист'!$A:$B,2,1),(ET13-0.05)))</f>
        <v>0.96</v>
      </c>
      <c r="EV13" s="41">
        <f>MIN(1,MAX(VLOOKUP(($AI13-$AH13-$AG13-$AF13-$AE13-$AA13*(1+EV$3))/$AI13,'[8]Технический лист'!$A:$B,2,1),(EU13-0.05)))</f>
        <v>0.96</v>
      </c>
      <c r="EW13" s="41">
        <f>MIN(1,MAX(VLOOKUP(($AI13-$AH13-$AG13-$AF13-$AE13-$AA13*(1+EW$3))/$AI13,'[8]Технический лист'!$A:$B,2,1),(EV13-0.05)))</f>
        <v>0.96</v>
      </c>
      <c r="EX13" s="41">
        <f>MIN(1,MAX(VLOOKUP(($AI13-$AH13-$AG13-$AF13-$AE13-$AA13*(1+EX$3))/$AI13,'[8]Технический лист'!$A:$B,2,1),(EW13-0.05)))</f>
        <v>0.95</v>
      </c>
      <c r="EY13" s="41">
        <f>MIN(1,MAX(VLOOKUP(($AI13-$AH13-$AG13-$AF13-$AE13-$AA13*(1+EY$3))/$AI13,'[8]Технический лист'!$A:$B,2,1),(EX13-0.05)))</f>
        <v>0.95</v>
      </c>
      <c r="EZ13" s="41">
        <f>MIN(1,MAX(VLOOKUP(($AI13-$AH13-$AG13-$AF13-$AE13-$AA13*(1+EZ$3))/$AI13,'[8]Технический лист'!$A:$B,2,1),(EY13-0.05)))</f>
        <v>0.95</v>
      </c>
      <c r="FA13" s="41">
        <f>MIN(1,MAX(VLOOKUP(($AI13-$AH13-$AG13-$AF13-$AE13-$AA13*(1+FA$3))/$AI13,'[8]Технический лист'!$A:$B,2,1),(EZ13-0.05)))</f>
        <v>0.95</v>
      </c>
      <c r="FB13" s="41">
        <f>MIN(1,MAX(VLOOKUP(($AI13-$AH13-$AG13-$AF13-$AE13-$AA13*(1+FB$3))/$AI13,'[8]Технический лист'!$A:$B,2,1),(FA13-0.05)))</f>
        <v>0.94</v>
      </c>
      <c r="FC13" s="41">
        <f>MIN(1,MAX(VLOOKUP(($AI13-$AH13-$AG13-$AF13-$AE13-$AA13*(1+FC$3))/$AI13,'[8]Технический лист'!$A:$B,2,1),(FB13-0.05)))</f>
        <v>0.94</v>
      </c>
      <c r="FD13" s="41">
        <f>MIN(1,MAX(VLOOKUP(($AI13-$AH13-$AG13-$AF13-$AE13-$AA13*(1+FD$3))/$AI13,'[8]Технический лист'!$A:$B,2,1),(FC13-0.05)))</f>
        <v>0.94</v>
      </c>
      <c r="FE13" s="41">
        <f>MIN(1,MAX(VLOOKUP(($AI13-$AH13-$AG13-$AF13-$AE13-$AA13*(1+FE$3))/$AI13,'[8]Технический лист'!$A:$B,2,1),(FD13-0.05)))</f>
        <v>0.94</v>
      </c>
      <c r="FF13" s="41">
        <f>MIN(1,MAX(VLOOKUP(($AI13-$AH13-$AG13-$AF13-$AE13-$AA13*(1+FF$3))/$AI13,'[8]Технический лист'!$A:$B,2,1),(FE13-0.05)))</f>
        <v>0.93</v>
      </c>
      <c r="FG13" s="41">
        <f>MIN(1,MAX(VLOOKUP(($AI13-$AH13-$AG13-$AF13-$AE13-$AA13*(1+FG$3))/$AI13,'[8]Технический лист'!$A:$B,2,1),(FF13-0.05)))</f>
        <v>0.93</v>
      </c>
      <c r="FH13" s="41">
        <f>MIN(1,MAX(VLOOKUP(($AI13-$AH13-$AG13-$AF13-$AE13-$AA13*(1+FH$3))/$AI13,'[8]Технический лист'!$A:$B,2,1),(FG13-0.05)))</f>
        <v>0.93</v>
      </c>
      <c r="FI13" s="41">
        <f>MIN(1,MAX(VLOOKUP(($AI13-$AH13-$AG13-$AF13-$AE13-$AA13*(1+FI$3))/$AI13,'[8]Технический лист'!$A:$B,2,1),(FH13-0.05)))</f>
        <v>0.93</v>
      </c>
      <c r="FJ13" s="41">
        <f>MIN(1,MAX(VLOOKUP(($AI13-$AH13-$AG13-$AF13-$AE13-$AA13*(1+FJ$3))/$AI13,'[8]Технический лист'!$A:$B,2,1),(FI13-0.05)))</f>
        <v>0.93</v>
      </c>
      <c r="FK13" s="41">
        <f>MIN(1,MAX(VLOOKUP(($AI13-$AH13-$AG13-$AF13-$AE13-$AA13*(1+FK$3))/$AI13,'[8]Технический лист'!$A:$B,2,1),(FJ13-0.05)))</f>
        <v>0.92</v>
      </c>
      <c r="FL13" s="41">
        <f>MIN(1,MAX(VLOOKUP(($AI13-$AH13-$AG13-$AF13-$AE13-$AA13*(1+FL$3))/$AI13,'[8]Технический лист'!$A:$B,2,1),(FK13-0.05)))</f>
        <v>0.92</v>
      </c>
      <c r="FM13" s="41">
        <f>MIN(1,MAX(VLOOKUP(($AI13-$AH13-$AG13-$AF13-$AE13-$AA13*(1+FM$3))/$AI13,'[8]Технический лист'!$A:$B,2,1),(FL13-0.05)))</f>
        <v>0.92</v>
      </c>
      <c r="FN13" s="41">
        <f>MIN(1,MAX(VLOOKUP(($AI13-$AH13-$AG13-$AF13-$AE13-$AA13*(1+FN$3))/$AI13,'[8]Технический лист'!$A:$B,2,1),(FM13-0.05)))</f>
        <v>0.92</v>
      </c>
      <c r="FO13" s="41">
        <f>MIN(1,MAX(VLOOKUP(($AI13-$AH13-$AG13-$AF13-$AE13-$AA13*(1+FO$3))/$AI13,'[8]Технический лист'!$A:$B,2,1),(FN13-0.05)))</f>
        <v>0.91</v>
      </c>
      <c r="FP13" s="41">
        <f>MIN(1,MAX(VLOOKUP(($AI13-$AH13-$AG13-$AF13-$AE13-$AA13*(1+FP$3))/$AI13,'[8]Технический лист'!$A:$B,2,1),(FO13-0.05)))</f>
        <v>0.91</v>
      </c>
      <c r="FQ13" s="41">
        <f>MIN(1,MAX(VLOOKUP(($AI13-$AH13-$AG13-$AF13-$AE13-$AA13*(1+FQ$3))/$AI13,'[8]Технический лист'!$A:$B,2,1),(FP13-0.05)))</f>
        <v>0.91</v>
      </c>
      <c r="FR13" s="41">
        <f>MIN(1,MAX(VLOOKUP(($AI13-$AH13-$AG13-$AF13-$AE13-$AA13*(1+FR$3))/$AI13,'[8]Технический лист'!$A:$B,2,1),(FQ13-0.05)))</f>
        <v>0.91</v>
      </c>
      <c r="FS13" s="41">
        <f>MIN(1,MAX(VLOOKUP(($AI13-$AH13-$AG13-$AF13-$AE13-$AA13*(1+FS$3))/$AI13,'[8]Технический лист'!$A:$B,2,1),(FR13-0.05)))</f>
        <v>0.9</v>
      </c>
      <c r="FT13" s="41">
        <f>MIN(1,MAX(VLOOKUP(($AI13-$AH13-$AG13-$AF13-$AE13-$AA13*(1+FT$3))/$AI13,'[8]Технический лист'!$A:$B,2,1),(FS13-0.05)))</f>
        <v>0.9</v>
      </c>
      <c r="FU13" s="41">
        <f>MIN(1,MAX(VLOOKUP(($AI13-$AH13-$AG13-$AF13-$AE13-$AA13*(1+FU$3))/$AI13,'[8]Технический лист'!$A:$B,2,1),(FT13-0.05)))</f>
        <v>0.9</v>
      </c>
      <c r="FV13" s="41">
        <f>MIN(1,MAX(VLOOKUP(($AI13-$AH13-$AG13-$AF13-$AE13-$AA13*(1+FV$3))/$AI13,'[8]Технический лист'!$A:$B,2,1),(FU13-0.05)))</f>
        <v>0.9</v>
      </c>
      <c r="FW13" s="41">
        <f>MIN(1,MAX(VLOOKUP(($AI13-$AH13-$AG13-$AF13-$AE13-$AA13*(1+FW$3))/$AI13,'[8]Технический лист'!$A:$B,2,1),(FV13-0.05)))</f>
        <v>0.9</v>
      </c>
      <c r="FX13" s="41">
        <f>MIN(1,MAX(VLOOKUP(($AI13-$AH13-$AG13-$AF13-$AE13-$AA13*(1+FX$3))/$AI13,'[8]Технический лист'!$A:$B,2,1),(FW13-0.05)))</f>
        <v>0.88500000000000001</v>
      </c>
      <c r="FY13" s="41">
        <f>MIN(1,MAX(VLOOKUP(($AI13-$AH13-$AG13-$AF13-$AE13-$AA13*(1+FY$3))/$AI13,'[8]Технический лист'!$A:$B,2,1),(FX13-0.05)))</f>
        <v>0.88500000000000001</v>
      </c>
      <c r="FZ13" s="41">
        <f>MIN(1,MAX(VLOOKUP(($AI13-$AH13-$AG13-$AF13-$AE13-$AA13*(1+FZ$3))/$AI13,'[8]Технический лист'!$A:$B,2,1),(FY13-0.05)))</f>
        <v>0.88500000000000001</v>
      </c>
      <c r="GA13" s="41">
        <f>MIN(1,MAX(VLOOKUP(($AI13-$AH13-$AG13-$AF13-$AE13-$AA13*(1+GA$3))/$AI13,'[8]Технический лист'!$A:$B,2,1),(FZ13-0.05)))</f>
        <v>0.88500000000000001</v>
      </c>
      <c r="GB13" s="41">
        <f>MIN(1,MAX(VLOOKUP(($AI13-$AH13-$AG13-$AF13-$AE13-$AA13*(1+GB$3))/$AI13,'[8]Технический лист'!$A:$B,2,1),(GA13-0.05)))</f>
        <v>0.87</v>
      </c>
      <c r="GC13" s="41">
        <f>MIN(1,MAX(VLOOKUP(($AI13-$AH13-$AG13-$AF13-$AE13-$AA13*(1+GC$3))/$AI13,'[8]Технический лист'!$A:$B,2,1),(GB13-0.05)))</f>
        <v>0.87</v>
      </c>
      <c r="GD13" s="41">
        <f>MIN(1,MAX(VLOOKUP(($AI13-$AH13-$AG13-$AF13-$AE13-$AA13*(1+GD$3))/$AI13,'[8]Технический лист'!$A:$B,2,1),(GC13-0.05)))</f>
        <v>0.87</v>
      </c>
      <c r="GE13" s="41">
        <f>MIN(1,MAX(VLOOKUP(($AI13-$AH13-$AG13-$AF13-$AE13-$AA13*(1+GE$3))/$AI13,'[8]Технический лист'!$A:$B,2,1),(GD13-0.05)))</f>
        <v>0.87</v>
      </c>
      <c r="GF13" s="41">
        <f>MIN(1,MAX(VLOOKUP(($AI13-$AH13-$AG13-$AF13-$AE13-$AA13*(1+GF$3))/$AI13,'[8]Технический лист'!$A:$B,2,1),(GE13-0.05)))</f>
        <v>0.85499999999999998</v>
      </c>
      <c r="GG13" s="41">
        <f>MIN(1,MAX(VLOOKUP(($AI13-$AH13-$AG13-$AF13-$AE13-$AA13*(1+GG$3))/$AI13,'[8]Технический лист'!$A:$B,2,1),(GF13-0.05)))</f>
        <v>0.85499999999999998</v>
      </c>
      <c r="GH13" s="41">
        <f>MIN(1,MAX(VLOOKUP(($AI13-$AH13-$AG13-$AF13-$AE13-$AA13*(1+GH$3))/$AI13,'[8]Технический лист'!$A:$B,2,1),(GG13-0.05)))</f>
        <v>0.85499999999999998</v>
      </c>
      <c r="GI13" s="41">
        <f>MIN(1,MAX(VLOOKUP(($AI13-$AH13-$AG13-$AF13-$AE13-$AA13*(1+GI$3))/$AI13,'[8]Технический лист'!$A:$B,2,1),(GH13-0.05)))</f>
        <v>0.85499999999999998</v>
      </c>
      <c r="GJ13" s="41">
        <f>MIN(1,MAX(VLOOKUP(($AI13-$AH13-$AG13-$AF13-$AE13-$AA13*(1+GJ$3))/$AI13,'[8]Технический лист'!$A:$B,2,1),(GI13-0.05)))</f>
        <v>0.85499999999999998</v>
      </c>
      <c r="GK13" s="41">
        <f>MIN(1,MAX(VLOOKUP(($AI13-$AH13-$AG13-$AF13-$AE13-$AA13*(1+GK$3))/$AI13,'[8]Технический лист'!$A:$B,2,1),(GJ13-0.05)))</f>
        <v>0.84</v>
      </c>
      <c r="GL13" s="41">
        <f>MIN(1,MAX(VLOOKUP(($AI13-$AH13-$AG13-$AF13-$AE13-$AA13*(1+GL$3))/$AI13,'[8]Технический лист'!$A:$B,2,1),(GK13-0.05)))</f>
        <v>0.84</v>
      </c>
      <c r="GM13" s="41">
        <f>MIN(1,MAX(VLOOKUP(($AI13-$AH13-$AG13-$AF13-$AE13-$AA13*(1+GM$3))/$AI13,'[8]Технический лист'!$A:$B,2,1),(GL13-0.05)))</f>
        <v>0.84</v>
      </c>
      <c r="GN13" s="41">
        <f>MIN(1,MAX(VLOOKUP(($AI13-$AH13-$AG13-$AF13-$AE13-$AA13*(1+GN$3))/$AI13,'[8]Технический лист'!$A:$B,2,1),(GM13-0.05)))</f>
        <v>0.84</v>
      </c>
    </row>
    <row r="14" spans="1:196" ht="29.15">
      <c r="A14" s="3">
        <v>6</v>
      </c>
      <c r="B14" s="15" t="s">
        <v>61</v>
      </c>
      <c r="C14" s="4" t="s">
        <v>63</v>
      </c>
      <c r="D14" s="4" t="s">
        <v>64</v>
      </c>
      <c r="E14" s="4" t="s">
        <v>65</v>
      </c>
      <c r="F14" s="4" t="s">
        <v>18</v>
      </c>
      <c r="G14" s="4" t="s">
        <v>20</v>
      </c>
      <c r="H14" s="4" t="s">
        <v>66</v>
      </c>
      <c r="I14" s="4" t="s">
        <v>126</v>
      </c>
      <c r="J14" s="4" t="s">
        <v>127</v>
      </c>
      <c r="K14" s="4" t="s">
        <v>168</v>
      </c>
      <c r="L14" s="4" t="s">
        <v>17</v>
      </c>
      <c r="M14" s="4" t="s">
        <v>167</v>
      </c>
      <c r="N14" s="4" t="s">
        <v>55</v>
      </c>
      <c r="O14" s="4" t="s">
        <v>69</v>
      </c>
      <c r="P14" s="4" t="s">
        <v>70</v>
      </c>
      <c r="Q14" s="4" t="s">
        <v>71</v>
      </c>
      <c r="R14" s="16">
        <v>28936</v>
      </c>
      <c r="S14" s="17">
        <v>147104514</v>
      </c>
      <c r="T14" s="18">
        <v>607</v>
      </c>
      <c r="U14" s="18">
        <v>0</v>
      </c>
      <c r="V14" s="17">
        <v>100344551</v>
      </c>
      <c r="W14" s="26" t="s">
        <v>180</v>
      </c>
      <c r="X14" s="26">
        <v>47</v>
      </c>
      <c r="Y14" s="24">
        <v>5412.43</v>
      </c>
      <c r="Z14" s="27">
        <f>AA14-Y14</f>
        <v>3970.5699999999997</v>
      </c>
      <c r="AA14" s="20">
        <v>9383</v>
      </c>
      <c r="AB14" s="20">
        <v>16</v>
      </c>
      <c r="AC14" s="20">
        <v>16</v>
      </c>
      <c r="AD14" s="20">
        <v>4</v>
      </c>
      <c r="AE14" s="20">
        <f>'Ставки аренды'!$B$5*SUM(Лесные!AB14+Лесные!AC14+Лесные!AD14)/Лесные!X14</f>
        <v>842.55319148936167</v>
      </c>
      <c r="AF14" s="20">
        <f>'Ставки перевалки'!B5</f>
        <v>1538.4615384615383</v>
      </c>
      <c r="AG14" s="20"/>
      <c r="AH14" s="20">
        <f>0.86*AI14</f>
        <v>21301.538461538461</v>
      </c>
      <c r="AI14" s="20">
        <f>Цены!$C$3</f>
        <v>24769.23076923077</v>
      </c>
      <c r="AJ14" s="20"/>
      <c r="AK14" s="21"/>
      <c r="AL14" s="20"/>
      <c r="AM14" s="20"/>
      <c r="AN14" s="29">
        <f t="shared" si="0"/>
        <v>-0.3349446940663407</v>
      </c>
      <c r="AO14" s="20"/>
      <c r="AP14" s="20"/>
      <c r="AQ14" s="2"/>
      <c r="AR14" s="19"/>
      <c r="AS14" s="42">
        <v>0.8</v>
      </c>
      <c r="AT14" s="41">
        <f>MIN(IF($AS14=100%,1,1+VLOOKUP(($AI14-$AH14-$AG14-$AF14-$AE14-$AA14*(1+AT$3))/$AI14,'Технический лист'!$A:$B,2,1)-VLOOKUP($AN14,'Технический лист'!$A:$B,2,1)),1+(1-$AS14))</f>
        <v>1</v>
      </c>
      <c r="AU14" s="41">
        <f>MIN(IF($AS14=100%,1,1+VLOOKUP(($AI14-$AH14-$AG14-$AF14-$AE14-$AA14*(1+AU$3))/$AI14,'Технический лист'!$A:$B,2,1)-VLOOKUP($AN14,'Технический лист'!$A:$B,2,1)),1+(1-$AS14))</f>
        <v>1</v>
      </c>
      <c r="AV14" s="41">
        <f>MIN(IF($AS14=100%,1,1+VLOOKUP(($AI14-$AH14-$AG14-$AF14-$AE14-$AA14*(1+AV$3))/$AI14,'Технический лист'!$A:$B,2,1)-VLOOKUP($AN14,'Технический лист'!$A:$B,2,1)),1+(1-$AS14))</f>
        <v>1</v>
      </c>
      <c r="AW14" s="41">
        <f>MIN(IF($AS14=100%,1,1+VLOOKUP(($AI14-$AH14-$AG14-$AF14-$AE14-$AA14*(1+AW$3))/$AI14,'Технический лист'!$A:$B,2,1)-VLOOKUP($AN14,'Технический лист'!$A:$B,2,1)),1+(1-$AS14))</f>
        <v>1</v>
      </c>
      <c r="AX14" s="41">
        <f>MIN(IF($AS14=100%,1,1+VLOOKUP(($AI14-$AH14-$AG14-$AF14-$AE14-$AA14*(1+AX$3))/$AI14,'Технический лист'!$A:$B,2,1)-VLOOKUP($AN14,'Технический лист'!$A:$B,2,1)),1+(1-$AS14))</f>
        <v>1</v>
      </c>
      <c r="AY14" s="41">
        <f>MIN(IF($AS14=100%,1,1+VLOOKUP(($AI14-$AH14-$AG14-$AF14-$AE14-$AA14*(1+AY$3))/$AI14,'Технический лист'!$A:$B,2,1)-VLOOKUP($AN14,'Технический лист'!$A:$B,2,1)),1+(1-$AS14))</f>
        <v>1</v>
      </c>
      <c r="AZ14" s="41">
        <f>MIN(IF($AS14=100%,1,1+VLOOKUP(($AI14-$AH14-$AG14-$AF14-$AE14-$AA14*(1+AZ$3))/$AI14,'Технический лист'!$A:$B,2,1)-VLOOKUP($AN14,'Технический лист'!$A:$B,2,1)),1+(1-$AS14))</f>
        <v>1</v>
      </c>
      <c r="BA14" s="41">
        <f>MIN(IF($AS14=100%,1,1+VLOOKUP(($AI14-$AH14-$AG14-$AF14-$AE14-$AA14*(1+BA$3))/$AI14,'Технический лист'!$A:$B,2,1)-VLOOKUP($AN14,'Технический лист'!$A:$B,2,1)),1+(1-$AS14))</f>
        <v>1</v>
      </c>
      <c r="BB14" s="41">
        <f>MIN(IF($AS14=100%,1,1+VLOOKUP(($AI14-$AH14-$AG14-$AF14-$AE14-$AA14*(1+BB$3))/$AI14,'Технический лист'!$A:$B,2,1)-VLOOKUP($AN14,'Технический лист'!$A:$B,2,1)),1+(1-$AS14))</f>
        <v>1</v>
      </c>
      <c r="BC14" s="41">
        <f>MIN(IF($AS14=100%,1,1+VLOOKUP(($AI14-$AH14-$AG14-$AF14-$AE14-$AA14*(1+BC$3))/$AI14,'Технический лист'!$A:$B,2,1)-VLOOKUP($AN14,'Технический лист'!$A:$B,2,1)),1+(1-$AS14))</f>
        <v>1</v>
      </c>
      <c r="BD14" s="41">
        <f>MIN(IF($AS14=100%,1,1+VLOOKUP(($AI14-$AH14-$AG14-$AF14-$AE14-$AA14*(1+BD$3))/$AI14,'Технический лист'!$A:$B,2,1)-VLOOKUP($AN14,'Технический лист'!$A:$B,2,1)),1+(1-$AS14))</f>
        <v>1</v>
      </c>
      <c r="BE14" s="41">
        <f>MIN(IF($AS14=100%,1,1+VLOOKUP(($AI14-$AH14-$AG14-$AF14-$AE14-$AA14*(1+BE$3))/$AI14,'Технический лист'!$A:$B,2,1)-VLOOKUP($AN14,'Технический лист'!$A:$B,2,1)),1+(1-$AS14))</f>
        <v>1</v>
      </c>
      <c r="BF14" s="41">
        <f>MIN(IF($AS14=100%,1,1+VLOOKUP(($AI14-$AH14-$AG14-$AF14-$AE14-$AA14*(1+BF$3))/$AI14,'Технический лист'!$A:$B,2,1)-VLOOKUP($AN14,'Технический лист'!$A:$B,2,1)),1+(1-$AS14))</f>
        <v>1</v>
      </c>
      <c r="BG14" s="41">
        <f>MIN(IF($AS14=100%,1,1+VLOOKUP(($AI14-$AH14-$AG14-$AF14-$AE14-$AA14*(1+BG$3))/$AI14,'Технический лист'!$A:$B,2,1)-VLOOKUP($AN14,'Технический лист'!$A:$B,2,1)),1+(1-$AS14))</f>
        <v>1</v>
      </c>
      <c r="BH14" s="41">
        <f>MIN(IF($AS14=100%,1,1+VLOOKUP(($AI14-$AH14-$AG14-$AF14-$AE14-$AA14*(1+BH$3))/$AI14,'Технический лист'!$A:$B,2,1)-VLOOKUP($AN14,'Технический лист'!$A:$B,2,1)),1+(1-$AS14))</f>
        <v>1</v>
      </c>
      <c r="BI14" s="41">
        <f>MIN(IF($AS14=100%,1,1+VLOOKUP(($AI14-$AH14-$AG14-$AF14-$AE14-$AA14*(1+BI$3))/$AI14,'Технический лист'!$A:$B,2,1)-VLOOKUP($AN14,'Технический лист'!$A:$B,2,1)),1+(1-$AS14))</f>
        <v>1</v>
      </c>
      <c r="BJ14" s="41">
        <f>MIN(IF($AS14=100%,1,1+VLOOKUP(($AI14-$AH14-$AG14-$AF14-$AE14-$AA14*(1+BJ$3))/$AI14,'Технический лист'!$A:$B,2,1)-VLOOKUP($AN14,'Технический лист'!$A:$B,2,1)),1+(1-$AS14))</f>
        <v>1</v>
      </c>
      <c r="BK14" s="41">
        <f>MIN(IF($AS14=100%,1,1+VLOOKUP(($AI14-$AH14-$AG14-$AF14-$AE14-$AA14*(1+BK$3))/$AI14,'Технический лист'!$A:$B,2,1)-VLOOKUP($AN14,'Технический лист'!$A:$B,2,1)),1+(1-$AS14))</f>
        <v>1</v>
      </c>
      <c r="BL14" s="41">
        <f>MIN(IF($AS14=100%,1,1+VLOOKUP(($AI14-$AH14-$AG14-$AF14-$AE14-$AA14*(1+BL$3))/$AI14,'Технический лист'!$A:$B,2,1)-VLOOKUP($AN14,'Технический лист'!$A:$B,2,1)),1+(1-$AS14))</f>
        <v>1</v>
      </c>
      <c r="BM14" s="41">
        <f>MIN(IF($AS14=100%,1,1+VLOOKUP(($AI14-$AH14-$AG14-$AF14-$AE14-$AA14*(1+BM$3))/$AI14,'Технический лист'!$A:$B,2,1)-VLOOKUP($AN14,'Технический лист'!$A:$B,2,1)),1+(1-$AS14))</f>
        <v>1</v>
      </c>
      <c r="BN14" s="41">
        <f>MIN(IF($AS14=100%,1,1+VLOOKUP(($AI14-$AH14-$AG14-$AF14-$AE14-$AA14*(1+BN$3))/$AI14,'Технический лист'!$A:$B,2,1)-VLOOKUP($AN14,'Технический лист'!$A:$B,2,1)),1+(1-$AS14))</f>
        <v>1</v>
      </c>
      <c r="BO14" s="41">
        <f>MIN(IF($AS14=100%,1,1+VLOOKUP(($AI14-$AH14-$AG14-$AF14-$AE14-$AA14*(1+BO$3))/$AI14,'Технический лист'!$A:$B,2,1)-VLOOKUP($AN14,'Технический лист'!$A:$B,2,1)),1+(1-$AS14))</f>
        <v>1</v>
      </c>
      <c r="BP14" s="41">
        <f>MIN(IF($AS14=100%,1,1+VLOOKUP(($AI14-$AH14-$AG14-$AF14-$AE14-$AA14*(1+BP$3))/$AI14,'Технический лист'!$A:$B,2,1)-VLOOKUP($AN14,'Технический лист'!$A:$B,2,1)),1+(1-$AS14))</f>
        <v>1</v>
      </c>
      <c r="BQ14" s="41">
        <f>MIN(IF($AS14=100%,1,1+VLOOKUP(($AI14-$AH14-$AG14-$AF14-$AE14-$AA14*(1+BQ$3))/$AI14,'Технический лист'!$A:$B,2,1)-VLOOKUP($AN14,'Технический лист'!$A:$B,2,1)),1+(1-$AS14))</f>
        <v>1</v>
      </c>
      <c r="BR14" s="41">
        <f>MIN(IF($AS14=100%,1,1+VLOOKUP(($AI14-$AH14-$AG14-$AF14-$AE14-$AA14*(1+BR$3))/$AI14,'Технический лист'!$A:$B,2,1)-VLOOKUP($AN14,'Технический лист'!$A:$B,2,1)),1+(1-$AS14))</f>
        <v>1</v>
      </c>
      <c r="BS14" s="41">
        <f>MIN(IF($AS14=100%,1,1+VLOOKUP(($AI14-$AH14-$AG14-$AF14-$AE14-$AA14*(1+BS$3))/$AI14,'Технический лист'!$A:$B,2,1)-VLOOKUP($AN14,'Технический лист'!$A:$B,2,1)),1+(1-$AS14))</f>
        <v>1</v>
      </c>
      <c r="BT14" s="41">
        <f>MIN(IF($AS14=100%,1,1+VLOOKUP(($AI14-$AH14-$AG14-$AF14-$AE14-$AA14*(1+BT$3))/$AI14,'Технический лист'!$A:$B,2,1)-VLOOKUP($AN14,'Технический лист'!$A:$B,2,1)),1+(1-$AS14))</f>
        <v>1</v>
      </c>
      <c r="BU14" s="41">
        <f>MIN(IF($AS14=100%,1,1+VLOOKUP(($AI14-$AH14-$AG14-$AF14-$AE14-$AA14*(1+BU$3))/$AI14,'Технический лист'!$A:$B,2,1)-VLOOKUP($AN14,'Технический лист'!$A:$B,2,1)),1+(1-$AS14))</f>
        <v>1</v>
      </c>
      <c r="BV14" s="41">
        <f>MIN(IF($AS14=100%,1,1+VLOOKUP(($AI14-$AH14-$AG14-$AF14-$AE14-$AA14*(1+BV$3))/$AI14,'Технический лист'!$A:$B,2,1)-VLOOKUP($AN14,'Технический лист'!$A:$B,2,1)),1+(1-$AS14))</f>
        <v>1</v>
      </c>
      <c r="BW14" s="41">
        <f>MIN(IF($AS14=100%,1,1+VLOOKUP(($AI14-$AH14-$AG14-$AF14-$AE14-$AA14*(1+BW$3))/$AI14,'Технический лист'!$A:$B,2,1)-VLOOKUP($AN14,'Технический лист'!$A:$B,2,1)),1+(1-$AS14))</f>
        <v>1</v>
      </c>
      <c r="BX14" s="41">
        <f>MIN(IF($AS14=100%,1,1+VLOOKUP(($AI14-$AH14-$AG14-$AF14-$AE14-$AA14*(1+BX$3))/$AI14,'Технический лист'!$A:$B,2,1)-VLOOKUP($AN14,'Технический лист'!$A:$B,2,1)),1+(1-$AS14))</f>
        <v>1</v>
      </c>
      <c r="BY14" s="41">
        <f>MIN(IF($AS14=100%,1,1+VLOOKUP(($AI14-$AH14-$AG14-$AF14-$AE14-$AA14*(1+BY$3))/$AI14,'Технический лист'!$A:$B,2,1)-VLOOKUP($AN14,'Технический лист'!$A:$B,2,1)),1+(1-$AS14))</f>
        <v>1</v>
      </c>
      <c r="BZ14" s="41">
        <f>MIN(IF($AS14=100%,1,1+VLOOKUP(($AI14-$AH14-$AG14-$AF14-$AE14-$AA14*(1+BZ$3))/$AI14,'Технический лист'!$A:$B,2,1)-VLOOKUP($AN14,'Технический лист'!$A:$B,2,1)),1+(1-$AS14))</f>
        <v>1</v>
      </c>
      <c r="CA14" s="41">
        <f>MIN(IF($AS14=100%,1,1+VLOOKUP(($AI14-$AH14-$AG14-$AF14-$AE14-$AA14*(1+CA$3))/$AI14,'Технический лист'!$A:$B,2,1)-VLOOKUP($AN14,'Технический лист'!$A:$B,2,1)),1+(1-$AS14))</f>
        <v>1</v>
      </c>
      <c r="CB14" s="41">
        <f>MIN(IF($AS14=100%,1,1+VLOOKUP(($AI14-$AH14-$AG14-$AF14-$AE14-$AA14*(1+CB$3))/$AI14,'Технический лист'!$A:$B,2,1)-VLOOKUP($AN14,'Технический лист'!$A:$B,2,1)),1+(1-$AS14))</f>
        <v>1</v>
      </c>
      <c r="CC14" s="41">
        <f>MIN(IF($AS14=100%,1,1+VLOOKUP(($AI14-$AH14-$AG14-$AF14-$AE14-$AA14*(1+CC$3))/$AI14,'Технический лист'!$A:$B,2,1)-VLOOKUP($AN14,'Технический лист'!$A:$B,2,1)),1+(1-$AS14))</f>
        <v>1</v>
      </c>
      <c r="CD14" s="41">
        <f>MIN(IF($AS14=100%,1,1+VLOOKUP(($AI14-$AH14-$AG14-$AF14-$AE14-$AA14*(1+CD$3))/$AI14,'Технический лист'!$A:$B,2,1)-VLOOKUP($AN14,'Технический лист'!$A:$B,2,1)),1+(1-$AS14))</f>
        <v>1</v>
      </c>
      <c r="CE14" s="41">
        <f>MIN(IF($AS14=100%,1,1+VLOOKUP(($AI14-$AH14-$AG14-$AF14-$AE14-$AA14*(1+CE$3))/$AI14,'Технический лист'!$A:$B,2,1)-VLOOKUP($AN14,'Технический лист'!$A:$B,2,1)),1+(1-$AS14))</f>
        <v>1</v>
      </c>
      <c r="CF14" s="41">
        <f>MIN(IF($AS14=100%,1,1+VLOOKUP(($AI14-$AH14-$AG14-$AF14-$AE14-$AA14*(1+CF$3))/$AI14,'Технический лист'!$A:$B,2,1)-VLOOKUP($AN14,'Технический лист'!$A:$B,2,1)),1+(1-$AS14))</f>
        <v>1</v>
      </c>
      <c r="CG14" s="41">
        <f>MIN(IF($AS14=100%,1,1+VLOOKUP(($AI14-$AH14-$AG14-$AF14-$AE14-$AA14*(1+CG$3))/$AI14,'Технический лист'!$A:$B,2,1)-VLOOKUP($AN14,'Технический лист'!$A:$B,2,1)),1+(1-$AS14))</f>
        <v>1</v>
      </c>
      <c r="CH14" s="41">
        <f>MIN(IF($AS14=100%,1,1+VLOOKUP(($AI14-$AH14-$AG14-$AF14-$AE14-$AA14*(1+CH$3))/$AI14,'Технический лист'!$A:$B,2,1)-VLOOKUP($AN14,'Технический лист'!$A:$B,2,1)),1+(1-$AS14))</f>
        <v>1</v>
      </c>
      <c r="CI14" s="41">
        <f>MIN(IF($AS14=100%,1,1+VLOOKUP(($AI14-$AH14-$AG14-$AF14-$AE14-$AA14*(1+CI$3))/$AI14,'Технический лист'!$A:$B,2,1)-VLOOKUP($AN14,'Технический лист'!$A:$B,2,1)),1+(1-$AS14))</f>
        <v>1</v>
      </c>
      <c r="CJ14" s="41">
        <f>MIN(IF($AS14=100%,1,1+VLOOKUP(($AI14-$AH14-$AG14-$AF14-$AE14-$AA14*(1+CJ$3))/$AI14,'Технический лист'!$A:$B,2,1)-VLOOKUP($AN14,'Технический лист'!$A:$B,2,1)),1+(1-$AS14))</f>
        <v>1</v>
      </c>
      <c r="CK14" s="41">
        <f>MIN(IF($AS14=100%,1,1+VLOOKUP(($AI14-$AH14-$AG14-$AF14-$AE14-$AA14*(1+CK$3))/$AI14,'Технический лист'!$A:$B,2,1)-VLOOKUP($AN14,'Технический лист'!$A:$B,2,1)),1+(1-$AS14))</f>
        <v>1</v>
      </c>
      <c r="CL14" s="41">
        <f>MIN(IF($AS14=100%,1,1+VLOOKUP(($AI14-$AH14-$AG14-$AF14-$AE14-$AA14*(1+CL$3))/$AI14,'Технический лист'!$A:$B,2,1)-VLOOKUP($AN14,'Технический лист'!$A:$B,2,1)),1+(1-$AS14))</f>
        <v>1</v>
      </c>
      <c r="CM14" s="41">
        <f>MIN(IF($AS14=100%,1,1+VLOOKUP(($AI14-$AH14-$AG14-$AF14-$AE14-$AA14*(1+CM$3))/$AI14,'Технический лист'!$A:$B,2,1)-VLOOKUP($AN14,'Технический лист'!$A:$B,2,1)),1+(1-$AS14))</f>
        <v>1</v>
      </c>
      <c r="CN14" s="41">
        <f>MIN(IF($AS14=100%,1,1+VLOOKUP(($AI14-$AH14-$AG14-$AF14-$AE14-$AA14*(1+CN$3))/$AI14,'Технический лист'!$A:$B,2,1)-VLOOKUP($AN14,'Технический лист'!$A:$B,2,1)),1+(1-$AS14))</f>
        <v>1</v>
      </c>
      <c r="CO14" s="41">
        <f>MIN(IF($AS14=100%,1,1+VLOOKUP(($AI14-$AH14-$AG14-$AF14-$AE14-$AA14*(1+CO$3))/$AI14,'Технический лист'!$A:$B,2,1)-VLOOKUP($AN14,'Технический лист'!$A:$B,2,1)),1+(1-$AS14))</f>
        <v>1</v>
      </c>
      <c r="CP14" s="41">
        <f>MIN(IF($AS14=100%,1,1+VLOOKUP(($AI14-$AH14-$AG14-$AF14-$AE14-$AA14*(1+CP$3))/$AI14,'Технический лист'!$A:$B,2,1)-VLOOKUP($AN14,'Технический лист'!$A:$B,2,1)),1+(1-$AS14))</f>
        <v>1</v>
      </c>
      <c r="CQ14" s="41">
        <f>MIN(IF($AS14=100%,1,1+VLOOKUP(($AI14-$AH14-$AG14-$AF14-$AE14-$AA14*(1+CQ$3))/$AI14,'Технический лист'!$A:$B,2,1)-VLOOKUP($AN14,'Технический лист'!$A:$B,2,1)),1+(1-$AS14))</f>
        <v>1</v>
      </c>
      <c r="CR14">
        <v>1</v>
      </c>
      <c r="CS14" s="41">
        <f>MIN(1,MAX(VLOOKUP(($AI14-$AH14-$AG14-$AF14-$AE14-$AA14*(1+CS$3))/$AI14,'[8]Технический лист'!$A:$B,2,1),(CR14-0.05)))</f>
        <v>0.95</v>
      </c>
      <c r="CT14" s="41">
        <f>MIN(1,MAX(VLOOKUP(($AI14-$AH14-$AG14-$AF14-$AE14-$AA14*(1+CT$3))/$AI14,'[8]Технический лист'!$A:$B,2,1),(CS14-0.05)))</f>
        <v>0.89999999999999991</v>
      </c>
      <c r="CU14" s="41">
        <f>MIN(1,MAX(VLOOKUP(($AI14-$AH14-$AG14-$AF14-$AE14-$AA14*(1+CU$3))/$AI14,'[8]Технический лист'!$A:$B,2,1),(CT14-0.05)))</f>
        <v>0.84999999999999987</v>
      </c>
      <c r="CV14" s="41">
        <f>MIN(1,MAX(VLOOKUP(($AI14-$AH14-$AG14-$AF14-$AE14-$AA14*(1+CV$3))/$AI14,'[8]Технический лист'!$A:$B,2,1),(CU14-0.05)))</f>
        <v>0.79999999999999982</v>
      </c>
      <c r="CW14" s="41">
        <f>MIN(1,MAX(VLOOKUP(($AI14-$AH14-$AG14-$AF14-$AE14-$AA14*(1+CW$3))/$AI14,'[8]Технический лист'!$A:$B,2,1),(CV14-0.05)))</f>
        <v>0.74999999999999978</v>
      </c>
      <c r="CX14" s="41">
        <f>MIN(1,MAX(VLOOKUP(($AI14-$AH14-$AG14-$AF14-$AE14-$AA14*(1+CX$3))/$AI14,'[8]Технический лист'!$A:$B,2,1),(CW14-0.05)))</f>
        <v>0.69999999999999973</v>
      </c>
      <c r="CY14" s="41">
        <f>MIN(1,MAX(VLOOKUP(($AI14-$AH14-$AG14-$AF14-$AE14-$AA14*(1+CY$3))/$AI14,'[8]Технический лист'!$A:$B,2,1),(CX14-0.05)))</f>
        <v>0.64999999999999969</v>
      </c>
      <c r="CZ14" s="41">
        <f>MIN(1,MAX(VLOOKUP(($AI14-$AH14-$AG14-$AF14-$AE14-$AA14*(1+CZ$3))/$AI14,'[8]Технический лист'!$A:$B,2,1),(CY14-0.05)))</f>
        <v>0.59999999999999964</v>
      </c>
      <c r="DA14" s="41">
        <f>MIN(1,MAX(VLOOKUP(($AI14-$AH14-$AG14-$AF14-$AE14-$AA14*(1+DA$3))/$AI14,'[8]Технический лист'!$A:$B,2,1),(CZ14-0.05)))</f>
        <v>0.5499999999999996</v>
      </c>
      <c r="DB14" s="41">
        <f>MIN(1,MAX(VLOOKUP(($AI14-$AH14-$AG14-$AF14-$AE14-$AA14*(1+DB$3))/$AI14,'[8]Технический лист'!$A:$B,2,1),(DA14-0.05)))</f>
        <v>0.49999999999999961</v>
      </c>
      <c r="DC14" s="41">
        <f>MIN(1,MAX(VLOOKUP(($AI14-$AH14-$AG14-$AF14-$AE14-$AA14*(1+DC$3))/$AI14,'[8]Технический лист'!$A:$B,2,1),(DB14-0.05)))</f>
        <v>0.44999999999999962</v>
      </c>
      <c r="DD14" s="41">
        <f>MIN(1,MAX(VLOOKUP(($AI14-$AH14-$AG14-$AF14-$AE14-$AA14*(1+DD$3))/$AI14,'[8]Технический лист'!$A:$B,2,1),(DC14-0.05)))</f>
        <v>0.39999999999999963</v>
      </c>
      <c r="DE14" s="41">
        <f>MIN(1,MAX(VLOOKUP(($AI14-$AH14-$AG14-$AF14-$AE14-$AA14*(1+DE$3))/$AI14,'[8]Технический лист'!$A:$B,2,1),(DD14-0.05)))</f>
        <v>0.34999999999999964</v>
      </c>
      <c r="DF14" s="41">
        <f>MIN(1,MAX(VLOOKUP(($AI14-$AH14-$AG14-$AF14-$AE14-$AA14*(1+DF$3))/$AI14,'[8]Технический лист'!$A:$B,2,1),(DE14-0.05)))</f>
        <v>0.29999999999999966</v>
      </c>
      <c r="DG14" s="41">
        <f>MIN(1,MAX(VLOOKUP(($AI14-$AH14-$AG14-$AF14-$AE14-$AA14*(1+DG$3))/$AI14,'[8]Технический лист'!$A:$B,2,1),(DF14-0.05)))</f>
        <v>0.24999999999999967</v>
      </c>
      <c r="DH14" s="41">
        <f>MIN(1,MAX(VLOOKUP(($AI14-$AH14-$AG14-$AF14-$AE14-$AA14*(1+DH$3))/$AI14,'[8]Технический лист'!$A:$B,2,1),(DG14-0.05)))</f>
        <v>0.19999999999999968</v>
      </c>
      <c r="DI14" s="41">
        <f>MIN(1,MAX(VLOOKUP(($AI14-$AH14-$AG14-$AF14-$AE14-$AA14*(1+DI$3))/$AI14,'[8]Технический лист'!$A:$B,2,1),(DH14-0.05)))</f>
        <v>0.14999999999999969</v>
      </c>
      <c r="DJ14" s="41">
        <f>MIN(1,MAX(VLOOKUP(($AI14-$AH14-$AG14-$AF14-$AE14-$AA14*(1+DJ$3))/$AI14,'[8]Технический лист'!$A:$B,2,1),(DI14-0.05)))</f>
        <v>9.9999999999999686E-2</v>
      </c>
      <c r="DK14" s="41">
        <f>MIN(1,MAX(VLOOKUP(($AI14-$AH14-$AG14-$AF14-$AE14-$AA14*(1+DK$3))/$AI14,'[8]Технический лист'!$A:$B,2,1),(DJ14-0.05)))</f>
        <v>4.9999999999999684E-2</v>
      </c>
      <c r="DL14" s="41">
        <f>MIN(1,MAX(VLOOKUP(($AI14-$AH14-$AG14-$AF14-$AE14-$AA14*(1+DL$3))/$AI14,'[8]Технический лист'!$A:$B,2,1),(DK14-0.05)))</f>
        <v>0</v>
      </c>
      <c r="DM14" s="41">
        <f>MIN(1,MAX(VLOOKUP(($AI14-$AH14-$AG14-$AF14-$AE14-$AA14*(1+DM$3))/$AI14,'[8]Технический лист'!$A:$B,2,1),(DL14-0.05)))</f>
        <v>0</v>
      </c>
      <c r="DN14" s="41">
        <f>MIN(1,MAX(VLOOKUP(($AI14-$AH14-$AG14-$AF14-$AE14-$AA14*(1+DN$3))/$AI14,'[8]Технический лист'!$A:$B,2,1),(DM14-0.05)))</f>
        <v>0</v>
      </c>
      <c r="DO14" s="41">
        <f>MIN(1,MAX(VLOOKUP(($AI14-$AH14-$AG14-$AF14-$AE14-$AA14*(1+DO$3))/$AI14,'[8]Технический лист'!$A:$B,2,1),(DN14-0.05)))</f>
        <v>0</v>
      </c>
      <c r="DP14" s="41">
        <f>MIN(1,MAX(VLOOKUP(($AI14-$AH14-$AG14-$AF14-$AE14-$AA14*(1+DP$3))/$AI14,'[8]Технический лист'!$A:$B,2,1),(DO14-0.05)))</f>
        <v>0</v>
      </c>
      <c r="DQ14" s="41">
        <f>MIN(1,MAX(VLOOKUP(($AI14-$AH14-$AG14-$AF14-$AE14-$AA14*(1+DQ$3))/$AI14,'[8]Технический лист'!$A:$B,2,1),(DP14-0.05)))</f>
        <v>0</v>
      </c>
      <c r="DR14" s="41">
        <f>MIN(1,MAX(VLOOKUP(($AI14-$AH14-$AG14-$AF14-$AE14-$AA14*(1+DR$3))/$AI14,'[8]Технический лист'!$A:$B,2,1),(DQ14-0.05)))</f>
        <v>0</v>
      </c>
      <c r="DS14" s="41">
        <f>MIN(1,MAX(VLOOKUP(($AI14-$AH14-$AG14-$AF14-$AE14-$AA14*(1+DS$3))/$AI14,'[8]Технический лист'!$A:$B,2,1),(DR14-0.05)))</f>
        <v>0</v>
      </c>
      <c r="DT14" s="41">
        <f>MIN(1,MAX(VLOOKUP(($AI14-$AH14-$AG14-$AF14-$AE14-$AA14*(1+DT$3))/$AI14,'[8]Технический лист'!$A:$B,2,1),(DS14-0.05)))</f>
        <v>0</v>
      </c>
      <c r="DU14" s="41">
        <f>MIN(1,MAX(VLOOKUP(($AI14-$AH14-$AG14-$AF14-$AE14-$AA14*(1+DU$3))/$AI14,'[8]Технический лист'!$A:$B,2,1),(DT14-0.05)))</f>
        <v>0</v>
      </c>
      <c r="DV14" s="41">
        <f>MIN(1,MAX(VLOOKUP(($AI14-$AH14-$AG14-$AF14-$AE14-$AA14*(1+DV$3))/$AI14,'[8]Технический лист'!$A:$B,2,1),(DU14-0.05)))</f>
        <v>0</v>
      </c>
      <c r="DW14" s="41">
        <f>MIN(1,MAX(VLOOKUP(($AI14-$AH14-$AG14-$AF14-$AE14-$AA14*(1+DW$3))/$AI14,'[8]Технический лист'!$A:$B,2,1),(DV14-0.05)))</f>
        <v>0</v>
      </c>
      <c r="DX14" s="41">
        <f>MIN(1,MAX(VLOOKUP(($AI14-$AH14-$AG14-$AF14-$AE14-$AA14*(1+DX$3))/$AI14,'[8]Технический лист'!$A:$B,2,1),(DW14-0.05)))</f>
        <v>0</v>
      </c>
      <c r="DY14" s="41">
        <f>MIN(1,MAX(VLOOKUP(($AI14-$AH14-$AG14-$AF14-$AE14-$AA14*(1+DY$3))/$AI14,'[8]Технический лист'!$A:$B,2,1),(DX14-0.05)))</f>
        <v>0</v>
      </c>
      <c r="DZ14" s="41">
        <f>MIN(1,MAX(VLOOKUP(($AI14-$AH14-$AG14-$AF14-$AE14-$AA14*(1+DZ$3))/$AI14,'[8]Технический лист'!$A:$B,2,1),(DY14-0.05)))</f>
        <v>0</v>
      </c>
      <c r="EA14" s="41">
        <f>MIN(1,MAX(VLOOKUP(($AI14-$AH14-$AG14-$AF14-$AE14-$AA14*(1+EA$3))/$AI14,'[8]Технический лист'!$A:$B,2,1),(DZ14-0.05)))</f>
        <v>0</v>
      </c>
      <c r="EB14" s="41">
        <f>MIN(1,MAX(VLOOKUP(($AI14-$AH14-$AG14-$AF14-$AE14-$AA14*(1+EB$3))/$AI14,'[8]Технический лист'!$A:$B,2,1),(EA14-0.05)))</f>
        <v>0</v>
      </c>
      <c r="EC14" s="41">
        <f>MIN(1,MAX(VLOOKUP(($AI14-$AH14-$AG14-$AF14-$AE14-$AA14*(1+EC$3))/$AI14,'[8]Технический лист'!$A:$B,2,1),(EB14-0.05)))</f>
        <v>0</v>
      </c>
      <c r="ED14" s="41">
        <f>MIN(1,MAX(VLOOKUP(($AI14-$AH14-$AG14-$AF14-$AE14-$AA14*(1+ED$3))/$AI14,'[8]Технический лист'!$A:$B,2,1),(EC14-0.05)))</f>
        <v>0</v>
      </c>
      <c r="EE14" s="41">
        <f>MIN(1,MAX(VLOOKUP(($AI14-$AH14-$AG14-$AF14-$AE14-$AA14*(1+EE$3))/$AI14,'[8]Технический лист'!$A:$B,2,1),(ED14-0.05)))</f>
        <v>0</v>
      </c>
      <c r="EF14" s="41">
        <f>MIN(1,MAX(VLOOKUP(($AI14-$AH14-$AG14-$AF14-$AE14-$AA14*(1+EF$3))/$AI14,'[8]Технический лист'!$A:$B,2,1),(EE14-0.05)))</f>
        <v>0</v>
      </c>
      <c r="EG14" s="41">
        <f>MIN(1,MAX(VLOOKUP(($AI14-$AH14-$AG14-$AF14-$AE14-$AA14*(1+EG$3))/$AI14,'[8]Технический лист'!$A:$B,2,1),(EF14-0.05)))</f>
        <v>0</v>
      </c>
      <c r="EH14" s="41">
        <f>MIN(1,MAX(VLOOKUP(($AI14-$AH14-$AG14-$AF14-$AE14-$AA14*(1+EH$3))/$AI14,'[8]Технический лист'!$A:$B,2,1),(EG14-0.05)))</f>
        <v>0</v>
      </c>
      <c r="EI14" s="41">
        <f>MIN(1,MAX(VLOOKUP(($AI14-$AH14-$AG14-$AF14-$AE14-$AA14*(1+EI$3))/$AI14,'[8]Технический лист'!$A:$B,2,1),(EH14-0.05)))</f>
        <v>0</v>
      </c>
      <c r="EJ14" s="41">
        <f>MIN(1,MAX(VLOOKUP(($AI14-$AH14-$AG14-$AF14-$AE14-$AA14*(1+EJ$3))/$AI14,'[8]Технический лист'!$A:$B,2,1),(EI14-0.05)))</f>
        <v>0</v>
      </c>
      <c r="EK14" s="41">
        <f>MIN(1,MAX(VLOOKUP(($AI14-$AH14-$AG14-$AF14-$AE14-$AA14*(1+EK$3))/$AI14,'[8]Технический лист'!$A:$B,2,1),(EJ14-0.05)))</f>
        <v>0</v>
      </c>
      <c r="EL14" s="41">
        <f>MIN(1,MAX(VLOOKUP(($AI14-$AH14-$AG14-$AF14-$AE14-$AA14*(1+EL$3))/$AI14,'[8]Технический лист'!$A:$B,2,1),(EK14-0.05)))</f>
        <v>0</v>
      </c>
      <c r="EM14" s="41">
        <f>MIN(1,MAX(VLOOKUP(($AI14-$AH14-$AG14-$AF14-$AE14-$AA14*(1+EM$3))/$AI14,'[8]Технический лист'!$A:$B,2,1),(EL14-0.05)))</f>
        <v>0</v>
      </c>
      <c r="EN14" s="41">
        <f>MIN(1,MAX(VLOOKUP(($AI14-$AH14-$AG14-$AF14-$AE14-$AA14*(1+EN$3))/$AI14,'[8]Технический лист'!$A:$B,2,1),(EM14-0.05)))</f>
        <v>0</v>
      </c>
      <c r="EO14" s="41">
        <f>MIN(1,MAX(VLOOKUP(($AI14-$AH14-$AG14-$AF14-$AE14-$AA14*(1+EO$3))/$AI14,'[8]Технический лист'!$A:$B,2,1),(EN14-0.05)))</f>
        <v>0</v>
      </c>
      <c r="EP14" s="41">
        <f>MIN(1,MAX(VLOOKUP(($AI14-$AH14-$AG14-$AF14-$AE14-$AA14*(1+EP$3))/$AI14,'[8]Технический лист'!$A:$B,2,1),(EO14-0.05)))</f>
        <v>0</v>
      </c>
      <c r="EQ14" s="41">
        <f>MIN(1,MAX(VLOOKUP(($AI14-$AH14-$AG14-$AF14-$AE14-$AA14*(1+EQ$3))/$AI14,'[8]Технический лист'!$A:$B,2,1),(EP14-0.05)))</f>
        <v>0</v>
      </c>
      <c r="ER14" s="41">
        <f>MIN(1,MAX(VLOOKUP(($AI14-$AH14-$AG14-$AF14-$AE14-$AA14*(1+ER$3))/$AI14,'[8]Технический лист'!$A:$B,2,1),(EQ14-0.05)))</f>
        <v>0</v>
      </c>
      <c r="ES14" s="41">
        <f>MIN(1,MAX(VLOOKUP(($AI14-$AH14-$AG14-$AF14-$AE14-$AA14*(1+ES$3))/$AI14,'[8]Технический лист'!$A:$B,2,1),(ER14-0.05)))</f>
        <v>0</v>
      </c>
      <c r="ET14" s="41">
        <f>MIN(1,MAX(VLOOKUP(($AI14-$AH14-$AG14-$AF14-$AE14-$AA14*(1+ET$3))/$AI14,'[8]Технический лист'!$A:$B,2,1),(ES14-0.05)))</f>
        <v>0</v>
      </c>
      <c r="EU14" s="41">
        <f>MIN(1,MAX(VLOOKUP(($AI14-$AH14-$AG14-$AF14-$AE14-$AA14*(1+EU$3))/$AI14,'[8]Технический лист'!$A:$B,2,1),(ET14-0.05)))</f>
        <v>0</v>
      </c>
      <c r="EV14" s="41">
        <f>MIN(1,MAX(VLOOKUP(($AI14-$AH14-$AG14-$AF14-$AE14-$AA14*(1+EV$3))/$AI14,'[8]Технический лист'!$A:$B,2,1),(EU14-0.05)))</f>
        <v>0</v>
      </c>
      <c r="EW14" s="41">
        <f>MIN(1,MAX(VLOOKUP(($AI14-$AH14-$AG14-$AF14-$AE14-$AA14*(1+EW$3))/$AI14,'[8]Технический лист'!$A:$B,2,1),(EV14-0.05)))</f>
        <v>0</v>
      </c>
      <c r="EX14" s="41">
        <f>MIN(1,MAX(VLOOKUP(($AI14-$AH14-$AG14-$AF14-$AE14-$AA14*(1+EX$3))/$AI14,'[8]Технический лист'!$A:$B,2,1),(EW14-0.05)))</f>
        <v>0</v>
      </c>
      <c r="EY14" s="41">
        <f>MIN(1,MAX(VLOOKUP(($AI14-$AH14-$AG14-$AF14-$AE14-$AA14*(1+EY$3))/$AI14,'[8]Технический лист'!$A:$B,2,1),(EX14-0.05)))</f>
        <v>0</v>
      </c>
      <c r="EZ14" s="41">
        <f>MIN(1,MAX(VLOOKUP(($AI14-$AH14-$AG14-$AF14-$AE14-$AA14*(1+EZ$3))/$AI14,'[8]Технический лист'!$A:$B,2,1),(EY14-0.05)))</f>
        <v>0</v>
      </c>
      <c r="FA14" s="41">
        <f>MIN(1,MAX(VLOOKUP(($AI14-$AH14-$AG14-$AF14-$AE14-$AA14*(1+FA$3))/$AI14,'[8]Технический лист'!$A:$B,2,1),(EZ14-0.05)))</f>
        <v>0</v>
      </c>
      <c r="FB14" s="41">
        <f>MIN(1,MAX(VLOOKUP(($AI14-$AH14-$AG14-$AF14-$AE14-$AA14*(1+FB$3))/$AI14,'[8]Технический лист'!$A:$B,2,1),(FA14-0.05)))</f>
        <v>0</v>
      </c>
      <c r="FC14" s="41">
        <f>MIN(1,MAX(VLOOKUP(($AI14-$AH14-$AG14-$AF14-$AE14-$AA14*(1+FC$3))/$AI14,'[8]Технический лист'!$A:$B,2,1),(FB14-0.05)))</f>
        <v>0</v>
      </c>
      <c r="FD14" s="41">
        <f>MIN(1,MAX(VLOOKUP(($AI14-$AH14-$AG14-$AF14-$AE14-$AA14*(1+FD$3))/$AI14,'[8]Технический лист'!$A:$B,2,1),(FC14-0.05)))</f>
        <v>0</v>
      </c>
      <c r="FE14" s="41">
        <f>MIN(1,MAX(VLOOKUP(($AI14-$AH14-$AG14-$AF14-$AE14-$AA14*(1+FE$3))/$AI14,'[8]Технический лист'!$A:$B,2,1),(FD14-0.05)))</f>
        <v>0</v>
      </c>
      <c r="FF14" s="41">
        <f>MIN(1,MAX(VLOOKUP(($AI14-$AH14-$AG14-$AF14-$AE14-$AA14*(1+FF$3))/$AI14,'[8]Технический лист'!$A:$B,2,1),(FE14-0.05)))</f>
        <v>0</v>
      </c>
      <c r="FG14" s="41">
        <f>MIN(1,MAX(VLOOKUP(($AI14-$AH14-$AG14-$AF14-$AE14-$AA14*(1+FG$3))/$AI14,'[8]Технический лист'!$A:$B,2,1),(FF14-0.05)))</f>
        <v>0</v>
      </c>
      <c r="FH14" s="41">
        <f>MIN(1,MAX(VLOOKUP(($AI14-$AH14-$AG14-$AF14-$AE14-$AA14*(1+FH$3))/$AI14,'[8]Технический лист'!$A:$B,2,1),(FG14-0.05)))</f>
        <v>0</v>
      </c>
      <c r="FI14" s="41">
        <f>MIN(1,MAX(VLOOKUP(($AI14-$AH14-$AG14-$AF14-$AE14-$AA14*(1+FI$3))/$AI14,'[8]Технический лист'!$A:$B,2,1),(FH14-0.05)))</f>
        <v>0</v>
      </c>
      <c r="FJ14" s="41">
        <f>MIN(1,MAX(VLOOKUP(($AI14-$AH14-$AG14-$AF14-$AE14-$AA14*(1+FJ$3))/$AI14,'[8]Технический лист'!$A:$B,2,1),(FI14-0.05)))</f>
        <v>0</v>
      </c>
      <c r="FK14" s="41">
        <f>MIN(1,MAX(VLOOKUP(($AI14-$AH14-$AG14-$AF14-$AE14-$AA14*(1+FK$3))/$AI14,'[8]Технический лист'!$A:$B,2,1),(FJ14-0.05)))</f>
        <v>0</v>
      </c>
      <c r="FL14" s="41">
        <f>MIN(1,MAX(VLOOKUP(($AI14-$AH14-$AG14-$AF14-$AE14-$AA14*(1+FL$3))/$AI14,'[8]Технический лист'!$A:$B,2,1),(FK14-0.05)))</f>
        <v>0</v>
      </c>
      <c r="FM14" s="41">
        <f>MIN(1,MAX(VLOOKUP(($AI14-$AH14-$AG14-$AF14-$AE14-$AA14*(1+FM$3))/$AI14,'[8]Технический лист'!$A:$B,2,1),(FL14-0.05)))</f>
        <v>0</v>
      </c>
      <c r="FN14" s="41">
        <f>MIN(1,MAX(VLOOKUP(($AI14-$AH14-$AG14-$AF14-$AE14-$AA14*(1+FN$3))/$AI14,'[8]Технический лист'!$A:$B,2,1),(FM14-0.05)))</f>
        <v>0</v>
      </c>
      <c r="FO14" s="41">
        <f>MIN(1,MAX(VLOOKUP(($AI14-$AH14-$AG14-$AF14-$AE14-$AA14*(1+FO$3))/$AI14,'[8]Технический лист'!$A:$B,2,1),(FN14-0.05)))</f>
        <v>0</v>
      </c>
      <c r="FP14" s="41">
        <f>MIN(1,MAX(VLOOKUP(($AI14-$AH14-$AG14-$AF14-$AE14-$AA14*(1+FP$3))/$AI14,'[8]Технический лист'!$A:$B,2,1),(FO14-0.05)))</f>
        <v>0</v>
      </c>
      <c r="FQ14" s="41">
        <f>MIN(1,MAX(VLOOKUP(($AI14-$AH14-$AG14-$AF14-$AE14-$AA14*(1+FQ$3))/$AI14,'[8]Технический лист'!$A:$B,2,1),(FP14-0.05)))</f>
        <v>0</v>
      </c>
      <c r="FR14" s="41">
        <f>MIN(1,MAX(VLOOKUP(($AI14-$AH14-$AG14-$AF14-$AE14-$AA14*(1+FR$3))/$AI14,'[8]Технический лист'!$A:$B,2,1),(FQ14-0.05)))</f>
        <v>0</v>
      </c>
      <c r="FS14" s="41">
        <f>MIN(1,MAX(VLOOKUP(($AI14-$AH14-$AG14-$AF14-$AE14-$AA14*(1+FS$3))/$AI14,'[8]Технический лист'!$A:$B,2,1),(FR14-0.05)))</f>
        <v>0</v>
      </c>
      <c r="FT14" s="41">
        <f>MIN(1,MAX(VLOOKUP(($AI14-$AH14-$AG14-$AF14-$AE14-$AA14*(1+FT$3))/$AI14,'[8]Технический лист'!$A:$B,2,1),(FS14-0.05)))</f>
        <v>0</v>
      </c>
      <c r="FU14" s="41">
        <f>MIN(1,MAX(VLOOKUP(($AI14-$AH14-$AG14-$AF14-$AE14-$AA14*(1+FU$3))/$AI14,'[8]Технический лист'!$A:$B,2,1),(FT14-0.05)))</f>
        <v>0</v>
      </c>
      <c r="FV14" s="41">
        <f>MIN(1,MAX(VLOOKUP(($AI14-$AH14-$AG14-$AF14-$AE14-$AA14*(1+FV$3))/$AI14,'[8]Технический лист'!$A:$B,2,1),(FU14-0.05)))</f>
        <v>0</v>
      </c>
      <c r="FW14" s="41">
        <f>MIN(1,MAX(VLOOKUP(($AI14-$AH14-$AG14-$AF14-$AE14-$AA14*(1+FW$3))/$AI14,'[8]Технический лист'!$A:$B,2,1),(FV14-0.05)))</f>
        <v>0</v>
      </c>
      <c r="FX14" s="41">
        <f>MIN(1,MAX(VLOOKUP(($AI14-$AH14-$AG14-$AF14-$AE14-$AA14*(1+FX$3))/$AI14,'[8]Технический лист'!$A:$B,2,1),(FW14-0.05)))</f>
        <v>0</v>
      </c>
      <c r="FY14" s="41">
        <f>MIN(1,MAX(VLOOKUP(($AI14-$AH14-$AG14-$AF14-$AE14-$AA14*(1+FY$3))/$AI14,'[8]Технический лист'!$A:$B,2,1),(FX14-0.05)))</f>
        <v>0</v>
      </c>
      <c r="FZ14" s="41">
        <f>MIN(1,MAX(VLOOKUP(($AI14-$AH14-$AG14-$AF14-$AE14-$AA14*(1+FZ$3))/$AI14,'[8]Технический лист'!$A:$B,2,1),(FY14-0.05)))</f>
        <v>0</v>
      </c>
      <c r="GA14" s="41">
        <f>MIN(1,MAX(VLOOKUP(($AI14-$AH14-$AG14-$AF14-$AE14-$AA14*(1+GA$3))/$AI14,'[8]Технический лист'!$A:$B,2,1),(FZ14-0.05)))</f>
        <v>0</v>
      </c>
      <c r="GB14" s="41">
        <f>MIN(1,MAX(VLOOKUP(($AI14-$AH14-$AG14-$AF14-$AE14-$AA14*(1+GB$3))/$AI14,'[8]Технический лист'!$A:$B,2,1),(GA14-0.05)))</f>
        <v>0</v>
      </c>
      <c r="GC14" s="41">
        <f>MIN(1,MAX(VLOOKUP(($AI14-$AH14-$AG14-$AF14-$AE14-$AA14*(1+GC$3))/$AI14,'[8]Технический лист'!$A:$B,2,1),(GB14-0.05)))</f>
        <v>0</v>
      </c>
      <c r="GD14" s="41">
        <f>MIN(1,MAX(VLOOKUP(($AI14-$AH14-$AG14-$AF14-$AE14-$AA14*(1+GD$3))/$AI14,'[8]Технический лист'!$A:$B,2,1),(GC14-0.05)))</f>
        <v>0</v>
      </c>
      <c r="GE14" s="41">
        <f>MIN(1,MAX(VLOOKUP(($AI14-$AH14-$AG14-$AF14-$AE14-$AA14*(1+GE$3))/$AI14,'[8]Технический лист'!$A:$B,2,1),(GD14-0.05)))</f>
        <v>0</v>
      </c>
      <c r="GF14" s="41">
        <f>MIN(1,MAX(VLOOKUP(($AI14-$AH14-$AG14-$AF14-$AE14-$AA14*(1+GF$3))/$AI14,'[8]Технический лист'!$A:$B,2,1),(GE14-0.05)))</f>
        <v>0</v>
      </c>
      <c r="GG14" s="41">
        <f>MIN(1,MAX(VLOOKUP(($AI14-$AH14-$AG14-$AF14-$AE14-$AA14*(1+GG$3))/$AI14,'[8]Технический лист'!$A:$B,2,1),(GF14-0.05)))</f>
        <v>0</v>
      </c>
      <c r="GH14" s="41">
        <f>MIN(1,MAX(VLOOKUP(($AI14-$AH14-$AG14-$AF14-$AE14-$AA14*(1+GH$3))/$AI14,'[8]Технический лист'!$A:$B,2,1),(GG14-0.05)))</f>
        <v>0</v>
      </c>
      <c r="GI14" s="41">
        <f>MIN(1,MAX(VLOOKUP(($AI14-$AH14-$AG14-$AF14-$AE14-$AA14*(1+GI$3))/$AI14,'[8]Технический лист'!$A:$B,2,1),(GH14-0.05)))</f>
        <v>0</v>
      </c>
      <c r="GJ14" s="41">
        <f>MIN(1,MAX(VLOOKUP(($AI14-$AH14-$AG14-$AF14-$AE14-$AA14*(1+GJ$3))/$AI14,'[8]Технический лист'!$A:$B,2,1),(GI14-0.05)))</f>
        <v>0</v>
      </c>
      <c r="GK14" s="41">
        <f>MIN(1,MAX(VLOOKUP(($AI14-$AH14-$AG14-$AF14-$AE14-$AA14*(1+GK$3))/$AI14,'[8]Технический лист'!$A:$B,2,1),(GJ14-0.05)))</f>
        <v>0</v>
      </c>
      <c r="GL14" s="41">
        <f>MIN(1,MAX(VLOOKUP(($AI14-$AH14-$AG14-$AF14-$AE14-$AA14*(1+GL$3))/$AI14,'[8]Технический лист'!$A:$B,2,1),(GK14-0.05)))</f>
        <v>0</v>
      </c>
      <c r="GM14" s="41">
        <f>MIN(1,MAX(VLOOKUP(($AI14-$AH14-$AG14-$AF14-$AE14-$AA14*(1+GM$3))/$AI14,'[8]Технический лист'!$A:$B,2,1),(GL14-0.05)))</f>
        <v>0</v>
      </c>
      <c r="GN14" s="41">
        <f>MIN(1,MAX(VLOOKUP(($AI14-$AH14-$AG14-$AF14-$AE14-$AA14*(1+GN$3))/$AI14,'[8]Технический лист'!$A:$B,2,1),(GM14-0.05)))</f>
        <v>0</v>
      </c>
    </row>
    <row r="15" spans="1:196">
      <c r="A15" s="3">
        <v>6</v>
      </c>
      <c r="B15" s="15" t="s">
        <v>61</v>
      </c>
      <c r="C15" s="4" t="s">
        <v>63</v>
      </c>
      <c r="D15" s="4" t="s">
        <v>64</v>
      </c>
      <c r="E15" s="4" t="s">
        <v>65</v>
      </c>
      <c r="F15" s="4" t="s">
        <v>22</v>
      </c>
      <c r="G15" s="4" t="s">
        <v>60</v>
      </c>
      <c r="H15" s="4" t="s">
        <v>128</v>
      </c>
      <c r="I15" s="4" t="s">
        <v>129</v>
      </c>
      <c r="J15" s="4" t="s">
        <v>130</v>
      </c>
      <c r="K15" s="4" t="s">
        <v>147</v>
      </c>
      <c r="L15" s="4" t="s">
        <v>17</v>
      </c>
      <c r="M15" s="4" t="s">
        <v>166</v>
      </c>
      <c r="N15" s="4" t="s">
        <v>55</v>
      </c>
      <c r="O15" s="4" t="s">
        <v>131</v>
      </c>
      <c r="P15" s="4" t="s">
        <v>132</v>
      </c>
      <c r="Q15" s="4" t="s">
        <v>133</v>
      </c>
      <c r="R15" s="16">
        <v>52880</v>
      </c>
      <c r="S15" s="17">
        <v>113514793</v>
      </c>
      <c r="T15" s="18">
        <v>0</v>
      </c>
      <c r="U15" s="18">
        <v>1798</v>
      </c>
      <c r="V15" s="17">
        <v>95157290</v>
      </c>
      <c r="W15" s="26" t="s">
        <v>166</v>
      </c>
      <c r="X15" s="26">
        <v>68</v>
      </c>
      <c r="Y15" s="24">
        <f>168628/X15</f>
        <v>2479.8235294117649</v>
      </c>
      <c r="Z15" s="20">
        <v>0</v>
      </c>
      <c r="AA15" s="27">
        <f>Y15</f>
        <v>2479.8235294117649</v>
      </c>
      <c r="AB15" s="20">
        <v>9</v>
      </c>
      <c r="AC15" s="20">
        <v>0</v>
      </c>
      <c r="AD15" s="20">
        <v>4</v>
      </c>
      <c r="AE15" s="20">
        <f>'Ставки аренды'!$B$4*SUM(Лесные!AB15+Лесные!AC15+Лесные!AD15)/Лесные!X15</f>
        <v>305.88235294117646</v>
      </c>
      <c r="AF15" s="20">
        <v>0</v>
      </c>
      <c r="AG15" s="20"/>
      <c r="AH15" s="20">
        <f>1.18*AI15</f>
        <v>29227.692307692305</v>
      </c>
      <c r="AI15" s="20">
        <f>Цены!$C$3</f>
        <v>24769.23076923077</v>
      </c>
      <c r="AJ15" s="20"/>
      <c r="AK15" s="21"/>
      <c r="AL15" s="20"/>
      <c r="AM15" s="20"/>
      <c r="AN15" s="29">
        <f t="shared" si="0"/>
        <v>-0.2924663865546217</v>
      </c>
      <c r="AO15" s="20"/>
      <c r="AP15" s="20"/>
      <c r="AQ15" s="2"/>
      <c r="AR15" s="19"/>
      <c r="AS15" s="42">
        <v>0.8</v>
      </c>
      <c r="AT15" s="41">
        <f>MIN(IF($AS15=100%,1,1+VLOOKUP(($AI15-$AH15-$AG15-$AF15-$AE15-$AA15*(1+AT$3))/$AI15,'Технический лист'!$A:$B,2,1)-VLOOKUP($AN15,'Технический лист'!$A:$B,2,1)),1+(1-$AS15))</f>
        <v>1</v>
      </c>
      <c r="AU15" s="41">
        <f>MIN(IF($AS15=100%,1,1+VLOOKUP(($AI15-$AH15-$AG15-$AF15-$AE15-$AA15*(1+AU$3))/$AI15,'Технический лист'!$A:$B,2,1)-VLOOKUP($AN15,'Технический лист'!$A:$B,2,1)),1+(1-$AS15))</f>
        <v>1</v>
      </c>
      <c r="AV15" s="41">
        <f>MIN(IF($AS15=100%,1,1+VLOOKUP(($AI15-$AH15-$AG15-$AF15-$AE15-$AA15*(1+AV$3))/$AI15,'Технический лист'!$A:$B,2,1)-VLOOKUP($AN15,'Технический лист'!$A:$B,2,1)),1+(1-$AS15))</f>
        <v>1</v>
      </c>
      <c r="AW15" s="41">
        <f>MIN(IF($AS15=100%,1,1+VLOOKUP(($AI15-$AH15-$AG15-$AF15-$AE15-$AA15*(1+AW$3))/$AI15,'Технический лист'!$A:$B,2,1)-VLOOKUP($AN15,'Технический лист'!$A:$B,2,1)),1+(1-$AS15))</f>
        <v>1</v>
      </c>
      <c r="AX15" s="41">
        <f>MIN(IF($AS15=100%,1,1+VLOOKUP(($AI15-$AH15-$AG15-$AF15-$AE15-$AA15*(1+AX$3))/$AI15,'Технический лист'!$A:$B,2,1)-VLOOKUP($AN15,'Технический лист'!$A:$B,2,1)),1+(1-$AS15))</f>
        <v>1</v>
      </c>
      <c r="AY15" s="41">
        <f>MIN(IF($AS15=100%,1,1+VLOOKUP(($AI15-$AH15-$AG15-$AF15-$AE15-$AA15*(1+AY$3))/$AI15,'Технический лист'!$A:$B,2,1)-VLOOKUP($AN15,'Технический лист'!$A:$B,2,1)),1+(1-$AS15))</f>
        <v>1</v>
      </c>
      <c r="AZ15" s="41">
        <f>MIN(IF($AS15=100%,1,1+VLOOKUP(($AI15-$AH15-$AG15-$AF15-$AE15-$AA15*(1+AZ$3))/$AI15,'Технический лист'!$A:$B,2,1)-VLOOKUP($AN15,'Технический лист'!$A:$B,2,1)),1+(1-$AS15))</f>
        <v>1</v>
      </c>
      <c r="BA15" s="41">
        <f>MIN(IF($AS15=100%,1,1+VLOOKUP(($AI15-$AH15-$AG15-$AF15-$AE15-$AA15*(1+BA$3))/$AI15,'Технический лист'!$A:$B,2,1)-VLOOKUP($AN15,'Технический лист'!$A:$B,2,1)),1+(1-$AS15))</f>
        <v>1</v>
      </c>
      <c r="BB15" s="41">
        <f>MIN(IF($AS15=100%,1,1+VLOOKUP(($AI15-$AH15-$AG15-$AF15-$AE15-$AA15*(1+BB$3))/$AI15,'Технический лист'!$A:$B,2,1)-VLOOKUP($AN15,'Технический лист'!$A:$B,2,1)),1+(1-$AS15))</f>
        <v>1</v>
      </c>
      <c r="BC15" s="41">
        <f>MIN(IF($AS15=100%,1,1+VLOOKUP(($AI15-$AH15-$AG15-$AF15-$AE15-$AA15*(1+BC$3))/$AI15,'Технический лист'!$A:$B,2,1)-VLOOKUP($AN15,'Технический лист'!$A:$B,2,1)),1+(1-$AS15))</f>
        <v>1</v>
      </c>
      <c r="BD15" s="41">
        <f>MIN(IF($AS15=100%,1,1+VLOOKUP(($AI15-$AH15-$AG15-$AF15-$AE15-$AA15*(1+BD$3))/$AI15,'Технический лист'!$A:$B,2,1)-VLOOKUP($AN15,'Технический лист'!$A:$B,2,1)),1+(1-$AS15))</f>
        <v>1</v>
      </c>
      <c r="BE15" s="41">
        <f>MIN(IF($AS15=100%,1,1+VLOOKUP(($AI15-$AH15-$AG15-$AF15-$AE15-$AA15*(1+BE$3))/$AI15,'Технический лист'!$A:$B,2,1)-VLOOKUP($AN15,'Технический лист'!$A:$B,2,1)),1+(1-$AS15))</f>
        <v>1</v>
      </c>
      <c r="BF15" s="41">
        <f>MIN(IF($AS15=100%,1,1+VLOOKUP(($AI15-$AH15-$AG15-$AF15-$AE15-$AA15*(1+BF$3))/$AI15,'Технический лист'!$A:$B,2,1)-VLOOKUP($AN15,'Технический лист'!$A:$B,2,1)),1+(1-$AS15))</f>
        <v>1</v>
      </c>
      <c r="BG15" s="41">
        <f>MIN(IF($AS15=100%,1,1+VLOOKUP(($AI15-$AH15-$AG15-$AF15-$AE15-$AA15*(1+BG$3))/$AI15,'Технический лист'!$A:$B,2,1)-VLOOKUP($AN15,'Технический лист'!$A:$B,2,1)),1+(1-$AS15))</f>
        <v>1</v>
      </c>
      <c r="BH15" s="41">
        <f>MIN(IF($AS15=100%,1,1+VLOOKUP(($AI15-$AH15-$AG15-$AF15-$AE15-$AA15*(1+BH$3))/$AI15,'Технический лист'!$A:$B,2,1)-VLOOKUP($AN15,'Технический лист'!$A:$B,2,1)),1+(1-$AS15))</f>
        <v>1</v>
      </c>
      <c r="BI15" s="41">
        <f>MIN(IF($AS15=100%,1,1+VLOOKUP(($AI15-$AH15-$AG15-$AF15-$AE15-$AA15*(1+BI$3))/$AI15,'Технический лист'!$A:$B,2,1)-VLOOKUP($AN15,'Технический лист'!$A:$B,2,1)),1+(1-$AS15))</f>
        <v>1</v>
      </c>
      <c r="BJ15" s="41">
        <f>MIN(IF($AS15=100%,1,1+VLOOKUP(($AI15-$AH15-$AG15-$AF15-$AE15-$AA15*(1+BJ$3))/$AI15,'Технический лист'!$A:$B,2,1)-VLOOKUP($AN15,'Технический лист'!$A:$B,2,1)),1+(1-$AS15))</f>
        <v>1</v>
      </c>
      <c r="BK15" s="41">
        <f>MIN(IF($AS15=100%,1,1+VLOOKUP(($AI15-$AH15-$AG15-$AF15-$AE15-$AA15*(1+BK$3))/$AI15,'Технический лист'!$A:$B,2,1)-VLOOKUP($AN15,'Технический лист'!$A:$B,2,1)),1+(1-$AS15))</f>
        <v>1</v>
      </c>
      <c r="BL15" s="41">
        <f>MIN(IF($AS15=100%,1,1+VLOOKUP(($AI15-$AH15-$AG15-$AF15-$AE15-$AA15*(1+BL$3))/$AI15,'Технический лист'!$A:$B,2,1)-VLOOKUP($AN15,'Технический лист'!$A:$B,2,1)),1+(1-$AS15))</f>
        <v>1</v>
      </c>
      <c r="BM15" s="41">
        <f>MIN(IF($AS15=100%,1,1+VLOOKUP(($AI15-$AH15-$AG15-$AF15-$AE15-$AA15*(1+BM$3))/$AI15,'Технический лист'!$A:$B,2,1)-VLOOKUP($AN15,'Технический лист'!$A:$B,2,1)),1+(1-$AS15))</f>
        <v>1</v>
      </c>
      <c r="BN15" s="41">
        <f>MIN(IF($AS15=100%,1,1+VLOOKUP(($AI15-$AH15-$AG15-$AF15-$AE15-$AA15*(1+BN$3))/$AI15,'Технический лист'!$A:$B,2,1)-VLOOKUP($AN15,'Технический лист'!$A:$B,2,1)),1+(1-$AS15))</f>
        <v>1</v>
      </c>
      <c r="BO15" s="41">
        <f>MIN(IF($AS15=100%,1,1+VLOOKUP(($AI15-$AH15-$AG15-$AF15-$AE15-$AA15*(1+BO$3))/$AI15,'Технический лист'!$A:$B,2,1)-VLOOKUP($AN15,'Технический лист'!$A:$B,2,1)),1+(1-$AS15))</f>
        <v>1</v>
      </c>
      <c r="BP15" s="41">
        <f>MIN(IF($AS15=100%,1,1+VLOOKUP(($AI15-$AH15-$AG15-$AF15-$AE15-$AA15*(1+BP$3))/$AI15,'Технический лист'!$A:$B,2,1)-VLOOKUP($AN15,'Технический лист'!$A:$B,2,1)),1+(1-$AS15))</f>
        <v>1</v>
      </c>
      <c r="BQ15" s="41">
        <f>MIN(IF($AS15=100%,1,1+VLOOKUP(($AI15-$AH15-$AG15-$AF15-$AE15-$AA15*(1+BQ$3))/$AI15,'Технический лист'!$A:$B,2,1)-VLOOKUP($AN15,'Технический лист'!$A:$B,2,1)),1+(1-$AS15))</f>
        <v>1</v>
      </c>
      <c r="BR15" s="41">
        <f>MIN(IF($AS15=100%,1,1+VLOOKUP(($AI15-$AH15-$AG15-$AF15-$AE15-$AA15*(1+BR$3))/$AI15,'Технический лист'!$A:$B,2,1)-VLOOKUP($AN15,'Технический лист'!$A:$B,2,1)),1+(1-$AS15))</f>
        <v>1</v>
      </c>
      <c r="BS15" s="41">
        <f>MIN(IF($AS15=100%,1,1+VLOOKUP(($AI15-$AH15-$AG15-$AF15-$AE15-$AA15*(1+BS$3))/$AI15,'Технический лист'!$A:$B,2,1)-VLOOKUP($AN15,'Технический лист'!$A:$B,2,1)),1+(1-$AS15))</f>
        <v>1</v>
      </c>
      <c r="BT15" s="41">
        <f>MIN(IF($AS15=100%,1,1+VLOOKUP(($AI15-$AH15-$AG15-$AF15-$AE15-$AA15*(1+BT$3))/$AI15,'Технический лист'!$A:$B,2,1)-VLOOKUP($AN15,'Технический лист'!$A:$B,2,1)),1+(1-$AS15))</f>
        <v>1</v>
      </c>
      <c r="BU15" s="41">
        <f>MIN(IF($AS15=100%,1,1+VLOOKUP(($AI15-$AH15-$AG15-$AF15-$AE15-$AA15*(1+BU$3))/$AI15,'Технический лист'!$A:$B,2,1)-VLOOKUP($AN15,'Технический лист'!$A:$B,2,1)),1+(1-$AS15))</f>
        <v>1</v>
      </c>
      <c r="BV15" s="41">
        <f>MIN(IF($AS15=100%,1,1+VLOOKUP(($AI15-$AH15-$AG15-$AF15-$AE15-$AA15*(1+BV$3))/$AI15,'Технический лист'!$A:$B,2,1)-VLOOKUP($AN15,'Технический лист'!$A:$B,2,1)),1+(1-$AS15))</f>
        <v>1</v>
      </c>
      <c r="BW15" s="41">
        <f>MIN(IF($AS15=100%,1,1+VLOOKUP(($AI15-$AH15-$AG15-$AF15-$AE15-$AA15*(1+BW$3))/$AI15,'Технический лист'!$A:$B,2,1)-VLOOKUP($AN15,'Технический лист'!$A:$B,2,1)),1+(1-$AS15))</f>
        <v>1</v>
      </c>
      <c r="BX15" s="41">
        <f>MIN(IF($AS15=100%,1,1+VLOOKUP(($AI15-$AH15-$AG15-$AF15-$AE15-$AA15*(1+BX$3))/$AI15,'Технический лист'!$A:$B,2,1)-VLOOKUP($AN15,'Технический лист'!$A:$B,2,1)),1+(1-$AS15))</f>
        <v>1</v>
      </c>
      <c r="BY15" s="41">
        <f>MIN(IF($AS15=100%,1,1+VLOOKUP(($AI15-$AH15-$AG15-$AF15-$AE15-$AA15*(1+BY$3))/$AI15,'Технический лист'!$A:$B,2,1)-VLOOKUP($AN15,'Технический лист'!$A:$B,2,1)),1+(1-$AS15))</f>
        <v>1</v>
      </c>
      <c r="BZ15" s="41">
        <f>MIN(IF($AS15=100%,1,1+VLOOKUP(($AI15-$AH15-$AG15-$AF15-$AE15-$AA15*(1+BZ$3))/$AI15,'Технический лист'!$A:$B,2,1)-VLOOKUP($AN15,'Технический лист'!$A:$B,2,1)),1+(1-$AS15))</f>
        <v>1</v>
      </c>
      <c r="CA15" s="41">
        <f>MIN(IF($AS15=100%,1,1+VLOOKUP(($AI15-$AH15-$AG15-$AF15-$AE15-$AA15*(1+CA$3))/$AI15,'Технический лист'!$A:$B,2,1)-VLOOKUP($AN15,'Технический лист'!$A:$B,2,1)),1+(1-$AS15))</f>
        <v>1</v>
      </c>
      <c r="CB15" s="41">
        <f>MIN(IF($AS15=100%,1,1+VLOOKUP(($AI15-$AH15-$AG15-$AF15-$AE15-$AA15*(1+CB$3))/$AI15,'Технический лист'!$A:$B,2,1)-VLOOKUP($AN15,'Технический лист'!$A:$B,2,1)),1+(1-$AS15))</f>
        <v>1</v>
      </c>
      <c r="CC15" s="41">
        <f>MIN(IF($AS15=100%,1,1+VLOOKUP(($AI15-$AH15-$AG15-$AF15-$AE15-$AA15*(1+CC$3))/$AI15,'Технический лист'!$A:$B,2,1)-VLOOKUP($AN15,'Технический лист'!$A:$B,2,1)),1+(1-$AS15))</f>
        <v>1</v>
      </c>
      <c r="CD15" s="41">
        <f>MIN(IF($AS15=100%,1,1+VLOOKUP(($AI15-$AH15-$AG15-$AF15-$AE15-$AA15*(1+CD$3))/$AI15,'Технический лист'!$A:$B,2,1)-VLOOKUP($AN15,'Технический лист'!$A:$B,2,1)),1+(1-$AS15))</f>
        <v>1</v>
      </c>
      <c r="CE15" s="41">
        <f>MIN(IF($AS15=100%,1,1+VLOOKUP(($AI15-$AH15-$AG15-$AF15-$AE15-$AA15*(1+CE$3))/$AI15,'Технический лист'!$A:$B,2,1)-VLOOKUP($AN15,'Технический лист'!$A:$B,2,1)),1+(1-$AS15))</f>
        <v>1</v>
      </c>
      <c r="CF15" s="41">
        <f>MIN(IF($AS15=100%,1,1+VLOOKUP(($AI15-$AH15-$AG15-$AF15-$AE15-$AA15*(1+CF$3))/$AI15,'Технический лист'!$A:$B,2,1)-VLOOKUP($AN15,'Технический лист'!$A:$B,2,1)),1+(1-$AS15))</f>
        <v>1</v>
      </c>
      <c r="CG15" s="41">
        <f>MIN(IF($AS15=100%,1,1+VLOOKUP(($AI15-$AH15-$AG15-$AF15-$AE15-$AA15*(1+CG$3))/$AI15,'Технический лист'!$A:$B,2,1)-VLOOKUP($AN15,'Технический лист'!$A:$B,2,1)),1+(1-$AS15))</f>
        <v>1</v>
      </c>
      <c r="CH15" s="41">
        <f>MIN(IF($AS15=100%,1,1+VLOOKUP(($AI15-$AH15-$AG15-$AF15-$AE15-$AA15*(1+CH$3))/$AI15,'Технический лист'!$A:$B,2,1)-VLOOKUP($AN15,'Технический лист'!$A:$B,2,1)),1+(1-$AS15))</f>
        <v>1</v>
      </c>
      <c r="CI15" s="41">
        <f>MIN(IF($AS15=100%,1,1+VLOOKUP(($AI15-$AH15-$AG15-$AF15-$AE15-$AA15*(1+CI$3))/$AI15,'Технический лист'!$A:$B,2,1)-VLOOKUP($AN15,'Технический лист'!$A:$B,2,1)),1+(1-$AS15))</f>
        <v>1</v>
      </c>
      <c r="CJ15" s="41">
        <f>MIN(IF($AS15=100%,1,1+VLOOKUP(($AI15-$AH15-$AG15-$AF15-$AE15-$AA15*(1+CJ$3))/$AI15,'Технический лист'!$A:$B,2,1)-VLOOKUP($AN15,'Технический лист'!$A:$B,2,1)),1+(1-$AS15))</f>
        <v>1</v>
      </c>
      <c r="CK15" s="41">
        <f>MIN(IF($AS15=100%,1,1+VLOOKUP(($AI15-$AH15-$AG15-$AF15-$AE15-$AA15*(1+CK$3))/$AI15,'Технический лист'!$A:$B,2,1)-VLOOKUP($AN15,'Технический лист'!$A:$B,2,1)),1+(1-$AS15))</f>
        <v>1</v>
      </c>
      <c r="CL15" s="41">
        <f>MIN(IF($AS15=100%,1,1+VLOOKUP(($AI15-$AH15-$AG15-$AF15-$AE15-$AA15*(1+CL$3))/$AI15,'Технический лист'!$A:$B,2,1)-VLOOKUP($AN15,'Технический лист'!$A:$B,2,1)),1+(1-$AS15))</f>
        <v>1</v>
      </c>
      <c r="CM15" s="41">
        <f>MIN(IF($AS15=100%,1,1+VLOOKUP(($AI15-$AH15-$AG15-$AF15-$AE15-$AA15*(1+CM$3))/$AI15,'Технический лист'!$A:$B,2,1)-VLOOKUP($AN15,'Технический лист'!$A:$B,2,1)),1+(1-$AS15))</f>
        <v>1</v>
      </c>
      <c r="CN15" s="41">
        <f>MIN(IF($AS15=100%,1,1+VLOOKUP(($AI15-$AH15-$AG15-$AF15-$AE15-$AA15*(1+CN$3))/$AI15,'Технический лист'!$A:$B,2,1)-VLOOKUP($AN15,'Технический лист'!$A:$B,2,1)),1+(1-$AS15))</f>
        <v>1</v>
      </c>
      <c r="CO15" s="41">
        <f>MIN(IF($AS15=100%,1,1+VLOOKUP(($AI15-$AH15-$AG15-$AF15-$AE15-$AA15*(1+CO$3))/$AI15,'Технический лист'!$A:$B,2,1)-VLOOKUP($AN15,'Технический лист'!$A:$B,2,1)),1+(1-$AS15))</f>
        <v>1</v>
      </c>
      <c r="CP15" s="41">
        <f>MIN(IF($AS15=100%,1,1+VLOOKUP(($AI15-$AH15-$AG15-$AF15-$AE15-$AA15*(1+CP$3))/$AI15,'Технический лист'!$A:$B,2,1)-VLOOKUP($AN15,'Технический лист'!$A:$B,2,1)),1+(1-$AS15))</f>
        <v>1</v>
      </c>
      <c r="CQ15" s="41">
        <f>MIN(IF($AS15=100%,1,1+VLOOKUP(($AI15-$AH15-$AG15-$AF15-$AE15-$AA15*(1+CQ$3))/$AI15,'Технический лист'!$A:$B,2,1)-VLOOKUP($AN15,'Технический лист'!$A:$B,2,1)),1+(1-$AS15))</f>
        <v>1</v>
      </c>
      <c r="CR15">
        <v>1</v>
      </c>
      <c r="CS15" s="41">
        <f>MIN(1,MAX(VLOOKUP(($AI15-$AH15-$AG15-$AF15-$AE15-$AA15*(1+CS$3))/$AI15,'[8]Технический лист'!$A:$B,2,1),(CR15-0.05)))</f>
        <v>0.95</v>
      </c>
      <c r="CT15" s="41">
        <f>MIN(1,MAX(VLOOKUP(($AI15-$AH15-$AG15-$AF15-$AE15-$AA15*(1+CT$3))/$AI15,'[8]Технический лист'!$A:$B,2,1),(CS15-0.05)))</f>
        <v>0.89999999999999991</v>
      </c>
      <c r="CU15" s="41">
        <f>MIN(1,MAX(VLOOKUP(($AI15-$AH15-$AG15-$AF15-$AE15-$AA15*(1+CU$3))/$AI15,'[8]Технический лист'!$A:$B,2,1),(CT15-0.05)))</f>
        <v>0.84999999999999987</v>
      </c>
      <c r="CV15" s="41">
        <f>MIN(1,MAX(VLOOKUP(($AI15-$AH15-$AG15-$AF15-$AE15-$AA15*(1+CV$3))/$AI15,'[8]Технический лист'!$A:$B,2,1),(CU15-0.05)))</f>
        <v>0.79999999999999982</v>
      </c>
      <c r="CW15" s="41">
        <f>MIN(1,MAX(VLOOKUP(($AI15-$AH15-$AG15-$AF15-$AE15-$AA15*(1+CW$3))/$AI15,'[8]Технический лист'!$A:$B,2,1),(CV15-0.05)))</f>
        <v>0.74999999999999978</v>
      </c>
      <c r="CX15" s="41">
        <f>MIN(1,MAX(VLOOKUP(($AI15-$AH15-$AG15-$AF15-$AE15-$AA15*(1+CX$3))/$AI15,'[8]Технический лист'!$A:$B,2,1),(CW15-0.05)))</f>
        <v>0.69999999999999973</v>
      </c>
      <c r="CY15" s="41">
        <f>MIN(1,MAX(VLOOKUP(($AI15-$AH15-$AG15-$AF15-$AE15-$AA15*(1+CY$3))/$AI15,'[8]Технический лист'!$A:$B,2,1),(CX15-0.05)))</f>
        <v>0.64999999999999969</v>
      </c>
      <c r="CZ15" s="41">
        <f>MIN(1,MAX(VLOOKUP(($AI15-$AH15-$AG15-$AF15-$AE15-$AA15*(1+CZ$3))/$AI15,'[8]Технический лист'!$A:$B,2,1),(CY15-0.05)))</f>
        <v>0.59999999999999964</v>
      </c>
      <c r="DA15" s="41">
        <f>MIN(1,MAX(VLOOKUP(($AI15-$AH15-$AG15-$AF15-$AE15-$AA15*(1+DA$3))/$AI15,'[8]Технический лист'!$A:$B,2,1),(CZ15-0.05)))</f>
        <v>0.5499999999999996</v>
      </c>
      <c r="DB15" s="41">
        <f>MIN(1,MAX(VLOOKUP(($AI15-$AH15-$AG15-$AF15-$AE15-$AA15*(1+DB$3))/$AI15,'[8]Технический лист'!$A:$B,2,1),(DA15-0.05)))</f>
        <v>0.49999999999999961</v>
      </c>
      <c r="DC15" s="41">
        <f>MIN(1,MAX(VLOOKUP(($AI15-$AH15-$AG15-$AF15-$AE15-$AA15*(1+DC$3))/$AI15,'[8]Технический лист'!$A:$B,2,1),(DB15-0.05)))</f>
        <v>0.44999999999999962</v>
      </c>
      <c r="DD15" s="41">
        <f>MIN(1,MAX(VLOOKUP(($AI15-$AH15-$AG15-$AF15-$AE15-$AA15*(1+DD$3))/$AI15,'[8]Технический лист'!$A:$B,2,1),(DC15-0.05)))</f>
        <v>0.39999999999999963</v>
      </c>
      <c r="DE15" s="41">
        <f>MIN(1,MAX(VLOOKUP(($AI15-$AH15-$AG15-$AF15-$AE15-$AA15*(1+DE$3))/$AI15,'[8]Технический лист'!$A:$B,2,1),(DD15-0.05)))</f>
        <v>0.34999999999999964</v>
      </c>
      <c r="DF15" s="41">
        <f>MIN(1,MAX(VLOOKUP(($AI15-$AH15-$AG15-$AF15-$AE15-$AA15*(1+DF$3))/$AI15,'[8]Технический лист'!$A:$B,2,1),(DE15-0.05)))</f>
        <v>0.29999999999999966</v>
      </c>
      <c r="DG15" s="41">
        <f>MIN(1,MAX(VLOOKUP(($AI15-$AH15-$AG15-$AF15-$AE15-$AA15*(1+DG$3))/$AI15,'[8]Технический лист'!$A:$B,2,1),(DF15-0.05)))</f>
        <v>0.24999999999999967</v>
      </c>
      <c r="DH15" s="41">
        <f>MIN(1,MAX(VLOOKUP(($AI15-$AH15-$AG15-$AF15-$AE15-$AA15*(1+DH$3))/$AI15,'[8]Технический лист'!$A:$B,2,1),(DG15-0.05)))</f>
        <v>0.19999999999999968</v>
      </c>
      <c r="DI15" s="41">
        <f>MIN(1,MAX(VLOOKUP(($AI15-$AH15-$AG15-$AF15-$AE15-$AA15*(1+DI$3))/$AI15,'[8]Технический лист'!$A:$B,2,1),(DH15-0.05)))</f>
        <v>0.14999999999999969</v>
      </c>
      <c r="DJ15" s="41">
        <f>MIN(1,MAX(VLOOKUP(($AI15-$AH15-$AG15-$AF15-$AE15-$AA15*(1+DJ$3))/$AI15,'[8]Технический лист'!$A:$B,2,1),(DI15-0.05)))</f>
        <v>9.9999999999999686E-2</v>
      </c>
      <c r="DK15" s="41">
        <f>MIN(1,MAX(VLOOKUP(($AI15-$AH15-$AG15-$AF15-$AE15-$AA15*(1+DK$3))/$AI15,'[8]Технический лист'!$A:$B,2,1),(DJ15-0.05)))</f>
        <v>4.9999999999999684E-2</v>
      </c>
      <c r="DL15" s="41">
        <f>MIN(1,MAX(VLOOKUP(($AI15-$AH15-$AG15-$AF15-$AE15-$AA15*(1+DL$3))/$AI15,'[8]Технический лист'!$A:$B,2,1),(DK15-0.05)))</f>
        <v>0</v>
      </c>
      <c r="DM15" s="41">
        <f>MIN(1,MAX(VLOOKUP(($AI15-$AH15-$AG15-$AF15-$AE15-$AA15*(1+DM$3))/$AI15,'[8]Технический лист'!$A:$B,2,1),(DL15-0.05)))</f>
        <v>0</v>
      </c>
      <c r="DN15" s="41">
        <f>MIN(1,MAX(VLOOKUP(($AI15-$AH15-$AG15-$AF15-$AE15-$AA15*(1+DN$3))/$AI15,'[8]Технический лист'!$A:$B,2,1),(DM15-0.05)))</f>
        <v>0</v>
      </c>
      <c r="DO15" s="41">
        <f>MIN(1,MAX(VLOOKUP(($AI15-$AH15-$AG15-$AF15-$AE15-$AA15*(1+DO$3))/$AI15,'[8]Технический лист'!$A:$B,2,1),(DN15-0.05)))</f>
        <v>0</v>
      </c>
      <c r="DP15" s="41">
        <f>MIN(1,MAX(VLOOKUP(($AI15-$AH15-$AG15-$AF15-$AE15-$AA15*(1+DP$3))/$AI15,'[8]Технический лист'!$A:$B,2,1),(DO15-0.05)))</f>
        <v>0</v>
      </c>
      <c r="DQ15" s="41">
        <f>MIN(1,MAX(VLOOKUP(($AI15-$AH15-$AG15-$AF15-$AE15-$AA15*(1+DQ$3))/$AI15,'[8]Технический лист'!$A:$B,2,1),(DP15-0.05)))</f>
        <v>0</v>
      </c>
      <c r="DR15" s="41">
        <f>MIN(1,MAX(VLOOKUP(($AI15-$AH15-$AG15-$AF15-$AE15-$AA15*(1+DR$3))/$AI15,'[8]Технический лист'!$A:$B,2,1),(DQ15-0.05)))</f>
        <v>0</v>
      </c>
      <c r="DS15" s="41">
        <f>MIN(1,MAX(VLOOKUP(($AI15-$AH15-$AG15-$AF15-$AE15-$AA15*(1+DS$3))/$AI15,'[8]Технический лист'!$A:$B,2,1),(DR15-0.05)))</f>
        <v>0</v>
      </c>
      <c r="DT15" s="41">
        <f>MIN(1,MAX(VLOOKUP(($AI15-$AH15-$AG15-$AF15-$AE15-$AA15*(1+DT$3))/$AI15,'[8]Технический лист'!$A:$B,2,1),(DS15-0.05)))</f>
        <v>0</v>
      </c>
      <c r="DU15" s="41">
        <f>MIN(1,MAX(VLOOKUP(($AI15-$AH15-$AG15-$AF15-$AE15-$AA15*(1+DU$3))/$AI15,'[8]Технический лист'!$A:$B,2,1),(DT15-0.05)))</f>
        <v>0</v>
      </c>
      <c r="DV15" s="41">
        <f>MIN(1,MAX(VLOOKUP(($AI15-$AH15-$AG15-$AF15-$AE15-$AA15*(1+DV$3))/$AI15,'[8]Технический лист'!$A:$B,2,1),(DU15-0.05)))</f>
        <v>0</v>
      </c>
      <c r="DW15" s="41">
        <f>MIN(1,MAX(VLOOKUP(($AI15-$AH15-$AG15-$AF15-$AE15-$AA15*(1+DW$3))/$AI15,'[8]Технический лист'!$A:$B,2,1),(DV15-0.05)))</f>
        <v>0</v>
      </c>
      <c r="DX15" s="41">
        <f>MIN(1,MAX(VLOOKUP(($AI15-$AH15-$AG15-$AF15-$AE15-$AA15*(1+DX$3))/$AI15,'[8]Технический лист'!$A:$B,2,1),(DW15-0.05)))</f>
        <v>0</v>
      </c>
      <c r="DY15" s="41">
        <f>MIN(1,MAX(VLOOKUP(($AI15-$AH15-$AG15-$AF15-$AE15-$AA15*(1+DY$3))/$AI15,'[8]Технический лист'!$A:$B,2,1),(DX15-0.05)))</f>
        <v>0</v>
      </c>
      <c r="DZ15" s="41">
        <f>MIN(1,MAX(VLOOKUP(($AI15-$AH15-$AG15-$AF15-$AE15-$AA15*(1+DZ$3))/$AI15,'[8]Технический лист'!$A:$B,2,1),(DY15-0.05)))</f>
        <v>0</v>
      </c>
      <c r="EA15" s="41">
        <f>MIN(1,MAX(VLOOKUP(($AI15-$AH15-$AG15-$AF15-$AE15-$AA15*(1+EA$3))/$AI15,'[8]Технический лист'!$A:$B,2,1),(DZ15-0.05)))</f>
        <v>0</v>
      </c>
      <c r="EB15" s="41">
        <f>MIN(1,MAX(VLOOKUP(($AI15-$AH15-$AG15-$AF15-$AE15-$AA15*(1+EB$3))/$AI15,'[8]Технический лист'!$A:$B,2,1),(EA15-0.05)))</f>
        <v>0</v>
      </c>
      <c r="EC15" s="41">
        <f>MIN(1,MAX(VLOOKUP(($AI15-$AH15-$AG15-$AF15-$AE15-$AA15*(1+EC$3))/$AI15,'[8]Технический лист'!$A:$B,2,1),(EB15-0.05)))</f>
        <v>0</v>
      </c>
      <c r="ED15" s="41">
        <f>MIN(1,MAX(VLOOKUP(($AI15-$AH15-$AG15-$AF15-$AE15-$AA15*(1+ED$3))/$AI15,'[8]Технический лист'!$A:$B,2,1),(EC15-0.05)))</f>
        <v>0</v>
      </c>
      <c r="EE15" s="41">
        <f>MIN(1,MAX(VLOOKUP(($AI15-$AH15-$AG15-$AF15-$AE15-$AA15*(1+EE$3))/$AI15,'[8]Технический лист'!$A:$B,2,1),(ED15-0.05)))</f>
        <v>0</v>
      </c>
      <c r="EF15" s="41">
        <f>MIN(1,MAX(VLOOKUP(($AI15-$AH15-$AG15-$AF15-$AE15-$AA15*(1+EF$3))/$AI15,'[8]Технический лист'!$A:$B,2,1),(EE15-0.05)))</f>
        <v>0</v>
      </c>
      <c r="EG15" s="41">
        <f>MIN(1,MAX(VLOOKUP(($AI15-$AH15-$AG15-$AF15-$AE15-$AA15*(1+EG$3))/$AI15,'[8]Технический лист'!$A:$B,2,1),(EF15-0.05)))</f>
        <v>0</v>
      </c>
      <c r="EH15" s="41">
        <f>MIN(1,MAX(VLOOKUP(($AI15-$AH15-$AG15-$AF15-$AE15-$AA15*(1+EH$3))/$AI15,'[8]Технический лист'!$A:$B,2,1),(EG15-0.05)))</f>
        <v>0</v>
      </c>
      <c r="EI15" s="41">
        <f>MIN(1,MAX(VLOOKUP(($AI15-$AH15-$AG15-$AF15-$AE15-$AA15*(1+EI$3))/$AI15,'[8]Технический лист'!$A:$B,2,1),(EH15-0.05)))</f>
        <v>0</v>
      </c>
      <c r="EJ15" s="41">
        <f>MIN(1,MAX(VLOOKUP(($AI15-$AH15-$AG15-$AF15-$AE15-$AA15*(1+EJ$3))/$AI15,'[8]Технический лист'!$A:$B,2,1),(EI15-0.05)))</f>
        <v>0</v>
      </c>
      <c r="EK15" s="41">
        <f>MIN(1,MAX(VLOOKUP(($AI15-$AH15-$AG15-$AF15-$AE15-$AA15*(1+EK$3))/$AI15,'[8]Технический лист'!$A:$B,2,1),(EJ15-0.05)))</f>
        <v>0</v>
      </c>
      <c r="EL15" s="41">
        <f>MIN(1,MAX(VLOOKUP(($AI15-$AH15-$AG15-$AF15-$AE15-$AA15*(1+EL$3))/$AI15,'[8]Технический лист'!$A:$B,2,1),(EK15-0.05)))</f>
        <v>0</v>
      </c>
      <c r="EM15" s="41">
        <f>MIN(1,MAX(VLOOKUP(($AI15-$AH15-$AG15-$AF15-$AE15-$AA15*(1+EM$3))/$AI15,'[8]Технический лист'!$A:$B,2,1),(EL15-0.05)))</f>
        <v>0</v>
      </c>
      <c r="EN15" s="41">
        <f>MIN(1,MAX(VLOOKUP(($AI15-$AH15-$AG15-$AF15-$AE15-$AA15*(1+EN$3))/$AI15,'[8]Технический лист'!$A:$B,2,1),(EM15-0.05)))</f>
        <v>0</v>
      </c>
      <c r="EO15" s="41">
        <f>MIN(1,MAX(VLOOKUP(($AI15-$AH15-$AG15-$AF15-$AE15-$AA15*(1+EO$3))/$AI15,'[8]Технический лист'!$A:$B,2,1),(EN15-0.05)))</f>
        <v>0</v>
      </c>
      <c r="EP15" s="41">
        <f>MIN(1,MAX(VLOOKUP(($AI15-$AH15-$AG15-$AF15-$AE15-$AA15*(1+EP$3))/$AI15,'[8]Технический лист'!$A:$B,2,1),(EO15-0.05)))</f>
        <v>0</v>
      </c>
      <c r="EQ15" s="41">
        <f>MIN(1,MAX(VLOOKUP(($AI15-$AH15-$AG15-$AF15-$AE15-$AA15*(1+EQ$3))/$AI15,'[8]Технический лист'!$A:$B,2,1),(EP15-0.05)))</f>
        <v>0</v>
      </c>
      <c r="ER15" s="41">
        <f>MIN(1,MAX(VLOOKUP(($AI15-$AH15-$AG15-$AF15-$AE15-$AA15*(1+ER$3))/$AI15,'[8]Технический лист'!$A:$B,2,1),(EQ15-0.05)))</f>
        <v>0</v>
      </c>
      <c r="ES15" s="41">
        <f>MIN(1,MAX(VLOOKUP(($AI15-$AH15-$AG15-$AF15-$AE15-$AA15*(1+ES$3))/$AI15,'[8]Технический лист'!$A:$B,2,1),(ER15-0.05)))</f>
        <v>0</v>
      </c>
      <c r="ET15" s="41">
        <f>MIN(1,MAX(VLOOKUP(($AI15-$AH15-$AG15-$AF15-$AE15-$AA15*(1+ET$3))/$AI15,'[8]Технический лист'!$A:$B,2,1),(ES15-0.05)))</f>
        <v>0</v>
      </c>
      <c r="EU15" s="41">
        <f>MIN(1,MAX(VLOOKUP(($AI15-$AH15-$AG15-$AF15-$AE15-$AA15*(1+EU$3))/$AI15,'[8]Технический лист'!$A:$B,2,1),(ET15-0.05)))</f>
        <v>0</v>
      </c>
      <c r="EV15" s="41">
        <f>MIN(1,MAX(VLOOKUP(($AI15-$AH15-$AG15-$AF15-$AE15-$AA15*(1+EV$3))/$AI15,'[8]Технический лист'!$A:$B,2,1),(EU15-0.05)))</f>
        <v>0</v>
      </c>
      <c r="EW15" s="41">
        <f>MIN(1,MAX(VLOOKUP(($AI15-$AH15-$AG15-$AF15-$AE15-$AA15*(1+EW$3))/$AI15,'[8]Технический лист'!$A:$B,2,1),(EV15-0.05)))</f>
        <v>0</v>
      </c>
      <c r="EX15" s="41">
        <f>MIN(1,MAX(VLOOKUP(($AI15-$AH15-$AG15-$AF15-$AE15-$AA15*(1+EX$3))/$AI15,'[8]Технический лист'!$A:$B,2,1),(EW15-0.05)))</f>
        <v>0</v>
      </c>
      <c r="EY15" s="41">
        <f>MIN(1,MAX(VLOOKUP(($AI15-$AH15-$AG15-$AF15-$AE15-$AA15*(1+EY$3))/$AI15,'[8]Технический лист'!$A:$B,2,1),(EX15-0.05)))</f>
        <v>0</v>
      </c>
      <c r="EZ15" s="41">
        <f>MIN(1,MAX(VLOOKUP(($AI15-$AH15-$AG15-$AF15-$AE15-$AA15*(1+EZ$3))/$AI15,'[8]Технический лист'!$A:$B,2,1),(EY15-0.05)))</f>
        <v>0</v>
      </c>
      <c r="FA15" s="41">
        <f>MIN(1,MAX(VLOOKUP(($AI15-$AH15-$AG15-$AF15-$AE15-$AA15*(1+FA$3))/$AI15,'[8]Технический лист'!$A:$B,2,1),(EZ15-0.05)))</f>
        <v>0</v>
      </c>
      <c r="FB15" s="41">
        <f>MIN(1,MAX(VLOOKUP(($AI15-$AH15-$AG15-$AF15-$AE15-$AA15*(1+FB$3))/$AI15,'[8]Технический лист'!$A:$B,2,1),(FA15-0.05)))</f>
        <v>0</v>
      </c>
      <c r="FC15" s="41">
        <f>MIN(1,MAX(VLOOKUP(($AI15-$AH15-$AG15-$AF15-$AE15-$AA15*(1+FC$3))/$AI15,'[8]Технический лист'!$A:$B,2,1),(FB15-0.05)))</f>
        <v>0</v>
      </c>
      <c r="FD15" s="41">
        <f>MIN(1,MAX(VLOOKUP(($AI15-$AH15-$AG15-$AF15-$AE15-$AA15*(1+FD$3))/$AI15,'[8]Технический лист'!$A:$B,2,1),(FC15-0.05)))</f>
        <v>0</v>
      </c>
      <c r="FE15" s="41">
        <f>MIN(1,MAX(VLOOKUP(($AI15-$AH15-$AG15-$AF15-$AE15-$AA15*(1+FE$3))/$AI15,'[8]Технический лист'!$A:$B,2,1),(FD15-0.05)))</f>
        <v>0</v>
      </c>
      <c r="FF15" s="41">
        <f>MIN(1,MAX(VLOOKUP(($AI15-$AH15-$AG15-$AF15-$AE15-$AA15*(1+FF$3))/$AI15,'[8]Технический лист'!$A:$B,2,1),(FE15-0.05)))</f>
        <v>0</v>
      </c>
      <c r="FG15" s="41">
        <f>MIN(1,MAX(VLOOKUP(($AI15-$AH15-$AG15-$AF15-$AE15-$AA15*(1+FG$3))/$AI15,'[8]Технический лист'!$A:$B,2,1),(FF15-0.05)))</f>
        <v>0</v>
      </c>
      <c r="FH15" s="41">
        <f>MIN(1,MAX(VLOOKUP(($AI15-$AH15-$AG15-$AF15-$AE15-$AA15*(1+FH$3))/$AI15,'[8]Технический лист'!$A:$B,2,1),(FG15-0.05)))</f>
        <v>0</v>
      </c>
      <c r="FI15" s="41">
        <f>MIN(1,MAX(VLOOKUP(($AI15-$AH15-$AG15-$AF15-$AE15-$AA15*(1+FI$3))/$AI15,'[8]Технический лист'!$A:$B,2,1),(FH15-0.05)))</f>
        <v>0</v>
      </c>
      <c r="FJ15" s="41">
        <f>MIN(1,MAX(VLOOKUP(($AI15-$AH15-$AG15-$AF15-$AE15-$AA15*(1+FJ$3))/$AI15,'[8]Технический лист'!$A:$B,2,1),(FI15-0.05)))</f>
        <v>0</v>
      </c>
      <c r="FK15" s="41">
        <f>MIN(1,MAX(VLOOKUP(($AI15-$AH15-$AG15-$AF15-$AE15-$AA15*(1+FK$3))/$AI15,'[8]Технический лист'!$A:$B,2,1),(FJ15-0.05)))</f>
        <v>0</v>
      </c>
      <c r="FL15" s="41">
        <f>MIN(1,MAX(VLOOKUP(($AI15-$AH15-$AG15-$AF15-$AE15-$AA15*(1+FL$3))/$AI15,'[8]Технический лист'!$A:$B,2,1),(FK15-0.05)))</f>
        <v>0</v>
      </c>
      <c r="FM15" s="41">
        <f>MIN(1,MAX(VLOOKUP(($AI15-$AH15-$AG15-$AF15-$AE15-$AA15*(1+FM$3))/$AI15,'[8]Технический лист'!$A:$B,2,1),(FL15-0.05)))</f>
        <v>0</v>
      </c>
      <c r="FN15" s="41">
        <f>MIN(1,MAX(VLOOKUP(($AI15-$AH15-$AG15-$AF15-$AE15-$AA15*(1+FN$3))/$AI15,'[8]Технический лист'!$A:$B,2,1),(FM15-0.05)))</f>
        <v>0</v>
      </c>
      <c r="FO15" s="41">
        <f>MIN(1,MAX(VLOOKUP(($AI15-$AH15-$AG15-$AF15-$AE15-$AA15*(1+FO$3))/$AI15,'[8]Технический лист'!$A:$B,2,1),(FN15-0.05)))</f>
        <v>0</v>
      </c>
      <c r="FP15" s="41">
        <f>MIN(1,MAX(VLOOKUP(($AI15-$AH15-$AG15-$AF15-$AE15-$AA15*(1+FP$3))/$AI15,'[8]Технический лист'!$A:$B,2,1),(FO15-0.05)))</f>
        <v>0</v>
      </c>
      <c r="FQ15" s="41">
        <f>MIN(1,MAX(VLOOKUP(($AI15-$AH15-$AG15-$AF15-$AE15-$AA15*(1+FQ$3))/$AI15,'[8]Технический лист'!$A:$B,2,1),(FP15-0.05)))</f>
        <v>0</v>
      </c>
      <c r="FR15" s="41">
        <f>MIN(1,MAX(VLOOKUP(($AI15-$AH15-$AG15-$AF15-$AE15-$AA15*(1+FR$3))/$AI15,'[8]Технический лист'!$A:$B,2,1),(FQ15-0.05)))</f>
        <v>0</v>
      </c>
      <c r="FS15" s="41">
        <f>MIN(1,MAX(VLOOKUP(($AI15-$AH15-$AG15-$AF15-$AE15-$AA15*(1+FS$3))/$AI15,'[8]Технический лист'!$A:$B,2,1),(FR15-0.05)))</f>
        <v>0</v>
      </c>
      <c r="FT15" s="41">
        <f>MIN(1,MAX(VLOOKUP(($AI15-$AH15-$AG15-$AF15-$AE15-$AA15*(1+FT$3))/$AI15,'[8]Технический лист'!$A:$B,2,1),(FS15-0.05)))</f>
        <v>0</v>
      </c>
      <c r="FU15" s="41">
        <f>MIN(1,MAX(VLOOKUP(($AI15-$AH15-$AG15-$AF15-$AE15-$AA15*(1+FU$3))/$AI15,'[8]Технический лист'!$A:$B,2,1),(FT15-0.05)))</f>
        <v>0</v>
      </c>
      <c r="FV15" s="41">
        <f>MIN(1,MAX(VLOOKUP(($AI15-$AH15-$AG15-$AF15-$AE15-$AA15*(1+FV$3))/$AI15,'[8]Технический лист'!$A:$B,2,1),(FU15-0.05)))</f>
        <v>0</v>
      </c>
      <c r="FW15" s="41">
        <f>MIN(1,MAX(VLOOKUP(($AI15-$AH15-$AG15-$AF15-$AE15-$AA15*(1+FW$3))/$AI15,'[8]Технический лист'!$A:$B,2,1),(FV15-0.05)))</f>
        <v>0</v>
      </c>
      <c r="FX15" s="41">
        <f>MIN(1,MAX(VLOOKUP(($AI15-$AH15-$AG15-$AF15-$AE15-$AA15*(1+FX$3))/$AI15,'[8]Технический лист'!$A:$B,2,1),(FW15-0.05)))</f>
        <v>0</v>
      </c>
      <c r="FY15" s="41">
        <f>MIN(1,MAX(VLOOKUP(($AI15-$AH15-$AG15-$AF15-$AE15-$AA15*(1+FY$3))/$AI15,'[8]Технический лист'!$A:$B,2,1),(FX15-0.05)))</f>
        <v>0</v>
      </c>
      <c r="FZ15" s="41">
        <f>MIN(1,MAX(VLOOKUP(($AI15-$AH15-$AG15-$AF15-$AE15-$AA15*(1+FZ$3))/$AI15,'[8]Технический лист'!$A:$B,2,1),(FY15-0.05)))</f>
        <v>0</v>
      </c>
      <c r="GA15" s="41">
        <f>MIN(1,MAX(VLOOKUP(($AI15-$AH15-$AG15-$AF15-$AE15-$AA15*(1+GA$3))/$AI15,'[8]Технический лист'!$A:$B,2,1),(FZ15-0.05)))</f>
        <v>0</v>
      </c>
      <c r="GB15" s="41">
        <f>MIN(1,MAX(VLOOKUP(($AI15-$AH15-$AG15-$AF15-$AE15-$AA15*(1+GB$3))/$AI15,'[8]Технический лист'!$A:$B,2,1),(GA15-0.05)))</f>
        <v>0</v>
      </c>
      <c r="GC15" s="41">
        <f>MIN(1,MAX(VLOOKUP(($AI15-$AH15-$AG15-$AF15-$AE15-$AA15*(1+GC$3))/$AI15,'[8]Технический лист'!$A:$B,2,1),(GB15-0.05)))</f>
        <v>0</v>
      </c>
      <c r="GD15" s="41">
        <f>MIN(1,MAX(VLOOKUP(($AI15-$AH15-$AG15-$AF15-$AE15-$AA15*(1+GD$3))/$AI15,'[8]Технический лист'!$A:$B,2,1),(GC15-0.05)))</f>
        <v>0</v>
      </c>
      <c r="GE15" s="41">
        <f>MIN(1,MAX(VLOOKUP(($AI15-$AH15-$AG15-$AF15-$AE15-$AA15*(1+GE$3))/$AI15,'[8]Технический лист'!$A:$B,2,1),(GD15-0.05)))</f>
        <v>0</v>
      </c>
      <c r="GF15" s="41">
        <f>MIN(1,MAX(VLOOKUP(($AI15-$AH15-$AG15-$AF15-$AE15-$AA15*(1+GF$3))/$AI15,'[8]Технический лист'!$A:$B,2,1),(GE15-0.05)))</f>
        <v>0</v>
      </c>
      <c r="GG15" s="41">
        <f>MIN(1,MAX(VLOOKUP(($AI15-$AH15-$AG15-$AF15-$AE15-$AA15*(1+GG$3))/$AI15,'[8]Технический лист'!$A:$B,2,1),(GF15-0.05)))</f>
        <v>0</v>
      </c>
      <c r="GH15" s="41">
        <f>MIN(1,MAX(VLOOKUP(($AI15-$AH15-$AG15-$AF15-$AE15-$AA15*(1+GH$3))/$AI15,'[8]Технический лист'!$A:$B,2,1),(GG15-0.05)))</f>
        <v>0</v>
      </c>
      <c r="GI15" s="41">
        <f>MIN(1,MAX(VLOOKUP(($AI15-$AH15-$AG15-$AF15-$AE15-$AA15*(1+GI$3))/$AI15,'[8]Технический лист'!$A:$B,2,1),(GH15-0.05)))</f>
        <v>0</v>
      </c>
      <c r="GJ15" s="41">
        <f>MIN(1,MAX(VLOOKUP(($AI15-$AH15-$AG15-$AF15-$AE15-$AA15*(1+GJ$3))/$AI15,'[8]Технический лист'!$A:$B,2,1),(GI15-0.05)))</f>
        <v>0</v>
      </c>
      <c r="GK15" s="41">
        <f>MIN(1,MAX(VLOOKUP(($AI15-$AH15-$AG15-$AF15-$AE15-$AA15*(1+GK$3))/$AI15,'[8]Технический лист'!$A:$B,2,1),(GJ15-0.05)))</f>
        <v>0</v>
      </c>
      <c r="GL15" s="41">
        <f>MIN(1,MAX(VLOOKUP(($AI15-$AH15-$AG15-$AF15-$AE15-$AA15*(1+GL$3))/$AI15,'[8]Технический лист'!$A:$B,2,1),(GK15-0.05)))</f>
        <v>0</v>
      </c>
      <c r="GM15" s="41">
        <f>MIN(1,MAX(VLOOKUP(($AI15-$AH15-$AG15-$AF15-$AE15-$AA15*(1+GM$3))/$AI15,'[8]Технический лист'!$A:$B,2,1),(GL15-0.05)))</f>
        <v>0</v>
      </c>
      <c r="GN15" s="41">
        <f>MIN(1,MAX(VLOOKUP(($AI15-$AH15-$AG15-$AF15-$AE15-$AA15*(1+GN$3))/$AI15,'[8]Технический лист'!$A:$B,2,1),(GM15-0.05)))</f>
        <v>0</v>
      </c>
    </row>
    <row r="16" spans="1:196" ht="29.15">
      <c r="A16" s="3">
        <v>6</v>
      </c>
      <c r="B16" s="15" t="s">
        <v>61</v>
      </c>
      <c r="C16" s="4" t="s">
        <v>107</v>
      </c>
      <c r="D16" s="4" t="s">
        <v>108</v>
      </c>
      <c r="E16" s="4" t="s">
        <v>109</v>
      </c>
      <c r="F16" s="4" t="s">
        <v>57</v>
      </c>
      <c r="G16" s="4" t="s">
        <v>86</v>
      </c>
      <c r="H16" s="4" t="s">
        <v>111</v>
      </c>
      <c r="I16" s="4" t="s">
        <v>88</v>
      </c>
      <c r="J16" s="4" t="s">
        <v>134</v>
      </c>
      <c r="K16" s="4" t="s">
        <v>147</v>
      </c>
      <c r="L16" s="4" t="s">
        <v>17</v>
      </c>
      <c r="M16" s="4" t="s">
        <v>166</v>
      </c>
      <c r="N16" s="4" t="s">
        <v>56</v>
      </c>
      <c r="O16" s="4" t="s">
        <v>114</v>
      </c>
      <c r="P16" s="4" t="s">
        <v>115</v>
      </c>
      <c r="Q16" s="4" t="s">
        <v>71</v>
      </c>
      <c r="R16" s="16">
        <v>20684</v>
      </c>
      <c r="S16" s="17">
        <v>117756708</v>
      </c>
      <c r="T16" s="18">
        <v>0</v>
      </c>
      <c r="U16" s="18">
        <v>700</v>
      </c>
      <c r="V16" s="17">
        <v>87303104</v>
      </c>
      <c r="W16" s="26" t="s">
        <v>166</v>
      </c>
      <c r="X16" s="26">
        <v>66</v>
      </c>
      <c r="Y16" s="24">
        <f>362574/X16</f>
        <v>5493.545454545455</v>
      </c>
      <c r="Z16" s="20">
        <v>0</v>
      </c>
      <c r="AA16" s="27">
        <f>Y16</f>
        <v>5493.545454545455</v>
      </c>
      <c r="AB16" s="20">
        <v>17</v>
      </c>
      <c r="AC16" s="20">
        <v>0</v>
      </c>
      <c r="AD16" s="20">
        <v>4</v>
      </c>
      <c r="AE16" s="20">
        <f>'Ставки аренды'!$B$4*SUM(Лесные!AB16+Лесные!AC16+Лесные!AD16)/Лесные!X16</f>
        <v>509.09090909090907</v>
      </c>
      <c r="AF16" s="20">
        <v>0</v>
      </c>
      <c r="AG16" s="20"/>
      <c r="AH16" s="20">
        <f t="shared" ref="AH16:AH17" si="2">0.86*AI16</f>
        <v>56391.42857142858</v>
      </c>
      <c r="AI16" s="20">
        <f>Цены!$C$7</f>
        <v>65571.42857142858</v>
      </c>
      <c r="AJ16" s="20"/>
      <c r="AK16" s="21"/>
      <c r="AL16" s="20"/>
      <c r="AM16" s="20"/>
      <c r="AN16" s="29">
        <f t="shared" si="0"/>
        <v>4.8456526044761312E-2</v>
      </c>
      <c r="AO16" s="20"/>
      <c r="AP16" s="20"/>
      <c r="AQ16" s="2"/>
      <c r="AR16" s="19"/>
      <c r="AS16" s="42">
        <v>0.8</v>
      </c>
      <c r="AT16" s="41">
        <f>MIN(IF($AS16=100%,1,1+VLOOKUP(($AI16-$AH16-$AG16-$AF16-$AE16-$AA16*(1+AT$3))/$AI16,'Технический лист'!$A:$B,2,1)-VLOOKUP($AN16,'Технический лист'!$A:$B,2,1)),1+(1-$AS16))</f>
        <v>1.085</v>
      </c>
      <c r="AU16" s="41">
        <f>MIN(IF($AS16=100%,1,1+VLOOKUP(($AI16-$AH16-$AG16-$AF16-$AE16-$AA16*(1+AU$3))/$AI16,'Технический лист'!$A:$B,2,1)-VLOOKUP($AN16,'Технический лист'!$A:$B,2,1)),1+(1-$AS16))</f>
        <v>1.085</v>
      </c>
      <c r="AV16" s="41">
        <f>MIN(IF($AS16=100%,1,1+VLOOKUP(($AI16-$AH16-$AG16-$AF16-$AE16-$AA16*(1+AV$3))/$AI16,'Технический лист'!$A:$B,2,1)-VLOOKUP($AN16,'Технический лист'!$A:$B,2,1)),1+(1-$AS16))</f>
        <v>1.085</v>
      </c>
      <c r="AW16" s="41">
        <f>MIN(IF($AS16=100%,1,1+VLOOKUP(($AI16-$AH16-$AG16-$AF16-$AE16-$AA16*(1+AW$3))/$AI16,'Технический лист'!$A:$B,2,1)-VLOOKUP($AN16,'Технический лист'!$A:$B,2,1)),1+(1-$AS16))</f>
        <v>1.085</v>
      </c>
      <c r="AX16" s="41">
        <f>MIN(IF($AS16=100%,1,1+VLOOKUP(($AI16-$AH16-$AG16-$AF16-$AE16-$AA16*(1+AX$3))/$AI16,'Технический лист'!$A:$B,2,1)-VLOOKUP($AN16,'Технический лист'!$A:$B,2,1)),1+(1-$AS16))</f>
        <v>1.085</v>
      </c>
      <c r="AY16" s="41">
        <f>MIN(IF($AS16=100%,1,1+VLOOKUP(($AI16-$AH16-$AG16-$AF16-$AE16-$AA16*(1+AY$3))/$AI16,'Технический лист'!$A:$B,2,1)-VLOOKUP($AN16,'Технический лист'!$A:$B,2,1)),1+(1-$AS16))</f>
        <v>1.085</v>
      </c>
      <c r="AZ16" s="41">
        <f>MIN(IF($AS16=100%,1,1+VLOOKUP(($AI16-$AH16-$AG16-$AF16-$AE16-$AA16*(1+AZ$3))/$AI16,'Технический лист'!$A:$B,2,1)-VLOOKUP($AN16,'Технический лист'!$A:$B,2,1)),1+(1-$AS16))</f>
        <v>1.085</v>
      </c>
      <c r="BA16" s="41">
        <f>MIN(IF($AS16=100%,1,1+VLOOKUP(($AI16-$AH16-$AG16-$AF16-$AE16-$AA16*(1+BA$3))/$AI16,'Технический лист'!$A:$B,2,1)-VLOOKUP($AN16,'Технический лист'!$A:$B,2,1)),1+(1-$AS16))</f>
        <v>1.085</v>
      </c>
      <c r="BB16" s="41">
        <f>MIN(IF($AS16=100%,1,1+VLOOKUP(($AI16-$AH16-$AG16-$AF16-$AE16-$AA16*(1+BB$3))/$AI16,'Технический лист'!$A:$B,2,1)-VLOOKUP($AN16,'Технический лист'!$A:$B,2,1)),1+(1-$AS16))</f>
        <v>1.085</v>
      </c>
      <c r="BC16" s="41">
        <f>MIN(IF($AS16=100%,1,1+VLOOKUP(($AI16-$AH16-$AG16-$AF16-$AE16-$AA16*(1+BC$3))/$AI16,'Технический лист'!$A:$B,2,1)-VLOOKUP($AN16,'Технический лист'!$A:$B,2,1)),1+(1-$AS16))</f>
        <v>1.085</v>
      </c>
      <c r="BD16" s="41">
        <f>MIN(IF($AS16=100%,1,1+VLOOKUP(($AI16-$AH16-$AG16-$AF16-$AE16-$AA16*(1+BD$3))/$AI16,'Технический лист'!$A:$B,2,1)-VLOOKUP($AN16,'Технический лист'!$A:$B,2,1)),1+(1-$AS16))</f>
        <v>1.085</v>
      </c>
      <c r="BE16" s="41">
        <f>MIN(IF($AS16=100%,1,1+VLOOKUP(($AI16-$AH16-$AG16-$AF16-$AE16-$AA16*(1+BE$3))/$AI16,'Технический лист'!$A:$B,2,1)-VLOOKUP($AN16,'Технический лист'!$A:$B,2,1)),1+(1-$AS16))</f>
        <v>1.06</v>
      </c>
      <c r="BF16" s="41">
        <f>MIN(IF($AS16=100%,1,1+VLOOKUP(($AI16-$AH16-$AG16-$AF16-$AE16-$AA16*(1+BF$3))/$AI16,'Технический лист'!$A:$B,2,1)-VLOOKUP($AN16,'Технический лист'!$A:$B,2,1)),1+(1-$AS16))</f>
        <v>1.06</v>
      </c>
      <c r="BG16" s="41">
        <f>MIN(IF($AS16=100%,1,1+VLOOKUP(($AI16-$AH16-$AG16-$AF16-$AE16-$AA16*(1+BG$3))/$AI16,'Технический лист'!$A:$B,2,1)-VLOOKUP($AN16,'Технический лист'!$A:$B,2,1)),1+(1-$AS16))</f>
        <v>1.06</v>
      </c>
      <c r="BH16" s="41">
        <f>MIN(IF($AS16=100%,1,1+VLOOKUP(($AI16-$AH16-$AG16-$AF16-$AE16-$AA16*(1+BH$3))/$AI16,'Технический лист'!$A:$B,2,1)-VLOOKUP($AN16,'Технический лист'!$A:$B,2,1)),1+(1-$AS16))</f>
        <v>1.06</v>
      </c>
      <c r="BI16" s="41">
        <f>MIN(IF($AS16=100%,1,1+VLOOKUP(($AI16-$AH16-$AG16-$AF16-$AE16-$AA16*(1+BI$3))/$AI16,'Технический лист'!$A:$B,2,1)-VLOOKUP($AN16,'Технический лист'!$A:$B,2,1)),1+(1-$AS16))</f>
        <v>1.06</v>
      </c>
      <c r="BJ16" s="41">
        <f>MIN(IF($AS16=100%,1,1+VLOOKUP(($AI16-$AH16-$AG16-$AF16-$AE16-$AA16*(1+BJ$3))/$AI16,'Технический лист'!$A:$B,2,1)-VLOOKUP($AN16,'Технический лист'!$A:$B,2,1)),1+(1-$AS16))</f>
        <v>1.06</v>
      </c>
      <c r="BK16" s="41">
        <f>MIN(IF($AS16=100%,1,1+VLOOKUP(($AI16-$AH16-$AG16-$AF16-$AE16-$AA16*(1+BK$3))/$AI16,'Технический лист'!$A:$B,2,1)-VLOOKUP($AN16,'Технический лист'!$A:$B,2,1)),1+(1-$AS16))</f>
        <v>1.06</v>
      </c>
      <c r="BL16" s="41">
        <f>MIN(IF($AS16=100%,1,1+VLOOKUP(($AI16-$AH16-$AG16-$AF16-$AE16-$AA16*(1+BL$3))/$AI16,'Технический лист'!$A:$B,2,1)-VLOOKUP($AN16,'Технический лист'!$A:$B,2,1)),1+(1-$AS16))</f>
        <v>1.06</v>
      </c>
      <c r="BM16" s="41">
        <f>MIN(IF($AS16=100%,1,1+VLOOKUP(($AI16-$AH16-$AG16-$AF16-$AE16-$AA16*(1+BM$3))/$AI16,'Технический лист'!$A:$B,2,1)-VLOOKUP($AN16,'Технический лист'!$A:$B,2,1)),1+(1-$AS16))</f>
        <v>1.06</v>
      </c>
      <c r="BN16" s="41">
        <f>MIN(IF($AS16=100%,1,1+VLOOKUP(($AI16-$AH16-$AG16-$AF16-$AE16-$AA16*(1+BN$3))/$AI16,'Технический лист'!$A:$B,2,1)-VLOOKUP($AN16,'Технический лист'!$A:$B,2,1)),1+(1-$AS16))</f>
        <v>1.06</v>
      </c>
      <c r="BO16" s="41">
        <f>MIN(IF($AS16=100%,1,1+VLOOKUP(($AI16-$AH16-$AG16-$AF16-$AE16-$AA16*(1+BO$3))/$AI16,'Технический лист'!$A:$B,2,1)-VLOOKUP($AN16,'Технический лист'!$A:$B,2,1)),1+(1-$AS16))</f>
        <v>1.06</v>
      </c>
      <c r="BP16" s="41">
        <f>MIN(IF($AS16=100%,1,1+VLOOKUP(($AI16-$AH16-$AG16-$AF16-$AE16-$AA16*(1+BP$3))/$AI16,'Технический лист'!$A:$B,2,1)-VLOOKUP($AN16,'Технический лист'!$A:$B,2,1)),1+(1-$AS16))</f>
        <v>1.06</v>
      </c>
      <c r="BQ16" s="41">
        <f>MIN(IF($AS16=100%,1,1+VLOOKUP(($AI16-$AH16-$AG16-$AF16-$AE16-$AA16*(1+BQ$3))/$AI16,'Технический лист'!$A:$B,2,1)-VLOOKUP($AN16,'Технический лист'!$A:$B,2,1)),1+(1-$AS16))</f>
        <v>1.04</v>
      </c>
      <c r="BR16" s="41">
        <f>MIN(IF($AS16=100%,1,1+VLOOKUP(($AI16-$AH16-$AG16-$AF16-$AE16-$AA16*(1+BR$3))/$AI16,'Технический лист'!$A:$B,2,1)-VLOOKUP($AN16,'Технический лист'!$A:$B,2,1)),1+(1-$AS16))</f>
        <v>1.04</v>
      </c>
      <c r="BS16" s="41">
        <f>MIN(IF($AS16=100%,1,1+VLOOKUP(($AI16-$AH16-$AG16-$AF16-$AE16-$AA16*(1+BS$3))/$AI16,'Технический лист'!$A:$B,2,1)-VLOOKUP($AN16,'Технический лист'!$A:$B,2,1)),1+(1-$AS16))</f>
        <v>1.04</v>
      </c>
      <c r="BT16" s="41">
        <f>MIN(IF($AS16=100%,1,1+VLOOKUP(($AI16-$AH16-$AG16-$AF16-$AE16-$AA16*(1+BT$3))/$AI16,'Технический лист'!$A:$B,2,1)-VLOOKUP($AN16,'Технический лист'!$A:$B,2,1)),1+(1-$AS16))</f>
        <v>1.04</v>
      </c>
      <c r="BU16" s="41">
        <f>MIN(IF($AS16=100%,1,1+VLOOKUP(($AI16-$AH16-$AG16-$AF16-$AE16-$AA16*(1+BU$3))/$AI16,'Технический лист'!$A:$B,2,1)-VLOOKUP($AN16,'Технический лист'!$A:$B,2,1)),1+(1-$AS16))</f>
        <v>1.04</v>
      </c>
      <c r="BV16" s="41">
        <f>MIN(IF($AS16=100%,1,1+VLOOKUP(($AI16-$AH16-$AG16-$AF16-$AE16-$AA16*(1+BV$3))/$AI16,'Технический лист'!$A:$B,2,1)-VLOOKUP($AN16,'Технический лист'!$A:$B,2,1)),1+(1-$AS16))</f>
        <v>1.04</v>
      </c>
      <c r="BW16" s="41">
        <f>MIN(IF($AS16=100%,1,1+VLOOKUP(($AI16-$AH16-$AG16-$AF16-$AE16-$AA16*(1+BW$3))/$AI16,'Технический лист'!$A:$B,2,1)-VLOOKUP($AN16,'Технический лист'!$A:$B,2,1)),1+(1-$AS16))</f>
        <v>1.04</v>
      </c>
      <c r="BX16" s="41">
        <f>MIN(IF($AS16=100%,1,1+VLOOKUP(($AI16-$AH16-$AG16-$AF16-$AE16-$AA16*(1+BX$3))/$AI16,'Технический лист'!$A:$B,2,1)-VLOOKUP($AN16,'Технический лист'!$A:$B,2,1)),1+(1-$AS16))</f>
        <v>1.04</v>
      </c>
      <c r="BY16" s="41">
        <f>MIN(IF($AS16=100%,1,1+VLOOKUP(($AI16-$AH16-$AG16-$AF16-$AE16-$AA16*(1+BY$3))/$AI16,'Технический лист'!$A:$B,2,1)-VLOOKUP($AN16,'Технический лист'!$A:$B,2,1)),1+(1-$AS16))</f>
        <v>1.04</v>
      </c>
      <c r="BZ16" s="41">
        <f>MIN(IF($AS16=100%,1,1+VLOOKUP(($AI16-$AH16-$AG16-$AF16-$AE16-$AA16*(1+BZ$3))/$AI16,'Технический лист'!$A:$B,2,1)-VLOOKUP($AN16,'Технический лист'!$A:$B,2,1)),1+(1-$AS16))</f>
        <v>1.04</v>
      </c>
      <c r="CA16" s="41">
        <f>MIN(IF($AS16=100%,1,1+VLOOKUP(($AI16-$AH16-$AG16-$AF16-$AE16-$AA16*(1+CA$3))/$AI16,'Технический лист'!$A:$B,2,1)-VLOOKUP($AN16,'Технический лист'!$A:$B,2,1)),1+(1-$AS16))</f>
        <v>1.04</v>
      </c>
      <c r="CB16" s="41">
        <f>MIN(IF($AS16=100%,1,1+VLOOKUP(($AI16-$AH16-$AG16-$AF16-$AE16-$AA16*(1+CB$3))/$AI16,'Технический лист'!$A:$B,2,1)-VLOOKUP($AN16,'Технический лист'!$A:$B,2,1)),1+(1-$AS16))</f>
        <v>1.04</v>
      </c>
      <c r="CC16" s="41">
        <f>MIN(IF($AS16=100%,1,1+VLOOKUP(($AI16-$AH16-$AG16-$AF16-$AE16-$AA16*(1+CC$3))/$AI16,'Технический лист'!$A:$B,2,1)-VLOOKUP($AN16,'Технический лист'!$A:$B,2,1)),1+(1-$AS16))</f>
        <v>1.02</v>
      </c>
      <c r="CD16" s="41">
        <f>MIN(IF($AS16=100%,1,1+VLOOKUP(($AI16-$AH16-$AG16-$AF16-$AE16-$AA16*(1+CD$3))/$AI16,'Технический лист'!$A:$B,2,1)-VLOOKUP($AN16,'Технический лист'!$A:$B,2,1)),1+(1-$AS16))</f>
        <v>1.02</v>
      </c>
      <c r="CE16" s="41">
        <f>MIN(IF($AS16=100%,1,1+VLOOKUP(($AI16-$AH16-$AG16-$AF16-$AE16-$AA16*(1+CE$3))/$AI16,'Технический лист'!$A:$B,2,1)-VLOOKUP($AN16,'Технический лист'!$A:$B,2,1)),1+(1-$AS16))</f>
        <v>1.02</v>
      </c>
      <c r="CF16" s="41">
        <f>MIN(IF($AS16=100%,1,1+VLOOKUP(($AI16-$AH16-$AG16-$AF16-$AE16-$AA16*(1+CF$3))/$AI16,'Технический лист'!$A:$B,2,1)-VLOOKUP($AN16,'Технический лист'!$A:$B,2,1)),1+(1-$AS16))</f>
        <v>1.02</v>
      </c>
      <c r="CG16" s="41">
        <f>MIN(IF($AS16=100%,1,1+VLOOKUP(($AI16-$AH16-$AG16-$AF16-$AE16-$AA16*(1+CG$3))/$AI16,'Технический лист'!$A:$B,2,1)-VLOOKUP($AN16,'Технический лист'!$A:$B,2,1)),1+(1-$AS16))</f>
        <v>1.02</v>
      </c>
      <c r="CH16" s="41">
        <f>MIN(IF($AS16=100%,1,1+VLOOKUP(($AI16-$AH16-$AG16-$AF16-$AE16-$AA16*(1+CH$3))/$AI16,'Технический лист'!$A:$B,2,1)-VLOOKUP($AN16,'Технический лист'!$A:$B,2,1)),1+(1-$AS16))</f>
        <v>1.02</v>
      </c>
      <c r="CI16" s="41">
        <f>MIN(IF($AS16=100%,1,1+VLOOKUP(($AI16-$AH16-$AG16-$AF16-$AE16-$AA16*(1+CI$3))/$AI16,'Технический лист'!$A:$B,2,1)-VLOOKUP($AN16,'Технический лист'!$A:$B,2,1)),1+(1-$AS16))</f>
        <v>1.02</v>
      </c>
      <c r="CJ16" s="41">
        <f>MIN(IF($AS16=100%,1,1+VLOOKUP(($AI16-$AH16-$AG16-$AF16-$AE16-$AA16*(1+CJ$3))/$AI16,'Технический лист'!$A:$B,2,1)-VLOOKUP($AN16,'Технический лист'!$A:$B,2,1)),1+(1-$AS16))</f>
        <v>1.02</v>
      </c>
      <c r="CK16" s="41">
        <f>MIN(IF($AS16=100%,1,1+VLOOKUP(($AI16-$AH16-$AG16-$AF16-$AE16-$AA16*(1+CK$3))/$AI16,'Технический лист'!$A:$B,2,1)-VLOOKUP($AN16,'Технический лист'!$A:$B,2,1)),1+(1-$AS16))</f>
        <v>1.02</v>
      </c>
      <c r="CL16" s="41">
        <f>MIN(IF($AS16=100%,1,1+VLOOKUP(($AI16-$AH16-$AG16-$AF16-$AE16-$AA16*(1+CL$3))/$AI16,'Технический лист'!$A:$B,2,1)-VLOOKUP($AN16,'Технический лист'!$A:$B,2,1)),1+(1-$AS16))</f>
        <v>1.02</v>
      </c>
      <c r="CM16" s="41">
        <f>MIN(IF($AS16=100%,1,1+VLOOKUP(($AI16-$AH16-$AG16-$AF16-$AE16-$AA16*(1+CM$3))/$AI16,'Технический лист'!$A:$B,2,1)-VLOOKUP($AN16,'Технический лист'!$A:$B,2,1)),1+(1-$AS16))</f>
        <v>1.02</v>
      </c>
      <c r="CN16" s="41">
        <f>MIN(IF($AS16=100%,1,1+VLOOKUP(($AI16-$AH16-$AG16-$AF16-$AE16-$AA16*(1+CN$3))/$AI16,'Технический лист'!$A:$B,2,1)-VLOOKUP($AN16,'Технический лист'!$A:$B,2,1)),1+(1-$AS16))</f>
        <v>1.02</v>
      </c>
      <c r="CO16" s="41">
        <f>MIN(IF($AS16=100%,1,1+VLOOKUP(($AI16-$AH16-$AG16-$AF16-$AE16-$AA16*(1+CO$3))/$AI16,'Технический лист'!$A:$B,2,1)-VLOOKUP($AN16,'Технический лист'!$A:$B,2,1)),1+(1-$AS16))</f>
        <v>1</v>
      </c>
      <c r="CP16" s="41">
        <f>MIN(IF($AS16=100%,1,1+VLOOKUP(($AI16-$AH16-$AG16-$AF16-$AE16-$AA16*(1+CP$3))/$AI16,'Технический лист'!$A:$B,2,1)-VLOOKUP($AN16,'Технический лист'!$A:$B,2,1)),1+(1-$AS16))</f>
        <v>1</v>
      </c>
      <c r="CQ16" s="41">
        <f>MIN(IF($AS16=100%,1,1+VLOOKUP(($AI16-$AH16-$AG16-$AF16-$AE16-$AA16*(1+CQ$3))/$AI16,'Технический лист'!$A:$B,2,1)-VLOOKUP($AN16,'Технический лист'!$A:$B,2,1)),1+(1-$AS16))</f>
        <v>1</v>
      </c>
      <c r="CR16">
        <v>1</v>
      </c>
      <c r="CS16" s="41">
        <f>MIN(1,MAX(VLOOKUP(($AI16-$AH16-$AG16-$AF16-$AE16-$AA16*(1+CS$3))/$AI16,'[8]Технический лист'!$A:$B,2,1),(CR16-0.05)))</f>
        <v>1</v>
      </c>
      <c r="CT16" s="41">
        <f>MIN(1,MAX(VLOOKUP(($AI16-$AH16-$AG16-$AF16-$AE16-$AA16*(1+CT$3))/$AI16,'[8]Технический лист'!$A:$B,2,1),(CS16-0.05)))</f>
        <v>1</v>
      </c>
      <c r="CU16" s="41">
        <f>MIN(1,MAX(VLOOKUP(($AI16-$AH16-$AG16-$AF16-$AE16-$AA16*(1+CU$3))/$AI16,'[8]Технический лист'!$A:$B,2,1),(CT16-0.05)))</f>
        <v>1</v>
      </c>
      <c r="CV16" s="41">
        <f>MIN(1,MAX(VLOOKUP(($AI16-$AH16-$AG16-$AF16-$AE16-$AA16*(1+CV$3))/$AI16,'[8]Технический лист'!$A:$B,2,1),(CU16-0.05)))</f>
        <v>1</v>
      </c>
      <c r="CW16" s="41">
        <f>MIN(1,MAX(VLOOKUP(($AI16-$AH16-$AG16-$AF16-$AE16-$AA16*(1+CW$3))/$AI16,'[8]Технический лист'!$A:$B,2,1),(CV16-0.05)))</f>
        <v>1</v>
      </c>
      <c r="CX16" s="41">
        <f>MIN(1,MAX(VLOOKUP(($AI16-$AH16-$AG16-$AF16-$AE16-$AA16*(1+CX$3))/$AI16,'[8]Технический лист'!$A:$B,2,1),(CW16-0.05)))</f>
        <v>1</v>
      </c>
      <c r="CY16" s="41">
        <f>MIN(1,MAX(VLOOKUP(($AI16-$AH16-$AG16-$AF16-$AE16-$AA16*(1+CY$3))/$AI16,'[8]Технический лист'!$A:$B,2,1),(CX16-0.05)))</f>
        <v>1</v>
      </c>
      <c r="CZ16" s="41">
        <f>MIN(1,MAX(VLOOKUP(($AI16-$AH16-$AG16-$AF16-$AE16-$AA16*(1+CZ$3))/$AI16,'[8]Технический лист'!$A:$B,2,1),(CY16-0.05)))</f>
        <v>1</v>
      </c>
      <c r="DA16" s="41">
        <f>MIN(1,MAX(VLOOKUP(($AI16-$AH16-$AG16-$AF16-$AE16-$AA16*(1+DA$3))/$AI16,'[8]Технический лист'!$A:$B,2,1),(CZ16-0.05)))</f>
        <v>1</v>
      </c>
      <c r="DB16" s="41">
        <f>MIN(1,MAX(VLOOKUP(($AI16-$AH16-$AG16-$AF16-$AE16-$AA16*(1+DB$3))/$AI16,'[8]Технический лист'!$A:$B,2,1),(DA16-0.05)))</f>
        <v>1</v>
      </c>
      <c r="DC16" s="41">
        <f>MIN(1,MAX(VLOOKUP(($AI16-$AH16-$AG16-$AF16-$AE16-$AA16*(1+DC$3))/$AI16,'[8]Технический лист'!$A:$B,2,1),(DB16-0.05)))</f>
        <v>1</v>
      </c>
      <c r="DD16" s="41">
        <f>MIN(1,MAX(VLOOKUP(($AI16-$AH16-$AG16-$AF16-$AE16-$AA16*(1+DD$3))/$AI16,'[8]Технический лист'!$A:$B,2,1),(DC16-0.05)))</f>
        <v>1</v>
      </c>
      <c r="DE16" s="41">
        <f>MIN(1,MAX(VLOOKUP(($AI16-$AH16-$AG16-$AF16-$AE16-$AA16*(1+DE$3))/$AI16,'[8]Технический лист'!$A:$B,2,1),(DD16-0.05)))</f>
        <v>1</v>
      </c>
      <c r="DF16" s="41">
        <f>MIN(1,MAX(VLOOKUP(($AI16-$AH16-$AG16-$AF16-$AE16-$AA16*(1+DF$3))/$AI16,'[8]Технический лист'!$A:$B,2,1),(DE16-0.05)))</f>
        <v>1</v>
      </c>
      <c r="DG16" s="41">
        <f>MIN(1,MAX(VLOOKUP(($AI16-$AH16-$AG16-$AF16-$AE16-$AA16*(1+DG$3))/$AI16,'[8]Технический лист'!$A:$B,2,1),(DF16-0.05)))</f>
        <v>1</v>
      </c>
      <c r="DH16" s="41">
        <f>MIN(1,MAX(VLOOKUP(($AI16-$AH16-$AG16-$AF16-$AE16-$AA16*(1+DH$3))/$AI16,'[8]Технический лист'!$A:$B,2,1),(DG16-0.05)))</f>
        <v>1</v>
      </c>
      <c r="DI16" s="41">
        <f>MIN(1,MAX(VLOOKUP(($AI16-$AH16-$AG16-$AF16-$AE16-$AA16*(1+DI$3))/$AI16,'[8]Технический лист'!$A:$B,2,1),(DH16-0.05)))</f>
        <v>1</v>
      </c>
      <c r="DJ16" s="41">
        <f>MIN(1,MAX(VLOOKUP(($AI16-$AH16-$AG16-$AF16-$AE16-$AA16*(1+DJ$3))/$AI16,'[8]Технический лист'!$A:$B,2,1),(DI16-0.05)))</f>
        <v>1</v>
      </c>
      <c r="DK16" s="41">
        <f>MIN(1,MAX(VLOOKUP(($AI16-$AH16-$AG16-$AF16-$AE16-$AA16*(1+DK$3))/$AI16,'[8]Технический лист'!$A:$B,2,1),(DJ16-0.05)))</f>
        <v>1</v>
      </c>
      <c r="DL16" s="41">
        <f>MIN(1,MAX(VLOOKUP(($AI16-$AH16-$AG16-$AF16-$AE16-$AA16*(1+DL$3))/$AI16,'[8]Технический лист'!$A:$B,2,1),(DK16-0.05)))</f>
        <v>1</v>
      </c>
      <c r="DM16" s="41">
        <f>MIN(1,MAX(VLOOKUP(($AI16-$AH16-$AG16-$AF16-$AE16-$AA16*(1+DM$3))/$AI16,'[8]Технический лист'!$A:$B,2,1),(DL16-0.05)))</f>
        <v>1</v>
      </c>
      <c r="DN16" s="41">
        <f>MIN(1,MAX(VLOOKUP(($AI16-$AH16-$AG16-$AF16-$AE16-$AA16*(1+DN$3))/$AI16,'[8]Технический лист'!$A:$B,2,1),(DM16-0.05)))</f>
        <v>1</v>
      </c>
      <c r="DO16" s="41">
        <f>MIN(1,MAX(VLOOKUP(($AI16-$AH16-$AG16-$AF16-$AE16-$AA16*(1+DO$3))/$AI16,'[8]Технический лист'!$A:$B,2,1),(DN16-0.05)))</f>
        <v>1</v>
      </c>
      <c r="DP16" s="41">
        <f>MIN(1,MAX(VLOOKUP(($AI16-$AH16-$AG16-$AF16-$AE16-$AA16*(1+DP$3))/$AI16,'[8]Технический лист'!$A:$B,2,1),(DO16-0.05)))</f>
        <v>1</v>
      </c>
      <c r="DQ16" s="41">
        <f>MIN(1,MAX(VLOOKUP(($AI16-$AH16-$AG16-$AF16-$AE16-$AA16*(1+DQ$3))/$AI16,'[8]Технический лист'!$A:$B,2,1),(DP16-0.05)))</f>
        <v>1</v>
      </c>
      <c r="DR16" s="41">
        <f>MIN(1,MAX(VLOOKUP(($AI16-$AH16-$AG16-$AF16-$AE16-$AA16*(1+DR$3))/$AI16,'[8]Технический лист'!$A:$B,2,1),(DQ16-0.05)))</f>
        <v>1</v>
      </c>
      <c r="DS16" s="41">
        <f>MIN(1,MAX(VLOOKUP(($AI16-$AH16-$AG16-$AF16-$AE16-$AA16*(1+DS$3))/$AI16,'[8]Технический лист'!$A:$B,2,1),(DR16-0.05)))</f>
        <v>1</v>
      </c>
      <c r="DT16" s="41">
        <f>MIN(1,MAX(VLOOKUP(($AI16-$AH16-$AG16-$AF16-$AE16-$AA16*(1+DT$3))/$AI16,'[8]Технический лист'!$A:$B,2,1),(DS16-0.05)))</f>
        <v>1</v>
      </c>
      <c r="DU16" s="41">
        <f>MIN(1,MAX(VLOOKUP(($AI16-$AH16-$AG16-$AF16-$AE16-$AA16*(1+DU$3))/$AI16,'[8]Технический лист'!$A:$B,2,1),(DT16-0.05)))</f>
        <v>1</v>
      </c>
      <c r="DV16" s="41">
        <f>MIN(1,MAX(VLOOKUP(($AI16-$AH16-$AG16-$AF16-$AE16-$AA16*(1+DV$3))/$AI16,'[8]Технический лист'!$A:$B,2,1),(DU16-0.05)))</f>
        <v>1</v>
      </c>
      <c r="DW16" s="41">
        <f>MIN(1,MAX(VLOOKUP(($AI16-$AH16-$AG16-$AF16-$AE16-$AA16*(1+DW$3))/$AI16,'[8]Технический лист'!$A:$B,2,1),(DV16-0.05)))</f>
        <v>1</v>
      </c>
      <c r="DX16" s="41">
        <f>MIN(1,MAX(VLOOKUP(($AI16-$AH16-$AG16-$AF16-$AE16-$AA16*(1+DX$3))/$AI16,'[8]Технический лист'!$A:$B,2,1),(DW16-0.05)))</f>
        <v>1</v>
      </c>
      <c r="DY16" s="41">
        <f>MIN(1,MAX(VLOOKUP(($AI16-$AH16-$AG16-$AF16-$AE16-$AA16*(1+DY$3))/$AI16,'[8]Технический лист'!$A:$B,2,1),(DX16-0.05)))</f>
        <v>1</v>
      </c>
      <c r="DZ16" s="41">
        <f>MIN(1,MAX(VLOOKUP(($AI16-$AH16-$AG16-$AF16-$AE16-$AA16*(1+DZ$3))/$AI16,'[8]Технический лист'!$A:$B,2,1),(DY16-0.05)))</f>
        <v>1</v>
      </c>
      <c r="EA16" s="41">
        <f>MIN(1,MAX(VLOOKUP(($AI16-$AH16-$AG16-$AF16-$AE16-$AA16*(1+EA$3))/$AI16,'[8]Технический лист'!$A:$B,2,1),(DZ16-0.05)))</f>
        <v>1</v>
      </c>
      <c r="EB16" s="41">
        <f>MIN(1,MAX(VLOOKUP(($AI16-$AH16-$AG16-$AF16-$AE16-$AA16*(1+EB$3))/$AI16,'[8]Технический лист'!$A:$B,2,1),(EA16-0.05)))</f>
        <v>1</v>
      </c>
      <c r="EC16" s="41">
        <f>MIN(1,MAX(VLOOKUP(($AI16-$AH16-$AG16-$AF16-$AE16-$AA16*(1+EC$3))/$AI16,'[8]Технический лист'!$A:$B,2,1),(EB16-0.05)))</f>
        <v>1</v>
      </c>
      <c r="ED16" s="41">
        <f>MIN(1,MAX(VLOOKUP(($AI16-$AH16-$AG16-$AF16-$AE16-$AA16*(1+ED$3))/$AI16,'[8]Технический лист'!$A:$B,2,1),(EC16-0.05)))</f>
        <v>1</v>
      </c>
      <c r="EE16" s="41">
        <f>MIN(1,MAX(VLOOKUP(($AI16-$AH16-$AG16-$AF16-$AE16-$AA16*(1+EE$3))/$AI16,'[8]Технический лист'!$A:$B,2,1),(ED16-0.05)))</f>
        <v>1</v>
      </c>
      <c r="EF16" s="41">
        <f>MIN(1,MAX(VLOOKUP(($AI16-$AH16-$AG16-$AF16-$AE16-$AA16*(1+EF$3))/$AI16,'[8]Технический лист'!$A:$B,2,1),(EE16-0.05)))</f>
        <v>1</v>
      </c>
      <c r="EG16" s="41">
        <f>MIN(1,MAX(VLOOKUP(($AI16-$AH16-$AG16-$AF16-$AE16-$AA16*(1+EG$3))/$AI16,'[8]Технический лист'!$A:$B,2,1),(EF16-0.05)))</f>
        <v>1</v>
      </c>
      <c r="EH16" s="41">
        <f>MIN(1,MAX(VLOOKUP(($AI16-$AH16-$AG16-$AF16-$AE16-$AA16*(1+EH$3))/$AI16,'[8]Технический лист'!$A:$B,2,1),(EG16-0.05)))</f>
        <v>1</v>
      </c>
      <c r="EI16" s="41">
        <f>MIN(1,MAX(VLOOKUP(($AI16-$AH16-$AG16-$AF16-$AE16-$AA16*(1+EI$3))/$AI16,'[8]Технический лист'!$A:$B,2,1),(EH16-0.05)))</f>
        <v>1</v>
      </c>
      <c r="EJ16" s="41">
        <f>MIN(1,MAX(VLOOKUP(($AI16-$AH16-$AG16-$AF16-$AE16-$AA16*(1+EJ$3))/$AI16,'[8]Технический лист'!$A:$B,2,1),(EI16-0.05)))</f>
        <v>1</v>
      </c>
      <c r="EK16" s="41">
        <f>MIN(1,MAX(VLOOKUP(($AI16-$AH16-$AG16-$AF16-$AE16-$AA16*(1+EK$3))/$AI16,'[8]Технический лист'!$A:$B,2,1),(EJ16-0.05)))</f>
        <v>1</v>
      </c>
      <c r="EL16" s="41">
        <f>MIN(1,MAX(VLOOKUP(($AI16-$AH16-$AG16-$AF16-$AE16-$AA16*(1+EL$3))/$AI16,'[8]Технический лист'!$A:$B,2,1),(EK16-0.05)))</f>
        <v>1</v>
      </c>
      <c r="EM16" s="41">
        <f>MIN(1,MAX(VLOOKUP(($AI16-$AH16-$AG16-$AF16-$AE16-$AA16*(1+EM$3))/$AI16,'[8]Технический лист'!$A:$B,2,1),(EL16-0.05)))</f>
        <v>1</v>
      </c>
      <c r="EN16" s="41">
        <f>MIN(1,MAX(VLOOKUP(($AI16-$AH16-$AG16-$AF16-$AE16-$AA16*(1+EN$3))/$AI16,'[8]Технический лист'!$A:$B,2,1),(EM16-0.05)))</f>
        <v>1</v>
      </c>
      <c r="EO16" s="41">
        <f>MIN(1,MAX(VLOOKUP(($AI16-$AH16-$AG16-$AF16-$AE16-$AA16*(1+EO$3))/$AI16,'[8]Технический лист'!$A:$B,2,1),(EN16-0.05)))</f>
        <v>1</v>
      </c>
      <c r="EP16" s="41">
        <f>MIN(1,MAX(VLOOKUP(($AI16-$AH16-$AG16-$AF16-$AE16-$AA16*(1+EP$3))/$AI16,'[8]Технический лист'!$A:$B,2,1),(EO16-0.05)))</f>
        <v>1</v>
      </c>
      <c r="EQ16" s="41">
        <f>MIN(1,MAX(VLOOKUP(($AI16-$AH16-$AG16-$AF16-$AE16-$AA16*(1+EQ$3))/$AI16,'[8]Технический лист'!$A:$B,2,1),(EP16-0.05)))</f>
        <v>1</v>
      </c>
      <c r="ER16" s="41">
        <f>MIN(1,MAX(VLOOKUP(($AI16-$AH16-$AG16-$AF16-$AE16-$AA16*(1+ER$3))/$AI16,'[8]Технический лист'!$A:$B,2,1),(EQ16-0.05)))</f>
        <v>1</v>
      </c>
      <c r="ES16" s="41">
        <f>MIN(1,MAX(VLOOKUP(($AI16-$AH16-$AG16-$AF16-$AE16-$AA16*(1+ES$3))/$AI16,'[8]Технический лист'!$A:$B,2,1),(ER16-0.05)))</f>
        <v>1</v>
      </c>
      <c r="ET16" s="41">
        <f>MIN(1,MAX(VLOOKUP(($AI16-$AH16-$AG16-$AF16-$AE16-$AA16*(1+ET$3))/$AI16,'[8]Технический лист'!$A:$B,2,1),(ES16-0.05)))</f>
        <v>1</v>
      </c>
      <c r="EU16" s="41">
        <f>MIN(1,MAX(VLOOKUP(($AI16-$AH16-$AG16-$AF16-$AE16-$AA16*(1+EU$3))/$AI16,'[8]Технический лист'!$A:$B,2,1),(ET16-0.05)))</f>
        <v>1</v>
      </c>
      <c r="EV16" s="41">
        <f>MIN(1,MAX(VLOOKUP(($AI16-$AH16-$AG16-$AF16-$AE16-$AA16*(1+EV$3))/$AI16,'[8]Технический лист'!$A:$B,2,1),(EU16-0.05)))</f>
        <v>1</v>
      </c>
      <c r="EW16" s="41">
        <f>MIN(1,MAX(VLOOKUP(($AI16-$AH16-$AG16-$AF16-$AE16-$AA16*(1+EW$3))/$AI16,'[8]Технический лист'!$A:$B,2,1),(EV16-0.05)))</f>
        <v>1</v>
      </c>
      <c r="EX16" s="41">
        <f>MIN(1,MAX(VLOOKUP(($AI16-$AH16-$AG16-$AF16-$AE16-$AA16*(1+EX$3))/$AI16,'[8]Технический лист'!$A:$B,2,1),(EW16-0.05)))</f>
        <v>1</v>
      </c>
      <c r="EY16" s="41">
        <f>MIN(1,MAX(VLOOKUP(($AI16-$AH16-$AG16-$AF16-$AE16-$AA16*(1+EY$3))/$AI16,'[8]Технический лист'!$A:$B,2,1),(EX16-0.05)))</f>
        <v>1</v>
      </c>
      <c r="EZ16" s="41">
        <f>MIN(1,MAX(VLOOKUP(($AI16-$AH16-$AG16-$AF16-$AE16-$AA16*(1+EZ$3))/$AI16,'[8]Технический лист'!$A:$B,2,1),(EY16-0.05)))</f>
        <v>1</v>
      </c>
      <c r="FA16" s="41">
        <f>MIN(1,MAX(VLOOKUP(($AI16-$AH16-$AG16-$AF16-$AE16-$AA16*(1+FA$3))/$AI16,'[8]Технический лист'!$A:$B,2,1),(EZ16-0.05)))</f>
        <v>1</v>
      </c>
      <c r="FB16" s="41">
        <f>MIN(1,MAX(VLOOKUP(($AI16-$AH16-$AG16-$AF16-$AE16-$AA16*(1+FB$3))/$AI16,'[8]Технический лист'!$A:$B,2,1),(FA16-0.05)))</f>
        <v>1</v>
      </c>
      <c r="FC16" s="41">
        <f>MIN(1,MAX(VLOOKUP(($AI16-$AH16-$AG16-$AF16-$AE16-$AA16*(1+FC$3))/$AI16,'[8]Технический лист'!$A:$B,2,1),(FB16-0.05)))</f>
        <v>1</v>
      </c>
      <c r="FD16" s="41">
        <f>MIN(1,MAX(VLOOKUP(($AI16-$AH16-$AG16-$AF16-$AE16-$AA16*(1+FD$3))/$AI16,'[8]Технический лист'!$A:$B,2,1),(FC16-0.05)))</f>
        <v>1</v>
      </c>
      <c r="FE16" s="41">
        <f>MIN(1,MAX(VLOOKUP(($AI16-$AH16-$AG16-$AF16-$AE16-$AA16*(1+FE$3))/$AI16,'[8]Технический лист'!$A:$B,2,1),(FD16-0.05)))</f>
        <v>1</v>
      </c>
      <c r="FF16" s="41">
        <f>MIN(1,MAX(VLOOKUP(($AI16-$AH16-$AG16-$AF16-$AE16-$AA16*(1+FF$3))/$AI16,'[8]Технический лист'!$A:$B,2,1),(FE16-0.05)))</f>
        <v>1</v>
      </c>
      <c r="FG16" s="41">
        <f>MIN(1,MAX(VLOOKUP(($AI16-$AH16-$AG16-$AF16-$AE16-$AA16*(1+FG$3))/$AI16,'[8]Технический лист'!$A:$B,2,1),(FF16-0.05)))</f>
        <v>1</v>
      </c>
      <c r="FH16" s="41">
        <f>MIN(1,MAX(VLOOKUP(($AI16-$AH16-$AG16-$AF16-$AE16-$AA16*(1+FH$3))/$AI16,'[8]Технический лист'!$A:$B,2,1),(FG16-0.05)))</f>
        <v>1</v>
      </c>
      <c r="FI16" s="41">
        <f>MIN(1,MAX(VLOOKUP(($AI16-$AH16-$AG16-$AF16-$AE16-$AA16*(1+FI$3))/$AI16,'[8]Технический лист'!$A:$B,2,1),(FH16-0.05)))</f>
        <v>1</v>
      </c>
      <c r="FJ16" s="41">
        <f>MIN(1,MAX(VLOOKUP(($AI16-$AH16-$AG16-$AF16-$AE16-$AA16*(1+FJ$3))/$AI16,'[8]Технический лист'!$A:$B,2,1),(FI16-0.05)))</f>
        <v>1</v>
      </c>
      <c r="FK16" s="41">
        <f>MIN(1,MAX(VLOOKUP(($AI16-$AH16-$AG16-$AF16-$AE16-$AA16*(1+FK$3))/$AI16,'[8]Технический лист'!$A:$B,2,1),(FJ16-0.05)))</f>
        <v>1</v>
      </c>
      <c r="FL16" s="41">
        <f>MIN(1,MAX(VLOOKUP(($AI16-$AH16-$AG16-$AF16-$AE16-$AA16*(1+FL$3))/$AI16,'[8]Технический лист'!$A:$B,2,1),(FK16-0.05)))</f>
        <v>1</v>
      </c>
      <c r="FM16" s="41">
        <f>MIN(1,MAX(VLOOKUP(($AI16-$AH16-$AG16-$AF16-$AE16-$AA16*(1+FM$3))/$AI16,'[8]Технический лист'!$A:$B,2,1),(FL16-0.05)))</f>
        <v>1</v>
      </c>
      <c r="FN16" s="41">
        <f>MIN(1,MAX(VLOOKUP(($AI16-$AH16-$AG16-$AF16-$AE16-$AA16*(1+FN$3))/$AI16,'[8]Технический лист'!$A:$B,2,1),(FM16-0.05)))</f>
        <v>1</v>
      </c>
      <c r="FO16" s="41">
        <f>MIN(1,MAX(VLOOKUP(($AI16-$AH16-$AG16-$AF16-$AE16-$AA16*(1+FO$3))/$AI16,'[8]Технический лист'!$A:$B,2,1),(FN16-0.05)))</f>
        <v>1</v>
      </c>
      <c r="FP16" s="41">
        <f>MIN(1,MAX(VLOOKUP(($AI16-$AH16-$AG16-$AF16-$AE16-$AA16*(1+FP$3))/$AI16,'[8]Технический лист'!$A:$B,2,1),(FO16-0.05)))</f>
        <v>1</v>
      </c>
      <c r="FQ16" s="41">
        <f>MIN(1,MAX(VLOOKUP(($AI16-$AH16-$AG16-$AF16-$AE16-$AA16*(1+FQ$3))/$AI16,'[8]Технический лист'!$A:$B,2,1),(FP16-0.05)))</f>
        <v>1</v>
      </c>
      <c r="FR16" s="41">
        <f>MIN(1,MAX(VLOOKUP(($AI16-$AH16-$AG16-$AF16-$AE16-$AA16*(1+FR$3))/$AI16,'[8]Технический лист'!$A:$B,2,1),(FQ16-0.05)))</f>
        <v>1</v>
      </c>
      <c r="FS16" s="41">
        <f>MIN(1,MAX(VLOOKUP(($AI16-$AH16-$AG16-$AF16-$AE16-$AA16*(1+FS$3))/$AI16,'[8]Технический лист'!$A:$B,2,1),(FR16-0.05)))</f>
        <v>1</v>
      </c>
      <c r="FT16" s="41">
        <f>MIN(1,MAX(VLOOKUP(($AI16-$AH16-$AG16-$AF16-$AE16-$AA16*(1+FT$3))/$AI16,'[8]Технический лист'!$A:$B,2,1),(FS16-0.05)))</f>
        <v>1</v>
      </c>
      <c r="FU16" s="41">
        <f>MIN(1,MAX(VLOOKUP(($AI16-$AH16-$AG16-$AF16-$AE16-$AA16*(1+FU$3))/$AI16,'[8]Технический лист'!$A:$B,2,1),(FT16-0.05)))</f>
        <v>1</v>
      </c>
      <c r="FV16" s="41">
        <f>MIN(1,MAX(VLOOKUP(($AI16-$AH16-$AG16-$AF16-$AE16-$AA16*(1+FV$3))/$AI16,'[8]Технический лист'!$A:$B,2,1),(FU16-0.05)))</f>
        <v>1</v>
      </c>
      <c r="FW16" s="41">
        <f>MIN(1,MAX(VLOOKUP(($AI16-$AH16-$AG16-$AF16-$AE16-$AA16*(1+FW$3))/$AI16,'[8]Технический лист'!$A:$B,2,1),(FV16-0.05)))</f>
        <v>1</v>
      </c>
      <c r="FX16" s="41">
        <f>MIN(1,MAX(VLOOKUP(($AI16-$AH16-$AG16-$AF16-$AE16-$AA16*(1+FX$3))/$AI16,'[8]Технический лист'!$A:$B,2,1),(FW16-0.05)))</f>
        <v>1</v>
      </c>
      <c r="FY16" s="41">
        <f>MIN(1,MAX(VLOOKUP(($AI16-$AH16-$AG16-$AF16-$AE16-$AA16*(1+FY$3))/$AI16,'[8]Технический лист'!$A:$B,2,1),(FX16-0.05)))</f>
        <v>1</v>
      </c>
      <c r="FZ16" s="41">
        <f>MIN(1,MAX(VLOOKUP(($AI16-$AH16-$AG16-$AF16-$AE16-$AA16*(1+FZ$3))/$AI16,'[8]Технический лист'!$A:$B,2,1),(FY16-0.05)))</f>
        <v>1</v>
      </c>
      <c r="GA16" s="41">
        <f>MIN(1,MAX(VLOOKUP(($AI16-$AH16-$AG16-$AF16-$AE16-$AA16*(1+GA$3))/$AI16,'[8]Технический лист'!$A:$B,2,1),(FZ16-0.05)))</f>
        <v>1</v>
      </c>
      <c r="GB16" s="41">
        <f>MIN(1,MAX(VLOOKUP(($AI16-$AH16-$AG16-$AF16-$AE16-$AA16*(1+GB$3))/$AI16,'[8]Технический лист'!$A:$B,2,1),(GA16-0.05)))</f>
        <v>1</v>
      </c>
      <c r="GC16" s="41">
        <f>MIN(1,MAX(VLOOKUP(($AI16-$AH16-$AG16-$AF16-$AE16-$AA16*(1+GC$3))/$AI16,'[8]Технический лист'!$A:$B,2,1),(GB16-0.05)))</f>
        <v>1</v>
      </c>
      <c r="GD16" s="41">
        <f>MIN(1,MAX(VLOOKUP(($AI16-$AH16-$AG16-$AF16-$AE16-$AA16*(1+GD$3))/$AI16,'[8]Технический лист'!$A:$B,2,1),(GC16-0.05)))</f>
        <v>1</v>
      </c>
      <c r="GE16" s="41">
        <f>MIN(1,MAX(VLOOKUP(($AI16-$AH16-$AG16-$AF16-$AE16-$AA16*(1+GE$3))/$AI16,'[8]Технический лист'!$A:$B,2,1),(GD16-0.05)))</f>
        <v>1</v>
      </c>
      <c r="GF16" s="41">
        <f>MIN(1,MAX(VLOOKUP(($AI16-$AH16-$AG16-$AF16-$AE16-$AA16*(1+GF$3))/$AI16,'[8]Технический лист'!$A:$B,2,1),(GE16-0.05)))</f>
        <v>1</v>
      </c>
      <c r="GG16" s="41">
        <f>MIN(1,MAX(VLOOKUP(($AI16-$AH16-$AG16-$AF16-$AE16-$AA16*(1+GG$3))/$AI16,'[8]Технический лист'!$A:$B,2,1),(GF16-0.05)))</f>
        <v>1</v>
      </c>
      <c r="GH16" s="41">
        <f>MIN(1,MAX(VLOOKUP(($AI16-$AH16-$AG16-$AF16-$AE16-$AA16*(1+GH$3))/$AI16,'[8]Технический лист'!$A:$B,2,1),(GG16-0.05)))</f>
        <v>1</v>
      </c>
      <c r="GI16" s="41">
        <f>MIN(1,MAX(VLOOKUP(($AI16-$AH16-$AG16-$AF16-$AE16-$AA16*(1+GI$3))/$AI16,'[8]Технический лист'!$A:$B,2,1),(GH16-0.05)))</f>
        <v>1</v>
      </c>
      <c r="GJ16" s="41">
        <f>MIN(1,MAX(VLOOKUP(($AI16-$AH16-$AG16-$AF16-$AE16-$AA16*(1+GJ$3))/$AI16,'[8]Технический лист'!$A:$B,2,1),(GI16-0.05)))</f>
        <v>1</v>
      </c>
      <c r="GK16" s="41">
        <f>MIN(1,MAX(VLOOKUP(($AI16-$AH16-$AG16-$AF16-$AE16-$AA16*(1+GK$3))/$AI16,'[8]Технический лист'!$A:$B,2,1),(GJ16-0.05)))</f>
        <v>1</v>
      </c>
      <c r="GL16" s="41">
        <f>MIN(1,MAX(VLOOKUP(($AI16-$AH16-$AG16-$AF16-$AE16-$AA16*(1+GL$3))/$AI16,'[8]Технический лист'!$A:$B,2,1),(GK16-0.05)))</f>
        <v>1</v>
      </c>
      <c r="GM16" s="41">
        <f>MIN(1,MAX(VLOOKUP(($AI16-$AH16-$AG16-$AF16-$AE16-$AA16*(1+GM$3))/$AI16,'[8]Технический лист'!$A:$B,2,1),(GL16-0.05)))</f>
        <v>1</v>
      </c>
      <c r="GN16" s="41">
        <f>MIN(1,MAX(VLOOKUP(($AI16-$AH16-$AG16-$AF16-$AE16-$AA16*(1+GN$3))/$AI16,'[8]Технический лист'!$A:$B,2,1),(GM16-0.05)))</f>
        <v>1</v>
      </c>
    </row>
    <row r="17" spans="1:196">
      <c r="A17" s="3">
        <v>6</v>
      </c>
      <c r="B17" s="15" t="s">
        <v>61</v>
      </c>
      <c r="C17" s="4" t="s">
        <v>63</v>
      </c>
      <c r="D17" s="4" t="s">
        <v>64</v>
      </c>
      <c r="E17" s="4" t="s">
        <v>65</v>
      </c>
      <c r="F17" s="4" t="s">
        <v>22</v>
      </c>
      <c r="G17" s="4" t="s">
        <v>60</v>
      </c>
      <c r="H17" s="4" t="s">
        <v>135</v>
      </c>
      <c r="I17" s="4" t="s">
        <v>129</v>
      </c>
      <c r="J17" s="4" t="s">
        <v>136</v>
      </c>
      <c r="K17" s="4" t="s">
        <v>147</v>
      </c>
      <c r="L17" s="4" t="s">
        <v>17</v>
      </c>
      <c r="M17" s="4" t="s">
        <v>166</v>
      </c>
      <c r="N17" s="4" t="s">
        <v>55</v>
      </c>
      <c r="O17" s="4" t="s">
        <v>137</v>
      </c>
      <c r="P17" s="4" t="s">
        <v>138</v>
      </c>
      <c r="Q17" s="4" t="s">
        <v>71</v>
      </c>
      <c r="R17" s="16">
        <v>51016</v>
      </c>
      <c r="S17" s="17">
        <v>90648917</v>
      </c>
      <c r="T17" s="18">
        <v>0</v>
      </c>
      <c r="U17" s="18">
        <v>1796</v>
      </c>
      <c r="V17" s="17">
        <v>82696820</v>
      </c>
      <c r="W17" s="26" t="s">
        <v>166</v>
      </c>
      <c r="X17" s="26">
        <v>68</v>
      </c>
      <c r="Y17" s="24">
        <f>147430/X17</f>
        <v>2168.0882352941176</v>
      </c>
      <c r="Z17" s="20">
        <v>0</v>
      </c>
      <c r="AA17" s="27">
        <f t="shared" ref="AA17:AA18" si="3">Y17</f>
        <v>2168.0882352941176</v>
      </c>
      <c r="AB17" s="20">
        <v>8</v>
      </c>
      <c r="AC17" s="20">
        <v>0</v>
      </c>
      <c r="AD17" s="20">
        <v>4</v>
      </c>
      <c r="AE17" s="20">
        <f>'Ставки аренды'!$B$4*SUM(Лесные!AB17+Лесные!AC17+Лесные!AD17)/Лесные!X17</f>
        <v>282.35294117647061</v>
      </c>
      <c r="AF17" s="20">
        <v>0</v>
      </c>
      <c r="AG17" s="20"/>
      <c r="AH17" s="20">
        <f t="shared" si="2"/>
        <v>21301.538461538461</v>
      </c>
      <c r="AI17" s="20">
        <f>Цены!$C$3</f>
        <v>24769.23076923077</v>
      </c>
      <c r="AJ17" s="20"/>
      <c r="AK17" s="21"/>
      <c r="AL17" s="20"/>
      <c r="AM17" s="20"/>
      <c r="AN17" s="29">
        <f t="shared" si="0"/>
        <v>4.1069145049324109E-2</v>
      </c>
      <c r="AO17" s="20"/>
      <c r="AP17" s="20"/>
      <c r="AQ17" s="2"/>
      <c r="AR17" s="19"/>
      <c r="AS17" s="42">
        <v>0.8</v>
      </c>
      <c r="AT17" s="41">
        <f>MIN(IF($AS17=100%,1,1+VLOOKUP(($AI17-$AH17-$AG17-$AF17-$AE17-$AA17*(1+AT$3))/$AI17,'Технический лист'!$A:$B,2,1)-VLOOKUP($AN17,'Технический лист'!$A:$B,2,1)),1+(1-$AS17))</f>
        <v>1.0799999999999998</v>
      </c>
      <c r="AU17" s="41">
        <f>MIN(IF($AS17=100%,1,1+VLOOKUP(($AI17-$AH17-$AG17-$AF17-$AE17-$AA17*(1+AU$3))/$AI17,'Технический лист'!$A:$B,2,1)-VLOOKUP($AN17,'Технический лист'!$A:$B,2,1)),1+(1-$AS17))</f>
        <v>1.0799999999999998</v>
      </c>
      <c r="AV17" s="41">
        <f>MIN(IF($AS17=100%,1,1+VLOOKUP(($AI17-$AH17-$AG17-$AF17-$AE17-$AA17*(1+AV$3))/$AI17,'Технический лист'!$A:$B,2,1)-VLOOKUP($AN17,'Технический лист'!$A:$B,2,1)),1+(1-$AS17))</f>
        <v>1.0799999999999998</v>
      </c>
      <c r="AW17" s="41">
        <f>MIN(IF($AS17=100%,1,1+VLOOKUP(($AI17-$AH17-$AG17-$AF17-$AE17-$AA17*(1+AW$3))/$AI17,'Технический лист'!$A:$B,2,1)-VLOOKUP($AN17,'Технический лист'!$A:$B,2,1)),1+(1-$AS17))</f>
        <v>1.0799999999999998</v>
      </c>
      <c r="AX17" s="41">
        <f>MIN(IF($AS17=100%,1,1+VLOOKUP(($AI17-$AH17-$AG17-$AF17-$AE17-$AA17*(1+AX$3))/$AI17,'Технический лист'!$A:$B,2,1)-VLOOKUP($AN17,'Технический лист'!$A:$B,2,1)),1+(1-$AS17))</f>
        <v>1.0799999999999998</v>
      </c>
      <c r="AY17" s="41">
        <f>MIN(IF($AS17=100%,1,1+VLOOKUP(($AI17-$AH17-$AG17-$AF17-$AE17-$AA17*(1+AY$3))/$AI17,'Технический лист'!$A:$B,2,1)-VLOOKUP($AN17,'Технический лист'!$A:$B,2,1)),1+(1-$AS17))</f>
        <v>1.0799999999999998</v>
      </c>
      <c r="AZ17" s="41">
        <f>MIN(IF($AS17=100%,1,1+VLOOKUP(($AI17-$AH17-$AG17-$AF17-$AE17-$AA17*(1+AZ$3))/$AI17,'Технический лист'!$A:$B,2,1)-VLOOKUP($AN17,'Технический лист'!$A:$B,2,1)),1+(1-$AS17))</f>
        <v>1.0799999999999998</v>
      </c>
      <c r="BA17" s="41">
        <f>MIN(IF($AS17=100%,1,1+VLOOKUP(($AI17-$AH17-$AG17-$AF17-$AE17-$AA17*(1+BA$3))/$AI17,'Технический лист'!$A:$B,2,1)-VLOOKUP($AN17,'Технический лист'!$A:$B,2,1)),1+(1-$AS17))</f>
        <v>1.0599999999999998</v>
      </c>
      <c r="BB17" s="41">
        <f>MIN(IF($AS17=100%,1,1+VLOOKUP(($AI17-$AH17-$AG17-$AF17-$AE17-$AA17*(1+BB$3))/$AI17,'Технический лист'!$A:$B,2,1)-VLOOKUP($AN17,'Технический лист'!$A:$B,2,1)),1+(1-$AS17))</f>
        <v>1.0599999999999998</v>
      </c>
      <c r="BC17" s="41">
        <f>MIN(IF($AS17=100%,1,1+VLOOKUP(($AI17-$AH17-$AG17-$AF17-$AE17-$AA17*(1+BC$3))/$AI17,'Технический лист'!$A:$B,2,1)-VLOOKUP($AN17,'Технический лист'!$A:$B,2,1)),1+(1-$AS17))</f>
        <v>1.0599999999999998</v>
      </c>
      <c r="BD17" s="41">
        <f>MIN(IF($AS17=100%,1,1+VLOOKUP(($AI17-$AH17-$AG17-$AF17-$AE17-$AA17*(1+BD$3))/$AI17,'Технический лист'!$A:$B,2,1)-VLOOKUP($AN17,'Технический лист'!$A:$B,2,1)),1+(1-$AS17))</f>
        <v>1.0599999999999998</v>
      </c>
      <c r="BE17" s="41">
        <f>MIN(IF($AS17=100%,1,1+VLOOKUP(($AI17-$AH17-$AG17-$AF17-$AE17-$AA17*(1+BE$3))/$AI17,'Технический лист'!$A:$B,2,1)-VLOOKUP($AN17,'Технический лист'!$A:$B,2,1)),1+(1-$AS17))</f>
        <v>1.0599999999999998</v>
      </c>
      <c r="BF17" s="41">
        <f>MIN(IF($AS17=100%,1,1+VLOOKUP(($AI17-$AH17-$AG17-$AF17-$AE17-$AA17*(1+BF$3))/$AI17,'Технический лист'!$A:$B,2,1)-VLOOKUP($AN17,'Технический лист'!$A:$B,2,1)),1+(1-$AS17))</f>
        <v>1.0599999999999998</v>
      </c>
      <c r="BG17" s="41">
        <f>MIN(IF($AS17=100%,1,1+VLOOKUP(($AI17-$AH17-$AG17-$AF17-$AE17-$AA17*(1+BG$3))/$AI17,'Технический лист'!$A:$B,2,1)-VLOOKUP($AN17,'Технический лист'!$A:$B,2,1)),1+(1-$AS17))</f>
        <v>1.0599999999999998</v>
      </c>
      <c r="BH17" s="41">
        <f>MIN(IF($AS17=100%,1,1+VLOOKUP(($AI17-$AH17-$AG17-$AF17-$AE17-$AA17*(1+BH$3))/$AI17,'Технический лист'!$A:$B,2,1)-VLOOKUP($AN17,'Технический лист'!$A:$B,2,1)),1+(1-$AS17))</f>
        <v>1.0599999999999998</v>
      </c>
      <c r="BI17" s="41">
        <f>MIN(IF($AS17=100%,1,1+VLOOKUP(($AI17-$AH17-$AG17-$AF17-$AE17-$AA17*(1+BI$3))/$AI17,'Технический лист'!$A:$B,2,1)-VLOOKUP($AN17,'Технический лист'!$A:$B,2,1)),1+(1-$AS17))</f>
        <v>1.0599999999999998</v>
      </c>
      <c r="BJ17" s="41">
        <f>MIN(IF($AS17=100%,1,1+VLOOKUP(($AI17-$AH17-$AG17-$AF17-$AE17-$AA17*(1+BJ$3))/$AI17,'Технический лист'!$A:$B,2,1)-VLOOKUP($AN17,'Технический лист'!$A:$B,2,1)),1+(1-$AS17))</f>
        <v>1.0599999999999998</v>
      </c>
      <c r="BK17" s="41">
        <f>MIN(IF($AS17=100%,1,1+VLOOKUP(($AI17-$AH17-$AG17-$AF17-$AE17-$AA17*(1+BK$3))/$AI17,'Технический лист'!$A:$B,2,1)-VLOOKUP($AN17,'Технический лист'!$A:$B,2,1)),1+(1-$AS17))</f>
        <v>1.0599999999999998</v>
      </c>
      <c r="BL17" s="41">
        <f>MIN(IF($AS17=100%,1,1+VLOOKUP(($AI17-$AH17-$AG17-$AF17-$AE17-$AA17*(1+BL$3))/$AI17,'Технический лист'!$A:$B,2,1)-VLOOKUP($AN17,'Технический лист'!$A:$B,2,1)),1+(1-$AS17))</f>
        <v>1.0599999999999998</v>
      </c>
      <c r="BM17" s="41">
        <f>MIN(IF($AS17=100%,1,1+VLOOKUP(($AI17-$AH17-$AG17-$AF17-$AE17-$AA17*(1+BM$3))/$AI17,'Технический лист'!$A:$B,2,1)-VLOOKUP($AN17,'Технический лист'!$A:$B,2,1)),1+(1-$AS17))</f>
        <v>1.0399999999999998</v>
      </c>
      <c r="BN17" s="41">
        <f>MIN(IF($AS17=100%,1,1+VLOOKUP(($AI17-$AH17-$AG17-$AF17-$AE17-$AA17*(1+BN$3))/$AI17,'Технический лист'!$A:$B,2,1)-VLOOKUP($AN17,'Технический лист'!$A:$B,2,1)),1+(1-$AS17))</f>
        <v>1.0399999999999998</v>
      </c>
      <c r="BO17" s="41">
        <f>MIN(IF($AS17=100%,1,1+VLOOKUP(($AI17-$AH17-$AG17-$AF17-$AE17-$AA17*(1+BO$3))/$AI17,'Технический лист'!$A:$B,2,1)-VLOOKUP($AN17,'Технический лист'!$A:$B,2,1)),1+(1-$AS17))</f>
        <v>1.0399999999999998</v>
      </c>
      <c r="BP17" s="41">
        <f>MIN(IF($AS17=100%,1,1+VLOOKUP(($AI17-$AH17-$AG17-$AF17-$AE17-$AA17*(1+BP$3))/$AI17,'Технический лист'!$A:$B,2,1)-VLOOKUP($AN17,'Технический лист'!$A:$B,2,1)),1+(1-$AS17))</f>
        <v>1.0399999999999998</v>
      </c>
      <c r="BQ17" s="41">
        <f>MIN(IF($AS17=100%,1,1+VLOOKUP(($AI17-$AH17-$AG17-$AF17-$AE17-$AA17*(1+BQ$3))/$AI17,'Технический лист'!$A:$B,2,1)-VLOOKUP($AN17,'Технический лист'!$A:$B,2,1)),1+(1-$AS17))</f>
        <v>1.0399999999999998</v>
      </c>
      <c r="BR17" s="41">
        <f>MIN(IF($AS17=100%,1,1+VLOOKUP(($AI17-$AH17-$AG17-$AF17-$AE17-$AA17*(1+BR$3))/$AI17,'Технический лист'!$A:$B,2,1)-VLOOKUP($AN17,'Технический лист'!$A:$B,2,1)),1+(1-$AS17))</f>
        <v>1.0399999999999998</v>
      </c>
      <c r="BS17" s="41">
        <f>MIN(IF($AS17=100%,1,1+VLOOKUP(($AI17-$AH17-$AG17-$AF17-$AE17-$AA17*(1+BS$3))/$AI17,'Технический лист'!$A:$B,2,1)-VLOOKUP($AN17,'Технический лист'!$A:$B,2,1)),1+(1-$AS17))</f>
        <v>1.0399999999999998</v>
      </c>
      <c r="BT17" s="41">
        <f>MIN(IF($AS17=100%,1,1+VLOOKUP(($AI17-$AH17-$AG17-$AF17-$AE17-$AA17*(1+BT$3))/$AI17,'Технический лист'!$A:$B,2,1)-VLOOKUP($AN17,'Технический лист'!$A:$B,2,1)),1+(1-$AS17))</f>
        <v>1.0399999999999998</v>
      </c>
      <c r="BU17" s="41">
        <f>MIN(IF($AS17=100%,1,1+VLOOKUP(($AI17-$AH17-$AG17-$AF17-$AE17-$AA17*(1+BU$3))/$AI17,'Технический лист'!$A:$B,2,1)-VLOOKUP($AN17,'Технический лист'!$A:$B,2,1)),1+(1-$AS17))</f>
        <v>1.0399999999999998</v>
      </c>
      <c r="BV17" s="41">
        <f>MIN(IF($AS17=100%,1,1+VLOOKUP(($AI17-$AH17-$AG17-$AF17-$AE17-$AA17*(1+BV$3))/$AI17,'Технический лист'!$A:$B,2,1)-VLOOKUP($AN17,'Технический лист'!$A:$B,2,1)),1+(1-$AS17))</f>
        <v>1.0399999999999998</v>
      </c>
      <c r="BW17" s="41">
        <f>MIN(IF($AS17=100%,1,1+VLOOKUP(($AI17-$AH17-$AG17-$AF17-$AE17-$AA17*(1+BW$3))/$AI17,'Технический лист'!$A:$B,2,1)-VLOOKUP($AN17,'Технический лист'!$A:$B,2,1)),1+(1-$AS17))</f>
        <v>1.0399999999999998</v>
      </c>
      <c r="BX17" s="41">
        <f>MIN(IF($AS17=100%,1,1+VLOOKUP(($AI17-$AH17-$AG17-$AF17-$AE17-$AA17*(1+BX$3))/$AI17,'Технический лист'!$A:$B,2,1)-VLOOKUP($AN17,'Технический лист'!$A:$B,2,1)),1+(1-$AS17))</f>
        <v>1.0199999999999998</v>
      </c>
      <c r="BY17" s="41">
        <f>MIN(IF($AS17=100%,1,1+VLOOKUP(($AI17-$AH17-$AG17-$AF17-$AE17-$AA17*(1+BY$3))/$AI17,'Технический лист'!$A:$B,2,1)-VLOOKUP($AN17,'Технический лист'!$A:$B,2,1)),1+(1-$AS17))</f>
        <v>1.0199999999999998</v>
      </c>
      <c r="BZ17" s="41">
        <f>MIN(IF($AS17=100%,1,1+VLOOKUP(($AI17-$AH17-$AG17-$AF17-$AE17-$AA17*(1+BZ$3))/$AI17,'Технический лист'!$A:$B,2,1)-VLOOKUP($AN17,'Технический лист'!$A:$B,2,1)),1+(1-$AS17))</f>
        <v>1.0199999999999998</v>
      </c>
      <c r="CA17" s="41">
        <f>MIN(IF($AS17=100%,1,1+VLOOKUP(($AI17-$AH17-$AG17-$AF17-$AE17-$AA17*(1+CA$3))/$AI17,'Технический лист'!$A:$B,2,1)-VLOOKUP($AN17,'Технический лист'!$A:$B,2,1)),1+(1-$AS17))</f>
        <v>1.0199999999999998</v>
      </c>
      <c r="CB17" s="41">
        <f>MIN(IF($AS17=100%,1,1+VLOOKUP(($AI17-$AH17-$AG17-$AF17-$AE17-$AA17*(1+CB$3))/$AI17,'Технический лист'!$A:$B,2,1)-VLOOKUP($AN17,'Технический лист'!$A:$B,2,1)),1+(1-$AS17))</f>
        <v>1.0199999999999998</v>
      </c>
      <c r="CC17" s="41">
        <f>MIN(IF($AS17=100%,1,1+VLOOKUP(($AI17-$AH17-$AG17-$AF17-$AE17-$AA17*(1+CC$3))/$AI17,'Технический лист'!$A:$B,2,1)-VLOOKUP($AN17,'Технический лист'!$A:$B,2,1)),1+(1-$AS17))</f>
        <v>1.0199999999999998</v>
      </c>
      <c r="CD17" s="41">
        <f>MIN(IF($AS17=100%,1,1+VLOOKUP(($AI17-$AH17-$AG17-$AF17-$AE17-$AA17*(1+CD$3))/$AI17,'Технический лист'!$A:$B,2,1)-VLOOKUP($AN17,'Технический лист'!$A:$B,2,1)),1+(1-$AS17))</f>
        <v>1.0199999999999998</v>
      </c>
      <c r="CE17" s="41">
        <f>MIN(IF($AS17=100%,1,1+VLOOKUP(($AI17-$AH17-$AG17-$AF17-$AE17-$AA17*(1+CE$3))/$AI17,'Технический лист'!$A:$B,2,1)-VLOOKUP($AN17,'Технический лист'!$A:$B,2,1)),1+(1-$AS17))</f>
        <v>1.0199999999999998</v>
      </c>
      <c r="CF17" s="41">
        <f>MIN(IF($AS17=100%,1,1+VLOOKUP(($AI17-$AH17-$AG17-$AF17-$AE17-$AA17*(1+CF$3))/$AI17,'Технический лист'!$A:$B,2,1)-VLOOKUP($AN17,'Технический лист'!$A:$B,2,1)),1+(1-$AS17))</f>
        <v>1.0199999999999998</v>
      </c>
      <c r="CG17" s="41">
        <f>MIN(IF($AS17=100%,1,1+VLOOKUP(($AI17-$AH17-$AG17-$AF17-$AE17-$AA17*(1+CG$3))/$AI17,'Технический лист'!$A:$B,2,1)-VLOOKUP($AN17,'Технический лист'!$A:$B,2,1)),1+(1-$AS17))</f>
        <v>1.0199999999999998</v>
      </c>
      <c r="CH17" s="41">
        <f>MIN(IF($AS17=100%,1,1+VLOOKUP(($AI17-$AH17-$AG17-$AF17-$AE17-$AA17*(1+CH$3))/$AI17,'Технический лист'!$A:$B,2,1)-VLOOKUP($AN17,'Технический лист'!$A:$B,2,1)),1+(1-$AS17))</f>
        <v>1.0199999999999998</v>
      </c>
      <c r="CI17" s="41">
        <f>MIN(IF($AS17=100%,1,1+VLOOKUP(($AI17-$AH17-$AG17-$AF17-$AE17-$AA17*(1+CI$3))/$AI17,'Технический лист'!$A:$B,2,1)-VLOOKUP($AN17,'Технический лист'!$A:$B,2,1)),1+(1-$AS17))</f>
        <v>1.0199999999999998</v>
      </c>
      <c r="CJ17" s="41">
        <f>MIN(IF($AS17=100%,1,1+VLOOKUP(($AI17-$AH17-$AG17-$AF17-$AE17-$AA17*(1+CJ$3))/$AI17,'Технический лист'!$A:$B,2,1)-VLOOKUP($AN17,'Технический лист'!$A:$B,2,1)),1+(1-$AS17))</f>
        <v>1.0000000000000002</v>
      </c>
      <c r="CK17" s="41">
        <f>MIN(IF($AS17=100%,1,1+VLOOKUP(($AI17-$AH17-$AG17-$AF17-$AE17-$AA17*(1+CK$3))/$AI17,'Технический лист'!$A:$B,2,1)-VLOOKUP($AN17,'Технический лист'!$A:$B,2,1)),1+(1-$AS17))</f>
        <v>1.0000000000000002</v>
      </c>
      <c r="CL17" s="41">
        <f>MIN(IF($AS17=100%,1,1+VLOOKUP(($AI17-$AH17-$AG17-$AF17-$AE17-$AA17*(1+CL$3))/$AI17,'Технический лист'!$A:$B,2,1)-VLOOKUP($AN17,'Технический лист'!$A:$B,2,1)),1+(1-$AS17))</f>
        <v>1.0000000000000002</v>
      </c>
      <c r="CM17" s="41">
        <f>MIN(IF($AS17=100%,1,1+VLOOKUP(($AI17-$AH17-$AG17-$AF17-$AE17-$AA17*(1+CM$3))/$AI17,'Технический лист'!$A:$B,2,1)-VLOOKUP($AN17,'Технический лист'!$A:$B,2,1)),1+(1-$AS17))</f>
        <v>1.0000000000000002</v>
      </c>
      <c r="CN17" s="41">
        <f>MIN(IF($AS17=100%,1,1+VLOOKUP(($AI17-$AH17-$AG17-$AF17-$AE17-$AA17*(1+CN$3))/$AI17,'Технический лист'!$A:$B,2,1)-VLOOKUP($AN17,'Технический лист'!$A:$B,2,1)),1+(1-$AS17))</f>
        <v>1.0000000000000002</v>
      </c>
      <c r="CO17" s="41">
        <f>MIN(IF($AS17=100%,1,1+VLOOKUP(($AI17-$AH17-$AG17-$AF17-$AE17-$AA17*(1+CO$3))/$AI17,'Технический лист'!$A:$B,2,1)-VLOOKUP($AN17,'Технический лист'!$A:$B,2,1)),1+(1-$AS17))</f>
        <v>1.0000000000000002</v>
      </c>
      <c r="CP17" s="41">
        <f>MIN(IF($AS17=100%,1,1+VLOOKUP(($AI17-$AH17-$AG17-$AF17-$AE17-$AA17*(1+CP$3))/$AI17,'Технический лист'!$A:$B,2,1)-VLOOKUP($AN17,'Технический лист'!$A:$B,2,1)),1+(1-$AS17))</f>
        <v>1.0000000000000002</v>
      </c>
      <c r="CQ17" s="41">
        <f>MIN(IF($AS17=100%,1,1+VLOOKUP(($AI17-$AH17-$AG17-$AF17-$AE17-$AA17*(1+CQ$3))/$AI17,'Технический лист'!$A:$B,2,1)-VLOOKUP($AN17,'Технический лист'!$A:$B,2,1)),1+(1-$AS17))</f>
        <v>1.0000000000000002</v>
      </c>
      <c r="CR17">
        <v>1</v>
      </c>
      <c r="CS17" s="41">
        <f>MIN(1,MAX(VLOOKUP(($AI17-$AH17-$AG17-$AF17-$AE17-$AA17*(1+CS$3))/$AI17,'[8]Технический лист'!$A:$B,2,1),(CR17-0.05)))</f>
        <v>1</v>
      </c>
      <c r="CT17" s="41">
        <f>MIN(1,MAX(VLOOKUP(($AI17-$AH17-$AG17-$AF17-$AE17-$AA17*(1+CT$3))/$AI17,'[8]Технический лист'!$A:$B,2,1),(CS17-0.05)))</f>
        <v>1</v>
      </c>
      <c r="CU17" s="41">
        <f>MIN(1,MAX(VLOOKUP(($AI17-$AH17-$AG17-$AF17-$AE17-$AA17*(1+CU$3))/$AI17,'[8]Технический лист'!$A:$B,2,1),(CT17-0.05)))</f>
        <v>1</v>
      </c>
      <c r="CV17" s="41">
        <f>MIN(1,MAX(VLOOKUP(($AI17-$AH17-$AG17-$AF17-$AE17-$AA17*(1+CV$3))/$AI17,'[8]Технический лист'!$A:$B,2,1),(CU17-0.05)))</f>
        <v>1</v>
      </c>
      <c r="CW17" s="41">
        <f>MIN(1,MAX(VLOOKUP(($AI17-$AH17-$AG17-$AF17-$AE17-$AA17*(1+CW$3))/$AI17,'[8]Технический лист'!$A:$B,2,1),(CV17-0.05)))</f>
        <v>1</v>
      </c>
      <c r="CX17" s="41">
        <f>MIN(1,MAX(VLOOKUP(($AI17-$AH17-$AG17-$AF17-$AE17-$AA17*(1+CX$3))/$AI17,'[8]Технический лист'!$A:$B,2,1),(CW17-0.05)))</f>
        <v>1</v>
      </c>
      <c r="CY17" s="41">
        <f>MIN(1,MAX(VLOOKUP(($AI17-$AH17-$AG17-$AF17-$AE17-$AA17*(1+CY$3))/$AI17,'[8]Технический лист'!$A:$B,2,1),(CX17-0.05)))</f>
        <v>1</v>
      </c>
      <c r="CZ17" s="41">
        <f>MIN(1,MAX(VLOOKUP(($AI17-$AH17-$AG17-$AF17-$AE17-$AA17*(1+CZ$3))/$AI17,'[8]Технический лист'!$A:$B,2,1),(CY17-0.05)))</f>
        <v>1</v>
      </c>
      <c r="DA17" s="41">
        <f>MIN(1,MAX(VLOOKUP(($AI17-$AH17-$AG17-$AF17-$AE17-$AA17*(1+DA$3))/$AI17,'[8]Технический лист'!$A:$B,2,1),(CZ17-0.05)))</f>
        <v>1</v>
      </c>
      <c r="DB17" s="41">
        <f>MIN(1,MAX(VLOOKUP(($AI17-$AH17-$AG17-$AF17-$AE17-$AA17*(1+DB$3))/$AI17,'[8]Технический лист'!$A:$B,2,1),(DA17-0.05)))</f>
        <v>1</v>
      </c>
      <c r="DC17" s="41">
        <f>MIN(1,MAX(VLOOKUP(($AI17-$AH17-$AG17-$AF17-$AE17-$AA17*(1+DC$3))/$AI17,'[8]Технический лист'!$A:$B,2,1),(DB17-0.05)))</f>
        <v>1</v>
      </c>
      <c r="DD17" s="41">
        <f>MIN(1,MAX(VLOOKUP(($AI17-$AH17-$AG17-$AF17-$AE17-$AA17*(1+DD$3))/$AI17,'[8]Технический лист'!$A:$B,2,1),(DC17-0.05)))</f>
        <v>1</v>
      </c>
      <c r="DE17" s="41">
        <f>MIN(1,MAX(VLOOKUP(($AI17-$AH17-$AG17-$AF17-$AE17-$AA17*(1+DE$3))/$AI17,'[8]Технический лист'!$A:$B,2,1),(DD17-0.05)))</f>
        <v>1</v>
      </c>
      <c r="DF17" s="41">
        <f>MIN(1,MAX(VLOOKUP(($AI17-$AH17-$AG17-$AF17-$AE17-$AA17*(1+DF$3))/$AI17,'[8]Технический лист'!$A:$B,2,1),(DE17-0.05)))</f>
        <v>1</v>
      </c>
      <c r="DG17" s="41">
        <f>MIN(1,MAX(VLOOKUP(($AI17-$AH17-$AG17-$AF17-$AE17-$AA17*(1+DG$3))/$AI17,'[8]Технический лист'!$A:$B,2,1),(DF17-0.05)))</f>
        <v>1</v>
      </c>
      <c r="DH17" s="41">
        <f>MIN(1,MAX(VLOOKUP(($AI17-$AH17-$AG17-$AF17-$AE17-$AA17*(1+DH$3))/$AI17,'[8]Технический лист'!$A:$B,2,1),(DG17-0.05)))</f>
        <v>1</v>
      </c>
      <c r="DI17" s="41">
        <f>MIN(1,MAX(VLOOKUP(($AI17-$AH17-$AG17-$AF17-$AE17-$AA17*(1+DI$3))/$AI17,'[8]Технический лист'!$A:$B,2,1),(DH17-0.05)))</f>
        <v>1</v>
      </c>
      <c r="DJ17" s="41">
        <f>MIN(1,MAX(VLOOKUP(($AI17-$AH17-$AG17-$AF17-$AE17-$AA17*(1+DJ$3))/$AI17,'[8]Технический лист'!$A:$B,2,1),(DI17-0.05)))</f>
        <v>1</v>
      </c>
      <c r="DK17" s="41">
        <f>MIN(1,MAX(VLOOKUP(($AI17-$AH17-$AG17-$AF17-$AE17-$AA17*(1+DK$3))/$AI17,'[8]Технический лист'!$A:$B,2,1),(DJ17-0.05)))</f>
        <v>1</v>
      </c>
      <c r="DL17" s="41">
        <f>MIN(1,MAX(VLOOKUP(($AI17-$AH17-$AG17-$AF17-$AE17-$AA17*(1+DL$3))/$AI17,'[8]Технический лист'!$A:$B,2,1),(DK17-0.05)))</f>
        <v>1</v>
      </c>
      <c r="DM17" s="41">
        <f>MIN(1,MAX(VLOOKUP(($AI17-$AH17-$AG17-$AF17-$AE17-$AA17*(1+DM$3))/$AI17,'[8]Технический лист'!$A:$B,2,1),(DL17-0.05)))</f>
        <v>1</v>
      </c>
      <c r="DN17" s="41">
        <f>MIN(1,MAX(VLOOKUP(($AI17-$AH17-$AG17-$AF17-$AE17-$AA17*(1+DN$3))/$AI17,'[8]Технический лист'!$A:$B,2,1),(DM17-0.05)))</f>
        <v>1</v>
      </c>
      <c r="DO17" s="41">
        <f>MIN(1,MAX(VLOOKUP(($AI17-$AH17-$AG17-$AF17-$AE17-$AA17*(1+DO$3))/$AI17,'[8]Технический лист'!$A:$B,2,1),(DN17-0.05)))</f>
        <v>1</v>
      </c>
      <c r="DP17" s="41">
        <f>MIN(1,MAX(VLOOKUP(($AI17-$AH17-$AG17-$AF17-$AE17-$AA17*(1+DP$3))/$AI17,'[8]Технический лист'!$A:$B,2,1),(DO17-0.05)))</f>
        <v>1</v>
      </c>
      <c r="DQ17" s="41">
        <f>MIN(1,MAX(VLOOKUP(($AI17-$AH17-$AG17-$AF17-$AE17-$AA17*(1+DQ$3))/$AI17,'[8]Технический лист'!$A:$B,2,1),(DP17-0.05)))</f>
        <v>1</v>
      </c>
      <c r="DR17" s="41">
        <f>MIN(1,MAX(VLOOKUP(($AI17-$AH17-$AG17-$AF17-$AE17-$AA17*(1+DR$3))/$AI17,'[8]Технический лист'!$A:$B,2,1),(DQ17-0.05)))</f>
        <v>1</v>
      </c>
      <c r="DS17" s="41">
        <f>MIN(1,MAX(VLOOKUP(($AI17-$AH17-$AG17-$AF17-$AE17-$AA17*(1+DS$3))/$AI17,'[8]Технический лист'!$A:$B,2,1),(DR17-0.05)))</f>
        <v>1</v>
      </c>
      <c r="DT17" s="41">
        <f>MIN(1,MAX(VLOOKUP(($AI17-$AH17-$AG17-$AF17-$AE17-$AA17*(1+DT$3))/$AI17,'[8]Технический лист'!$A:$B,2,1),(DS17-0.05)))</f>
        <v>1</v>
      </c>
      <c r="DU17" s="41">
        <f>MIN(1,MAX(VLOOKUP(($AI17-$AH17-$AG17-$AF17-$AE17-$AA17*(1+DU$3))/$AI17,'[8]Технический лист'!$A:$B,2,1),(DT17-0.05)))</f>
        <v>1</v>
      </c>
      <c r="DV17" s="41">
        <f>MIN(1,MAX(VLOOKUP(($AI17-$AH17-$AG17-$AF17-$AE17-$AA17*(1+DV$3))/$AI17,'[8]Технический лист'!$A:$B,2,1),(DU17-0.05)))</f>
        <v>1</v>
      </c>
      <c r="DW17" s="41">
        <f>MIN(1,MAX(VLOOKUP(($AI17-$AH17-$AG17-$AF17-$AE17-$AA17*(1+DW$3))/$AI17,'[8]Технический лист'!$A:$B,2,1),(DV17-0.05)))</f>
        <v>1</v>
      </c>
      <c r="DX17" s="41">
        <f>MIN(1,MAX(VLOOKUP(($AI17-$AH17-$AG17-$AF17-$AE17-$AA17*(1+DX$3))/$AI17,'[8]Технический лист'!$A:$B,2,1),(DW17-0.05)))</f>
        <v>1</v>
      </c>
      <c r="DY17" s="41">
        <f>MIN(1,MAX(VLOOKUP(($AI17-$AH17-$AG17-$AF17-$AE17-$AA17*(1+DY$3))/$AI17,'[8]Технический лист'!$A:$B,2,1),(DX17-0.05)))</f>
        <v>1</v>
      </c>
      <c r="DZ17" s="41">
        <f>MIN(1,MAX(VLOOKUP(($AI17-$AH17-$AG17-$AF17-$AE17-$AA17*(1+DZ$3))/$AI17,'[8]Технический лист'!$A:$B,2,1),(DY17-0.05)))</f>
        <v>1</v>
      </c>
      <c r="EA17" s="41">
        <f>MIN(1,MAX(VLOOKUP(($AI17-$AH17-$AG17-$AF17-$AE17-$AA17*(1+EA$3))/$AI17,'[8]Технический лист'!$A:$B,2,1),(DZ17-0.05)))</f>
        <v>1</v>
      </c>
      <c r="EB17" s="41">
        <f>MIN(1,MAX(VLOOKUP(($AI17-$AH17-$AG17-$AF17-$AE17-$AA17*(1+EB$3))/$AI17,'[8]Технический лист'!$A:$B,2,1),(EA17-0.05)))</f>
        <v>1</v>
      </c>
      <c r="EC17" s="41">
        <f>MIN(1,MAX(VLOOKUP(($AI17-$AH17-$AG17-$AF17-$AE17-$AA17*(1+EC$3))/$AI17,'[8]Технический лист'!$A:$B,2,1),(EB17-0.05)))</f>
        <v>1</v>
      </c>
      <c r="ED17" s="41">
        <f>MIN(1,MAX(VLOOKUP(($AI17-$AH17-$AG17-$AF17-$AE17-$AA17*(1+ED$3))/$AI17,'[8]Технический лист'!$A:$B,2,1),(EC17-0.05)))</f>
        <v>1</v>
      </c>
      <c r="EE17" s="41">
        <f>MIN(1,MAX(VLOOKUP(($AI17-$AH17-$AG17-$AF17-$AE17-$AA17*(1+EE$3))/$AI17,'[8]Технический лист'!$A:$B,2,1),(ED17-0.05)))</f>
        <v>1</v>
      </c>
      <c r="EF17" s="41">
        <f>MIN(1,MAX(VLOOKUP(($AI17-$AH17-$AG17-$AF17-$AE17-$AA17*(1+EF$3))/$AI17,'[8]Технический лист'!$A:$B,2,1),(EE17-0.05)))</f>
        <v>1</v>
      </c>
      <c r="EG17" s="41">
        <f>MIN(1,MAX(VLOOKUP(($AI17-$AH17-$AG17-$AF17-$AE17-$AA17*(1+EG$3))/$AI17,'[8]Технический лист'!$A:$B,2,1),(EF17-0.05)))</f>
        <v>1</v>
      </c>
      <c r="EH17" s="41">
        <f>MIN(1,MAX(VLOOKUP(($AI17-$AH17-$AG17-$AF17-$AE17-$AA17*(1+EH$3))/$AI17,'[8]Технический лист'!$A:$B,2,1),(EG17-0.05)))</f>
        <v>1</v>
      </c>
      <c r="EI17" s="41">
        <f>MIN(1,MAX(VLOOKUP(($AI17-$AH17-$AG17-$AF17-$AE17-$AA17*(1+EI$3))/$AI17,'[8]Технический лист'!$A:$B,2,1),(EH17-0.05)))</f>
        <v>1</v>
      </c>
      <c r="EJ17" s="41">
        <f>MIN(1,MAX(VLOOKUP(($AI17-$AH17-$AG17-$AF17-$AE17-$AA17*(1+EJ$3))/$AI17,'[8]Технический лист'!$A:$B,2,1),(EI17-0.05)))</f>
        <v>1</v>
      </c>
      <c r="EK17" s="41">
        <f>MIN(1,MAX(VLOOKUP(($AI17-$AH17-$AG17-$AF17-$AE17-$AA17*(1+EK$3))/$AI17,'[8]Технический лист'!$A:$B,2,1),(EJ17-0.05)))</f>
        <v>1</v>
      </c>
      <c r="EL17" s="41">
        <f>MIN(1,MAX(VLOOKUP(($AI17-$AH17-$AG17-$AF17-$AE17-$AA17*(1+EL$3))/$AI17,'[8]Технический лист'!$A:$B,2,1),(EK17-0.05)))</f>
        <v>1</v>
      </c>
      <c r="EM17" s="41">
        <f>MIN(1,MAX(VLOOKUP(($AI17-$AH17-$AG17-$AF17-$AE17-$AA17*(1+EM$3))/$AI17,'[8]Технический лист'!$A:$B,2,1),(EL17-0.05)))</f>
        <v>1</v>
      </c>
      <c r="EN17" s="41">
        <f>MIN(1,MAX(VLOOKUP(($AI17-$AH17-$AG17-$AF17-$AE17-$AA17*(1+EN$3))/$AI17,'[8]Технический лист'!$A:$B,2,1),(EM17-0.05)))</f>
        <v>1</v>
      </c>
      <c r="EO17" s="41">
        <f>MIN(1,MAX(VLOOKUP(($AI17-$AH17-$AG17-$AF17-$AE17-$AA17*(1+EO$3))/$AI17,'[8]Технический лист'!$A:$B,2,1),(EN17-0.05)))</f>
        <v>1</v>
      </c>
      <c r="EP17" s="41">
        <f>MIN(1,MAX(VLOOKUP(($AI17-$AH17-$AG17-$AF17-$AE17-$AA17*(1+EP$3))/$AI17,'[8]Технический лист'!$A:$B,2,1),(EO17-0.05)))</f>
        <v>1</v>
      </c>
      <c r="EQ17" s="41">
        <f>MIN(1,MAX(VLOOKUP(($AI17-$AH17-$AG17-$AF17-$AE17-$AA17*(1+EQ$3))/$AI17,'[8]Технический лист'!$A:$B,2,1),(EP17-0.05)))</f>
        <v>1</v>
      </c>
      <c r="ER17" s="41">
        <f>MIN(1,MAX(VLOOKUP(($AI17-$AH17-$AG17-$AF17-$AE17-$AA17*(1+ER$3))/$AI17,'[8]Технический лист'!$A:$B,2,1),(EQ17-0.05)))</f>
        <v>1</v>
      </c>
      <c r="ES17" s="41">
        <f>MIN(1,MAX(VLOOKUP(($AI17-$AH17-$AG17-$AF17-$AE17-$AA17*(1+ES$3))/$AI17,'[8]Технический лист'!$A:$B,2,1),(ER17-0.05)))</f>
        <v>1</v>
      </c>
      <c r="ET17" s="41">
        <f>MIN(1,MAX(VLOOKUP(($AI17-$AH17-$AG17-$AF17-$AE17-$AA17*(1+ET$3))/$AI17,'[8]Технический лист'!$A:$B,2,1),(ES17-0.05)))</f>
        <v>1</v>
      </c>
      <c r="EU17" s="41">
        <f>MIN(1,MAX(VLOOKUP(($AI17-$AH17-$AG17-$AF17-$AE17-$AA17*(1+EU$3))/$AI17,'[8]Технический лист'!$A:$B,2,1),(ET17-0.05)))</f>
        <v>1</v>
      </c>
      <c r="EV17" s="41">
        <f>MIN(1,MAX(VLOOKUP(($AI17-$AH17-$AG17-$AF17-$AE17-$AA17*(1+EV$3))/$AI17,'[8]Технический лист'!$A:$B,2,1),(EU17-0.05)))</f>
        <v>1</v>
      </c>
      <c r="EW17" s="41">
        <f>MIN(1,MAX(VLOOKUP(($AI17-$AH17-$AG17-$AF17-$AE17-$AA17*(1+EW$3))/$AI17,'[8]Технический лист'!$A:$B,2,1),(EV17-0.05)))</f>
        <v>1</v>
      </c>
      <c r="EX17" s="41">
        <f>MIN(1,MAX(VLOOKUP(($AI17-$AH17-$AG17-$AF17-$AE17-$AA17*(1+EX$3))/$AI17,'[8]Технический лист'!$A:$B,2,1),(EW17-0.05)))</f>
        <v>1</v>
      </c>
      <c r="EY17" s="41">
        <f>MIN(1,MAX(VLOOKUP(($AI17-$AH17-$AG17-$AF17-$AE17-$AA17*(1+EY$3))/$AI17,'[8]Технический лист'!$A:$B,2,1),(EX17-0.05)))</f>
        <v>1</v>
      </c>
      <c r="EZ17" s="41">
        <f>MIN(1,MAX(VLOOKUP(($AI17-$AH17-$AG17-$AF17-$AE17-$AA17*(1+EZ$3))/$AI17,'[8]Технический лист'!$A:$B,2,1),(EY17-0.05)))</f>
        <v>1</v>
      </c>
      <c r="FA17" s="41">
        <f>MIN(1,MAX(VLOOKUP(($AI17-$AH17-$AG17-$AF17-$AE17-$AA17*(1+FA$3))/$AI17,'[8]Технический лист'!$A:$B,2,1),(EZ17-0.05)))</f>
        <v>1</v>
      </c>
      <c r="FB17" s="41">
        <f>MIN(1,MAX(VLOOKUP(($AI17-$AH17-$AG17-$AF17-$AE17-$AA17*(1+FB$3))/$AI17,'[8]Технический лист'!$A:$B,2,1),(FA17-0.05)))</f>
        <v>1</v>
      </c>
      <c r="FC17" s="41">
        <f>MIN(1,MAX(VLOOKUP(($AI17-$AH17-$AG17-$AF17-$AE17-$AA17*(1+FC$3))/$AI17,'[8]Технический лист'!$A:$B,2,1),(FB17-0.05)))</f>
        <v>1</v>
      </c>
      <c r="FD17" s="41">
        <f>MIN(1,MAX(VLOOKUP(($AI17-$AH17-$AG17-$AF17-$AE17-$AA17*(1+FD$3))/$AI17,'[8]Технический лист'!$A:$B,2,1),(FC17-0.05)))</f>
        <v>1</v>
      </c>
      <c r="FE17" s="41">
        <f>MIN(1,MAX(VLOOKUP(($AI17-$AH17-$AG17-$AF17-$AE17-$AA17*(1+FE$3))/$AI17,'[8]Технический лист'!$A:$B,2,1),(FD17-0.05)))</f>
        <v>1</v>
      </c>
      <c r="FF17" s="41">
        <f>MIN(1,MAX(VLOOKUP(($AI17-$AH17-$AG17-$AF17-$AE17-$AA17*(1+FF$3))/$AI17,'[8]Технический лист'!$A:$B,2,1),(FE17-0.05)))</f>
        <v>1</v>
      </c>
      <c r="FG17" s="41">
        <f>MIN(1,MAX(VLOOKUP(($AI17-$AH17-$AG17-$AF17-$AE17-$AA17*(1+FG$3))/$AI17,'[8]Технический лист'!$A:$B,2,1),(FF17-0.05)))</f>
        <v>1</v>
      </c>
      <c r="FH17" s="41">
        <f>MIN(1,MAX(VLOOKUP(($AI17-$AH17-$AG17-$AF17-$AE17-$AA17*(1+FH$3))/$AI17,'[8]Технический лист'!$A:$B,2,1),(FG17-0.05)))</f>
        <v>1</v>
      </c>
      <c r="FI17" s="41">
        <f>MIN(1,MAX(VLOOKUP(($AI17-$AH17-$AG17-$AF17-$AE17-$AA17*(1+FI$3))/$AI17,'[8]Технический лист'!$A:$B,2,1),(FH17-0.05)))</f>
        <v>1</v>
      </c>
      <c r="FJ17" s="41">
        <f>MIN(1,MAX(VLOOKUP(($AI17-$AH17-$AG17-$AF17-$AE17-$AA17*(1+FJ$3))/$AI17,'[8]Технический лист'!$A:$B,2,1),(FI17-0.05)))</f>
        <v>1</v>
      </c>
      <c r="FK17" s="41">
        <f>MIN(1,MAX(VLOOKUP(($AI17-$AH17-$AG17-$AF17-$AE17-$AA17*(1+FK$3))/$AI17,'[8]Технический лист'!$A:$B,2,1),(FJ17-0.05)))</f>
        <v>1</v>
      </c>
      <c r="FL17" s="41">
        <f>MIN(1,MAX(VLOOKUP(($AI17-$AH17-$AG17-$AF17-$AE17-$AA17*(1+FL$3))/$AI17,'[8]Технический лист'!$A:$B,2,1),(FK17-0.05)))</f>
        <v>1</v>
      </c>
      <c r="FM17" s="41">
        <f>MIN(1,MAX(VLOOKUP(($AI17-$AH17-$AG17-$AF17-$AE17-$AA17*(1+FM$3))/$AI17,'[8]Технический лист'!$A:$B,2,1),(FL17-0.05)))</f>
        <v>1</v>
      </c>
      <c r="FN17" s="41">
        <f>MIN(1,MAX(VLOOKUP(($AI17-$AH17-$AG17-$AF17-$AE17-$AA17*(1+FN$3))/$AI17,'[8]Технический лист'!$A:$B,2,1),(FM17-0.05)))</f>
        <v>1</v>
      </c>
      <c r="FO17" s="41">
        <f>MIN(1,MAX(VLOOKUP(($AI17-$AH17-$AG17-$AF17-$AE17-$AA17*(1+FO$3))/$AI17,'[8]Технический лист'!$A:$B,2,1),(FN17-0.05)))</f>
        <v>1</v>
      </c>
      <c r="FP17" s="41">
        <f>MIN(1,MAX(VLOOKUP(($AI17-$AH17-$AG17-$AF17-$AE17-$AA17*(1+FP$3))/$AI17,'[8]Технический лист'!$A:$B,2,1),(FO17-0.05)))</f>
        <v>1</v>
      </c>
      <c r="FQ17" s="41">
        <f>MIN(1,MAX(VLOOKUP(($AI17-$AH17-$AG17-$AF17-$AE17-$AA17*(1+FQ$3))/$AI17,'[8]Технический лист'!$A:$B,2,1),(FP17-0.05)))</f>
        <v>1</v>
      </c>
      <c r="FR17" s="41">
        <f>MIN(1,MAX(VLOOKUP(($AI17-$AH17-$AG17-$AF17-$AE17-$AA17*(1+FR$3))/$AI17,'[8]Технический лист'!$A:$B,2,1),(FQ17-0.05)))</f>
        <v>1</v>
      </c>
      <c r="FS17" s="41">
        <f>MIN(1,MAX(VLOOKUP(($AI17-$AH17-$AG17-$AF17-$AE17-$AA17*(1+FS$3))/$AI17,'[8]Технический лист'!$A:$B,2,1),(FR17-0.05)))</f>
        <v>1</v>
      </c>
      <c r="FT17" s="41">
        <f>MIN(1,MAX(VLOOKUP(($AI17-$AH17-$AG17-$AF17-$AE17-$AA17*(1+FT$3))/$AI17,'[8]Технический лист'!$A:$B,2,1),(FS17-0.05)))</f>
        <v>1</v>
      </c>
      <c r="FU17" s="41">
        <f>MIN(1,MAX(VLOOKUP(($AI17-$AH17-$AG17-$AF17-$AE17-$AA17*(1+FU$3))/$AI17,'[8]Технический лист'!$A:$B,2,1),(FT17-0.05)))</f>
        <v>1</v>
      </c>
      <c r="FV17" s="41">
        <f>MIN(1,MAX(VLOOKUP(($AI17-$AH17-$AG17-$AF17-$AE17-$AA17*(1+FV$3))/$AI17,'[8]Технический лист'!$A:$B,2,1),(FU17-0.05)))</f>
        <v>1</v>
      </c>
      <c r="FW17" s="41">
        <f>MIN(1,MAX(VLOOKUP(($AI17-$AH17-$AG17-$AF17-$AE17-$AA17*(1+FW$3))/$AI17,'[8]Технический лист'!$A:$B,2,1),(FV17-0.05)))</f>
        <v>1</v>
      </c>
      <c r="FX17" s="41">
        <f>MIN(1,MAX(VLOOKUP(($AI17-$AH17-$AG17-$AF17-$AE17-$AA17*(1+FX$3))/$AI17,'[8]Технический лист'!$A:$B,2,1),(FW17-0.05)))</f>
        <v>1</v>
      </c>
      <c r="FY17" s="41">
        <f>MIN(1,MAX(VLOOKUP(($AI17-$AH17-$AG17-$AF17-$AE17-$AA17*(1+FY$3))/$AI17,'[8]Технический лист'!$A:$B,2,1),(FX17-0.05)))</f>
        <v>1</v>
      </c>
      <c r="FZ17" s="41">
        <f>MIN(1,MAX(VLOOKUP(($AI17-$AH17-$AG17-$AF17-$AE17-$AA17*(1+FZ$3))/$AI17,'[8]Технический лист'!$A:$B,2,1),(FY17-0.05)))</f>
        <v>1</v>
      </c>
      <c r="GA17" s="41">
        <f>MIN(1,MAX(VLOOKUP(($AI17-$AH17-$AG17-$AF17-$AE17-$AA17*(1+GA$3))/$AI17,'[8]Технический лист'!$A:$B,2,1),(FZ17-0.05)))</f>
        <v>1</v>
      </c>
      <c r="GB17" s="41">
        <f>MIN(1,MAX(VLOOKUP(($AI17-$AH17-$AG17-$AF17-$AE17-$AA17*(1+GB$3))/$AI17,'[8]Технический лист'!$A:$B,2,1),(GA17-0.05)))</f>
        <v>1</v>
      </c>
      <c r="GC17" s="41">
        <f>MIN(1,MAX(VLOOKUP(($AI17-$AH17-$AG17-$AF17-$AE17-$AA17*(1+GC$3))/$AI17,'[8]Технический лист'!$A:$B,2,1),(GB17-0.05)))</f>
        <v>1</v>
      </c>
      <c r="GD17" s="41">
        <f>MIN(1,MAX(VLOOKUP(($AI17-$AH17-$AG17-$AF17-$AE17-$AA17*(1+GD$3))/$AI17,'[8]Технический лист'!$A:$B,2,1),(GC17-0.05)))</f>
        <v>1</v>
      </c>
      <c r="GE17" s="41">
        <f>MIN(1,MAX(VLOOKUP(($AI17-$AH17-$AG17-$AF17-$AE17-$AA17*(1+GE$3))/$AI17,'[8]Технический лист'!$A:$B,2,1),(GD17-0.05)))</f>
        <v>1</v>
      </c>
      <c r="GF17" s="41">
        <f>MIN(1,MAX(VLOOKUP(($AI17-$AH17-$AG17-$AF17-$AE17-$AA17*(1+GF$3))/$AI17,'[8]Технический лист'!$A:$B,2,1),(GE17-0.05)))</f>
        <v>1</v>
      </c>
      <c r="GG17" s="41">
        <f>MIN(1,MAX(VLOOKUP(($AI17-$AH17-$AG17-$AF17-$AE17-$AA17*(1+GG$3))/$AI17,'[8]Технический лист'!$A:$B,2,1),(GF17-0.05)))</f>
        <v>1</v>
      </c>
      <c r="GH17" s="41">
        <f>MIN(1,MAX(VLOOKUP(($AI17-$AH17-$AG17-$AF17-$AE17-$AA17*(1+GH$3))/$AI17,'[8]Технический лист'!$A:$B,2,1),(GG17-0.05)))</f>
        <v>1</v>
      </c>
      <c r="GI17" s="41">
        <f>MIN(1,MAX(VLOOKUP(($AI17-$AH17-$AG17-$AF17-$AE17-$AA17*(1+GI$3))/$AI17,'[8]Технический лист'!$A:$B,2,1),(GH17-0.05)))</f>
        <v>1</v>
      </c>
      <c r="GJ17" s="41">
        <f>MIN(1,MAX(VLOOKUP(($AI17-$AH17-$AG17-$AF17-$AE17-$AA17*(1+GJ$3))/$AI17,'[8]Технический лист'!$A:$B,2,1),(GI17-0.05)))</f>
        <v>1</v>
      </c>
      <c r="GK17" s="41">
        <f>MIN(1,MAX(VLOOKUP(($AI17-$AH17-$AG17-$AF17-$AE17-$AA17*(1+GK$3))/$AI17,'[8]Технический лист'!$A:$B,2,1),(GJ17-0.05)))</f>
        <v>1</v>
      </c>
      <c r="GL17" s="41">
        <f>MIN(1,MAX(VLOOKUP(($AI17-$AH17-$AG17-$AF17-$AE17-$AA17*(1+GL$3))/$AI17,'[8]Технический лист'!$A:$B,2,1),(GK17-0.05)))</f>
        <v>1</v>
      </c>
      <c r="GM17" s="41">
        <f>MIN(1,MAX(VLOOKUP(($AI17-$AH17-$AG17-$AF17-$AE17-$AA17*(1+GM$3))/$AI17,'[8]Технический лист'!$A:$B,2,1),(GL17-0.05)))</f>
        <v>1</v>
      </c>
      <c r="GN17" s="41">
        <f>MIN(1,MAX(VLOOKUP(($AI17-$AH17-$AG17-$AF17-$AE17-$AA17*(1+GN$3))/$AI17,'[8]Технический лист'!$A:$B,2,1),(GM17-0.05)))</f>
        <v>1</v>
      </c>
    </row>
    <row r="18" spans="1:196">
      <c r="A18" s="3">
        <v>6</v>
      </c>
      <c r="B18" s="15" t="s">
        <v>61</v>
      </c>
      <c r="C18" s="4" t="s">
        <v>63</v>
      </c>
      <c r="D18" s="4" t="s">
        <v>64</v>
      </c>
      <c r="E18" s="4" t="s">
        <v>65</v>
      </c>
      <c r="F18" s="4" t="s">
        <v>22</v>
      </c>
      <c r="G18" s="4" t="s">
        <v>19</v>
      </c>
      <c r="H18" s="4" t="s">
        <v>128</v>
      </c>
      <c r="I18" s="4" t="s">
        <v>139</v>
      </c>
      <c r="J18" s="4" t="s">
        <v>140</v>
      </c>
      <c r="K18" s="4" t="s">
        <v>147</v>
      </c>
      <c r="L18" s="4" t="s">
        <v>17</v>
      </c>
      <c r="M18" s="4" t="s">
        <v>166</v>
      </c>
      <c r="N18" s="4" t="s">
        <v>54</v>
      </c>
      <c r="O18" s="4" t="s">
        <v>131</v>
      </c>
      <c r="P18" s="4" t="s">
        <v>132</v>
      </c>
      <c r="Q18" s="4" t="s">
        <v>133</v>
      </c>
      <c r="R18" s="16">
        <v>35993</v>
      </c>
      <c r="S18" s="17">
        <v>36599968</v>
      </c>
      <c r="T18" s="18">
        <v>784</v>
      </c>
      <c r="U18" s="18">
        <v>1214</v>
      </c>
      <c r="V18" s="17">
        <v>34549384</v>
      </c>
      <c r="W18" s="26" t="s">
        <v>166</v>
      </c>
      <c r="X18" s="26">
        <v>68</v>
      </c>
      <c r="Y18" s="24">
        <f>96844/X18</f>
        <v>1424.1764705882354</v>
      </c>
      <c r="Z18" s="20">
        <v>0</v>
      </c>
      <c r="AA18" s="27">
        <f t="shared" si="3"/>
        <v>1424.1764705882354</v>
      </c>
      <c r="AB18" s="20">
        <v>8</v>
      </c>
      <c r="AC18" s="20">
        <v>0</v>
      </c>
      <c r="AD18" s="20">
        <v>4</v>
      </c>
      <c r="AE18" s="20">
        <f>'Ставки аренды'!$B$4*SUM(Лесные!AB18+Лесные!AC18+Лесные!AD18)/Лесные!X18</f>
        <v>282.35294117647061</v>
      </c>
      <c r="AF18" s="20">
        <f>'Ставки перевалки'!$B$2/X18*2</f>
        <v>661.76470588235293</v>
      </c>
      <c r="AG18" s="20"/>
      <c r="AH18" s="20">
        <f>1.18*AI18</f>
        <v>29227.692307692305</v>
      </c>
      <c r="AI18" s="20">
        <f>Цены!$C$3</f>
        <v>24769.23076923077</v>
      </c>
      <c r="AJ18" s="20"/>
      <c r="AK18" s="21"/>
      <c r="AL18" s="20"/>
      <c r="AM18" s="20"/>
      <c r="AN18" s="29">
        <f t="shared" si="0"/>
        <v>-0.27561435878699292</v>
      </c>
      <c r="AO18" s="20"/>
      <c r="AP18" s="20"/>
      <c r="AQ18" s="2"/>
      <c r="AR18" s="19"/>
      <c r="AS18" s="42">
        <v>0.8</v>
      </c>
      <c r="AT18" s="41">
        <f>MIN(IF($AS18=100%,1,1+VLOOKUP(($AI18-$AH18-$AG18-$AF18-$AE18-$AA18*(1+AT$3))/$AI18,'Технический лист'!$A:$B,2,1)-VLOOKUP($AN18,'Технический лист'!$A:$B,2,1)),1+(1-$AS18))</f>
        <v>1</v>
      </c>
      <c r="AU18" s="41">
        <f>MIN(IF($AS18=100%,1,1+VLOOKUP(($AI18-$AH18-$AG18-$AF18-$AE18-$AA18*(1+AU$3))/$AI18,'Технический лист'!$A:$B,2,1)-VLOOKUP($AN18,'Технический лист'!$A:$B,2,1)),1+(1-$AS18))</f>
        <v>1</v>
      </c>
      <c r="AV18" s="41">
        <f>MIN(IF($AS18=100%,1,1+VLOOKUP(($AI18-$AH18-$AG18-$AF18-$AE18-$AA18*(1+AV$3))/$AI18,'Технический лист'!$A:$B,2,1)-VLOOKUP($AN18,'Технический лист'!$A:$B,2,1)),1+(1-$AS18))</f>
        <v>1</v>
      </c>
      <c r="AW18" s="41">
        <f>MIN(IF($AS18=100%,1,1+VLOOKUP(($AI18-$AH18-$AG18-$AF18-$AE18-$AA18*(1+AW$3))/$AI18,'Технический лист'!$A:$B,2,1)-VLOOKUP($AN18,'Технический лист'!$A:$B,2,1)),1+(1-$AS18))</f>
        <v>1</v>
      </c>
      <c r="AX18" s="41">
        <f>MIN(IF($AS18=100%,1,1+VLOOKUP(($AI18-$AH18-$AG18-$AF18-$AE18-$AA18*(1+AX$3))/$AI18,'Технический лист'!$A:$B,2,1)-VLOOKUP($AN18,'Технический лист'!$A:$B,2,1)),1+(1-$AS18))</f>
        <v>1</v>
      </c>
      <c r="AY18" s="41">
        <f>MIN(IF($AS18=100%,1,1+VLOOKUP(($AI18-$AH18-$AG18-$AF18-$AE18-$AA18*(1+AY$3))/$AI18,'Технический лист'!$A:$B,2,1)-VLOOKUP($AN18,'Технический лист'!$A:$B,2,1)),1+(1-$AS18))</f>
        <v>1</v>
      </c>
      <c r="AZ18" s="41">
        <f>MIN(IF($AS18=100%,1,1+VLOOKUP(($AI18-$AH18-$AG18-$AF18-$AE18-$AA18*(1+AZ$3))/$AI18,'Технический лист'!$A:$B,2,1)-VLOOKUP($AN18,'Технический лист'!$A:$B,2,1)),1+(1-$AS18))</f>
        <v>1</v>
      </c>
      <c r="BA18" s="41">
        <f>MIN(IF($AS18=100%,1,1+VLOOKUP(($AI18-$AH18-$AG18-$AF18-$AE18-$AA18*(1+BA$3))/$AI18,'Технический лист'!$A:$B,2,1)-VLOOKUP($AN18,'Технический лист'!$A:$B,2,1)),1+(1-$AS18))</f>
        <v>1</v>
      </c>
      <c r="BB18" s="41">
        <f>MIN(IF($AS18=100%,1,1+VLOOKUP(($AI18-$AH18-$AG18-$AF18-$AE18-$AA18*(1+BB$3))/$AI18,'Технический лист'!$A:$B,2,1)-VLOOKUP($AN18,'Технический лист'!$A:$B,2,1)),1+(1-$AS18))</f>
        <v>1</v>
      </c>
      <c r="BC18" s="41">
        <f>MIN(IF($AS18=100%,1,1+VLOOKUP(($AI18-$AH18-$AG18-$AF18-$AE18-$AA18*(1+BC$3))/$AI18,'Технический лист'!$A:$B,2,1)-VLOOKUP($AN18,'Технический лист'!$A:$B,2,1)),1+(1-$AS18))</f>
        <v>1</v>
      </c>
      <c r="BD18" s="41">
        <f>MIN(IF($AS18=100%,1,1+VLOOKUP(($AI18-$AH18-$AG18-$AF18-$AE18-$AA18*(1+BD$3))/$AI18,'Технический лист'!$A:$B,2,1)-VLOOKUP($AN18,'Технический лист'!$A:$B,2,1)),1+(1-$AS18))</f>
        <v>1</v>
      </c>
      <c r="BE18" s="41">
        <f>MIN(IF($AS18=100%,1,1+VLOOKUP(($AI18-$AH18-$AG18-$AF18-$AE18-$AA18*(1+BE$3))/$AI18,'Технический лист'!$A:$B,2,1)-VLOOKUP($AN18,'Технический лист'!$A:$B,2,1)),1+(1-$AS18))</f>
        <v>1</v>
      </c>
      <c r="BF18" s="41">
        <f>MIN(IF($AS18=100%,1,1+VLOOKUP(($AI18-$AH18-$AG18-$AF18-$AE18-$AA18*(1+BF$3))/$AI18,'Технический лист'!$A:$B,2,1)-VLOOKUP($AN18,'Технический лист'!$A:$B,2,1)),1+(1-$AS18))</f>
        <v>1</v>
      </c>
      <c r="BG18" s="41">
        <f>MIN(IF($AS18=100%,1,1+VLOOKUP(($AI18-$AH18-$AG18-$AF18-$AE18-$AA18*(1+BG$3))/$AI18,'Технический лист'!$A:$B,2,1)-VLOOKUP($AN18,'Технический лист'!$A:$B,2,1)),1+(1-$AS18))</f>
        <v>1</v>
      </c>
      <c r="BH18" s="41">
        <f>MIN(IF($AS18=100%,1,1+VLOOKUP(($AI18-$AH18-$AG18-$AF18-$AE18-$AA18*(1+BH$3))/$AI18,'Технический лист'!$A:$B,2,1)-VLOOKUP($AN18,'Технический лист'!$A:$B,2,1)),1+(1-$AS18))</f>
        <v>1</v>
      </c>
      <c r="BI18" s="41">
        <f>MIN(IF($AS18=100%,1,1+VLOOKUP(($AI18-$AH18-$AG18-$AF18-$AE18-$AA18*(1+BI$3))/$AI18,'Технический лист'!$A:$B,2,1)-VLOOKUP($AN18,'Технический лист'!$A:$B,2,1)),1+(1-$AS18))</f>
        <v>1</v>
      </c>
      <c r="BJ18" s="41">
        <f>MIN(IF($AS18=100%,1,1+VLOOKUP(($AI18-$AH18-$AG18-$AF18-$AE18-$AA18*(1+BJ$3))/$AI18,'Технический лист'!$A:$B,2,1)-VLOOKUP($AN18,'Технический лист'!$A:$B,2,1)),1+(1-$AS18))</f>
        <v>1</v>
      </c>
      <c r="BK18" s="41">
        <f>MIN(IF($AS18=100%,1,1+VLOOKUP(($AI18-$AH18-$AG18-$AF18-$AE18-$AA18*(1+BK$3))/$AI18,'Технический лист'!$A:$B,2,1)-VLOOKUP($AN18,'Технический лист'!$A:$B,2,1)),1+(1-$AS18))</f>
        <v>1</v>
      </c>
      <c r="BL18" s="41">
        <f>MIN(IF($AS18=100%,1,1+VLOOKUP(($AI18-$AH18-$AG18-$AF18-$AE18-$AA18*(1+BL$3))/$AI18,'Технический лист'!$A:$B,2,1)-VLOOKUP($AN18,'Технический лист'!$A:$B,2,1)),1+(1-$AS18))</f>
        <v>1</v>
      </c>
      <c r="BM18" s="41">
        <f>MIN(IF($AS18=100%,1,1+VLOOKUP(($AI18-$AH18-$AG18-$AF18-$AE18-$AA18*(1+BM$3))/$AI18,'Технический лист'!$A:$B,2,1)-VLOOKUP($AN18,'Технический лист'!$A:$B,2,1)),1+(1-$AS18))</f>
        <v>1</v>
      </c>
      <c r="BN18" s="41">
        <f>MIN(IF($AS18=100%,1,1+VLOOKUP(($AI18-$AH18-$AG18-$AF18-$AE18-$AA18*(1+BN$3))/$AI18,'Технический лист'!$A:$B,2,1)-VLOOKUP($AN18,'Технический лист'!$A:$B,2,1)),1+(1-$AS18))</f>
        <v>1</v>
      </c>
      <c r="BO18" s="41">
        <f>MIN(IF($AS18=100%,1,1+VLOOKUP(($AI18-$AH18-$AG18-$AF18-$AE18-$AA18*(1+BO$3))/$AI18,'Технический лист'!$A:$B,2,1)-VLOOKUP($AN18,'Технический лист'!$A:$B,2,1)),1+(1-$AS18))</f>
        <v>1</v>
      </c>
      <c r="BP18" s="41">
        <f>MIN(IF($AS18=100%,1,1+VLOOKUP(($AI18-$AH18-$AG18-$AF18-$AE18-$AA18*(1+BP$3))/$AI18,'Технический лист'!$A:$B,2,1)-VLOOKUP($AN18,'Технический лист'!$A:$B,2,1)),1+(1-$AS18))</f>
        <v>1</v>
      </c>
      <c r="BQ18" s="41">
        <f>MIN(IF($AS18=100%,1,1+VLOOKUP(($AI18-$AH18-$AG18-$AF18-$AE18-$AA18*(1+BQ$3))/$AI18,'Технический лист'!$A:$B,2,1)-VLOOKUP($AN18,'Технический лист'!$A:$B,2,1)),1+(1-$AS18))</f>
        <v>1</v>
      </c>
      <c r="BR18" s="41">
        <f>MIN(IF($AS18=100%,1,1+VLOOKUP(($AI18-$AH18-$AG18-$AF18-$AE18-$AA18*(1+BR$3))/$AI18,'Технический лист'!$A:$B,2,1)-VLOOKUP($AN18,'Технический лист'!$A:$B,2,1)),1+(1-$AS18))</f>
        <v>1</v>
      </c>
      <c r="BS18" s="41">
        <f>MIN(IF($AS18=100%,1,1+VLOOKUP(($AI18-$AH18-$AG18-$AF18-$AE18-$AA18*(1+BS$3))/$AI18,'Технический лист'!$A:$B,2,1)-VLOOKUP($AN18,'Технический лист'!$A:$B,2,1)),1+(1-$AS18))</f>
        <v>1</v>
      </c>
      <c r="BT18" s="41">
        <f>MIN(IF($AS18=100%,1,1+VLOOKUP(($AI18-$AH18-$AG18-$AF18-$AE18-$AA18*(1+BT$3))/$AI18,'Технический лист'!$A:$B,2,1)-VLOOKUP($AN18,'Технический лист'!$A:$B,2,1)),1+(1-$AS18))</f>
        <v>1</v>
      </c>
      <c r="BU18" s="41">
        <f>MIN(IF($AS18=100%,1,1+VLOOKUP(($AI18-$AH18-$AG18-$AF18-$AE18-$AA18*(1+BU$3))/$AI18,'Технический лист'!$A:$B,2,1)-VLOOKUP($AN18,'Технический лист'!$A:$B,2,1)),1+(1-$AS18))</f>
        <v>1</v>
      </c>
      <c r="BV18" s="41">
        <f>MIN(IF($AS18=100%,1,1+VLOOKUP(($AI18-$AH18-$AG18-$AF18-$AE18-$AA18*(1+BV$3))/$AI18,'Технический лист'!$A:$B,2,1)-VLOOKUP($AN18,'Технический лист'!$A:$B,2,1)),1+(1-$AS18))</f>
        <v>1</v>
      </c>
      <c r="BW18" s="41">
        <f>MIN(IF($AS18=100%,1,1+VLOOKUP(($AI18-$AH18-$AG18-$AF18-$AE18-$AA18*(1+BW$3))/$AI18,'Технический лист'!$A:$B,2,1)-VLOOKUP($AN18,'Технический лист'!$A:$B,2,1)),1+(1-$AS18))</f>
        <v>1</v>
      </c>
      <c r="BX18" s="41">
        <f>MIN(IF($AS18=100%,1,1+VLOOKUP(($AI18-$AH18-$AG18-$AF18-$AE18-$AA18*(1+BX$3))/$AI18,'Технический лист'!$A:$B,2,1)-VLOOKUP($AN18,'Технический лист'!$A:$B,2,1)),1+(1-$AS18))</f>
        <v>1</v>
      </c>
      <c r="BY18" s="41">
        <f>MIN(IF($AS18=100%,1,1+VLOOKUP(($AI18-$AH18-$AG18-$AF18-$AE18-$AA18*(1+BY$3))/$AI18,'Технический лист'!$A:$B,2,1)-VLOOKUP($AN18,'Технический лист'!$A:$B,2,1)),1+(1-$AS18))</f>
        <v>1</v>
      </c>
      <c r="BZ18" s="41">
        <f>MIN(IF($AS18=100%,1,1+VLOOKUP(($AI18-$AH18-$AG18-$AF18-$AE18-$AA18*(1+BZ$3))/$AI18,'Технический лист'!$A:$B,2,1)-VLOOKUP($AN18,'Технический лист'!$A:$B,2,1)),1+(1-$AS18))</f>
        <v>1</v>
      </c>
      <c r="CA18" s="41">
        <f>MIN(IF($AS18=100%,1,1+VLOOKUP(($AI18-$AH18-$AG18-$AF18-$AE18-$AA18*(1+CA$3))/$AI18,'Технический лист'!$A:$B,2,1)-VLOOKUP($AN18,'Технический лист'!$A:$B,2,1)),1+(1-$AS18))</f>
        <v>1</v>
      </c>
      <c r="CB18" s="41">
        <f>MIN(IF($AS18=100%,1,1+VLOOKUP(($AI18-$AH18-$AG18-$AF18-$AE18-$AA18*(1+CB$3))/$AI18,'Технический лист'!$A:$B,2,1)-VLOOKUP($AN18,'Технический лист'!$A:$B,2,1)),1+(1-$AS18))</f>
        <v>1</v>
      </c>
      <c r="CC18" s="41">
        <f>MIN(IF($AS18=100%,1,1+VLOOKUP(($AI18-$AH18-$AG18-$AF18-$AE18-$AA18*(1+CC$3))/$AI18,'Технический лист'!$A:$B,2,1)-VLOOKUP($AN18,'Технический лист'!$A:$B,2,1)),1+(1-$AS18))</f>
        <v>1</v>
      </c>
      <c r="CD18" s="41">
        <f>MIN(IF($AS18=100%,1,1+VLOOKUP(($AI18-$AH18-$AG18-$AF18-$AE18-$AA18*(1+CD$3))/$AI18,'Технический лист'!$A:$B,2,1)-VLOOKUP($AN18,'Технический лист'!$A:$B,2,1)),1+(1-$AS18))</f>
        <v>1</v>
      </c>
      <c r="CE18" s="41">
        <f>MIN(IF($AS18=100%,1,1+VLOOKUP(($AI18-$AH18-$AG18-$AF18-$AE18-$AA18*(1+CE$3))/$AI18,'Технический лист'!$A:$B,2,1)-VLOOKUP($AN18,'Технический лист'!$A:$B,2,1)),1+(1-$AS18))</f>
        <v>1</v>
      </c>
      <c r="CF18" s="41">
        <f>MIN(IF($AS18=100%,1,1+VLOOKUP(($AI18-$AH18-$AG18-$AF18-$AE18-$AA18*(1+CF$3))/$AI18,'Технический лист'!$A:$B,2,1)-VLOOKUP($AN18,'Технический лист'!$A:$B,2,1)),1+(1-$AS18))</f>
        <v>1</v>
      </c>
      <c r="CG18" s="41">
        <f>MIN(IF($AS18=100%,1,1+VLOOKUP(($AI18-$AH18-$AG18-$AF18-$AE18-$AA18*(1+CG$3))/$AI18,'Технический лист'!$A:$B,2,1)-VLOOKUP($AN18,'Технический лист'!$A:$B,2,1)),1+(1-$AS18))</f>
        <v>1</v>
      </c>
      <c r="CH18" s="41">
        <f>MIN(IF($AS18=100%,1,1+VLOOKUP(($AI18-$AH18-$AG18-$AF18-$AE18-$AA18*(1+CH$3))/$AI18,'Технический лист'!$A:$B,2,1)-VLOOKUP($AN18,'Технический лист'!$A:$B,2,1)),1+(1-$AS18))</f>
        <v>1</v>
      </c>
      <c r="CI18" s="41">
        <f>MIN(IF($AS18=100%,1,1+VLOOKUP(($AI18-$AH18-$AG18-$AF18-$AE18-$AA18*(1+CI$3))/$AI18,'Технический лист'!$A:$B,2,1)-VLOOKUP($AN18,'Технический лист'!$A:$B,2,1)),1+(1-$AS18))</f>
        <v>1</v>
      </c>
      <c r="CJ18" s="41">
        <f>MIN(IF($AS18=100%,1,1+VLOOKUP(($AI18-$AH18-$AG18-$AF18-$AE18-$AA18*(1+CJ$3))/$AI18,'Технический лист'!$A:$B,2,1)-VLOOKUP($AN18,'Технический лист'!$A:$B,2,1)),1+(1-$AS18))</f>
        <v>1</v>
      </c>
      <c r="CK18" s="41">
        <f>MIN(IF($AS18=100%,1,1+VLOOKUP(($AI18-$AH18-$AG18-$AF18-$AE18-$AA18*(1+CK$3))/$AI18,'Технический лист'!$A:$B,2,1)-VLOOKUP($AN18,'Технический лист'!$A:$B,2,1)),1+(1-$AS18))</f>
        <v>1</v>
      </c>
      <c r="CL18" s="41">
        <f>MIN(IF($AS18=100%,1,1+VLOOKUP(($AI18-$AH18-$AG18-$AF18-$AE18-$AA18*(1+CL$3))/$AI18,'Технический лист'!$A:$B,2,1)-VLOOKUP($AN18,'Технический лист'!$A:$B,2,1)),1+(1-$AS18))</f>
        <v>1</v>
      </c>
      <c r="CM18" s="41">
        <f>MIN(IF($AS18=100%,1,1+VLOOKUP(($AI18-$AH18-$AG18-$AF18-$AE18-$AA18*(1+CM$3))/$AI18,'Технический лист'!$A:$B,2,1)-VLOOKUP($AN18,'Технический лист'!$A:$B,2,1)),1+(1-$AS18))</f>
        <v>1</v>
      </c>
      <c r="CN18" s="41">
        <f>MIN(IF($AS18=100%,1,1+VLOOKUP(($AI18-$AH18-$AG18-$AF18-$AE18-$AA18*(1+CN$3))/$AI18,'Технический лист'!$A:$B,2,1)-VLOOKUP($AN18,'Технический лист'!$A:$B,2,1)),1+(1-$AS18))</f>
        <v>1</v>
      </c>
      <c r="CO18" s="41">
        <f>MIN(IF($AS18=100%,1,1+VLOOKUP(($AI18-$AH18-$AG18-$AF18-$AE18-$AA18*(1+CO$3))/$AI18,'Технический лист'!$A:$B,2,1)-VLOOKUP($AN18,'Технический лист'!$A:$B,2,1)),1+(1-$AS18))</f>
        <v>1</v>
      </c>
      <c r="CP18" s="41">
        <f>MIN(IF($AS18=100%,1,1+VLOOKUP(($AI18-$AH18-$AG18-$AF18-$AE18-$AA18*(1+CP$3))/$AI18,'Технический лист'!$A:$B,2,1)-VLOOKUP($AN18,'Технический лист'!$A:$B,2,1)),1+(1-$AS18))</f>
        <v>1</v>
      </c>
      <c r="CQ18" s="41">
        <f>MIN(IF($AS18=100%,1,1+VLOOKUP(($AI18-$AH18-$AG18-$AF18-$AE18-$AA18*(1+CQ$3))/$AI18,'Технический лист'!$A:$B,2,1)-VLOOKUP($AN18,'Технический лист'!$A:$B,2,1)),1+(1-$AS18))</f>
        <v>1</v>
      </c>
      <c r="CR18">
        <v>1</v>
      </c>
      <c r="CS18" s="41">
        <f>MIN(1,MAX(VLOOKUP(($AI18-$AH18-$AG18-$AF18-$AE18-$AA18*(1+CS$3))/$AI18,'[8]Технический лист'!$A:$B,2,1),(CR18-0.05)))</f>
        <v>0.95</v>
      </c>
      <c r="CT18" s="41">
        <f>MIN(1,MAX(VLOOKUP(($AI18-$AH18-$AG18-$AF18-$AE18-$AA18*(1+CT$3))/$AI18,'[8]Технический лист'!$A:$B,2,1),(CS18-0.05)))</f>
        <v>0.89999999999999991</v>
      </c>
      <c r="CU18" s="41">
        <f>MIN(1,MAX(VLOOKUP(($AI18-$AH18-$AG18-$AF18-$AE18-$AA18*(1+CU$3))/$AI18,'[8]Технический лист'!$A:$B,2,1),(CT18-0.05)))</f>
        <v>0.84999999999999987</v>
      </c>
      <c r="CV18" s="41">
        <f>MIN(1,MAX(VLOOKUP(($AI18-$AH18-$AG18-$AF18-$AE18-$AA18*(1+CV$3))/$AI18,'[8]Технический лист'!$A:$B,2,1),(CU18-0.05)))</f>
        <v>0.79999999999999982</v>
      </c>
      <c r="CW18" s="41">
        <f>MIN(1,MAX(VLOOKUP(($AI18-$AH18-$AG18-$AF18-$AE18-$AA18*(1+CW$3))/$AI18,'[8]Технический лист'!$A:$B,2,1),(CV18-0.05)))</f>
        <v>0.74999999999999978</v>
      </c>
      <c r="CX18" s="41">
        <f>MIN(1,MAX(VLOOKUP(($AI18-$AH18-$AG18-$AF18-$AE18-$AA18*(1+CX$3))/$AI18,'[8]Технический лист'!$A:$B,2,1),(CW18-0.05)))</f>
        <v>0.69999999999999973</v>
      </c>
      <c r="CY18" s="41">
        <f>MIN(1,MAX(VLOOKUP(($AI18-$AH18-$AG18-$AF18-$AE18-$AA18*(1+CY$3))/$AI18,'[8]Технический лист'!$A:$B,2,1),(CX18-0.05)))</f>
        <v>0.64999999999999969</v>
      </c>
      <c r="CZ18" s="41">
        <f>MIN(1,MAX(VLOOKUP(($AI18-$AH18-$AG18-$AF18-$AE18-$AA18*(1+CZ$3))/$AI18,'[8]Технический лист'!$A:$B,2,1),(CY18-0.05)))</f>
        <v>0.59999999999999964</v>
      </c>
      <c r="DA18" s="41">
        <f>MIN(1,MAX(VLOOKUP(($AI18-$AH18-$AG18-$AF18-$AE18-$AA18*(1+DA$3))/$AI18,'[8]Технический лист'!$A:$B,2,1),(CZ18-0.05)))</f>
        <v>0.5499999999999996</v>
      </c>
      <c r="DB18" s="41">
        <f>MIN(1,MAX(VLOOKUP(($AI18-$AH18-$AG18-$AF18-$AE18-$AA18*(1+DB$3))/$AI18,'[8]Технический лист'!$A:$B,2,1),(DA18-0.05)))</f>
        <v>0.49999999999999961</v>
      </c>
      <c r="DC18" s="41">
        <f>MIN(1,MAX(VLOOKUP(($AI18-$AH18-$AG18-$AF18-$AE18-$AA18*(1+DC$3))/$AI18,'[8]Технический лист'!$A:$B,2,1),(DB18-0.05)))</f>
        <v>0.44999999999999962</v>
      </c>
      <c r="DD18" s="41">
        <f>MIN(1,MAX(VLOOKUP(($AI18-$AH18-$AG18-$AF18-$AE18-$AA18*(1+DD$3))/$AI18,'[8]Технический лист'!$A:$B,2,1),(DC18-0.05)))</f>
        <v>0.39999999999999963</v>
      </c>
      <c r="DE18" s="41">
        <f>MIN(1,MAX(VLOOKUP(($AI18-$AH18-$AG18-$AF18-$AE18-$AA18*(1+DE$3))/$AI18,'[8]Технический лист'!$A:$B,2,1),(DD18-0.05)))</f>
        <v>0.34999999999999964</v>
      </c>
      <c r="DF18" s="41">
        <f>MIN(1,MAX(VLOOKUP(($AI18-$AH18-$AG18-$AF18-$AE18-$AA18*(1+DF$3))/$AI18,'[8]Технический лист'!$A:$B,2,1),(DE18-0.05)))</f>
        <v>0.29999999999999966</v>
      </c>
      <c r="DG18" s="41">
        <f>MIN(1,MAX(VLOOKUP(($AI18-$AH18-$AG18-$AF18-$AE18-$AA18*(1+DG$3))/$AI18,'[8]Технический лист'!$A:$B,2,1),(DF18-0.05)))</f>
        <v>0.24999999999999967</v>
      </c>
      <c r="DH18" s="41">
        <f>MIN(1,MAX(VLOOKUP(($AI18-$AH18-$AG18-$AF18-$AE18-$AA18*(1+DH$3))/$AI18,'[8]Технический лист'!$A:$B,2,1),(DG18-0.05)))</f>
        <v>0.19999999999999968</v>
      </c>
      <c r="DI18" s="41">
        <f>MIN(1,MAX(VLOOKUP(($AI18-$AH18-$AG18-$AF18-$AE18-$AA18*(1+DI$3))/$AI18,'[8]Технический лист'!$A:$B,2,1),(DH18-0.05)))</f>
        <v>0.14999999999999969</v>
      </c>
      <c r="DJ18" s="41">
        <f>MIN(1,MAX(VLOOKUP(($AI18-$AH18-$AG18-$AF18-$AE18-$AA18*(1+DJ$3))/$AI18,'[8]Технический лист'!$A:$B,2,1),(DI18-0.05)))</f>
        <v>9.9999999999999686E-2</v>
      </c>
      <c r="DK18" s="41">
        <f>MIN(1,MAX(VLOOKUP(($AI18-$AH18-$AG18-$AF18-$AE18-$AA18*(1+DK$3))/$AI18,'[8]Технический лист'!$A:$B,2,1),(DJ18-0.05)))</f>
        <v>4.9999999999999684E-2</v>
      </c>
      <c r="DL18" s="41">
        <f>MIN(1,MAX(VLOOKUP(($AI18-$AH18-$AG18-$AF18-$AE18-$AA18*(1+DL$3))/$AI18,'[8]Технический лист'!$A:$B,2,1),(DK18-0.05)))</f>
        <v>0</v>
      </c>
      <c r="DM18" s="41">
        <f>MIN(1,MAX(VLOOKUP(($AI18-$AH18-$AG18-$AF18-$AE18-$AA18*(1+DM$3))/$AI18,'[8]Технический лист'!$A:$B,2,1),(DL18-0.05)))</f>
        <v>0</v>
      </c>
      <c r="DN18" s="41">
        <f>MIN(1,MAX(VLOOKUP(($AI18-$AH18-$AG18-$AF18-$AE18-$AA18*(1+DN$3))/$AI18,'[8]Технический лист'!$A:$B,2,1),(DM18-0.05)))</f>
        <v>0</v>
      </c>
      <c r="DO18" s="41">
        <f>MIN(1,MAX(VLOOKUP(($AI18-$AH18-$AG18-$AF18-$AE18-$AA18*(1+DO$3))/$AI18,'[8]Технический лист'!$A:$B,2,1),(DN18-0.05)))</f>
        <v>0</v>
      </c>
      <c r="DP18" s="41">
        <f>MIN(1,MAX(VLOOKUP(($AI18-$AH18-$AG18-$AF18-$AE18-$AA18*(1+DP$3))/$AI18,'[8]Технический лист'!$A:$B,2,1),(DO18-0.05)))</f>
        <v>0</v>
      </c>
      <c r="DQ18" s="41">
        <f>MIN(1,MAX(VLOOKUP(($AI18-$AH18-$AG18-$AF18-$AE18-$AA18*(1+DQ$3))/$AI18,'[8]Технический лист'!$A:$B,2,1),(DP18-0.05)))</f>
        <v>0</v>
      </c>
      <c r="DR18" s="41">
        <f>MIN(1,MAX(VLOOKUP(($AI18-$AH18-$AG18-$AF18-$AE18-$AA18*(1+DR$3))/$AI18,'[8]Технический лист'!$A:$B,2,1),(DQ18-0.05)))</f>
        <v>0</v>
      </c>
      <c r="DS18" s="41">
        <f>MIN(1,MAX(VLOOKUP(($AI18-$AH18-$AG18-$AF18-$AE18-$AA18*(1+DS$3))/$AI18,'[8]Технический лист'!$A:$B,2,1),(DR18-0.05)))</f>
        <v>0</v>
      </c>
      <c r="DT18" s="41">
        <f>MIN(1,MAX(VLOOKUP(($AI18-$AH18-$AG18-$AF18-$AE18-$AA18*(1+DT$3))/$AI18,'[8]Технический лист'!$A:$B,2,1),(DS18-0.05)))</f>
        <v>0</v>
      </c>
      <c r="DU18" s="41">
        <f>MIN(1,MAX(VLOOKUP(($AI18-$AH18-$AG18-$AF18-$AE18-$AA18*(1+DU$3))/$AI18,'[8]Технический лист'!$A:$B,2,1),(DT18-0.05)))</f>
        <v>0</v>
      </c>
      <c r="DV18" s="41">
        <f>MIN(1,MAX(VLOOKUP(($AI18-$AH18-$AG18-$AF18-$AE18-$AA18*(1+DV$3))/$AI18,'[8]Технический лист'!$A:$B,2,1),(DU18-0.05)))</f>
        <v>0</v>
      </c>
      <c r="DW18" s="41">
        <f>MIN(1,MAX(VLOOKUP(($AI18-$AH18-$AG18-$AF18-$AE18-$AA18*(1+DW$3))/$AI18,'[8]Технический лист'!$A:$B,2,1),(DV18-0.05)))</f>
        <v>0</v>
      </c>
      <c r="DX18" s="41">
        <f>MIN(1,MAX(VLOOKUP(($AI18-$AH18-$AG18-$AF18-$AE18-$AA18*(1+DX$3))/$AI18,'[8]Технический лист'!$A:$B,2,1),(DW18-0.05)))</f>
        <v>0</v>
      </c>
      <c r="DY18" s="41">
        <f>MIN(1,MAX(VLOOKUP(($AI18-$AH18-$AG18-$AF18-$AE18-$AA18*(1+DY$3))/$AI18,'[8]Технический лист'!$A:$B,2,1),(DX18-0.05)))</f>
        <v>0</v>
      </c>
      <c r="DZ18" s="41">
        <f>MIN(1,MAX(VLOOKUP(($AI18-$AH18-$AG18-$AF18-$AE18-$AA18*(1+DZ$3))/$AI18,'[8]Технический лист'!$A:$B,2,1),(DY18-0.05)))</f>
        <v>0</v>
      </c>
      <c r="EA18" s="41">
        <f>MIN(1,MAX(VLOOKUP(($AI18-$AH18-$AG18-$AF18-$AE18-$AA18*(1+EA$3))/$AI18,'[8]Технический лист'!$A:$B,2,1),(DZ18-0.05)))</f>
        <v>0</v>
      </c>
      <c r="EB18" s="41">
        <f>MIN(1,MAX(VLOOKUP(($AI18-$AH18-$AG18-$AF18-$AE18-$AA18*(1+EB$3))/$AI18,'[8]Технический лист'!$A:$B,2,1),(EA18-0.05)))</f>
        <v>0</v>
      </c>
      <c r="EC18" s="41">
        <f>MIN(1,MAX(VLOOKUP(($AI18-$AH18-$AG18-$AF18-$AE18-$AA18*(1+EC$3))/$AI18,'[8]Технический лист'!$A:$B,2,1),(EB18-0.05)))</f>
        <v>0</v>
      </c>
      <c r="ED18" s="41">
        <f>MIN(1,MAX(VLOOKUP(($AI18-$AH18-$AG18-$AF18-$AE18-$AA18*(1+ED$3))/$AI18,'[8]Технический лист'!$A:$B,2,1),(EC18-0.05)))</f>
        <v>0</v>
      </c>
      <c r="EE18" s="41">
        <f>MIN(1,MAX(VLOOKUP(($AI18-$AH18-$AG18-$AF18-$AE18-$AA18*(1+EE$3))/$AI18,'[8]Технический лист'!$A:$B,2,1),(ED18-0.05)))</f>
        <v>0</v>
      </c>
      <c r="EF18" s="41">
        <f>MIN(1,MAX(VLOOKUP(($AI18-$AH18-$AG18-$AF18-$AE18-$AA18*(1+EF$3))/$AI18,'[8]Технический лист'!$A:$B,2,1),(EE18-0.05)))</f>
        <v>0</v>
      </c>
      <c r="EG18" s="41">
        <f>MIN(1,MAX(VLOOKUP(($AI18-$AH18-$AG18-$AF18-$AE18-$AA18*(1+EG$3))/$AI18,'[8]Технический лист'!$A:$B,2,1),(EF18-0.05)))</f>
        <v>0</v>
      </c>
      <c r="EH18" s="41">
        <f>MIN(1,MAX(VLOOKUP(($AI18-$AH18-$AG18-$AF18-$AE18-$AA18*(1+EH$3))/$AI18,'[8]Технический лист'!$A:$B,2,1),(EG18-0.05)))</f>
        <v>0</v>
      </c>
      <c r="EI18" s="41">
        <f>MIN(1,MAX(VLOOKUP(($AI18-$AH18-$AG18-$AF18-$AE18-$AA18*(1+EI$3))/$AI18,'[8]Технический лист'!$A:$B,2,1),(EH18-0.05)))</f>
        <v>0</v>
      </c>
      <c r="EJ18" s="41">
        <f>MIN(1,MAX(VLOOKUP(($AI18-$AH18-$AG18-$AF18-$AE18-$AA18*(1+EJ$3))/$AI18,'[8]Технический лист'!$A:$B,2,1),(EI18-0.05)))</f>
        <v>0</v>
      </c>
      <c r="EK18" s="41">
        <f>MIN(1,MAX(VLOOKUP(($AI18-$AH18-$AG18-$AF18-$AE18-$AA18*(1+EK$3))/$AI18,'[8]Технический лист'!$A:$B,2,1),(EJ18-0.05)))</f>
        <v>0</v>
      </c>
      <c r="EL18" s="41">
        <f>MIN(1,MAX(VLOOKUP(($AI18-$AH18-$AG18-$AF18-$AE18-$AA18*(1+EL$3))/$AI18,'[8]Технический лист'!$A:$B,2,1),(EK18-0.05)))</f>
        <v>0</v>
      </c>
      <c r="EM18" s="41">
        <f>MIN(1,MAX(VLOOKUP(($AI18-$AH18-$AG18-$AF18-$AE18-$AA18*(1+EM$3))/$AI18,'[8]Технический лист'!$A:$B,2,1),(EL18-0.05)))</f>
        <v>0</v>
      </c>
      <c r="EN18" s="41">
        <f>MIN(1,MAX(VLOOKUP(($AI18-$AH18-$AG18-$AF18-$AE18-$AA18*(1+EN$3))/$AI18,'[8]Технический лист'!$A:$B,2,1),(EM18-0.05)))</f>
        <v>0</v>
      </c>
      <c r="EO18" s="41">
        <f>MIN(1,MAX(VLOOKUP(($AI18-$AH18-$AG18-$AF18-$AE18-$AA18*(1+EO$3))/$AI18,'[8]Технический лист'!$A:$B,2,1),(EN18-0.05)))</f>
        <v>0</v>
      </c>
      <c r="EP18" s="41">
        <f>MIN(1,MAX(VLOOKUP(($AI18-$AH18-$AG18-$AF18-$AE18-$AA18*(1+EP$3))/$AI18,'[8]Технический лист'!$A:$B,2,1),(EO18-0.05)))</f>
        <v>0</v>
      </c>
      <c r="EQ18" s="41">
        <f>MIN(1,MAX(VLOOKUP(($AI18-$AH18-$AG18-$AF18-$AE18-$AA18*(1+EQ$3))/$AI18,'[8]Технический лист'!$A:$B,2,1),(EP18-0.05)))</f>
        <v>0</v>
      </c>
      <c r="ER18" s="41">
        <f>MIN(1,MAX(VLOOKUP(($AI18-$AH18-$AG18-$AF18-$AE18-$AA18*(1+ER$3))/$AI18,'[8]Технический лист'!$A:$B,2,1),(EQ18-0.05)))</f>
        <v>0</v>
      </c>
      <c r="ES18" s="41">
        <f>MIN(1,MAX(VLOOKUP(($AI18-$AH18-$AG18-$AF18-$AE18-$AA18*(1+ES$3))/$AI18,'[8]Технический лист'!$A:$B,2,1),(ER18-0.05)))</f>
        <v>0</v>
      </c>
      <c r="ET18" s="41">
        <f>MIN(1,MAX(VLOOKUP(($AI18-$AH18-$AG18-$AF18-$AE18-$AA18*(1+ET$3))/$AI18,'[8]Технический лист'!$A:$B,2,1),(ES18-0.05)))</f>
        <v>0</v>
      </c>
      <c r="EU18" s="41">
        <f>MIN(1,MAX(VLOOKUP(($AI18-$AH18-$AG18-$AF18-$AE18-$AA18*(1+EU$3))/$AI18,'[8]Технический лист'!$A:$B,2,1),(ET18-0.05)))</f>
        <v>0</v>
      </c>
      <c r="EV18" s="41">
        <f>MIN(1,MAX(VLOOKUP(($AI18-$AH18-$AG18-$AF18-$AE18-$AA18*(1+EV$3))/$AI18,'[8]Технический лист'!$A:$B,2,1),(EU18-0.05)))</f>
        <v>0</v>
      </c>
      <c r="EW18" s="41">
        <f>MIN(1,MAX(VLOOKUP(($AI18-$AH18-$AG18-$AF18-$AE18-$AA18*(1+EW$3))/$AI18,'[8]Технический лист'!$A:$B,2,1),(EV18-0.05)))</f>
        <v>0</v>
      </c>
      <c r="EX18" s="41">
        <f>MIN(1,MAX(VLOOKUP(($AI18-$AH18-$AG18-$AF18-$AE18-$AA18*(1+EX$3))/$AI18,'[8]Технический лист'!$A:$B,2,1),(EW18-0.05)))</f>
        <v>0</v>
      </c>
      <c r="EY18" s="41">
        <f>MIN(1,MAX(VLOOKUP(($AI18-$AH18-$AG18-$AF18-$AE18-$AA18*(1+EY$3))/$AI18,'[8]Технический лист'!$A:$B,2,1),(EX18-0.05)))</f>
        <v>0</v>
      </c>
      <c r="EZ18" s="41">
        <f>MIN(1,MAX(VLOOKUP(($AI18-$AH18-$AG18-$AF18-$AE18-$AA18*(1+EZ$3))/$AI18,'[8]Технический лист'!$A:$B,2,1),(EY18-0.05)))</f>
        <v>0</v>
      </c>
      <c r="FA18" s="41">
        <f>MIN(1,MAX(VLOOKUP(($AI18-$AH18-$AG18-$AF18-$AE18-$AA18*(1+FA$3))/$AI18,'[8]Технический лист'!$A:$B,2,1),(EZ18-0.05)))</f>
        <v>0</v>
      </c>
      <c r="FB18" s="41">
        <f>MIN(1,MAX(VLOOKUP(($AI18-$AH18-$AG18-$AF18-$AE18-$AA18*(1+FB$3))/$AI18,'[8]Технический лист'!$A:$B,2,1),(FA18-0.05)))</f>
        <v>0</v>
      </c>
      <c r="FC18" s="41">
        <f>MIN(1,MAX(VLOOKUP(($AI18-$AH18-$AG18-$AF18-$AE18-$AA18*(1+FC$3))/$AI18,'[8]Технический лист'!$A:$B,2,1),(FB18-0.05)))</f>
        <v>0</v>
      </c>
      <c r="FD18" s="41">
        <f>MIN(1,MAX(VLOOKUP(($AI18-$AH18-$AG18-$AF18-$AE18-$AA18*(1+FD$3))/$AI18,'[8]Технический лист'!$A:$B,2,1),(FC18-0.05)))</f>
        <v>0</v>
      </c>
      <c r="FE18" s="41">
        <f>MIN(1,MAX(VLOOKUP(($AI18-$AH18-$AG18-$AF18-$AE18-$AA18*(1+FE$3))/$AI18,'[8]Технический лист'!$A:$B,2,1),(FD18-0.05)))</f>
        <v>0</v>
      </c>
      <c r="FF18" s="41">
        <f>MIN(1,MAX(VLOOKUP(($AI18-$AH18-$AG18-$AF18-$AE18-$AA18*(1+FF$3))/$AI18,'[8]Технический лист'!$A:$B,2,1),(FE18-0.05)))</f>
        <v>0</v>
      </c>
      <c r="FG18" s="41">
        <f>MIN(1,MAX(VLOOKUP(($AI18-$AH18-$AG18-$AF18-$AE18-$AA18*(1+FG$3))/$AI18,'[8]Технический лист'!$A:$B,2,1),(FF18-0.05)))</f>
        <v>0</v>
      </c>
      <c r="FH18" s="41">
        <f>MIN(1,MAX(VLOOKUP(($AI18-$AH18-$AG18-$AF18-$AE18-$AA18*(1+FH$3))/$AI18,'[8]Технический лист'!$A:$B,2,1),(FG18-0.05)))</f>
        <v>0</v>
      </c>
      <c r="FI18" s="41">
        <f>MIN(1,MAX(VLOOKUP(($AI18-$AH18-$AG18-$AF18-$AE18-$AA18*(1+FI$3))/$AI18,'[8]Технический лист'!$A:$B,2,1),(FH18-0.05)))</f>
        <v>0</v>
      </c>
      <c r="FJ18" s="41">
        <f>MIN(1,MAX(VLOOKUP(($AI18-$AH18-$AG18-$AF18-$AE18-$AA18*(1+FJ$3))/$AI18,'[8]Технический лист'!$A:$B,2,1),(FI18-0.05)))</f>
        <v>0</v>
      </c>
      <c r="FK18" s="41">
        <f>MIN(1,MAX(VLOOKUP(($AI18-$AH18-$AG18-$AF18-$AE18-$AA18*(1+FK$3))/$AI18,'[8]Технический лист'!$A:$B,2,1),(FJ18-0.05)))</f>
        <v>0</v>
      </c>
      <c r="FL18" s="41">
        <f>MIN(1,MAX(VLOOKUP(($AI18-$AH18-$AG18-$AF18-$AE18-$AA18*(1+FL$3))/$AI18,'[8]Технический лист'!$A:$B,2,1),(FK18-0.05)))</f>
        <v>0</v>
      </c>
      <c r="FM18" s="41">
        <f>MIN(1,MAX(VLOOKUP(($AI18-$AH18-$AG18-$AF18-$AE18-$AA18*(1+FM$3))/$AI18,'[8]Технический лист'!$A:$B,2,1),(FL18-0.05)))</f>
        <v>0</v>
      </c>
      <c r="FN18" s="41">
        <f>MIN(1,MAX(VLOOKUP(($AI18-$AH18-$AG18-$AF18-$AE18-$AA18*(1+FN$3))/$AI18,'[8]Технический лист'!$A:$B,2,1),(FM18-0.05)))</f>
        <v>0</v>
      </c>
      <c r="FO18" s="41">
        <f>MIN(1,MAX(VLOOKUP(($AI18-$AH18-$AG18-$AF18-$AE18-$AA18*(1+FO$3))/$AI18,'[8]Технический лист'!$A:$B,2,1),(FN18-0.05)))</f>
        <v>0</v>
      </c>
      <c r="FP18" s="41">
        <f>MIN(1,MAX(VLOOKUP(($AI18-$AH18-$AG18-$AF18-$AE18-$AA18*(1+FP$3))/$AI18,'[8]Технический лист'!$A:$B,2,1),(FO18-0.05)))</f>
        <v>0</v>
      </c>
      <c r="FQ18" s="41">
        <f>MIN(1,MAX(VLOOKUP(($AI18-$AH18-$AG18-$AF18-$AE18-$AA18*(1+FQ$3))/$AI18,'[8]Технический лист'!$A:$B,2,1),(FP18-0.05)))</f>
        <v>0</v>
      </c>
      <c r="FR18" s="41">
        <f>MIN(1,MAX(VLOOKUP(($AI18-$AH18-$AG18-$AF18-$AE18-$AA18*(1+FR$3))/$AI18,'[8]Технический лист'!$A:$B,2,1),(FQ18-0.05)))</f>
        <v>0</v>
      </c>
      <c r="FS18" s="41">
        <f>MIN(1,MAX(VLOOKUP(($AI18-$AH18-$AG18-$AF18-$AE18-$AA18*(1+FS$3))/$AI18,'[8]Технический лист'!$A:$B,2,1),(FR18-0.05)))</f>
        <v>0</v>
      </c>
      <c r="FT18" s="41">
        <f>MIN(1,MAX(VLOOKUP(($AI18-$AH18-$AG18-$AF18-$AE18-$AA18*(1+FT$3))/$AI18,'[8]Технический лист'!$A:$B,2,1),(FS18-0.05)))</f>
        <v>0</v>
      </c>
      <c r="FU18" s="41">
        <f>MIN(1,MAX(VLOOKUP(($AI18-$AH18-$AG18-$AF18-$AE18-$AA18*(1+FU$3))/$AI18,'[8]Технический лист'!$A:$B,2,1),(FT18-0.05)))</f>
        <v>0</v>
      </c>
      <c r="FV18" s="41">
        <f>MIN(1,MAX(VLOOKUP(($AI18-$AH18-$AG18-$AF18-$AE18-$AA18*(1+FV$3))/$AI18,'[8]Технический лист'!$A:$B,2,1),(FU18-0.05)))</f>
        <v>0</v>
      </c>
      <c r="FW18" s="41">
        <f>MIN(1,MAX(VLOOKUP(($AI18-$AH18-$AG18-$AF18-$AE18-$AA18*(1+FW$3))/$AI18,'[8]Технический лист'!$A:$B,2,1),(FV18-0.05)))</f>
        <v>0</v>
      </c>
      <c r="FX18" s="41">
        <f>MIN(1,MAX(VLOOKUP(($AI18-$AH18-$AG18-$AF18-$AE18-$AA18*(1+FX$3))/$AI18,'[8]Технический лист'!$A:$B,2,1),(FW18-0.05)))</f>
        <v>0</v>
      </c>
      <c r="FY18" s="41">
        <f>MIN(1,MAX(VLOOKUP(($AI18-$AH18-$AG18-$AF18-$AE18-$AA18*(1+FY$3))/$AI18,'[8]Технический лист'!$A:$B,2,1),(FX18-0.05)))</f>
        <v>0</v>
      </c>
      <c r="FZ18" s="41">
        <f>MIN(1,MAX(VLOOKUP(($AI18-$AH18-$AG18-$AF18-$AE18-$AA18*(1+FZ$3))/$AI18,'[8]Технический лист'!$A:$B,2,1),(FY18-0.05)))</f>
        <v>0</v>
      </c>
      <c r="GA18" s="41">
        <f>MIN(1,MAX(VLOOKUP(($AI18-$AH18-$AG18-$AF18-$AE18-$AA18*(1+GA$3))/$AI18,'[8]Технический лист'!$A:$B,2,1),(FZ18-0.05)))</f>
        <v>0</v>
      </c>
      <c r="GB18" s="41">
        <f>MIN(1,MAX(VLOOKUP(($AI18-$AH18-$AG18-$AF18-$AE18-$AA18*(1+GB$3))/$AI18,'[8]Технический лист'!$A:$B,2,1),(GA18-0.05)))</f>
        <v>0</v>
      </c>
      <c r="GC18" s="41">
        <f>MIN(1,MAX(VLOOKUP(($AI18-$AH18-$AG18-$AF18-$AE18-$AA18*(1+GC$3))/$AI18,'[8]Технический лист'!$A:$B,2,1),(GB18-0.05)))</f>
        <v>0</v>
      </c>
      <c r="GD18" s="41">
        <f>MIN(1,MAX(VLOOKUP(($AI18-$AH18-$AG18-$AF18-$AE18-$AA18*(1+GD$3))/$AI18,'[8]Технический лист'!$A:$B,2,1),(GC18-0.05)))</f>
        <v>0</v>
      </c>
      <c r="GE18" s="41">
        <f>MIN(1,MAX(VLOOKUP(($AI18-$AH18-$AG18-$AF18-$AE18-$AA18*(1+GE$3))/$AI18,'[8]Технический лист'!$A:$B,2,1),(GD18-0.05)))</f>
        <v>0</v>
      </c>
      <c r="GF18" s="41">
        <f>MIN(1,MAX(VLOOKUP(($AI18-$AH18-$AG18-$AF18-$AE18-$AA18*(1+GF$3))/$AI18,'[8]Технический лист'!$A:$B,2,1),(GE18-0.05)))</f>
        <v>0</v>
      </c>
      <c r="GG18" s="41">
        <f>MIN(1,MAX(VLOOKUP(($AI18-$AH18-$AG18-$AF18-$AE18-$AA18*(1+GG$3))/$AI18,'[8]Технический лист'!$A:$B,2,1),(GF18-0.05)))</f>
        <v>0</v>
      </c>
      <c r="GH18" s="41">
        <f>MIN(1,MAX(VLOOKUP(($AI18-$AH18-$AG18-$AF18-$AE18-$AA18*(1+GH$3))/$AI18,'[8]Технический лист'!$A:$B,2,1),(GG18-0.05)))</f>
        <v>0</v>
      </c>
      <c r="GI18" s="41">
        <f>MIN(1,MAX(VLOOKUP(($AI18-$AH18-$AG18-$AF18-$AE18-$AA18*(1+GI$3))/$AI18,'[8]Технический лист'!$A:$B,2,1),(GH18-0.05)))</f>
        <v>0</v>
      </c>
      <c r="GJ18" s="41">
        <f>MIN(1,MAX(VLOOKUP(($AI18-$AH18-$AG18-$AF18-$AE18-$AA18*(1+GJ$3))/$AI18,'[8]Технический лист'!$A:$B,2,1),(GI18-0.05)))</f>
        <v>0</v>
      </c>
      <c r="GK18" s="41">
        <f>MIN(1,MAX(VLOOKUP(($AI18-$AH18-$AG18-$AF18-$AE18-$AA18*(1+GK$3))/$AI18,'[8]Технический лист'!$A:$B,2,1),(GJ18-0.05)))</f>
        <v>0</v>
      </c>
      <c r="GL18" s="41">
        <f>MIN(1,MAX(VLOOKUP(($AI18-$AH18-$AG18-$AF18-$AE18-$AA18*(1+GL$3))/$AI18,'[8]Технический лист'!$A:$B,2,1),(GK18-0.05)))</f>
        <v>0</v>
      </c>
      <c r="GM18" s="41">
        <f>MIN(1,MAX(VLOOKUP(($AI18-$AH18-$AG18-$AF18-$AE18-$AA18*(1+GM$3))/$AI18,'[8]Технический лист'!$A:$B,2,1),(GL18-0.05)))</f>
        <v>0</v>
      </c>
      <c r="GN18" s="41">
        <f>MIN(1,MAX(VLOOKUP(($AI18-$AH18-$AG18-$AF18-$AE18-$AA18*(1+GN$3))/$AI18,'[8]Технический лист'!$A:$B,2,1),(GM18-0.05)))</f>
        <v>0</v>
      </c>
    </row>
    <row r="19" spans="1:196">
      <c r="A19" s="3">
        <v>6</v>
      </c>
      <c r="B19" s="15" t="s">
        <v>61</v>
      </c>
      <c r="C19" s="4" t="s">
        <v>141</v>
      </c>
      <c r="D19" s="4" t="s">
        <v>142</v>
      </c>
      <c r="E19" s="4" t="s">
        <v>143</v>
      </c>
      <c r="F19" s="4" t="s">
        <v>19</v>
      </c>
      <c r="G19" s="4" t="s">
        <v>19</v>
      </c>
      <c r="H19" s="4" t="s">
        <v>144</v>
      </c>
      <c r="I19" s="4" t="s">
        <v>145</v>
      </c>
      <c r="J19" s="4" t="s">
        <v>146</v>
      </c>
      <c r="K19" s="4" t="s">
        <v>147</v>
      </c>
      <c r="L19" s="4" t="s">
        <v>21</v>
      </c>
      <c r="M19" s="4" t="s">
        <v>167</v>
      </c>
      <c r="N19" s="4" t="s">
        <v>54</v>
      </c>
      <c r="O19" s="4" t="s">
        <v>148</v>
      </c>
      <c r="P19" s="4" t="s">
        <v>149</v>
      </c>
      <c r="Q19" s="4" t="s">
        <v>51</v>
      </c>
      <c r="R19" s="16">
        <v>198012</v>
      </c>
      <c r="S19" s="17">
        <v>79798836</v>
      </c>
      <c r="T19" s="18">
        <v>3414</v>
      </c>
      <c r="U19" s="18">
        <v>0</v>
      </c>
      <c r="V19" s="17">
        <v>102474616</v>
      </c>
      <c r="W19" s="26" t="s">
        <v>180</v>
      </c>
      <c r="X19" s="26">
        <v>58</v>
      </c>
      <c r="Y19" s="24">
        <v>840.74</v>
      </c>
      <c r="Z19" s="27">
        <f>AA19-Y19</f>
        <v>336.32999999999993</v>
      </c>
      <c r="AA19" s="20">
        <v>1177.07</v>
      </c>
      <c r="AB19" s="20">
        <v>6</v>
      </c>
      <c r="AC19" s="20">
        <v>6</v>
      </c>
      <c r="AD19" s="20">
        <v>4</v>
      </c>
      <c r="AE19" s="20"/>
      <c r="AF19" s="20">
        <v>0</v>
      </c>
      <c r="AG19" s="20"/>
      <c r="AH19" s="20">
        <f>0.8*AI19</f>
        <v>2720</v>
      </c>
      <c r="AI19" s="20">
        <f>Цены!$C$9</f>
        <v>3400</v>
      </c>
      <c r="AJ19" s="20"/>
      <c r="AK19" s="21"/>
      <c r="AL19" s="20"/>
      <c r="AM19" s="20"/>
      <c r="AN19" s="29">
        <f t="shared" si="0"/>
        <v>-0.1461970588235294</v>
      </c>
      <c r="AO19" s="20"/>
      <c r="AP19" s="20"/>
      <c r="AQ19" s="2"/>
      <c r="AR19" s="19"/>
      <c r="AS19" s="42">
        <v>0.8</v>
      </c>
      <c r="AT19" s="41">
        <f>MIN(IF($AS19=100%,1,1+VLOOKUP(($AI19-$AH19-$AG19-$AF19-$AE19-$AA19*(1+AT$3))/$AI19,'Технический лист'!$A:$B,2,1)-VLOOKUP($AN19,'Технический лист'!$A:$B,2,1)),1+(1-$AS19))</f>
        <v>1.2</v>
      </c>
      <c r="AU19" s="41">
        <f>MIN(IF($AS19=100%,1,1+VLOOKUP(($AI19-$AH19-$AG19-$AF19-$AE19-$AA19*(1+AU$3))/$AI19,'Технический лист'!$A:$B,2,1)-VLOOKUP($AN19,'Технический лист'!$A:$B,2,1)),1+(1-$AS19))</f>
        <v>1.2</v>
      </c>
      <c r="AV19" s="41">
        <f>MIN(IF($AS19=100%,1,1+VLOOKUP(($AI19-$AH19-$AG19-$AF19-$AE19-$AA19*(1+AV$3))/$AI19,'Технический лист'!$A:$B,2,1)-VLOOKUP($AN19,'Технический лист'!$A:$B,2,1)),1+(1-$AS19))</f>
        <v>1.2</v>
      </c>
      <c r="AW19" s="41">
        <f>MIN(IF($AS19=100%,1,1+VLOOKUP(($AI19-$AH19-$AG19-$AF19-$AE19-$AA19*(1+AW$3))/$AI19,'Технический лист'!$A:$B,2,1)-VLOOKUP($AN19,'Технический лист'!$A:$B,2,1)),1+(1-$AS19))</f>
        <v>1.2</v>
      </c>
      <c r="AX19" s="41">
        <f>MIN(IF($AS19=100%,1,1+VLOOKUP(($AI19-$AH19-$AG19-$AF19-$AE19-$AA19*(1+AX$3))/$AI19,'Технический лист'!$A:$B,2,1)-VLOOKUP($AN19,'Технический лист'!$A:$B,2,1)),1+(1-$AS19))</f>
        <v>1.2</v>
      </c>
      <c r="AY19" s="41">
        <f>MIN(IF($AS19=100%,1,1+VLOOKUP(($AI19-$AH19-$AG19-$AF19-$AE19-$AA19*(1+AY$3))/$AI19,'Технический лист'!$A:$B,2,1)-VLOOKUP($AN19,'Технический лист'!$A:$B,2,1)),1+(1-$AS19))</f>
        <v>1.2</v>
      </c>
      <c r="AZ19" s="41">
        <f>MIN(IF($AS19=100%,1,1+VLOOKUP(($AI19-$AH19-$AG19-$AF19-$AE19-$AA19*(1+AZ$3))/$AI19,'Технический лист'!$A:$B,2,1)-VLOOKUP($AN19,'Технический лист'!$A:$B,2,1)),1+(1-$AS19))</f>
        <v>1.2</v>
      </c>
      <c r="BA19" s="41">
        <f>MIN(IF($AS19=100%,1,1+VLOOKUP(($AI19-$AH19-$AG19-$AF19-$AE19-$AA19*(1+BA$3))/$AI19,'Технический лист'!$A:$B,2,1)-VLOOKUP($AN19,'Технический лист'!$A:$B,2,1)),1+(1-$AS19))</f>
        <v>1.2</v>
      </c>
      <c r="BB19" s="41">
        <f>MIN(IF($AS19=100%,1,1+VLOOKUP(($AI19-$AH19-$AG19-$AF19-$AE19-$AA19*(1+BB$3))/$AI19,'Технический лист'!$A:$B,2,1)-VLOOKUP($AN19,'Технический лист'!$A:$B,2,1)),1+(1-$AS19))</f>
        <v>1.2</v>
      </c>
      <c r="BC19" s="41">
        <f>MIN(IF($AS19=100%,1,1+VLOOKUP(($AI19-$AH19-$AG19-$AF19-$AE19-$AA19*(1+BC$3))/$AI19,'Технический лист'!$A:$B,2,1)-VLOOKUP($AN19,'Технический лист'!$A:$B,2,1)),1+(1-$AS19))</f>
        <v>1.2</v>
      </c>
      <c r="BD19" s="41">
        <f>MIN(IF($AS19=100%,1,1+VLOOKUP(($AI19-$AH19-$AG19-$AF19-$AE19-$AA19*(1+BD$3))/$AI19,'Технический лист'!$A:$B,2,1)-VLOOKUP($AN19,'Технический лист'!$A:$B,2,1)),1+(1-$AS19))</f>
        <v>1.2</v>
      </c>
      <c r="BE19" s="41">
        <f>MIN(IF($AS19=100%,1,1+VLOOKUP(($AI19-$AH19-$AG19-$AF19-$AE19-$AA19*(1+BE$3))/$AI19,'Технический лист'!$A:$B,2,1)-VLOOKUP($AN19,'Технический лист'!$A:$B,2,1)),1+(1-$AS19))</f>
        <v>1.2</v>
      </c>
      <c r="BF19" s="41">
        <f>MIN(IF($AS19=100%,1,1+VLOOKUP(($AI19-$AH19-$AG19-$AF19-$AE19-$AA19*(1+BF$3))/$AI19,'Технический лист'!$A:$B,2,1)-VLOOKUP($AN19,'Технический лист'!$A:$B,2,1)),1+(1-$AS19))</f>
        <v>1.2</v>
      </c>
      <c r="BG19" s="41">
        <f>MIN(IF($AS19=100%,1,1+VLOOKUP(($AI19-$AH19-$AG19-$AF19-$AE19-$AA19*(1+BG$3))/$AI19,'Технический лист'!$A:$B,2,1)-VLOOKUP($AN19,'Технический лист'!$A:$B,2,1)),1+(1-$AS19))</f>
        <v>1.2</v>
      </c>
      <c r="BH19" s="41">
        <f>MIN(IF($AS19=100%,1,1+VLOOKUP(($AI19-$AH19-$AG19-$AF19-$AE19-$AA19*(1+BH$3))/$AI19,'Технический лист'!$A:$B,2,1)-VLOOKUP($AN19,'Технический лист'!$A:$B,2,1)),1+(1-$AS19))</f>
        <v>1.2</v>
      </c>
      <c r="BI19" s="41">
        <f>MIN(IF($AS19=100%,1,1+VLOOKUP(($AI19-$AH19-$AG19-$AF19-$AE19-$AA19*(1+BI$3))/$AI19,'Технический лист'!$A:$B,2,1)-VLOOKUP($AN19,'Технический лист'!$A:$B,2,1)),1+(1-$AS19))</f>
        <v>1.2</v>
      </c>
      <c r="BJ19" s="41">
        <f>MIN(IF($AS19=100%,1,1+VLOOKUP(($AI19-$AH19-$AG19-$AF19-$AE19-$AA19*(1+BJ$3))/$AI19,'Технический лист'!$A:$B,2,1)-VLOOKUP($AN19,'Технический лист'!$A:$B,2,1)),1+(1-$AS19))</f>
        <v>1.2</v>
      </c>
      <c r="BK19" s="41">
        <f>MIN(IF($AS19=100%,1,1+VLOOKUP(($AI19-$AH19-$AG19-$AF19-$AE19-$AA19*(1+BK$3))/$AI19,'Технический лист'!$A:$B,2,1)-VLOOKUP($AN19,'Технический лист'!$A:$B,2,1)),1+(1-$AS19))</f>
        <v>1.2</v>
      </c>
      <c r="BL19" s="41">
        <f>MIN(IF($AS19=100%,1,1+VLOOKUP(($AI19-$AH19-$AG19-$AF19-$AE19-$AA19*(1+BL$3))/$AI19,'Технический лист'!$A:$B,2,1)-VLOOKUP($AN19,'Технический лист'!$A:$B,2,1)),1+(1-$AS19))</f>
        <v>1.2</v>
      </c>
      <c r="BM19" s="41">
        <f>MIN(IF($AS19=100%,1,1+VLOOKUP(($AI19-$AH19-$AG19-$AF19-$AE19-$AA19*(1+BM$3))/$AI19,'Технический лист'!$A:$B,2,1)-VLOOKUP($AN19,'Технический лист'!$A:$B,2,1)),1+(1-$AS19))</f>
        <v>1.2</v>
      </c>
      <c r="BN19" s="41">
        <f>MIN(IF($AS19=100%,1,1+VLOOKUP(($AI19-$AH19-$AG19-$AF19-$AE19-$AA19*(1+BN$3))/$AI19,'Технический лист'!$A:$B,2,1)-VLOOKUP($AN19,'Технический лист'!$A:$B,2,1)),1+(1-$AS19))</f>
        <v>1.2</v>
      </c>
      <c r="BO19" s="41">
        <f>MIN(IF($AS19=100%,1,1+VLOOKUP(($AI19-$AH19-$AG19-$AF19-$AE19-$AA19*(1+BO$3))/$AI19,'Технический лист'!$A:$B,2,1)-VLOOKUP($AN19,'Технический лист'!$A:$B,2,1)),1+(1-$AS19))</f>
        <v>1.2</v>
      </c>
      <c r="BP19" s="41">
        <f>MIN(IF($AS19=100%,1,1+VLOOKUP(($AI19-$AH19-$AG19-$AF19-$AE19-$AA19*(1+BP$3))/$AI19,'Технический лист'!$A:$B,2,1)-VLOOKUP($AN19,'Технический лист'!$A:$B,2,1)),1+(1-$AS19))</f>
        <v>1.2</v>
      </c>
      <c r="BQ19" s="41">
        <f>MIN(IF($AS19=100%,1,1+VLOOKUP(($AI19-$AH19-$AG19-$AF19-$AE19-$AA19*(1+BQ$3))/$AI19,'Технический лист'!$A:$B,2,1)-VLOOKUP($AN19,'Технический лист'!$A:$B,2,1)),1+(1-$AS19))</f>
        <v>1.2</v>
      </c>
      <c r="BR19" s="41">
        <f>MIN(IF($AS19=100%,1,1+VLOOKUP(($AI19-$AH19-$AG19-$AF19-$AE19-$AA19*(1+BR$3))/$AI19,'Технический лист'!$A:$B,2,1)-VLOOKUP($AN19,'Технический лист'!$A:$B,2,1)),1+(1-$AS19))</f>
        <v>1.2</v>
      </c>
      <c r="BS19" s="41">
        <f>MIN(IF($AS19=100%,1,1+VLOOKUP(($AI19-$AH19-$AG19-$AF19-$AE19-$AA19*(1+BS$3))/$AI19,'Технический лист'!$A:$B,2,1)-VLOOKUP($AN19,'Технический лист'!$A:$B,2,1)),1+(1-$AS19))</f>
        <v>1.2</v>
      </c>
      <c r="BT19" s="41">
        <f>MIN(IF($AS19=100%,1,1+VLOOKUP(($AI19-$AH19-$AG19-$AF19-$AE19-$AA19*(1+BT$3))/$AI19,'Технический лист'!$A:$B,2,1)-VLOOKUP($AN19,'Технический лист'!$A:$B,2,1)),1+(1-$AS19))</f>
        <v>1.2</v>
      </c>
      <c r="BU19" s="41">
        <f>MIN(IF($AS19=100%,1,1+VLOOKUP(($AI19-$AH19-$AG19-$AF19-$AE19-$AA19*(1+BU$3))/$AI19,'Технический лист'!$A:$B,2,1)-VLOOKUP($AN19,'Технический лист'!$A:$B,2,1)),1+(1-$AS19))</f>
        <v>1.2</v>
      </c>
      <c r="BV19" s="41">
        <f>MIN(IF($AS19=100%,1,1+VLOOKUP(($AI19-$AH19-$AG19-$AF19-$AE19-$AA19*(1+BV$3))/$AI19,'Технический лист'!$A:$B,2,1)-VLOOKUP($AN19,'Технический лист'!$A:$B,2,1)),1+(1-$AS19))</f>
        <v>1.2</v>
      </c>
      <c r="BW19" s="41">
        <f>MIN(IF($AS19=100%,1,1+VLOOKUP(($AI19-$AH19-$AG19-$AF19-$AE19-$AA19*(1+BW$3))/$AI19,'Технический лист'!$A:$B,2,1)-VLOOKUP($AN19,'Технический лист'!$A:$B,2,1)),1+(1-$AS19))</f>
        <v>1.2</v>
      </c>
      <c r="BX19" s="41">
        <f>MIN(IF($AS19=100%,1,1+VLOOKUP(($AI19-$AH19-$AG19-$AF19-$AE19-$AA19*(1+BX$3))/$AI19,'Технический лист'!$A:$B,2,1)-VLOOKUP($AN19,'Технический лист'!$A:$B,2,1)),1+(1-$AS19))</f>
        <v>1.2</v>
      </c>
      <c r="BY19" s="41">
        <f>MIN(IF($AS19=100%,1,1+VLOOKUP(($AI19-$AH19-$AG19-$AF19-$AE19-$AA19*(1+BY$3))/$AI19,'Технический лист'!$A:$B,2,1)-VLOOKUP($AN19,'Технический лист'!$A:$B,2,1)),1+(1-$AS19))</f>
        <v>1.2</v>
      </c>
      <c r="BZ19" s="41">
        <f>MIN(IF($AS19=100%,1,1+VLOOKUP(($AI19-$AH19-$AG19-$AF19-$AE19-$AA19*(1+BZ$3))/$AI19,'Технический лист'!$A:$B,2,1)-VLOOKUP($AN19,'Технический лист'!$A:$B,2,1)),1+(1-$AS19))</f>
        <v>1.2</v>
      </c>
      <c r="CA19" s="41">
        <f>MIN(IF($AS19=100%,1,1+VLOOKUP(($AI19-$AH19-$AG19-$AF19-$AE19-$AA19*(1+CA$3))/$AI19,'Технический лист'!$A:$B,2,1)-VLOOKUP($AN19,'Технический лист'!$A:$B,2,1)),1+(1-$AS19))</f>
        <v>1.2</v>
      </c>
      <c r="CB19" s="41">
        <f>MIN(IF($AS19=100%,1,1+VLOOKUP(($AI19-$AH19-$AG19-$AF19-$AE19-$AA19*(1+CB$3))/$AI19,'Технический лист'!$A:$B,2,1)-VLOOKUP($AN19,'Технический лист'!$A:$B,2,1)),1+(1-$AS19))</f>
        <v>1.2</v>
      </c>
      <c r="CC19" s="41">
        <f>MIN(IF($AS19=100%,1,1+VLOOKUP(($AI19-$AH19-$AG19-$AF19-$AE19-$AA19*(1+CC$3))/$AI19,'Технический лист'!$A:$B,2,1)-VLOOKUP($AN19,'Технический лист'!$A:$B,2,1)),1+(1-$AS19))</f>
        <v>1.2</v>
      </c>
      <c r="CD19" s="41">
        <f>MIN(IF($AS19=100%,1,1+VLOOKUP(($AI19-$AH19-$AG19-$AF19-$AE19-$AA19*(1+CD$3))/$AI19,'Технический лист'!$A:$B,2,1)-VLOOKUP($AN19,'Технический лист'!$A:$B,2,1)),1+(1-$AS19))</f>
        <v>1.2</v>
      </c>
      <c r="CE19" s="41">
        <f>MIN(IF($AS19=100%,1,1+VLOOKUP(($AI19-$AH19-$AG19-$AF19-$AE19-$AA19*(1+CE$3))/$AI19,'Технический лист'!$A:$B,2,1)-VLOOKUP($AN19,'Технический лист'!$A:$B,2,1)),1+(1-$AS19))</f>
        <v>1.2</v>
      </c>
      <c r="CF19" s="41">
        <f>MIN(IF($AS19=100%,1,1+VLOOKUP(($AI19-$AH19-$AG19-$AF19-$AE19-$AA19*(1+CF$3))/$AI19,'Технический лист'!$A:$B,2,1)-VLOOKUP($AN19,'Технический лист'!$A:$B,2,1)),1+(1-$AS19))</f>
        <v>1.1700000000000002</v>
      </c>
      <c r="CG19" s="41">
        <f>MIN(IF($AS19=100%,1,1+VLOOKUP(($AI19-$AH19-$AG19-$AF19-$AE19-$AA19*(1+CG$3))/$AI19,'Технический лист'!$A:$B,2,1)-VLOOKUP($AN19,'Технический лист'!$A:$B,2,1)),1+(1-$AS19))</f>
        <v>1.1700000000000002</v>
      </c>
      <c r="CH19" s="41">
        <f>MIN(IF($AS19=100%,1,1+VLOOKUP(($AI19-$AH19-$AG19-$AF19-$AE19-$AA19*(1+CH$3))/$AI19,'Технический лист'!$A:$B,2,1)-VLOOKUP($AN19,'Технический лист'!$A:$B,2,1)),1+(1-$AS19))</f>
        <v>1.1700000000000002</v>
      </c>
      <c r="CI19" s="41">
        <f>MIN(IF($AS19=100%,1,1+VLOOKUP(($AI19-$AH19-$AG19-$AF19-$AE19-$AA19*(1+CI$3))/$AI19,'Технический лист'!$A:$B,2,1)-VLOOKUP($AN19,'Технический лист'!$A:$B,2,1)),1+(1-$AS19))</f>
        <v>1.1300000000000001</v>
      </c>
      <c r="CJ19" s="41">
        <f>MIN(IF($AS19=100%,1,1+VLOOKUP(($AI19-$AH19-$AG19-$AF19-$AE19-$AA19*(1+CJ$3))/$AI19,'Технический лист'!$A:$B,2,1)-VLOOKUP($AN19,'Технический лист'!$A:$B,2,1)),1+(1-$AS19))</f>
        <v>1.1300000000000001</v>
      </c>
      <c r="CK19" s="41">
        <f>MIN(IF($AS19=100%,1,1+VLOOKUP(($AI19-$AH19-$AG19-$AF19-$AE19-$AA19*(1+CK$3))/$AI19,'Технический лист'!$A:$B,2,1)-VLOOKUP($AN19,'Технический лист'!$A:$B,2,1)),1+(1-$AS19))</f>
        <v>1.1300000000000001</v>
      </c>
      <c r="CL19" s="41">
        <f>MIN(IF($AS19=100%,1,1+VLOOKUP(($AI19-$AH19-$AG19-$AF19-$AE19-$AA19*(1+CL$3))/$AI19,'Технический лист'!$A:$B,2,1)-VLOOKUP($AN19,'Технический лист'!$A:$B,2,1)),1+(1-$AS19))</f>
        <v>1.0900000000000001</v>
      </c>
      <c r="CM19" s="41">
        <f>MIN(IF($AS19=100%,1,1+VLOOKUP(($AI19-$AH19-$AG19-$AF19-$AE19-$AA19*(1+CM$3))/$AI19,'Технический лист'!$A:$B,2,1)-VLOOKUP($AN19,'Технический лист'!$A:$B,2,1)),1+(1-$AS19))</f>
        <v>1.0900000000000001</v>
      </c>
      <c r="CN19" s="41">
        <f>MIN(IF($AS19=100%,1,1+VLOOKUP(($AI19-$AH19-$AG19-$AF19-$AE19-$AA19*(1+CN$3))/$AI19,'Технический лист'!$A:$B,2,1)-VLOOKUP($AN19,'Технический лист'!$A:$B,2,1)),1+(1-$AS19))</f>
        <v>1.0900000000000001</v>
      </c>
      <c r="CO19" s="41">
        <f>MIN(IF($AS19=100%,1,1+VLOOKUP(($AI19-$AH19-$AG19-$AF19-$AE19-$AA19*(1+CO$3))/$AI19,'Технический лист'!$A:$B,2,1)-VLOOKUP($AN19,'Технический лист'!$A:$B,2,1)),1+(1-$AS19))</f>
        <v>1.0450000000000002</v>
      </c>
      <c r="CP19" s="41">
        <f>MIN(IF($AS19=100%,1,1+VLOOKUP(($AI19-$AH19-$AG19-$AF19-$AE19-$AA19*(1+CP$3))/$AI19,'Технический лист'!$A:$B,2,1)-VLOOKUP($AN19,'Технический лист'!$A:$B,2,1)),1+(1-$AS19))</f>
        <v>1.0450000000000002</v>
      </c>
      <c r="CQ19" s="41">
        <f>MIN(IF($AS19=100%,1,1+VLOOKUP(($AI19-$AH19-$AG19-$AF19-$AE19-$AA19*(1+CQ$3))/$AI19,'Технический лист'!$A:$B,2,1)-VLOOKUP($AN19,'Технический лист'!$A:$B,2,1)),1+(1-$AS19))</f>
        <v>1.0450000000000002</v>
      </c>
      <c r="CR19">
        <v>1</v>
      </c>
      <c r="CS19" s="41">
        <f>MIN(1,MAX(VLOOKUP(($AI19-$AH19-$AG19-$AF19-$AE19-$AA19*(1+CS$3))/$AI19,'[8]Технический лист'!$A:$B,2,1),(CR19-0.05)))</f>
        <v>0.95</v>
      </c>
      <c r="CT19" s="41">
        <f>MIN(1,MAX(VLOOKUP(($AI19-$AH19-$AG19-$AF19-$AE19-$AA19*(1+CT$3))/$AI19,'[8]Технический лист'!$A:$B,2,1),(CS19-0.05)))</f>
        <v>0.89999999999999991</v>
      </c>
      <c r="CU19" s="41">
        <f>MIN(1,MAX(VLOOKUP(($AI19-$AH19-$AG19-$AF19-$AE19-$AA19*(1+CU$3))/$AI19,'[8]Технический лист'!$A:$B,2,1),(CT19-0.05)))</f>
        <v>0.84999999999999987</v>
      </c>
      <c r="CV19" s="41">
        <f>MIN(1,MAX(VLOOKUP(($AI19-$AH19-$AG19-$AF19-$AE19-$AA19*(1+CV$3))/$AI19,'[8]Технический лист'!$A:$B,2,1),(CU19-0.05)))</f>
        <v>0.79999999999999982</v>
      </c>
      <c r="CW19" s="41">
        <f>MIN(1,MAX(VLOOKUP(($AI19-$AH19-$AG19-$AF19-$AE19-$AA19*(1+CW$3))/$AI19,'[8]Технический лист'!$A:$B,2,1),(CV19-0.05)))</f>
        <v>0.74999999999999978</v>
      </c>
      <c r="CX19" s="41">
        <f>MIN(1,MAX(VLOOKUP(($AI19-$AH19-$AG19-$AF19-$AE19-$AA19*(1+CX$3))/$AI19,'[8]Технический лист'!$A:$B,2,1),(CW19-0.05)))</f>
        <v>0.69999999999999973</v>
      </c>
      <c r="CY19" s="41">
        <f>MIN(1,MAX(VLOOKUP(($AI19-$AH19-$AG19-$AF19-$AE19-$AA19*(1+CY$3))/$AI19,'[8]Технический лист'!$A:$B,2,1),(CX19-0.05)))</f>
        <v>0.64999999999999969</v>
      </c>
      <c r="CZ19" s="41">
        <f>MIN(1,MAX(VLOOKUP(($AI19-$AH19-$AG19-$AF19-$AE19-$AA19*(1+CZ$3))/$AI19,'[8]Технический лист'!$A:$B,2,1),(CY19-0.05)))</f>
        <v>0.59999999999999964</v>
      </c>
      <c r="DA19" s="41">
        <f>MIN(1,MAX(VLOOKUP(($AI19-$AH19-$AG19-$AF19-$AE19-$AA19*(1+DA$3))/$AI19,'[8]Технический лист'!$A:$B,2,1),(CZ19-0.05)))</f>
        <v>0.55000000000000004</v>
      </c>
      <c r="DB19" s="41">
        <f>MIN(1,MAX(VLOOKUP(($AI19-$AH19-$AG19-$AF19-$AE19-$AA19*(1+DB$3))/$AI19,'[8]Технический лист'!$A:$B,2,1),(DA19-0.05)))</f>
        <v>0.55000000000000004</v>
      </c>
      <c r="DC19" s="41">
        <f>MIN(1,MAX(VLOOKUP(($AI19-$AH19-$AG19-$AF19-$AE19-$AA19*(1+DC$3))/$AI19,'[8]Технический лист'!$A:$B,2,1),(DB19-0.05)))</f>
        <v>0.52</v>
      </c>
      <c r="DD19" s="41">
        <f>MIN(1,MAX(VLOOKUP(($AI19-$AH19-$AG19-$AF19-$AE19-$AA19*(1+DD$3))/$AI19,'[8]Технический лист'!$A:$B,2,1),(DC19-0.05)))</f>
        <v>0.52</v>
      </c>
      <c r="DE19" s="41">
        <f>MIN(1,MAX(VLOOKUP(($AI19-$AH19-$AG19-$AF19-$AE19-$AA19*(1+DE$3))/$AI19,'[8]Технический лист'!$A:$B,2,1),(DD19-0.05)))</f>
        <v>0.52</v>
      </c>
      <c r="DF19" s="41">
        <f>MIN(1,MAX(VLOOKUP(($AI19-$AH19-$AG19-$AF19-$AE19-$AA19*(1+DF$3))/$AI19,'[8]Технический лист'!$A:$B,2,1),(DE19-0.05)))</f>
        <v>0.49</v>
      </c>
      <c r="DG19" s="41">
        <f>MIN(1,MAX(VLOOKUP(($AI19-$AH19-$AG19-$AF19-$AE19-$AA19*(1+DG$3))/$AI19,'[8]Технический лист'!$A:$B,2,1),(DF19-0.05)))</f>
        <v>0.49</v>
      </c>
      <c r="DH19" s="41">
        <f>MIN(1,MAX(VLOOKUP(($AI19-$AH19-$AG19-$AF19-$AE19-$AA19*(1+DH$3))/$AI19,'[8]Технический лист'!$A:$B,2,1),(DG19-0.05)))</f>
        <v>0.49</v>
      </c>
      <c r="DI19" s="41">
        <f>MIN(1,MAX(VLOOKUP(($AI19-$AH19-$AG19-$AF19-$AE19-$AA19*(1+DI$3))/$AI19,'[8]Технический лист'!$A:$B,2,1),(DH19-0.05)))</f>
        <v>0.46</v>
      </c>
      <c r="DJ19" s="41">
        <f>MIN(1,MAX(VLOOKUP(($AI19-$AH19-$AG19-$AF19-$AE19-$AA19*(1+DJ$3))/$AI19,'[8]Технический лист'!$A:$B,2,1),(DI19-0.05)))</f>
        <v>0.46</v>
      </c>
      <c r="DK19" s="41">
        <f>MIN(1,MAX(VLOOKUP(($AI19-$AH19-$AG19-$AF19-$AE19-$AA19*(1+DK$3))/$AI19,'[8]Технический лист'!$A:$B,2,1),(DJ19-0.05)))</f>
        <v>0.46</v>
      </c>
      <c r="DL19" s="41">
        <f>MIN(1,MAX(VLOOKUP(($AI19-$AH19-$AG19-$AF19-$AE19-$AA19*(1+DL$3))/$AI19,'[8]Технический лист'!$A:$B,2,1),(DK19-0.05)))</f>
        <v>0.42499999999999999</v>
      </c>
      <c r="DM19" s="41">
        <f>MIN(1,MAX(VLOOKUP(($AI19-$AH19-$AG19-$AF19-$AE19-$AA19*(1+DM$3))/$AI19,'[8]Технический лист'!$A:$B,2,1),(DL19-0.05)))</f>
        <v>0.42499999999999999</v>
      </c>
      <c r="DN19" s="41">
        <f>MIN(1,MAX(VLOOKUP(($AI19-$AH19-$AG19-$AF19-$AE19-$AA19*(1+DN$3))/$AI19,'[8]Технический лист'!$A:$B,2,1),(DM19-0.05)))</f>
        <v>0.42499999999999999</v>
      </c>
      <c r="DO19" s="41">
        <f>MIN(1,MAX(VLOOKUP(($AI19-$AH19-$AG19-$AF19-$AE19-$AA19*(1+DO$3))/$AI19,'[8]Технический лист'!$A:$B,2,1),(DN19-0.05)))</f>
        <v>0.39</v>
      </c>
      <c r="DP19" s="41">
        <f>MIN(1,MAX(VLOOKUP(($AI19-$AH19-$AG19-$AF19-$AE19-$AA19*(1+DP$3))/$AI19,'[8]Технический лист'!$A:$B,2,1),(DO19-0.05)))</f>
        <v>0.39</v>
      </c>
      <c r="DQ19" s="41">
        <f>MIN(1,MAX(VLOOKUP(($AI19-$AH19-$AG19-$AF19-$AE19-$AA19*(1+DQ$3))/$AI19,'[8]Технический лист'!$A:$B,2,1),(DP19-0.05)))</f>
        <v>0.39</v>
      </c>
      <c r="DR19" s="41">
        <f>MIN(1,MAX(VLOOKUP(($AI19-$AH19-$AG19-$AF19-$AE19-$AA19*(1+DR$3))/$AI19,'[8]Технический лист'!$A:$B,2,1),(DQ19-0.05)))</f>
        <v>0.35499999999999998</v>
      </c>
      <c r="DS19" s="41">
        <f>MIN(1,MAX(VLOOKUP(($AI19-$AH19-$AG19-$AF19-$AE19-$AA19*(1+DS$3))/$AI19,'[8]Технический лист'!$A:$B,2,1),(DR19-0.05)))</f>
        <v>0.35499999999999998</v>
      </c>
      <c r="DT19" s="41">
        <f>MIN(1,MAX(VLOOKUP(($AI19-$AH19-$AG19-$AF19-$AE19-$AA19*(1+DT$3))/$AI19,'[8]Технический лист'!$A:$B,2,1),(DS19-0.05)))</f>
        <v>0.35499999999999998</v>
      </c>
      <c r="DU19" s="41">
        <f>MIN(1,MAX(VLOOKUP(($AI19-$AH19-$AG19-$AF19-$AE19-$AA19*(1+DU$3))/$AI19,'[8]Технический лист'!$A:$B,2,1),(DT19-0.05)))</f>
        <v>0.32</v>
      </c>
      <c r="DV19" s="41">
        <f>MIN(1,MAX(VLOOKUP(($AI19-$AH19-$AG19-$AF19-$AE19-$AA19*(1+DV$3))/$AI19,'[8]Технический лист'!$A:$B,2,1),(DU19-0.05)))</f>
        <v>0.32</v>
      </c>
      <c r="DW19" s="41">
        <f>MIN(1,MAX(VLOOKUP(($AI19-$AH19-$AG19-$AF19-$AE19-$AA19*(1+DW$3))/$AI19,'[8]Технический лист'!$A:$B,2,1),(DV19-0.05)))</f>
        <v>0.32</v>
      </c>
      <c r="DX19" s="41">
        <f>MIN(1,MAX(VLOOKUP(($AI19-$AH19-$AG19-$AF19-$AE19-$AA19*(1+DX$3))/$AI19,'[8]Технический лист'!$A:$B,2,1),(DW19-0.05)))</f>
        <v>0.28000000000000003</v>
      </c>
      <c r="DY19" s="41">
        <f>MIN(1,MAX(VLOOKUP(($AI19-$AH19-$AG19-$AF19-$AE19-$AA19*(1+DY$3))/$AI19,'[8]Технический лист'!$A:$B,2,1),(DX19-0.05)))</f>
        <v>0.28000000000000003</v>
      </c>
      <c r="DZ19" s="41">
        <f>MIN(1,MAX(VLOOKUP(($AI19-$AH19-$AG19-$AF19-$AE19-$AA19*(1+DZ$3))/$AI19,'[8]Технический лист'!$A:$B,2,1),(DY19-0.05)))</f>
        <v>0.24</v>
      </c>
      <c r="EA19" s="41">
        <f>MIN(1,MAX(VLOOKUP(($AI19-$AH19-$AG19-$AF19-$AE19-$AA19*(1+EA$3))/$AI19,'[8]Технический лист'!$A:$B,2,1),(DZ19-0.05)))</f>
        <v>0.24</v>
      </c>
      <c r="EB19" s="41">
        <f>MIN(1,MAX(VLOOKUP(($AI19-$AH19-$AG19-$AF19-$AE19-$AA19*(1+EB$3))/$AI19,'[8]Технический лист'!$A:$B,2,1),(EA19-0.05)))</f>
        <v>0.24</v>
      </c>
      <c r="EC19" s="41">
        <f>MIN(1,MAX(VLOOKUP(($AI19-$AH19-$AG19-$AF19-$AE19-$AA19*(1+EC$3))/$AI19,'[8]Технический лист'!$A:$B,2,1),(EB19-0.05)))</f>
        <v>0.2</v>
      </c>
      <c r="ED19" s="41">
        <f>MIN(1,MAX(VLOOKUP(($AI19-$AH19-$AG19-$AF19-$AE19-$AA19*(1+ED$3))/$AI19,'[8]Технический лист'!$A:$B,2,1),(EC19-0.05)))</f>
        <v>0.2</v>
      </c>
      <c r="EE19" s="41">
        <f>MIN(1,MAX(VLOOKUP(($AI19-$AH19-$AG19-$AF19-$AE19-$AA19*(1+EE$3))/$AI19,'[8]Технический лист'!$A:$B,2,1),(ED19-0.05)))</f>
        <v>0.2</v>
      </c>
      <c r="EF19" s="41">
        <f>MIN(1,MAX(VLOOKUP(($AI19-$AH19-$AG19-$AF19-$AE19-$AA19*(1+EF$3))/$AI19,'[8]Технический лист'!$A:$B,2,1),(EE19-0.05)))</f>
        <v>0.155</v>
      </c>
      <c r="EG19" s="41">
        <f>MIN(1,MAX(VLOOKUP(($AI19-$AH19-$AG19-$AF19-$AE19-$AA19*(1+EG$3))/$AI19,'[8]Технический лист'!$A:$B,2,1),(EF19-0.05)))</f>
        <v>0.155</v>
      </c>
      <c r="EH19" s="41">
        <f>MIN(1,MAX(VLOOKUP(($AI19-$AH19-$AG19-$AF19-$AE19-$AA19*(1+EH$3))/$AI19,'[8]Технический лист'!$A:$B,2,1),(EG19-0.05)))</f>
        <v>0.155</v>
      </c>
      <c r="EI19" s="41">
        <f>MIN(1,MAX(VLOOKUP(($AI19-$AH19-$AG19-$AF19-$AE19-$AA19*(1+EI$3))/$AI19,'[8]Технический лист'!$A:$B,2,1),(EH19-0.05)))</f>
        <v>0.11</v>
      </c>
      <c r="EJ19" s="41">
        <f>MIN(1,MAX(VLOOKUP(($AI19-$AH19-$AG19-$AF19-$AE19-$AA19*(1+EJ$3))/$AI19,'[8]Технический лист'!$A:$B,2,1),(EI19-0.05)))</f>
        <v>0.11</v>
      </c>
      <c r="EK19" s="41">
        <f>MIN(1,MAX(VLOOKUP(($AI19-$AH19-$AG19-$AF19-$AE19-$AA19*(1+EK$3))/$AI19,'[8]Технический лист'!$A:$B,2,1),(EJ19-0.05)))</f>
        <v>0.11</v>
      </c>
      <c r="EL19" s="41">
        <f>MIN(1,MAX(VLOOKUP(($AI19-$AH19-$AG19-$AF19-$AE19-$AA19*(1+EL$3))/$AI19,'[8]Технический лист'!$A:$B,2,1),(EK19-0.05)))</f>
        <v>0.06</v>
      </c>
      <c r="EM19" s="41">
        <f>MIN(1,MAX(VLOOKUP(($AI19-$AH19-$AG19-$AF19-$AE19-$AA19*(1+EM$3))/$AI19,'[8]Технический лист'!$A:$B,2,1),(EL19-0.05)))</f>
        <v>0.06</v>
      </c>
      <c r="EN19" s="41">
        <f>MIN(1,MAX(VLOOKUP(($AI19-$AH19-$AG19-$AF19-$AE19-$AA19*(1+EN$3))/$AI19,'[8]Технический лист'!$A:$B,2,1),(EM19-0.05)))</f>
        <v>0.06</v>
      </c>
      <c r="EO19" s="41">
        <f>MIN(1,MAX(VLOOKUP(($AI19-$AH19-$AG19-$AF19-$AE19-$AA19*(1+EO$3))/$AI19,'[8]Технический лист'!$A:$B,2,1),(EN19-0.05)))</f>
        <v>9.999999999999995E-3</v>
      </c>
      <c r="EP19" s="41">
        <f>MIN(1,MAX(VLOOKUP(($AI19-$AH19-$AG19-$AF19-$AE19-$AA19*(1+EP$3))/$AI19,'[8]Технический лист'!$A:$B,2,1),(EO19-0.05)))</f>
        <v>0</v>
      </c>
      <c r="EQ19" s="41">
        <f>MIN(1,MAX(VLOOKUP(($AI19-$AH19-$AG19-$AF19-$AE19-$AA19*(1+EQ$3))/$AI19,'[8]Технический лист'!$A:$B,2,1),(EP19-0.05)))</f>
        <v>0</v>
      </c>
      <c r="ER19" s="41">
        <f>MIN(1,MAX(VLOOKUP(($AI19-$AH19-$AG19-$AF19-$AE19-$AA19*(1+ER$3))/$AI19,'[8]Технический лист'!$A:$B,2,1),(EQ19-0.05)))</f>
        <v>0</v>
      </c>
      <c r="ES19" s="41">
        <f>MIN(1,MAX(VLOOKUP(($AI19-$AH19-$AG19-$AF19-$AE19-$AA19*(1+ES$3))/$AI19,'[8]Технический лист'!$A:$B,2,1),(ER19-0.05)))</f>
        <v>0</v>
      </c>
      <c r="ET19" s="41">
        <f>MIN(1,MAX(VLOOKUP(($AI19-$AH19-$AG19-$AF19-$AE19-$AA19*(1+ET$3))/$AI19,'[8]Технический лист'!$A:$B,2,1),(ES19-0.05)))</f>
        <v>0</v>
      </c>
      <c r="EU19" s="41">
        <f>MIN(1,MAX(VLOOKUP(($AI19-$AH19-$AG19-$AF19-$AE19-$AA19*(1+EU$3))/$AI19,'[8]Технический лист'!$A:$B,2,1),(ET19-0.05)))</f>
        <v>0</v>
      </c>
      <c r="EV19" s="41">
        <f>MIN(1,MAX(VLOOKUP(($AI19-$AH19-$AG19-$AF19-$AE19-$AA19*(1+EV$3))/$AI19,'[8]Технический лист'!$A:$B,2,1),(EU19-0.05)))</f>
        <v>0</v>
      </c>
      <c r="EW19" s="41">
        <f>MIN(1,MAX(VLOOKUP(($AI19-$AH19-$AG19-$AF19-$AE19-$AA19*(1+EW$3))/$AI19,'[8]Технический лист'!$A:$B,2,1),(EV19-0.05)))</f>
        <v>0</v>
      </c>
      <c r="EX19" s="41">
        <f>MIN(1,MAX(VLOOKUP(($AI19-$AH19-$AG19-$AF19-$AE19-$AA19*(1+EX$3))/$AI19,'[8]Технический лист'!$A:$B,2,1),(EW19-0.05)))</f>
        <v>0</v>
      </c>
      <c r="EY19" s="41">
        <f>MIN(1,MAX(VLOOKUP(($AI19-$AH19-$AG19-$AF19-$AE19-$AA19*(1+EY$3))/$AI19,'[8]Технический лист'!$A:$B,2,1),(EX19-0.05)))</f>
        <v>0</v>
      </c>
      <c r="EZ19" s="41">
        <f>MIN(1,MAX(VLOOKUP(($AI19-$AH19-$AG19-$AF19-$AE19-$AA19*(1+EZ$3))/$AI19,'[8]Технический лист'!$A:$B,2,1),(EY19-0.05)))</f>
        <v>0</v>
      </c>
      <c r="FA19" s="41">
        <f>MIN(1,MAX(VLOOKUP(($AI19-$AH19-$AG19-$AF19-$AE19-$AA19*(1+FA$3))/$AI19,'[8]Технический лист'!$A:$B,2,1),(EZ19-0.05)))</f>
        <v>0</v>
      </c>
      <c r="FB19" s="41">
        <f>MIN(1,MAX(VLOOKUP(($AI19-$AH19-$AG19-$AF19-$AE19-$AA19*(1+FB$3))/$AI19,'[8]Технический лист'!$A:$B,2,1),(FA19-0.05)))</f>
        <v>0</v>
      </c>
      <c r="FC19" s="41">
        <f>MIN(1,MAX(VLOOKUP(($AI19-$AH19-$AG19-$AF19-$AE19-$AA19*(1+FC$3))/$AI19,'[8]Технический лист'!$A:$B,2,1),(FB19-0.05)))</f>
        <v>0</v>
      </c>
      <c r="FD19" s="41">
        <f>MIN(1,MAX(VLOOKUP(($AI19-$AH19-$AG19-$AF19-$AE19-$AA19*(1+FD$3))/$AI19,'[8]Технический лист'!$A:$B,2,1),(FC19-0.05)))</f>
        <v>0</v>
      </c>
      <c r="FE19" s="41">
        <f>MIN(1,MAX(VLOOKUP(($AI19-$AH19-$AG19-$AF19-$AE19-$AA19*(1+FE$3))/$AI19,'[8]Технический лист'!$A:$B,2,1),(FD19-0.05)))</f>
        <v>0</v>
      </c>
      <c r="FF19" s="41">
        <f>MIN(1,MAX(VLOOKUP(($AI19-$AH19-$AG19-$AF19-$AE19-$AA19*(1+FF$3))/$AI19,'[8]Технический лист'!$A:$B,2,1),(FE19-0.05)))</f>
        <v>0</v>
      </c>
      <c r="FG19" s="41">
        <f>MIN(1,MAX(VLOOKUP(($AI19-$AH19-$AG19-$AF19-$AE19-$AA19*(1+FG$3))/$AI19,'[8]Технический лист'!$A:$B,2,1),(FF19-0.05)))</f>
        <v>0</v>
      </c>
      <c r="FH19" s="41">
        <f>MIN(1,MAX(VLOOKUP(($AI19-$AH19-$AG19-$AF19-$AE19-$AA19*(1+FH$3))/$AI19,'[8]Технический лист'!$A:$B,2,1),(FG19-0.05)))</f>
        <v>0</v>
      </c>
      <c r="FI19" s="41">
        <f>MIN(1,MAX(VLOOKUP(($AI19-$AH19-$AG19-$AF19-$AE19-$AA19*(1+FI$3))/$AI19,'[8]Технический лист'!$A:$B,2,1),(FH19-0.05)))</f>
        <v>0</v>
      </c>
      <c r="FJ19" s="41">
        <f>MIN(1,MAX(VLOOKUP(($AI19-$AH19-$AG19-$AF19-$AE19-$AA19*(1+FJ$3))/$AI19,'[8]Технический лист'!$A:$B,2,1),(FI19-0.05)))</f>
        <v>0</v>
      </c>
      <c r="FK19" s="41">
        <f>MIN(1,MAX(VLOOKUP(($AI19-$AH19-$AG19-$AF19-$AE19-$AA19*(1+FK$3))/$AI19,'[8]Технический лист'!$A:$B,2,1),(FJ19-0.05)))</f>
        <v>0</v>
      </c>
      <c r="FL19" s="41">
        <f>MIN(1,MAX(VLOOKUP(($AI19-$AH19-$AG19-$AF19-$AE19-$AA19*(1+FL$3))/$AI19,'[8]Технический лист'!$A:$B,2,1),(FK19-0.05)))</f>
        <v>0</v>
      </c>
      <c r="FM19" s="41">
        <f>MIN(1,MAX(VLOOKUP(($AI19-$AH19-$AG19-$AF19-$AE19-$AA19*(1+FM$3))/$AI19,'[8]Технический лист'!$A:$B,2,1),(FL19-0.05)))</f>
        <v>0</v>
      </c>
      <c r="FN19" s="41">
        <f>MIN(1,MAX(VLOOKUP(($AI19-$AH19-$AG19-$AF19-$AE19-$AA19*(1+FN$3))/$AI19,'[8]Технический лист'!$A:$B,2,1),(FM19-0.05)))</f>
        <v>0</v>
      </c>
      <c r="FO19" s="41">
        <f>MIN(1,MAX(VLOOKUP(($AI19-$AH19-$AG19-$AF19-$AE19-$AA19*(1+FO$3))/$AI19,'[8]Технический лист'!$A:$B,2,1),(FN19-0.05)))</f>
        <v>0</v>
      </c>
      <c r="FP19" s="41">
        <f>MIN(1,MAX(VLOOKUP(($AI19-$AH19-$AG19-$AF19-$AE19-$AA19*(1+FP$3))/$AI19,'[8]Технический лист'!$A:$B,2,1),(FO19-0.05)))</f>
        <v>0</v>
      </c>
      <c r="FQ19" s="41">
        <f>MIN(1,MAX(VLOOKUP(($AI19-$AH19-$AG19-$AF19-$AE19-$AA19*(1+FQ$3))/$AI19,'[8]Технический лист'!$A:$B,2,1),(FP19-0.05)))</f>
        <v>0</v>
      </c>
      <c r="FR19" s="41">
        <f>MIN(1,MAX(VLOOKUP(($AI19-$AH19-$AG19-$AF19-$AE19-$AA19*(1+FR$3))/$AI19,'[8]Технический лист'!$A:$B,2,1),(FQ19-0.05)))</f>
        <v>0</v>
      </c>
      <c r="FS19" s="41">
        <f>MIN(1,MAX(VLOOKUP(($AI19-$AH19-$AG19-$AF19-$AE19-$AA19*(1+FS$3))/$AI19,'[8]Технический лист'!$A:$B,2,1),(FR19-0.05)))</f>
        <v>0</v>
      </c>
      <c r="FT19" s="41">
        <f>MIN(1,MAX(VLOOKUP(($AI19-$AH19-$AG19-$AF19-$AE19-$AA19*(1+FT$3))/$AI19,'[8]Технический лист'!$A:$B,2,1),(FS19-0.05)))</f>
        <v>0</v>
      </c>
      <c r="FU19" s="41">
        <f>MIN(1,MAX(VLOOKUP(($AI19-$AH19-$AG19-$AF19-$AE19-$AA19*(1+FU$3))/$AI19,'[8]Технический лист'!$A:$B,2,1),(FT19-0.05)))</f>
        <v>0</v>
      </c>
      <c r="FV19" s="41">
        <f>MIN(1,MAX(VLOOKUP(($AI19-$AH19-$AG19-$AF19-$AE19-$AA19*(1+FV$3))/$AI19,'[8]Технический лист'!$A:$B,2,1),(FU19-0.05)))</f>
        <v>0</v>
      </c>
      <c r="FW19" s="41">
        <f>MIN(1,MAX(VLOOKUP(($AI19-$AH19-$AG19-$AF19-$AE19-$AA19*(1+FW$3))/$AI19,'[8]Технический лист'!$A:$B,2,1),(FV19-0.05)))</f>
        <v>0</v>
      </c>
      <c r="FX19" s="41">
        <f>MIN(1,MAX(VLOOKUP(($AI19-$AH19-$AG19-$AF19-$AE19-$AA19*(1+FX$3))/$AI19,'[8]Технический лист'!$A:$B,2,1),(FW19-0.05)))</f>
        <v>0</v>
      </c>
      <c r="FY19" s="41">
        <f>MIN(1,MAX(VLOOKUP(($AI19-$AH19-$AG19-$AF19-$AE19-$AA19*(1+FY$3))/$AI19,'[8]Технический лист'!$A:$B,2,1),(FX19-0.05)))</f>
        <v>0</v>
      </c>
      <c r="FZ19" s="41">
        <f>MIN(1,MAX(VLOOKUP(($AI19-$AH19-$AG19-$AF19-$AE19-$AA19*(1+FZ$3))/$AI19,'[8]Технический лист'!$A:$B,2,1),(FY19-0.05)))</f>
        <v>0</v>
      </c>
      <c r="GA19" s="41">
        <f>MIN(1,MAX(VLOOKUP(($AI19-$AH19-$AG19-$AF19-$AE19-$AA19*(1+GA$3))/$AI19,'[8]Технический лист'!$A:$B,2,1),(FZ19-0.05)))</f>
        <v>0</v>
      </c>
      <c r="GB19" s="41">
        <f>MIN(1,MAX(VLOOKUP(($AI19-$AH19-$AG19-$AF19-$AE19-$AA19*(1+GB$3))/$AI19,'[8]Технический лист'!$A:$B,2,1),(GA19-0.05)))</f>
        <v>0</v>
      </c>
      <c r="GC19" s="41">
        <f>MIN(1,MAX(VLOOKUP(($AI19-$AH19-$AG19-$AF19-$AE19-$AA19*(1+GC$3))/$AI19,'[8]Технический лист'!$A:$B,2,1),(GB19-0.05)))</f>
        <v>0</v>
      </c>
      <c r="GD19" s="41">
        <f>MIN(1,MAX(VLOOKUP(($AI19-$AH19-$AG19-$AF19-$AE19-$AA19*(1+GD$3))/$AI19,'[8]Технический лист'!$A:$B,2,1),(GC19-0.05)))</f>
        <v>0</v>
      </c>
      <c r="GE19" s="41">
        <f>MIN(1,MAX(VLOOKUP(($AI19-$AH19-$AG19-$AF19-$AE19-$AA19*(1+GE$3))/$AI19,'[8]Технический лист'!$A:$B,2,1),(GD19-0.05)))</f>
        <v>0</v>
      </c>
      <c r="GF19" s="41">
        <f>MIN(1,MAX(VLOOKUP(($AI19-$AH19-$AG19-$AF19-$AE19-$AA19*(1+GF$3))/$AI19,'[8]Технический лист'!$A:$B,2,1),(GE19-0.05)))</f>
        <v>0</v>
      </c>
      <c r="GG19" s="41">
        <f>MIN(1,MAX(VLOOKUP(($AI19-$AH19-$AG19-$AF19-$AE19-$AA19*(1+GG$3))/$AI19,'[8]Технический лист'!$A:$B,2,1),(GF19-0.05)))</f>
        <v>0</v>
      </c>
      <c r="GH19" s="41">
        <f>MIN(1,MAX(VLOOKUP(($AI19-$AH19-$AG19-$AF19-$AE19-$AA19*(1+GH$3))/$AI19,'[8]Технический лист'!$A:$B,2,1),(GG19-0.05)))</f>
        <v>0</v>
      </c>
      <c r="GI19" s="41">
        <f>MIN(1,MAX(VLOOKUP(($AI19-$AH19-$AG19-$AF19-$AE19-$AA19*(1+GI$3))/$AI19,'[8]Технический лист'!$A:$B,2,1),(GH19-0.05)))</f>
        <v>0</v>
      </c>
      <c r="GJ19" s="41">
        <f>MIN(1,MAX(VLOOKUP(($AI19-$AH19-$AG19-$AF19-$AE19-$AA19*(1+GJ$3))/$AI19,'[8]Технический лист'!$A:$B,2,1),(GI19-0.05)))</f>
        <v>0</v>
      </c>
      <c r="GK19" s="41">
        <f>MIN(1,MAX(VLOOKUP(($AI19-$AH19-$AG19-$AF19-$AE19-$AA19*(1+GK$3))/$AI19,'[8]Технический лист'!$A:$B,2,1),(GJ19-0.05)))</f>
        <v>0</v>
      </c>
      <c r="GL19" s="41">
        <f>MIN(1,MAX(VLOOKUP(($AI19-$AH19-$AG19-$AF19-$AE19-$AA19*(1+GL$3))/$AI19,'[8]Технический лист'!$A:$B,2,1),(GK19-0.05)))</f>
        <v>0</v>
      </c>
      <c r="GM19" s="41">
        <f>MIN(1,MAX(VLOOKUP(($AI19-$AH19-$AG19-$AF19-$AE19-$AA19*(1+GM$3))/$AI19,'[8]Технический лист'!$A:$B,2,1),(GL19-0.05)))</f>
        <v>0</v>
      </c>
      <c r="GN19" s="41">
        <f>MIN(1,MAX(VLOOKUP(($AI19-$AH19-$AG19-$AF19-$AE19-$AA19*(1+GN$3))/$AI19,'[8]Технический лист'!$A:$B,2,1),(GM19-0.05)))</f>
        <v>0</v>
      </c>
    </row>
    <row r="20" spans="1:196">
      <c r="A20" s="3">
        <v>6</v>
      </c>
      <c r="B20" s="15" t="s">
        <v>61</v>
      </c>
      <c r="C20" s="4" t="s">
        <v>150</v>
      </c>
      <c r="D20" s="4" t="s">
        <v>151</v>
      </c>
      <c r="E20" s="4" t="s">
        <v>152</v>
      </c>
      <c r="F20" s="4" t="s">
        <v>22</v>
      </c>
      <c r="G20" s="4" t="s">
        <v>57</v>
      </c>
      <c r="H20" s="4" t="s">
        <v>128</v>
      </c>
      <c r="I20" s="4" t="s">
        <v>153</v>
      </c>
      <c r="J20" s="4" t="s">
        <v>154</v>
      </c>
      <c r="K20" s="4" t="s">
        <v>169</v>
      </c>
      <c r="L20" s="4" t="s">
        <v>21</v>
      </c>
      <c r="M20" s="4" t="s">
        <v>167</v>
      </c>
      <c r="N20" s="4" t="s">
        <v>55</v>
      </c>
      <c r="O20" s="4" t="s">
        <v>131</v>
      </c>
      <c r="P20" s="4" t="s">
        <v>132</v>
      </c>
      <c r="Q20" s="4" t="s">
        <v>133</v>
      </c>
      <c r="R20" s="16">
        <v>68455</v>
      </c>
      <c r="S20" s="17">
        <v>72767665</v>
      </c>
      <c r="T20" s="18">
        <v>1144</v>
      </c>
      <c r="U20" s="18">
        <v>0</v>
      </c>
      <c r="V20" s="17">
        <v>83811725</v>
      </c>
      <c r="W20" s="26" t="s">
        <v>180</v>
      </c>
      <c r="X20" s="26">
        <v>60</v>
      </c>
      <c r="Y20" s="24">
        <v>1357.27</v>
      </c>
      <c r="Z20" s="27">
        <f>AA20-Y20</f>
        <v>824.51000000000022</v>
      </c>
      <c r="AA20" s="20">
        <v>2181.7800000000002</v>
      </c>
      <c r="AB20" s="20">
        <v>6</v>
      </c>
      <c r="AC20" s="20">
        <v>6</v>
      </c>
      <c r="AD20" s="20">
        <v>4</v>
      </c>
      <c r="AE20" s="20">
        <f>'Ставки аренды'!$B$2*SUM(Лесные!AB20+Лесные!AC20+Лесные!AD20)/Лесные!X20</f>
        <v>186.66666666666666</v>
      </c>
      <c r="AF20" s="20">
        <v>0</v>
      </c>
      <c r="AG20" s="20"/>
      <c r="AH20" s="20">
        <f>1.18*AI20</f>
        <v>4838</v>
      </c>
      <c r="AI20" s="20">
        <f>Цены!$C$11</f>
        <v>4100</v>
      </c>
      <c r="AJ20" s="20"/>
      <c r="AK20" s="21"/>
      <c r="AL20" s="20"/>
      <c r="AM20" s="20"/>
      <c r="AN20" s="29">
        <f t="shared" si="0"/>
        <v>-0.75766991869918698</v>
      </c>
      <c r="AO20" s="20"/>
      <c r="AP20" s="20"/>
      <c r="AQ20" s="2"/>
      <c r="AR20" s="19"/>
      <c r="AS20" s="42">
        <v>0.8</v>
      </c>
      <c r="AT20" s="41">
        <f>MIN(IF($AS20=100%,1,1+VLOOKUP(($AI20-$AH20-$AG20-$AF20-$AE20-$AA20*(1+AT$3))/$AI20,'Технический лист'!$A:$B,2,1)-VLOOKUP($AN20,'Технический лист'!$A:$B,2,1)),1+(1-$AS20))</f>
        <v>1</v>
      </c>
      <c r="AU20" s="41">
        <f>MIN(IF($AS20=100%,1,1+VLOOKUP(($AI20-$AH20-$AG20-$AF20-$AE20-$AA20*(1+AU$3))/$AI20,'Технический лист'!$A:$B,2,1)-VLOOKUP($AN20,'Технический лист'!$A:$B,2,1)),1+(1-$AS20))</f>
        <v>1</v>
      </c>
      <c r="AV20" s="41">
        <f>MIN(IF($AS20=100%,1,1+VLOOKUP(($AI20-$AH20-$AG20-$AF20-$AE20-$AA20*(1+AV$3))/$AI20,'Технический лист'!$A:$B,2,1)-VLOOKUP($AN20,'Технический лист'!$A:$B,2,1)),1+(1-$AS20))</f>
        <v>1</v>
      </c>
      <c r="AW20" s="41">
        <f>MIN(IF($AS20=100%,1,1+VLOOKUP(($AI20-$AH20-$AG20-$AF20-$AE20-$AA20*(1+AW$3))/$AI20,'Технический лист'!$A:$B,2,1)-VLOOKUP($AN20,'Технический лист'!$A:$B,2,1)),1+(1-$AS20))</f>
        <v>1</v>
      </c>
      <c r="AX20" s="41">
        <f>MIN(IF($AS20=100%,1,1+VLOOKUP(($AI20-$AH20-$AG20-$AF20-$AE20-$AA20*(1+AX$3))/$AI20,'Технический лист'!$A:$B,2,1)-VLOOKUP($AN20,'Технический лист'!$A:$B,2,1)),1+(1-$AS20))</f>
        <v>1</v>
      </c>
      <c r="AY20" s="41">
        <f>MIN(IF($AS20=100%,1,1+VLOOKUP(($AI20-$AH20-$AG20-$AF20-$AE20-$AA20*(1+AY$3))/$AI20,'Технический лист'!$A:$B,2,1)-VLOOKUP($AN20,'Технический лист'!$A:$B,2,1)),1+(1-$AS20))</f>
        <v>1</v>
      </c>
      <c r="AZ20" s="41">
        <f>MIN(IF($AS20=100%,1,1+VLOOKUP(($AI20-$AH20-$AG20-$AF20-$AE20-$AA20*(1+AZ$3))/$AI20,'Технический лист'!$A:$B,2,1)-VLOOKUP($AN20,'Технический лист'!$A:$B,2,1)),1+(1-$AS20))</f>
        <v>1</v>
      </c>
      <c r="BA20" s="41">
        <f>MIN(IF($AS20=100%,1,1+VLOOKUP(($AI20-$AH20-$AG20-$AF20-$AE20-$AA20*(1+BA$3))/$AI20,'Технический лист'!$A:$B,2,1)-VLOOKUP($AN20,'Технический лист'!$A:$B,2,1)),1+(1-$AS20))</f>
        <v>1</v>
      </c>
      <c r="BB20" s="41">
        <f>MIN(IF($AS20=100%,1,1+VLOOKUP(($AI20-$AH20-$AG20-$AF20-$AE20-$AA20*(1+BB$3))/$AI20,'Технический лист'!$A:$B,2,1)-VLOOKUP($AN20,'Технический лист'!$A:$B,2,1)),1+(1-$AS20))</f>
        <v>1</v>
      </c>
      <c r="BC20" s="41">
        <f>MIN(IF($AS20=100%,1,1+VLOOKUP(($AI20-$AH20-$AG20-$AF20-$AE20-$AA20*(1+BC$3))/$AI20,'Технический лист'!$A:$B,2,1)-VLOOKUP($AN20,'Технический лист'!$A:$B,2,1)),1+(1-$AS20))</f>
        <v>1</v>
      </c>
      <c r="BD20" s="41">
        <f>MIN(IF($AS20=100%,1,1+VLOOKUP(($AI20-$AH20-$AG20-$AF20-$AE20-$AA20*(1+BD$3))/$AI20,'Технический лист'!$A:$B,2,1)-VLOOKUP($AN20,'Технический лист'!$A:$B,2,1)),1+(1-$AS20))</f>
        <v>1</v>
      </c>
      <c r="BE20" s="41">
        <f>MIN(IF($AS20=100%,1,1+VLOOKUP(($AI20-$AH20-$AG20-$AF20-$AE20-$AA20*(1+BE$3))/$AI20,'Технический лист'!$A:$B,2,1)-VLOOKUP($AN20,'Технический лист'!$A:$B,2,1)),1+(1-$AS20))</f>
        <v>1</v>
      </c>
      <c r="BF20" s="41">
        <f>MIN(IF($AS20=100%,1,1+VLOOKUP(($AI20-$AH20-$AG20-$AF20-$AE20-$AA20*(1+BF$3))/$AI20,'Технический лист'!$A:$B,2,1)-VLOOKUP($AN20,'Технический лист'!$A:$B,2,1)),1+(1-$AS20))</f>
        <v>1</v>
      </c>
      <c r="BG20" s="41">
        <f>MIN(IF($AS20=100%,1,1+VLOOKUP(($AI20-$AH20-$AG20-$AF20-$AE20-$AA20*(1+BG$3))/$AI20,'Технический лист'!$A:$B,2,1)-VLOOKUP($AN20,'Технический лист'!$A:$B,2,1)),1+(1-$AS20))</f>
        <v>1</v>
      </c>
      <c r="BH20" s="41">
        <f>MIN(IF($AS20=100%,1,1+VLOOKUP(($AI20-$AH20-$AG20-$AF20-$AE20-$AA20*(1+BH$3))/$AI20,'Технический лист'!$A:$B,2,1)-VLOOKUP($AN20,'Технический лист'!$A:$B,2,1)),1+(1-$AS20))</f>
        <v>1</v>
      </c>
      <c r="BI20" s="41">
        <f>MIN(IF($AS20=100%,1,1+VLOOKUP(($AI20-$AH20-$AG20-$AF20-$AE20-$AA20*(1+BI$3))/$AI20,'Технический лист'!$A:$B,2,1)-VLOOKUP($AN20,'Технический лист'!$A:$B,2,1)),1+(1-$AS20))</f>
        <v>1</v>
      </c>
      <c r="BJ20" s="41">
        <f>MIN(IF($AS20=100%,1,1+VLOOKUP(($AI20-$AH20-$AG20-$AF20-$AE20-$AA20*(1+BJ$3))/$AI20,'Технический лист'!$A:$B,2,1)-VLOOKUP($AN20,'Технический лист'!$A:$B,2,1)),1+(1-$AS20))</f>
        <v>1</v>
      </c>
      <c r="BK20" s="41">
        <f>MIN(IF($AS20=100%,1,1+VLOOKUP(($AI20-$AH20-$AG20-$AF20-$AE20-$AA20*(1+BK$3))/$AI20,'Технический лист'!$A:$B,2,1)-VLOOKUP($AN20,'Технический лист'!$A:$B,2,1)),1+(1-$AS20))</f>
        <v>1</v>
      </c>
      <c r="BL20" s="41">
        <f>MIN(IF($AS20=100%,1,1+VLOOKUP(($AI20-$AH20-$AG20-$AF20-$AE20-$AA20*(1+BL$3))/$AI20,'Технический лист'!$A:$B,2,1)-VLOOKUP($AN20,'Технический лист'!$A:$B,2,1)),1+(1-$AS20))</f>
        <v>1</v>
      </c>
      <c r="BM20" s="41">
        <f>MIN(IF($AS20=100%,1,1+VLOOKUP(($AI20-$AH20-$AG20-$AF20-$AE20-$AA20*(1+BM$3))/$AI20,'Технический лист'!$A:$B,2,1)-VLOOKUP($AN20,'Технический лист'!$A:$B,2,1)),1+(1-$AS20))</f>
        <v>1</v>
      </c>
      <c r="BN20" s="41">
        <f>MIN(IF($AS20=100%,1,1+VLOOKUP(($AI20-$AH20-$AG20-$AF20-$AE20-$AA20*(1+BN$3))/$AI20,'Технический лист'!$A:$B,2,1)-VLOOKUP($AN20,'Технический лист'!$A:$B,2,1)),1+(1-$AS20))</f>
        <v>1</v>
      </c>
      <c r="BO20" s="41">
        <f>MIN(IF($AS20=100%,1,1+VLOOKUP(($AI20-$AH20-$AG20-$AF20-$AE20-$AA20*(1+BO$3))/$AI20,'Технический лист'!$A:$B,2,1)-VLOOKUP($AN20,'Технический лист'!$A:$B,2,1)),1+(1-$AS20))</f>
        <v>1</v>
      </c>
      <c r="BP20" s="41">
        <f>MIN(IF($AS20=100%,1,1+VLOOKUP(($AI20-$AH20-$AG20-$AF20-$AE20-$AA20*(1+BP$3))/$AI20,'Технический лист'!$A:$B,2,1)-VLOOKUP($AN20,'Технический лист'!$A:$B,2,1)),1+(1-$AS20))</f>
        <v>1</v>
      </c>
      <c r="BQ20" s="41">
        <f>MIN(IF($AS20=100%,1,1+VLOOKUP(($AI20-$AH20-$AG20-$AF20-$AE20-$AA20*(1+BQ$3))/$AI20,'Технический лист'!$A:$B,2,1)-VLOOKUP($AN20,'Технический лист'!$A:$B,2,1)),1+(1-$AS20))</f>
        <v>1</v>
      </c>
      <c r="BR20" s="41">
        <f>MIN(IF($AS20=100%,1,1+VLOOKUP(($AI20-$AH20-$AG20-$AF20-$AE20-$AA20*(1+BR$3))/$AI20,'Технический лист'!$A:$B,2,1)-VLOOKUP($AN20,'Технический лист'!$A:$B,2,1)),1+(1-$AS20))</f>
        <v>1</v>
      </c>
      <c r="BS20" s="41">
        <f>MIN(IF($AS20=100%,1,1+VLOOKUP(($AI20-$AH20-$AG20-$AF20-$AE20-$AA20*(1+BS$3))/$AI20,'Технический лист'!$A:$B,2,1)-VLOOKUP($AN20,'Технический лист'!$A:$B,2,1)),1+(1-$AS20))</f>
        <v>1</v>
      </c>
      <c r="BT20" s="41">
        <f>MIN(IF($AS20=100%,1,1+VLOOKUP(($AI20-$AH20-$AG20-$AF20-$AE20-$AA20*(1+BT$3))/$AI20,'Технический лист'!$A:$B,2,1)-VLOOKUP($AN20,'Технический лист'!$A:$B,2,1)),1+(1-$AS20))</f>
        <v>1</v>
      </c>
      <c r="BU20" s="41">
        <f>MIN(IF($AS20=100%,1,1+VLOOKUP(($AI20-$AH20-$AG20-$AF20-$AE20-$AA20*(1+BU$3))/$AI20,'Технический лист'!$A:$B,2,1)-VLOOKUP($AN20,'Технический лист'!$A:$B,2,1)),1+(1-$AS20))</f>
        <v>1</v>
      </c>
      <c r="BV20" s="41">
        <f>MIN(IF($AS20=100%,1,1+VLOOKUP(($AI20-$AH20-$AG20-$AF20-$AE20-$AA20*(1+BV$3))/$AI20,'Технический лист'!$A:$B,2,1)-VLOOKUP($AN20,'Технический лист'!$A:$B,2,1)),1+(1-$AS20))</f>
        <v>1</v>
      </c>
      <c r="BW20" s="41">
        <f>MIN(IF($AS20=100%,1,1+VLOOKUP(($AI20-$AH20-$AG20-$AF20-$AE20-$AA20*(1+BW$3))/$AI20,'Технический лист'!$A:$B,2,1)-VLOOKUP($AN20,'Технический лист'!$A:$B,2,1)),1+(1-$AS20))</f>
        <v>1</v>
      </c>
      <c r="BX20" s="41">
        <f>MIN(IF($AS20=100%,1,1+VLOOKUP(($AI20-$AH20-$AG20-$AF20-$AE20-$AA20*(1+BX$3))/$AI20,'Технический лист'!$A:$B,2,1)-VLOOKUP($AN20,'Технический лист'!$A:$B,2,1)),1+(1-$AS20))</f>
        <v>1</v>
      </c>
      <c r="BY20" s="41">
        <f>MIN(IF($AS20=100%,1,1+VLOOKUP(($AI20-$AH20-$AG20-$AF20-$AE20-$AA20*(1+BY$3))/$AI20,'Технический лист'!$A:$B,2,1)-VLOOKUP($AN20,'Технический лист'!$A:$B,2,1)),1+(1-$AS20))</f>
        <v>1</v>
      </c>
      <c r="BZ20" s="41">
        <f>MIN(IF($AS20=100%,1,1+VLOOKUP(($AI20-$AH20-$AG20-$AF20-$AE20-$AA20*(1+BZ$3))/$AI20,'Технический лист'!$A:$B,2,1)-VLOOKUP($AN20,'Технический лист'!$A:$B,2,1)),1+(1-$AS20))</f>
        <v>1</v>
      </c>
      <c r="CA20" s="41">
        <f>MIN(IF($AS20=100%,1,1+VLOOKUP(($AI20-$AH20-$AG20-$AF20-$AE20-$AA20*(1+CA$3))/$AI20,'Технический лист'!$A:$B,2,1)-VLOOKUP($AN20,'Технический лист'!$A:$B,2,1)),1+(1-$AS20))</f>
        <v>1</v>
      </c>
      <c r="CB20" s="41">
        <f>MIN(IF($AS20=100%,1,1+VLOOKUP(($AI20-$AH20-$AG20-$AF20-$AE20-$AA20*(1+CB$3))/$AI20,'Технический лист'!$A:$B,2,1)-VLOOKUP($AN20,'Технический лист'!$A:$B,2,1)),1+(1-$AS20))</f>
        <v>1</v>
      </c>
      <c r="CC20" s="41">
        <f>MIN(IF($AS20=100%,1,1+VLOOKUP(($AI20-$AH20-$AG20-$AF20-$AE20-$AA20*(1+CC$3))/$AI20,'Технический лист'!$A:$B,2,1)-VLOOKUP($AN20,'Технический лист'!$A:$B,2,1)),1+(1-$AS20))</f>
        <v>1</v>
      </c>
      <c r="CD20" s="41">
        <f>MIN(IF($AS20=100%,1,1+VLOOKUP(($AI20-$AH20-$AG20-$AF20-$AE20-$AA20*(1+CD$3))/$AI20,'Технический лист'!$A:$B,2,1)-VLOOKUP($AN20,'Технический лист'!$A:$B,2,1)),1+(1-$AS20))</f>
        <v>1</v>
      </c>
      <c r="CE20" s="41">
        <f>MIN(IF($AS20=100%,1,1+VLOOKUP(($AI20-$AH20-$AG20-$AF20-$AE20-$AA20*(1+CE$3))/$AI20,'Технический лист'!$A:$B,2,1)-VLOOKUP($AN20,'Технический лист'!$A:$B,2,1)),1+(1-$AS20))</f>
        <v>1</v>
      </c>
      <c r="CF20" s="41">
        <f>MIN(IF($AS20=100%,1,1+VLOOKUP(($AI20-$AH20-$AG20-$AF20-$AE20-$AA20*(1+CF$3))/$AI20,'Технический лист'!$A:$B,2,1)-VLOOKUP($AN20,'Технический лист'!$A:$B,2,1)),1+(1-$AS20))</f>
        <v>1</v>
      </c>
      <c r="CG20" s="41">
        <f>MIN(IF($AS20=100%,1,1+VLOOKUP(($AI20-$AH20-$AG20-$AF20-$AE20-$AA20*(1+CG$3))/$AI20,'Технический лист'!$A:$B,2,1)-VLOOKUP($AN20,'Технический лист'!$A:$B,2,1)),1+(1-$AS20))</f>
        <v>1</v>
      </c>
      <c r="CH20" s="41">
        <f>MIN(IF($AS20=100%,1,1+VLOOKUP(($AI20-$AH20-$AG20-$AF20-$AE20-$AA20*(1+CH$3))/$AI20,'Технический лист'!$A:$B,2,1)-VLOOKUP($AN20,'Технический лист'!$A:$B,2,1)),1+(1-$AS20))</f>
        <v>1</v>
      </c>
      <c r="CI20" s="41">
        <f>MIN(IF($AS20=100%,1,1+VLOOKUP(($AI20-$AH20-$AG20-$AF20-$AE20-$AA20*(1+CI$3))/$AI20,'Технический лист'!$A:$B,2,1)-VLOOKUP($AN20,'Технический лист'!$A:$B,2,1)),1+(1-$AS20))</f>
        <v>1</v>
      </c>
      <c r="CJ20" s="41">
        <f>MIN(IF($AS20=100%,1,1+VLOOKUP(($AI20-$AH20-$AG20-$AF20-$AE20-$AA20*(1+CJ$3))/$AI20,'Технический лист'!$A:$B,2,1)-VLOOKUP($AN20,'Технический лист'!$A:$B,2,1)),1+(1-$AS20))</f>
        <v>1</v>
      </c>
      <c r="CK20" s="41">
        <f>MIN(IF($AS20=100%,1,1+VLOOKUP(($AI20-$AH20-$AG20-$AF20-$AE20-$AA20*(1+CK$3))/$AI20,'Технический лист'!$A:$B,2,1)-VLOOKUP($AN20,'Технический лист'!$A:$B,2,1)),1+(1-$AS20))</f>
        <v>1</v>
      </c>
      <c r="CL20" s="41">
        <f>MIN(IF($AS20=100%,1,1+VLOOKUP(($AI20-$AH20-$AG20-$AF20-$AE20-$AA20*(1+CL$3))/$AI20,'Технический лист'!$A:$B,2,1)-VLOOKUP($AN20,'Технический лист'!$A:$B,2,1)),1+(1-$AS20))</f>
        <v>1</v>
      </c>
      <c r="CM20" s="41">
        <f>MIN(IF($AS20=100%,1,1+VLOOKUP(($AI20-$AH20-$AG20-$AF20-$AE20-$AA20*(1+CM$3))/$AI20,'Технический лист'!$A:$B,2,1)-VLOOKUP($AN20,'Технический лист'!$A:$B,2,1)),1+(1-$AS20))</f>
        <v>1</v>
      </c>
      <c r="CN20" s="41">
        <f>MIN(IF($AS20=100%,1,1+VLOOKUP(($AI20-$AH20-$AG20-$AF20-$AE20-$AA20*(1+CN$3))/$AI20,'Технический лист'!$A:$B,2,1)-VLOOKUP($AN20,'Технический лист'!$A:$B,2,1)),1+(1-$AS20))</f>
        <v>1</v>
      </c>
      <c r="CO20" s="41">
        <f>MIN(IF($AS20=100%,1,1+VLOOKUP(($AI20-$AH20-$AG20-$AF20-$AE20-$AA20*(1+CO$3))/$AI20,'Технический лист'!$A:$B,2,1)-VLOOKUP($AN20,'Технический лист'!$A:$B,2,1)),1+(1-$AS20))</f>
        <v>1</v>
      </c>
      <c r="CP20" s="41">
        <f>MIN(IF($AS20=100%,1,1+VLOOKUP(($AI20-$AH20-$AG20-$AF20-$AE20-$AA20*(1+CP$3))/$AI20,'Технический лист'!$A:$B,2,1)-VLOOKUP($AN20,'Технический лист'!$A:$B,2,1)),1+(1-$AS20))</f>
        <v>1</v>
      </c>
      <c r="CQ20" s="41">
        <f>MIN(IF($AS20=100%,1,1+VLOOKUP(($AI20-$AH20-$AG20-$AF20-$AE20-$AA20*(1+CQ$3))/$AI20,'Технический лист'!$A:$B,2,1)-VLOOKUP($AN20,'Технический лист'!$A:$B,2,1)),1+(1-$AS20))</f>
        <v>1</v>
      </c>
      <c r="CR20">
        <v>1</v>
      </c>
      <c r="CS20" s="41">
        <f>MIN(1,MAX(VLOOKUP(($AI20-$AH20-$AG20-$AF20-$AE20-$AA20*(1+CS$3))/$AI20,'[8]Технический лист'!$A:$B,2,1),(CR20-0.05)))</f>
        <v>0.95</v>
      </c>
      <c r="CT20" s="41">
        <f>MIN(1,MAX(VLOOKUP(($AI20-$AH20-$AG20-$AF20-$AE20-$AA20*(1+CT$3))/$AI20,'[8]Технический лист'!$A:$B,2,1),(CS20-0.05)))</f>
        <v>0.89999999999999991</v>
      </c>
      <c r="CU20" s="41">
        <f>MIN(1,MAX(VLOOKUP(($AI20-$AH20-$AG20-$AF20-$AE20-$AA20*(1+CU$3))/$AI20,'[8]Технический лист'!$A:$B,2,1),(CT20-0.05)))</f>
        <v>0.84999999999999987</v>
      </c>
      <c r="CV20" s="41">
        <f>MIN(1,MAX(VLOOKUP(($AI20-$AH20-$AG20-$AF20-$AE20-$AA20*(1+CV$3))/$AI20,'[8]Технический лист'!$A:$B,2,1),(CU20-0.05)))</f>
        <v>0.79999999999999982</v>
      </c>
      <c r="CW20" s="41">
        <f>MIN(1,MAX(VLOOKUP(($AI20-$AH20-$AG20-$AF20-$AE20-$AA20*(1+CW$3))/$AI20,'[8]Технический лист'!$A:$B,2,1),(CV20-0.05)))</f>
        <v>0.74999999999999978</v>
      </c>
      <c r="CX20" s="41">
        <f>MIN(1,MAX(VLOOKUP(($AI20-$AH20-$AG20-$AF20-$AE20-$AA20*(1+CX$3))/$AI20,'[8]Технический лист'!$A:$B,2,1),(CW20-0.05)))</f>
        <v>0.69999999999999973</v>
      </c>
      <c r="CY20" s="41">
        <f>MIN(1,MAX(VLOOKUP(($AI20-$AH20-$AG20-$AF20-$AE20-$AA20*(1+CY$3))/$AI20,'[8]Технический лист'!$A:$B,2,1),(CX20-0.05)))</f>
        <v>0.64999999999999969</v>
      </c>
      <c r="CZ20" s="41">
        <f>MIN(1,MAX(VLOOKUP(($AI20-$AH20-$AG20-$AF20-$AE20-$AA20*(1+CZ$3))/$AI20,'[8]Технический лист'!$A:$B,2,1),(CY20-0.05)))</f>
        <v>0.59999999999999964</v>
      </c>
      <c r="DA20" s="41">
        <f>MIN(1,MAX(VLOOKUP(($AI20-$AH20-$AG20-$AF20-$AE20-$AA20*(1+DA$3))/$AI20,'[8]Технический лист'!$A:$B,2,1),(CZ20-0.05)))</f>
        <v>0.5499999999999996</v>
      </c>
      <c r="DB20" s="41">
        <f>MIN(1,MAX(VLOOKUP(($AI20-$AH20-$AG20-$AF20-$AE20-$AA20*(1+DB$3))/$AI20,'[8]Технический лист'!$A:$B,2,1),(DA20-0.05)))</f>
        <v>0.49999999999999961</v>
      </c>
      <c r="DC20" s="41">
        <f>MIN(1,MAX(VLOOKUP(($AI20-$AH20-$AG20-$AF20-$AE20-$AA20*(1+DC$3))/$AI20,'[8]Технический лист'!$A:$B,2,1),(DB20-0.05)))</f>
        <v>0.44999999999999962</v>
      </c>
      <c r="DD20" s="41">
        <f>MIN(1,MAX(VLOOKUP(($AI20-$AH20-$AG20-$AF20-$AE20-$AA20*(1+DD$3))/$AI20,'[8]Технический лист'!$A:$B,2,1),(DC20-0.05)))</f>
        <v>0.39999999999999963</v>
      </c>
      <c r="DE20" s="41">
        <f>MIN(1,MAX(VLOOKUP(($AI20-$AH20-$AG20-$AF20-$AE20-$AA20*(1+DE$3))/$AI20,'[8]Технический лист'!$A:$B,2,1),(DD20-0.05)))</f>
        <v>0.34999999999999964</v>
      </c>
      <c r="DF20" s="41">
        <f>MIN(1,MAX(VLOOKUP(($AI20-$AH20-$AG20-$AF20-$AE20-$AA20*(1+DF$3))/$AI20,'[8]Технический лист'!$A:$B,2,1),(DE20-0.05)))</f>
        <v>0.29999999999999966</v>
      </c>
      <c r="DG20" s="41">
        <f>MIN(1,MAX(VLOOKUP(($AI20-$AH20-$AG20-$AF20-$AE20-$AA20*(1+DG$3))/$AI20,'[8]Технический лист'!$A:$B,2,1),(DF20-0.05)))</f>
        <v>0.24999999999999967</v>
      </c>
      <c r="DH20" s="41">
        <f>MIN(1,MAX(VLOOKUP(($AI20-$AH20-$AG20-$AF20-$AE20-$AA20*(1+DH$3))/$AI20,'[8]Технический лист'!$A:$B,2,1),(DG20-0.05)))</f>
        <v>0.19999999999999968</v>
      </c>
      <c r="DI20" s="41">
        <f>MIN(1,MAX(VLOOKUP(($AI20-$AH20-$AG20-$AF20-$AE20-$AA20*(1+DI$3))/$AI20,'[8]Технический лист'!$A:$B,2,1),(DH20-0.05)))</f>
        <v>0.14999999999999969</v>
      </c>
      <c r="DJ20" s="41">
        <f>MIN(1,MAX(VLOOKUP(($AI20-$AH20-$AG20-$AF20-$AE20-$AA20*(1+DJ$3))/$AI20,'[8]Технический лист'!$A:$B,2,1),(DI20-0.05)))</f>
        <v>9.9999999999999686E-2</v>
      </c>
      <c r="DK20" s="41">
        <f>MIN(1,MAX(VLOOKUP(($AI20-$AH20-$AG20-$AF20-$AE20-$AA20*(1+DK$3))/$AI20,'[8]Технический лист'!$A:$B,2,1),(DJ20-0.05)))</f>
        <v>4.9999999999999684E-2</v>
      </c>
      <c r="DL20" s="41">
        <f>MIN(1,MAX(VLOOKUP(($AI20-$AH20-$AG20-$AF20-$AE20-$AA20*(1+DL$3))/$AI20,'[8]Технический лист'!$A:$B,2,1),(DK20-0.05)))</f>
        <v>0</v>
      </c>
      <c r="DM20" s="41">
        <f>MIN(1,MAX(VLOOKUP(($AI20-$AH20-$AG20-$AF20-$AE20-$AA20*(1+DM$3))/$AI20,'[8]Технический лист'!$A:$B,2,1),(DL20-0.05)))</f>
        <v>0</v>
      </c>
      <c r="DN20" s="41">
        <f>MIN(1,MAX(VLOOKUP(($AI20-$AH20-$AG20-$AF20-$AE20-$AA20*(1+DN$3))/$AI20,'[8]Технический лист'!$A:$B,2,1),(DM20-0.05)))</f>
        <v>0</v>
      </c>
      <c r="DO20" s="41">
        <f>MIN(1,MAX(VLOOKUP(($AI20-$AH20-$AG20-$AF20-$AE20-$AA20*(1+DO$3))/$AI20,'[8]Технический лист'!$A:$B,2,1),(DN20-0.05)))</f>
        <v>0</v>
      </c>
      <c r="DP20" s="41">
        <f>MIN(1,MAX(VLOOKUP(($AI20-$AH20-$AG20-$AF20-$AE20-$AA20*(1+DP$3))/$AI20,'[8]Технический лист'!$A:$B,2,1),(DO20-0.05)))</f>
        <v>0</v>
      </c>
      <c r="DQ20" s="41">
        <f>MIN(1,MAX(VLOOKUP(($AI20-$AH20-$AG20-$AF20-$AE20-$AA20*(1+DQ$3))/$AI20,'[8]Технический лист'!$A:$B,2,1),(DP20-0.05)))</f>
        <v>0</v>
      </c>
      <c r="DR20" s="41">
        <f>MIN(1,MAX(VLOOKUP(($AI20-$AH20-$AG20-$AF20-$AE20-$AA20*(1+DR$3))/$AI20,'[8]Технический лист'!$A:$B,2,1),(DQ20-0.05)))</f>
        <v>0</v>
      </c>
      <c r="DS20" s="41">
        <f>MIN(1,MAX(VLOOKUP(($AI20-$AH20-$AG20-$AF20-$AE20-$AA20*(1+DS$3))/$AI20,'[8]Технический лист'!$A:$B,2,1),(DR20-0.05)))</f>
        <v>0</v>
      </c>
      <c r="DT20" s="41">
        <f>MIN(1,MAX(VLOOKUP(($AI20-$AH20-$AG20-$AF20-$AE20-$AA20*(1+DT$3))/$AI20,'[8]Технический лист'!$A:$B,2,1),(DS20-0.05)))</f>
        <v>0</v>
      </c>
      <c r="DU20" s="41">
        <f>MIN(1,MAX(VLOOKUP(($AI20-$AH20-$AG20-$AF20-$AE20-$AA20*(1+DU$3))/$AI20,'[8]Технический лист'!$A:$B,2,1),(DT20-0.05)))</f>
        <v>0</v>
      </c>
      <c r="DV20" s="41">
        <f>MIN(1,MAX(VLOOKUP(($AI20-$AH20-$AG20-$AF20-$AE20-$AA20*(1+DV$3))/$AI20,'[8]Технический лист'!$A:$B,2,1),(DU20-0.05)))</f>
        <v>0</v>
      </c>
      <c r="DW20" s="41">
        <f>MIN(1,MAX(VLOOKUP(($AI20-$AH20-$AG20-$AF20-$AE20-$AA20*(1+DW$3))/$AI20,'[8]Технический лист'!$A:$B,2,1),(DV20-0.05)))</f>
        <v>0</v>
      </c>
      <c r="DX20" s="41">
        <f>MIN(1,MAX(VLOOKUP(($AI20-$AH20-$AG20-$AF20-$AE20-$AA20*(1+DX$3))/$AI20,'[8]Технический лист'!$A:$B,2,1),(DW20-0.05)))</f>
        <v>0</v>
      </c>
      <c r="DY20" s="41">
        <f>MIN(1,MAX(VLOOKUP(($AI20-$AH20-$AG20-$AF20-$AE20-$AA20*(1+DY$3))/$AI20,'[8]Технический лист'!$A:$B,2,1),(DX20-0.05)))</f>
        <v>0</v>
      </c>
      <c r="DZ20" s="41">
        <f>MIN(1,MAX(VLOOKUP(($AI20-$AH20-$AG20-$AF20-$AE20-$AA20*(1+DZ$3))/$AI20,'[8]Технический лист'!$A:$B,2,1),(DY20-0.05)))</f>
        <v>0</v>
      </c>
      <c r="EA20" s="41">
        <f>MIN(1,MAX(VLOOKUP(($AI20-$AH20-$AG20-$AF20-$AE20-$AA20*(1+EA$3))/$AI20,'[8]Технический лист'!$A:$B,2,1),(DZ20-0.05)))</f>
        <v>0</v>
      </c>
      <c r="EB20" s="41">
        <f>MIN(1,MAX(VLOOKUP(($AI20-$AH20-$AG20-$AF20-$AE20-$AA20*(1+EB$3))/$AI20,'[8]Технический лист'!$A:$B,2,1),(EA20-0.05)))</f>
        <v>0</v>
      </c>
      <c r="EC20" s="41">
        <f>MIN(1,MAX(VLOOKUP(($AI20-$AH20-$AG20-$AF20-$AE20-$AA20*(1+EC$3))/$AI20,'[8]Технический лист'!$A:$B,2,1),(EB20-0.05)))</f>
        <v>0</v>
      </c>
      <c r="ED20" s="41">
        <f>MIN(1,MAX(VLOOKUP(($AI20-$AH20-$AG20-$AF20-$AE20-$AA20*(1+ED$3))/$AI20,'[8]Технический лист'!$A:$B,2,1),(EC20-0.05)))</f>
        <v>0</v>
      </c>
      <c r="EE20" s="41">
        <f>MIN(1,MAX(VLOOKUP(($AI20-$AH20-$AG20-$AF20-$AE20-$AA20*(1+EE$3))/$AI20,'[8]Технический лист'!$A:$B,2,1),(ED20-0.05)))</f>
        <v>0</v>
      </c>
      <c r="EF20" s="41">
        <f>MIN(1,MAX(VLOOKUP(($AI20-$AH20-$AG20-$AF20-$AE20-$AA20*(1+EF$3))/$AI20,'[8]Технический лист'!$A:$B,2,1),(EE20-0.05)))</f>
        <v>0</v>
      </c>
      <c r="EG20" s="41">
        <f>MIN(1,MAX(VLOOKUP(($AI20-$AH20-$AG20-$AF20-$AE20-$AA20*(1+EG$3))/$AI20,'[8]Технический лист'!$A:$B,2,1),(EF20-0.05)))</f>
        <v>0</v>
      </c>
      <c r="EH20" s="41">
        <f>MIN(1,MAX(VLOOKUP(($AI20-$AH20-$AG20-$AF20-$AE20-$AA20*(1+EH$3))/$AI20,'[8]Технический лист'!$A:$B,2,1),(EG20-0.05)))</f>
        <v>0</v>
      </c>
      <c r="EI20" s="41">
        <f>MIN(1,MAX(VLOOKUP(($AI20-$AH20-$AG20-$AF20-$AE20-$AA20*(1+EI$3))/$AI20,'[8]Технический лист'!$A:$B,2,1),(EH20-0.05)))</f>
        <v>0</v>
      </c>
      <c r="EJ20" s="41">
        <f>MIN(1,MAX(VLOOKUP(($AI20-$AH20-$AG20-$AF20-$AE20-$AA20*(1+EJ$3))/$AI20,'[8]Технический лист'!$A:$B,2,1),(EI20-0.05)))</f>
        <v>0</v>
      </c>
      <c r="EK20" s="41">
        <f>MIN(1,MAX(VLOOKUP(($AI20-$AH20-$AG20-$AF20-$AE20-$AA20*(1+EK$3))/$AI20,'[8]Технический лист'!$A:$B,2,1),(EJ20-0.05)))</f>
        <v>0</v>
      </c>
      <c r="EL20" s="41">
        <f>MIN(1,MAX(VLOOKUP(($AI20-$AH20-$AG20-$AF20-$AE20-$AA20*(1+EL$3))/$AI20,'[8]Технический лист'!$A:$B,2,1),(EK20-0.05)))</f>
        <v>0</v>
      </c>
      <c r="EM20" s="41">
        <f>MIN(1,MAX(VLOOKUP(($AI20-$AH20-$AG20-$AF20-$AE20-$AA20*(1+EM$3))/$AI20,'[8]Технический лист'!$A:$B,2,1),(EL20-0.05)))</f>
        <v>0</v>
      </c>
      <c r="EN20" s="41">
        <f>MIN(1,MAX(VLOOKUP(($AI20-$AH20-$AG20-$AF20-$AE20-$AA20*(1+EN$3))/$AI20,'[8]Технический лист'!$A:$B,2,1),(EM20-0.05)))</f>
        <v>0</v>
      </c>
      <c r="EO20" s="41">
        <f>MIN(1,MAX(VLOOKUP(($AI20-$AH20-$AG20-$AF20-$AE20-$AA20*(1+EO$3))/$AI20,'[8]Технический лист'!$A:$B,2,1),(EN20-0.05)))</f>
        <v>0</v>
      </c>
      <c r="EP20" s="41">
        <f>MIN(1,MAX(VLOOKUP(($AI20-$AH20-$AG20-$AF20-$AE20-$AA20*(1+EP$3))/$AI20,'[8]Технический лист'!$A:$B,2,1),(EO20-0.05)))</f>
        <v>0</v>
      </c>
      <c r="EQ20" s="41">
        <f>MIN(1,MAX(VLOOKUP(($AI20-$AH20-$AG20-$AF20-$AE20-$AA20*(1+EQ$3))/$AI20,'[8]Технический лист'!$A:$B,2,1),(EP20-0.05)))</f>
        <v>0</v>
      </c>
      <c r="ER20" s="41">
        <f>MIN(1,MAX(VLOOKUP(($AI20-$AH20-$AG20-$AF20-$AE20-$AA20*(1+ER$3))/$AI20,'[8]Технический лист'!$A:$B,2,1),(EQ20-0.05)))</f>
        <v>0</v>
      </c>
      <c r="ES20" s="41">
        <f>MIN(1,MAX(VLOOKUP(($AI20-$AH20-$AG20-$AF20-$AE20-$AA20*(1+ES$3))/$AI20,'[8]Технический лист'!$A:$B,2,1),(ER20-0.05)))</f>
        <v>0</v>
      </c>
      <c r="ET20" s="41">
        <f>MIN(1,MAX(VLOOKUP(($AI20-$AH20-$AG20-$AF20-$AE20-$AA20*(1+ET$3))/$AI20,'[8]Технический лист'!$A:$B,2,1),(ES20-0.05)))</f>
        <v>0</v>
      </c>
      <c r="EU20" s="41">
        <f>MIN(1,MAX(VLOOKUP(($AI20-$AH20-$AG20-$AF20-$AE20-$AA20*(1+EU$3))/$AI20,'[8]Технический лист'!$A:$B,2,1),(ET20-0.05)))</f>
        <v>0</v>
      </c>
      <c r="EV20" s="41">
        <f>MIN(1,MAX(VLOOKUP(($AI20-$AH20-$AG20-$AF20-$AE20-$AA20*(1+EV$3))/$AI20,'[8]Технический лист'!$A:$B,2,1),(EU20-0.05)))</f>
        <v>0</v>
      </c>
      <c r="EW20" s="41">
        <f>MIN(1,MAX(VLOOKUP(($AI20-$AH20-$AG20-$AF20-$AE20-$AA20*(1+EW$3))/$AI20,'[8]Технический лист'!$A:$B,2,1),(EV20-0.05)))</f>
        <v>0</v>
      </c>
      <c r="EX20" s="41">
        <f>MIN(1,MAX(VLOOKUP(($AI20-$AH20-$AG20-$AF20-$AE20-$AA20*(1+EX$3))/$AI20,'[8]Технический лист'!$A:$B,2,1),(EW20-0.05)))</f>
        <v>0</v>
      </c>
      <c r="EY20" s="41">
        <f>MIN(1,MAX(VLOOKUP(($AI20-$AH20-$AG20-$AF20-$AE20-$AA20*(1+EY$3))/$AI20,'[8]Технический лист'!$A:$B,2,1),(EX20-0.05)))</f>
        <v>0</v>
      </c>
      <c r="EZ20" s="41">
        <f>MIN(1,MAX(VLOOKUP(($AI20-$AH20-$AG20-$AF20-$AE20-$AA20*(1+EZ$3))/$AI20,'[8]Технический лист'!$A:$B,2,1),(EY20-0.05)))</f>
        <v>0</v>
      </c>
      <c r="FA20" s="41">
        <f>MIN(1,MAX(VLOOKUP(($AI20-$AH20-$AG20-$AF20-$AE20-$AA20*(1+FA$3))/$AI20,'[8]Технический лист'!$A:$B,2,1),(EZ20-0.05)))</f>
        <v>0</v>
      </c>
      <c r="FB20" s="41">
        <f>MIN(1,MAX(VLOOKUP(($AI20-$AH20-$AG20-$AF20-$AE20-$AA20*(1+FB$3))/$AI20,'[8]Технический лист'!$A:$B,2,1),(FA20-0.05)))</f>
        <v>0</v>
      </c>
      <c r="FC20" s="41">
        <f>MIN(1,MAX(VLOOKUP(($AI20-$AH20-$AG20-$AF20-$AE20-$AA20*(1+FC$3))/$AI20,'[8]Технический лист'!$A:$B,2,1),(FB20-0.05)))</f>
        <v>0</v>
      </c>
      <c r="FD20" s="41">
        <f>MIN(1,MAX(VLOOKUP(($AI20-$AH20-$AG20-$AF20-$AE20-$AA20*(1+FD$3))/$AI20,'[8]Технический лист'!$A:$B,2,1),(FC20-0.05)))</f>
        <v>0</v>
      </c>
      <c r="FE20" s="41">
        <f>MIN(1,MAX(VLOOKUP(($AI20-$AH20-$AG20-$AF20-$AE20-$AA20*(1+FE$3))/$AI20,'[8]Технический лист'!$A:$B,2,1),(FD20-0.05)))</f>
        <v>0</v>
      </c>
      <c r="FF20" s="41">
        <f>MIN(1,MAX(VLOOKUP(($AI20-$AH20-$AG20-$AF20-$AE20-$AA20*(1+FF$3))/$AI20,'[8]Технический лист'!$A:$B,2,1),(FE20-0.05)))</f>
        <v>0</v>
      </c>
      <c r="FG20" s="41">
        <f>MIN(1,MAX(VLOOKUP(($AI20-$AH20-$AG20-$AF20-$AE20-$AA20*(1+FG$3))/$AI20,'[8]Технический лист'!$A:$B,2,1),(FF20-0.05)))</f>
        <v>0</v>
      </c>
      <c r="FH20" s="41">
        <f>MIN(1,MAX(VLOOKUP(($AI20-$AH20-$AG20-$AF20-$AE20-$AA20*(1+FH$3))/$AI20,'[8]Технический лист'!$A:$B,2,1),(FG20-0.05)))</f>
        <v>0</v>
      </c>
      <c r="FI20" s="41">
        <f>MIN(1,MAX(VLOOKUP(($AI20-$AH20-$AG20-$AF20-$AE20-$AA20*(1+FI$3))/$AI20,'[8]Технический лист'!$A:$B,2,1),(FH20-0.05)))</f>
        <v>0</v>
      </c>
      <c r="FJ20" s="41">
        <f>MIN(1,MAX(VLOOKUP(($AI20-$AH20-$AG20-$AF20-$AE20-$AA20*(1+FJ$3))/$AI20,'[8]Технический лист'!$A:$B,2,1),(FI20-0.05)))</f>
        <v>0</v>
      </c>
      <c r="FK20" s="41">
        <f>MIN(1,MAX(VLOOKUP(($AI20-$AH20-$AG20-$AF20-$AE20-$AA20*(1+FK$3))/$AI20,'[8]Технический лист'!$A:$B,2,1),(FJ20-0.05)))</f>
        <v>0</v>
      </c>
      <c r="FL20" s="41">
        <f>MIN(1,MAX(VLOOKUP(($AI20-$AH20-$AG20-$AF20-$AE20-$AA20*(1+FL$3))/$AI20,'[8]Технический лист'!$A:$B,2,1),(FK20-0.05)))</f>
        <v>0</v>
      </c>
      <c r="FM20" s="41">
        <f>MIN(1,MAX(VLOOKUP(($AI20-$AH20-$AG20-$AF20-$AE20-$AA20*(1+FM$3))/$AI20,'[8]Технический лист'!$A:$B,2,1),(FL20-0.05)))</f>
        <v>0</v>
      </c>
      <c r="FN20" s="41">
        <f>MIN(1,MAX(VLOOKUP(($AI20-$AH20-$AG20-$AF20-$AE20-$AA20*(1+FN$3))/$AI20,'[8]Технический лист'!$A:$B,2,1),(FM20-0.05)))</f>
        <v>0</v>
      </c>
      <c r="FO20" s="41">
        <f>MIN(1,MAX(VLOOKUP(($AI20-$AH20-$AG20-$AF20-$AE20-$AA20*(1+FO$3))/$AI20,'[8]Технический лист'!$A:$B,2,1),(FN20-0.05)))</f>
        <v>0</v>
      </c>
      <c r="FP20" s="41">
        <f>MIN(1,MAX(VLOOKUP(($AI20-$AH20-$AG20-$AF20-$AE20-$AA20*(1+FP$3))/$AI20,'[8]Технический лист'!$A:$B,2,1),(FO20-0.05)))</f>
        <v>0</v>
      </c>
      <c r="FQ20" s="41">
        <f>MIN(1,MAX(VLOOKUP(($AI20-$AH20-$AG20-$AF20-$AE20-$AA20*(1+FQ$3))/$AI20,'[8]Технический лист'!$A:$B,2,1),(FP20-0.05)))</f>
        <v>0</v>
      </c>
      <c r="FR20" s="41">
        <f>MIN(1,MAX(VLOOKUP(($AI20-$AH20-$AG20-$AF20-$AE20-$AA20*(1+FR$3))/$AI20,'[8]Технический лист'!$A:$B,2,1),(FQ20-0.05)))</f>
        <v>0</v>
      </c>
      <c r="FS20" s="41">
        <f>MIN(1,MAX(VLOOKUP(($AI20-$AH20-$AG20-$AF20-$AE20-$AA20*(1+FS$3))/$AI20,'[8]Технический лист'!$A:$B,2,1),(FR20-0.05)))</f>
        <v>0</v>
      </c>
      <c r="FT20" s="41">
        <f>MIN(1,MAX(VLOOKUP(($AI20-$AH20-$AG20-$AF20-$AE20-$AA20*(1+FT$3))/$AI20,'[8]Технический лист'!$A:$B,2,1),(FS20-0.05)))</f>
        <v>0</v>
      </c>
      <c r="FU20" s="41">
        <f>MIN(1,MAX(VLOOKUP(($AI20-$AH20-$AG20-$AF20-$AE20-$AA20*(1+FU$3))/$AI20,'[8]Технический лист'!$A:$B,2,1),(FT20-0.05)))</f>
        <v>0</v>
      </c>
      <c r="FV20" s="41">
        <f>MIN(1,MAX(VLOOKUP(($AI20-$AH20-$AG20-$AF20-$AE20-$AA20*(1+FV$3))/$AI20,'[8]Технический лист'!$A:$B,2,1),(FU20-0.05)))</f>
        <v>0</v>
      </c>
      <c r="FW20" s="41">
        <f>MIN(1,MAX(VLOOKUP(($AI20-$AH20-$AG20-$AF20-$AE20-$AA20*(1+FW$3))/$AI20,'[8]Технический лист'!$A:$B,2,1),(FV20-0.05)))</f>
        <v>0</v>
      </c>
      <c r="FX20" s="41">
        <f>MIN(1,MAX(VLOOKUP(($AI20-$AH20-$AG20-$AF20-$AE20-$AA20*(1+FX$3))/$AI20,'[8]Технический лист'!$A:$B,2,1),(FW20-0.05)))</f>
        <v>0</v>
      </c>
      <c r="FY20" s="41">
        <f>MIN(1,MAX(VLOOKUP(($AI20-$AH20-$AG20-$AF20-$AE20-$AA20*(1+FY$3))/$AI20,'[8]Технический лист'!$A:$B,2,1),(FX20-0.05)))</f>
        <v>0</v>
      </c>
      <c r="FZ20" s="41">
        <f>MIN(1,MAX(VLOOKUP(($AI20-$AH20-$AG20-$AF20-$AE20-$AA20*(1+FZ$3))/$AI20,'[8]Технический лист'!$A:$B,2,1),(FY20-0.05)))</f>
        <v>0</v>
      </c>
      <c r="GA20" s="41">
        <f>MIN(1,MAX(VLOOKUP(($AI20-$AH20-$AG20-$AF20-$AE20-$AA20*(1+GA$3))/$AI20,'[8]Технический лист'!$A:$B,2,1),(FZ20-0.05)))</f>
        <v>0</v>
      </c>
      <c r="GB20" s="41">
        <f>MIN(1,MAX(VLOOKUP(($AI20-$AH20-$AG20-$AF20-$AE20-$AA20*(1+GB$3))/$AI20,'[8]Технический лист'!$A:$B,2,1),(GA20-0.05)))</f>
        <v>0</v>
      </c>
      <c r="GC20" s="41">
        <f>MIN(1,MAX(VLOOKUP(($AI20-$AH20-$AG20-$AF20-$AE20-$AA20*(1+GC$3))/$AI20,'[8]Технический лист'!$A:$B,2,1),(GB20-0.05)))</f>
        <v>0</v>
      </c>
      <c r="GD20" s="41">
        <f>MIN(1,MAX(VLOOKUP(($AI20-$AH20-$AG20-$AF20-$AE20-$AA20*(1+GD$3))/$AI20,'[8]Технический лист'!$A:$B,2,1),(GC20-0.05)))</f>
        <v>0</v>
      </c>
      <c r="GE20" s="41">
        <f>MIN(1,MAX(VLOOKUP(($AI20-$AH20-$AG20-$AF20-$AE20-$AA20*(1+GE$3))/$AI20,'[8]Технический лист'!$A:$B,2,1),(GD20-0.05)))</f>
        <v>0</v>
      </c>
      <c r="GF20" s="41">
        <f>MIN(1,MAX(VLOOKUP(($AI20-$AH20-$AG20-$AF20-$AE20-$AA20*(1+GF$3))/$AI20,'[8]Технический лист'!$A:$B,2,1),(GE20-0.05)))</f>
        <v>0</v>
      </c>
      <c r="GG20" s="41">
        <f>MIN(1,MAX(VLOOKUP(($AI20-$AH20-$AG20-$AF20-$AE20-$AA20*(1+GG$3))/$AI20,'[8]Технический лист'!$A:$B,2,1),(GF20-0.05)))</f>
        <v>0</v>
      </c>
      <c r="GH20" s="41">
        <f>MIN(1,MAX(VLOOKUP(($AI20-$AH20-$AG20-$AF20-$AE20-$AA20*(1+GH$3))/$AI20,'[8]Технический лист'!$A:$B,2,1),(GG20-0.05)))</f>
        <v>0</v>
      </c>
      <c r="GI20" s="41">
        <f>MIN(1,MAX(VLOOKUP(($AI20-$AH20-$AG20-$AF20-$AE20-$AA20*(1+GI$3))/$AI20,'[8]Технический лист'!$A:$B,2,1),(GH20-0.05)))</f>
        <v>0</v>
      </c>
      <c r="GJ20" s="41">
        <f>MIN(1,MAX(VLOOKUP(($AI20-$AH20-$AG20-$AF20-$AE20-$AA20*(1+GJ$3))/$AI20,'[8]Технический лист'!$A:$B,2,1),(GI20-0.05)))</f>
        <v>0</v>
      </c>
      <c r="GK20" s="41">
        <f>MIN(1,MAX(VLOOKUP(($AI20-$AH20-$AG20-$AF20-$AE20-$AA20*(1+GK$3))/$AI20,'[8]Технический лист'!$A:$B,2,1),(GJ20-0.05)))</f>
        <v>0</v>
      </c>
      <c r="GL20" s="41">
        <f>MIN(1,MAX(VLOOKUP(($AI20-$AH20-$AG20-$AF20-$AE20-$AA20*(1+GL$3))/$AI20,'[8]Технический лист'!$A:$B,2,1),(GK20-0.05)))</f>
        <v>0</v>
      </c>
      <c r="GM20" s="41">
        <f>MIN(1,MAX(VLOOKUP(($AI20-$AH20-$AG20-$AF20-$AE20-$AA20*(1+GM$3))/$AI20,'[8]Технический лист'!$A:$B,2,1),(GL20-0.05)))</f>
        <v>0</v>
      </c>
      <c r="GN20" s="41">
        <f>MIN(1,MAX(VLOOKUP(($AI20-$AH20-$AG20-$AF20-$AE20-$AA20*(1+GN$3))/$AI20,'[8]Технический лист'!$A:$B,2,1),(GM20-0.05)))</f>
        <v>0</v>
      </c>
    </row>
    <row r="21" spans="1:196" ht="29.15">
      <c r="A21" s="3">
        <v>6</v>
      </c>
      <c r="B21" s="15" t="s">
        <v>61</v>
      </c>
      <c r="C21" s="4" t="s">
        <v>141</v>
      </c>
      <c r="D21" s="4" t="s">
        <v>142</v>
      </c>
      <c r="E21" s="4" t="s">
        <v>143</v>
      </c>
      <c r="F21" s="4" t="s">
        <v>22</v>
      </c>
      <c r="G21" s="4" t="s">
        <v>22</v>
      </c>
      <c r="H21" s="4" t="s">
        <v>155</v>
      </c>
      <c r="I21" s="4" t="s">
        <v>156</v>
      </c>
      <c r="J21" s="4" t="s">
        <v>157</v>
      </c>
      <c r="K21" s="4" t="s">
        <v>168</v>
      </c>
      <c r="L21" s="4" t="s">
        <v>21</v>
      </c>
      <c r="M21" s="4" t="s">
        <v>167</v>
      </c>
      <c r="N21" s="4" t="s">
        <v>54</v>
      </c>
      <c r="O21" s="4" t="s">
        <v>62</v>
      </c>
      <c r="P21" s="4" t="s">
        <v>158</v>
      </c>
      <c r="Q21" s="4" t="s">
        <v>158</v>
      </c>
      <c r="R21" s="16">
        <v>126540</v>
      </c>
      <c r="S21" s="17">
        <v>66180420</v>
      </c>
      <c r="T21" s="18">
        <v>2146</v>
      </c>
      <c r="U21" s="18">
        <v>0</v>
      </c>
      <c r="V21" s="17">
        <v>75547442</v>
      </c>
      <c r="W21" s="26" t="s">
        <v>180</v>
      </c>
      <c r="X21" s="26">
        <v>58</v>
      </c>
      <c r="Y21" s="24">
        <v>1007.19</v>
      </c>
      <c r="Z21" s="27">
        <f>AA21-Y21</f>
        <v>458.8599999999999</v>
      </c>
      <c r="AA21" s="20">
        <v>1466.05</v>
      </c>
      <c r="AB21" s="20">
        <v>6</v>
      </c>
      <c r="AC21" s="20">
        <v>6</v>
      </c>
      <c r="AD21" s="20">
        <v>4</v>
      </c>
      <c r="AE21" s="20">
        <f>'Ставки аренды'!$B$5*SUM(Лесные!AB21+Лесные!AC21+Лесные!AD21)/Лесные!X21</f>
        <v>303.44827586206895</v>
      </c>
      <c r="AF21" s="20">
        <v>0</v>
      </c>
      <c r="AG21" s="20"/>
      <c r="AH21" s="20">
        <f>0.76*AI21</f>
        <v>2584</v>
      </c>
      <c r="AI21" s="20">
        <f>Цены!$C$9</f>
        <v>3400</v>
      </c>
      <c r="AJ21" s="20"/>
      <c r="AK21" s="21"/>
      <c r="AL21" s="20"/>
      <c r="AM21" s="20"/>
      <c r="AN21" s="29">
        <f t="shared" si="0"/>
        <v>-0.28044066937119672</v>
      </c>
      <c r="AO21" s="20"/>
      <c r="AP21" s="20"/>
      <c r="AQ21" s="2"/>
      <c r="AR21" s="19"/>
      <c r="AS21" s="42">
        <v>0.8</v>
      </c>
      <c r="AT21" s="41">
        <f>MIN(IF($AS21=100%,1,1+VLOOKUP(($AI21-$AH21-$AG21-$AF21-$AE21-$AA21*(1+AT$3))/$AI21,'Технический лист'!$A:$B,2,1)-VLOOKUP($AN21,'Технический лист'!$A:$B,2,1)),1+(1-$AS21))</f>
        <v>1</v>
      </c>
      <c r="AU21" s="41">
        <f>MIN(IF($AS21=100%,1,1+VLOOKUP(($AI21-$AH21-$AG21-$AF21-$AE21-$AA21*(1+AU$3))/$AI21,'Технический лист'!$A:$B,2,1)-VLOOKUP($AN21,'Технический лист'!$A:$B,2,1)),1+(1-$AS21))</f>
        <v>1</v>
      </c>
      <c r="AV21" s="41">
        <f>MIN(IF($AS21=100%,1,1+VLOOKUP(($AI21-$AH21-$AG21-$AF21-$AE21-$AA21*(1+AV$3))/$AI21,'Технический лист'!$A:$B,2,1)-VLOOKUP($AN21,'Технический лист'!$A:$B,2,1)),1+(1-$AS21))</f>
        <v>1</v>
      </c>
      <c r="AW21" s="41">
        <f>MIN(IF($AS21=100%,1,1+VLOOKUP(($AI21-$AH21-$AG21-$AF21-$AE21-$AA21*(1+AW$3))/$AI21,'Технический лист'!$A:$B,2,1)-VLOOKUP($AN21,'Технический лист'!$A:$B,2,1)),1+(1-$AS21))</f>
        <v>1</v>
      </c>
      <c r="AX21" s="41">
        <f>MIN(IF($AS21=100%,1,1+VLOOKUP(($AI21-$AH21-$AG21-$AF21-$AE21-$AA21*(1+AX$3))/$AI21,'Технический лист'!$A:$B,2,1)-VLOOKUP($AN21,'Технический лист'!$A:$B,2,1)),1+(1-$AS21))</f>
        <v>1</v>
      </c>
      <c r="AY21" s="41">
        <f>MIN(IF($AS21=100%,1,1+VLOOKUP(($AI21-$AH21-$AG21-$AF21-$AE21-$AA21*(1+AY$3))/$AI21,'Технический лист'!$A:$B,2,1)-VLOOKUP($AN21,'Технический лист'!$A:$B,2,1)),1+(1-$AS21))</f>
        <v>1</v>
      </c>
      <c r="AZ21" s="41">
        <f>MIN(IF($AS21=100%,1,1+VLOOKUP(($AI21-$AH21-$AG21-$AF21-$AE21-$AA21*(1+AZ$3))/$AI21,'Технический лист'!$A:$B,2,1)-VLOOKUP($AN21,'Технический лист'!$A:$B,2,1)),1+(1-$AS21))</f>
        <v>1</v>
      </c>
      <c r="BA21" s="41">
        <f>MIN(IF($AS21=100%,1,1+VLOOKUP(($AI21-$AH21-$AG21-$AF21-$AE21-$AA21*(1+BA$3))/$AI21,'Технический лист'!$A:$B,2,1)-VLOOKUP($AN21,'Технический лист'!$A:$B,2,1)),1+(1-$AS21))</f>
        <v>1</v>
      </c>
      <c r="BB21" s="41">
        <f>MIN(IF($AS21=100%,1,1+VLOOKUP(($AI21-$AH21-$AG21-$AF21-$AE21-$AA21*(1+BB$3))/$AI21,'Технический лист'!$A:$B,2,1)-VLOOKUP($AN21,'Технический лист'!$A:$B,2,1)),1+(1-$AS21))</f>
        <v>1</v>
      </c>
      <c r="BC21" s="41">
        <f>MIN(IF($AS21=100%,1,1+VLOOKUP(($AI21-$AH21-$AG21-$AF21-$AE21-$AA21*(1+BC$3))/$AI21,'Технический лист'!$A:$B,2,1)-VLOOKUP($AN21,'Технический лист'!$A:$B,2,1)),1+(1-$AS21))</f>
        <v>1</v>
      </c>
      <c r="BD21" s="41">
        <f>MIN(IF($AS21=100%,1,1+VLOOKUP(($AI21-$AH21-$AG21-$AF21-$AE21-$AA21*(1+BD$3))/$AI21,'Технический лист'!$A:$B,2,1)-VLOOKUP($AN21,'Технический лист'!$A:$B,2,1)),1+(1-$AS21))</f>
        <v>1</v>
      </c>
      <c r="BE21" s="41">
        <f>MIN(IF($AS21=100%,1,1+VLOOKUP(($AI21-$AH21-$AG21-$AF21-$AE21-$AA21*(1+BE$3))/$AI21,'Технический лист'!$A:$B,2,1)-VLOOKUP($AN21,'Технический лист'!$A:$B,2,1)),1+(1-$AS21))</f>
        <v>1</v>
      </c>
      <c r="BF21" s="41">
        <f>MIN(IF($AS21=100%,1,1+VLOOKUP(($AI21-$AH21-$AG21-$AF21-$AE21-$AA21*(1+BF$3))/$AI21,'Технический лист'!$A:$B,2,1)-VLOOKUP($AN21,'Технический лист'!$A:$B,2,1)),1+(1-$AS21))</f>
        <v>1</v>
      </c>
      <c r="BG21" s="41">
        <f>MIN(IF($AS21=100%,1,1+VLOOKUP(($AI21-$AH21-$AG21-$AF21-$AE21-$AA21*(1+BG$3))/$AI21,'Технический лист'!$A:$B,2,1)-VLOOKUP($AN21,'Технический лист'!$A:$B,2,1)),1+(1-$AS21))</f>
        <v>1</v>
      </c>
      <c r="BH21" s="41">
        <f>MIN(IF($AS21=100%,1,1+VLOOKUP(($AI21-$AH21-$AG21-$AF21-$AE21-$AA21*(1+BH$3))/$AI21,'Технический лист'!$A:$B,2,1)-VLOOKUP($AN21,'Технический лист'!$A:$B,2,1)),1+(1-$AS21))</f>
        <v>1</v>
      </c>
      <c r="BI21" s="41">
        <f>MIN(IF($AS21=100%,1,1+VLOOKUP(($AI21-$AH21-$AG21-$AF21-$AE21-$AA21*(1+BI$3))/$AI21,'Технический лист'!$A:$B,2,1)-VLOOKUP($AN21,'Технический лист'!$A:$B,2,1)),1+(1-$AS21))</f>
        <v>1</v>
      </c>
      <c r="BJ21" s="41">
        <f>MIN(IF($AS21=100%,1,1+VLOOKUP(($AI21-$AH21-$AG21-$AF21-$AE21-$AA21*(1+BJ$3))/$AI21,'Технический лист'!$A:$B,2,1)-VLOOKUP($AN21,'Технический лист'!$A:$B,2,1)),1+(1-$AS21))</f>
        <v>1</v>
      </c>
      <c r="BK21" s="41">
        <f>MIN(IF($AS21=100%,1,1+VLOOKUP(($AI21-$AH21-$AG21-$AF21-$AE21-$AA21*(1+BK$3))/$AI21,'Технический лист'!$A:$B,2,1)-VLOOKUP($AN21,'Технический лист'!$A:$B,2,1)),1+(1-$AS21))</f>
        <v>1</v>
      </c>
      <c r="BL21" s="41">
        <f>MIN(IF($AS21=100%,1,1+VLOOKUP(($AI21-$AH21-$AG21-$AF21-$AE21-$AA21*(1+BL$3))/$AI21,'Технический лист'!$A:$B,2,1)-VLOOKUP($AN21,'Технический лист'!$A:$B,2,1)),1+(1-$AS21))</f>
        <v>1</v>
      </c>
      <c r="BM21" s="41">
        <f>MIN(IF($AS21=100%,1,1+VLOOKUP(($AI21-$AH21-$AG21-$AF21-$AE21-$AA21*(1+BM$3))/$AI21,'Технический лист'!$A:$B,2,1)-VLOOKUP($AN21,'Технический лист'!$A:$B,2,1)),1+(1-$AS21))</f>
        <v>1</v>
      </c>
      <c r="BN21" s="41">
        <f>MIN(IF($AS21=100%,1,1+VLOOKUP(($AI21-$AH21-$AG21-$AF21-$AE21-$AA21*(1+BN$3))/$AI21,'Технический лист'!$A:$B,2,1)-VLOOKUP($AN21,'Технический лист'!$A:$B,2,1)),1+(1-$AS21))</f>
        <v>1</v>
      </c>
      <c r="BO21" s="41">
        <f>MIN(IF($AS21=100%,1,1+VLOOKUP(($AI21-$AH21-$AG21-$AF21-$AE21-$AA21*(1+BO$3))/$AI21,'Технический лист'!$A:$B,2,1)-VLOOKUP($AN21,'Технический лист'!$A:$B,2,1)),1+(1-$AS21))</f>
        <v>1</v>
      </c>
      <c r="BP21" s="41">
        <f>MIN(IF($AS21=100%,1,1+VLOOKUP(($AI21-$AH21-$AG21-$AF21-$AE21-$AA21*(1+BP$3))/$AI21,'Технический лист'!$A:$B,2,1)-VLOOKUP($AN21,'Технический лист'!$A:$B,2,1)),1+(1-$AS21))</f>
        <v>1</v>
      </c>
      <c r="BQ21" s="41">
        <f>MIN(IF($AS21=100%,1,1+VLOOKUP(($AI21-$AH21-$AG21-$AF21-$AE21-$AA21*(1+BQ$3))/$AI21,'Технический лист'!$A:$B,2,1)-VLOOKUP($AN21,'Технический лист'!$A:$B,2,1)),1+(1-$AS21))</f>
        <v>1</v>
      </c>
      <c r="BR21" s="41">
        <f>MIN(IF($AS21=100%,1,1+VLOOKUP(($AI21-$AH21-$AG21-$AF21-$AE21-$AA21*(1+BR$3))/$AI21,'Технический лист'!$A:$B,2,1)-VLOOKUP($AN21,'Технический лист'!$A:$B,2,1)),1+(1-$AS21))</f>
        <v>1</v>
      </c>
      <c r="BS21" s="41">
        <f>MIN(IF($AS21=100%,1,1+VLOOKUP(($AI21-$AH21-$AG21-$AF21-$AE21-$AA21*(1+BS$3))/$AI21,'Технический лист'!$A:$B,2,1)-VLOOKUP($AN21,'Технический лист'!$A:$B,2,1)),1+(1-$AS21))</f>
        <v>1</v>
      </c>
      <c r="BT21" s="41">
        <f>MIN(IF($AS21=100%,1,1+VLOOKUP(($AI21-$AH21-$AG21-$AF21-$AE21-$AA21*(1+BT$3))/$AI21,'Технический лист'!$A:$B,2,1)-VLOOKUP($AN21,'Технический лист'!$A:$B,2,1)),1+(1-$AS21))</f>
        <v>1</v>
      </c>
      <c r="BU21" s="41">
        <f>MIN(IF($AS21=100%,1,1+VLOOKUP(($AI21-$AH21-$AG21-$AF21-$AE21-$AA21*(1+BU$3))/$AI21,'Технический лист'!$A:$B,2,1)-VLOOKUP($AN21,'Технический лист'!$A:$B,2,1)),1+(1-$AS21))</f>
        <v>1</v>
      </c>
      <c r="BV21" s="41">
        <f>MIN(IF($AS21=100%,1,1+VLOOKUP(($AI21-$AH21-$AG21-$AF21-$AE21-$AA21*(1+BV$3))/$AI21,'Технический лист'!$A:$B,2,1)-VLOOKUP($AN21,'Технический лист'!$A:$B,2,1)),1+(1-$AS21))</f>
        <v>1</v>
      </c>
      <c r="BW21" s="41">
        <f>MIN(IF($AS21=100%,1,1+VLOOKUP(($AI21-$AH21-$AG21-$AF21-$AE21-$AA21*(1+BW$3))/$AI21,'Технический лист'!$A:$B,2,1)-VLOOKUP($AN21,'Технический лист'!$A:$B,2,1)),1+(1-$AS21))</f>
        <v>1</v>
      </c>
      <c r="BX21" s="41">
        <f>MIN(IF($AS21=100%,1,1+VLOOKUP(($AI21-$AH21-$AG21-$AF21-$AE21-$AA21*(1+BX$3))/$AI21,'Технический лист'!$A:$B,2,1)-VLOOKUP($AN21,'Технический лист'!$A:$B,2,1)),1+(1-$AS21))</f>
        <v>1</v>
      </c>
      <c r="BY21" s="41">
        <f>MIN(IF($AS21=100%,1,1+VLOOKUP(($AI21-$AH21-$AG21-$AF21-$AE21-$AA21*(1+BY$3))/$AI21,'Технический лист'!$A:$B,2,1)-VLOOKUP($AN21,'Технический лист'!$A:$B,2,1)),1+(1-$AS21))</f>
        <v>1</v>
      </c>
      <c r="BZ21" s="41">
        <f>MIN(IF($AS21=100%,1,1+VLOOKUP(($AI21-$AH21-$AG21-$AF21-$AE21-$AA21*(1+BZ$3))/$AI21,'Технический лист'!$A:$B,2,1)-VLOOKUP($AN21,'Технический лист'!$A:$B,2,1)),1+(1-$AS21))</f>
        <v>1</v>
      </c>
      <c r="CA21" s="41">
        <f>MIN(IF($AS21=100%,1,1+VLOOKUP(($AI21-$AH21-$AG21-$AF21-$AE21-$AA21*(1+CA$3))/$AI21,'Технический лист'!$A:$B,2,1)-VLOOKUP($AN21,'Технический лист'!$A:$B,2,1)),1+(1-$AS21))</f>
        <v>1</v>
      </c>
      <c r="CB21" s="41">
        <f>MIN(IF($AS21=100%,1,1+VLOOKUP(($AI21-$AH21-$AG21-$AF21-$AE21-$AA21*(1+CB$3))/$AI21,'Технический лист'!$A:$B,2,1)-VLOOKUP($AN21,'Технический лист'!$A:$B,2,1)),1+(1-$AS21))</f>
        <v>1</v>
      </c>
      <c r="CC21" s="41">
        <f>MIN(IF($AS21=100%,1,1+VLOOKUP(($AI21-$AH21-$AG21-$AF21-$AE21-$AA21*(1+CC$3))/$AI21,'Технический лист'!$A:$B,2,1)-VLOOKUP($AN21,'Технический лист'!$A:$B,2,1)),1+(1-$AS21))</f>
        <v>1</v>
      </c>
      <c r="CD21" s="41">
        <f>MIN(IF($AS21=100%,1,1+VLOOKUP(($AI21-$AH21-$AG21-$AF21-$AE21-$AA21*(1+CD$3))/$AI21,'Технический лист'!$A:$B,2,1)-VLOOKUP($AN21,'Технический лист'!$A:$B,2,1)),1+(1-$AS21))</f>
        <v>1</v>
      </c>
      <c r="CE21" s="41">
        <f>MIN(IF($AS21=100%,1,1+VLOOKUP(($AI21-$AH21-$AG21-$AF21-$AE21-$AA21*(1+CE$3))/$AI21,'Технический лист'!$A:$B,2,1)-VLOOKUP($AN21,'Технический лист'!$A:$B,2,1)),1+(1-$AS21))</f>
        <v>1</v>
      </c>
      <c r="CF21" s="41">
        <f>MIN(IF($AS21=100%,1,1+VLOOKUP(($AI21-$AH21-$AG21-$AF21-$AE21-$AA21*(1+CF$3))/$AI21,'Технический лист'!$A:$B,2,1)-VLOOKUP($AN21,'Технический лист'!$A:$B,2,1)),1+(1-$AS21))</f>
        <v>1</v>
      </c>
      <c r="CG21" s="41">
        <f>MIN(IF($AS21=100%,1,1+VLOOKUP(($AI21-$AH21-$AG21-$AF21-$AE21-$AA21*(1+CG$3))/$AI21,'Технический лист'!$A:$B,2,1)-VLOOKUP($AN21,'Технический лист'!$A:$B,2,1)),1+(1-$AS21))</f>
        <v>1</v>
      </c>
      <c r="CH21" s="41">
        <f>MIN(IF($AS21=100%,1,1+VLOOKUP(($AI21-$AH21-$AG21-$AF21-$AE21-$AA21*(1+CH$3))/$AI21,'Технический лист'!$A:$B,2,1)-VLOOKUP($AN21,'Технический лист'!$A:$B,2,1)),1+(1-$AS21))</f>
        <v>1</v>
      </c>
      <c r="CI21" s="41">
        <f>MIN(IF($AS21=100%,1,1+VLOOKUP(($AI21-$AH21-$AG21-$AF21-$AE21-$AA21*(1+CI$3))/$AI21,'Технический лист'!$A:$B,2,1)-VLOOKUP($AN21,'Технический лист'!$A:$B,2,1)),1+(1-$AS21))</f>
        <v>1</v>
      </c>
      <c r="CJ21" s="41">
        <f>MIN(IF($AS21=100%,1,1+VLOOKUP(($AI21-$AH21-$AG21-$AF21-$AE21-$AA21*(1+CJ$3))/$AI21,'Технический лист'!$A:$B,2,1)-VLOOKUP($AN21,'Технический лист'!$A:$B,2,1)),1+(1-$AS21))</f>
        <v>1</v>
      </c>
      <c r="CK21" s="41">
        <f>MIN(IF($AS21=100%,1,1+VLOOKUP(($AI21-$AH21-$AG21-$AF21-$AE21-$AA21*(1+CK$3))/$AI21,'Технический лист'!$A:$B,2,1)-VLOOKUP($AN21,'Технический лист'!$A:$B,2,1)),1+(1-$AS21))</f>
        <v>1</v>
      </c>
      <c r="CL21" s="41">
        <f>MIN(IF($AS21=100%,1,1+VLOOKUP(($AI21-$AH21-$AG21-$AF21-$AE21-$AA21*(1+CL$3))/$AI21,'Технический лист'!$A:$B,2,1)-VLOOKUP($AN21,'Технический лист'!$A:$B,2,1)),1+(1-$AS21))</f>
        <v>1</v>
      </c>
      <c r="CM21" s="41">
        <f>MIN(IF($AS21=100%,1,1+VLOOKUP(($AI21-$AH21-$AG21-$AF21-$AE21-$AA21*(1+CM$3))/$AI21,'Технический лист'!$A:$B,2,1)-VLOOKUP($AN21,'Технический лист'!$A:$B,2,1)),1+(1-$AS21))</f>
        <v>1</v>
      </c>
      <c r="CN21" s="41">
        <f>MIN(IF($AS21=100%,1,1+VLOOKUP(($AI21-$AH21-$AG21-$AF21-$AE21-$AA21*(1+CN$3))/$AI21,'Технический лист'!$A:$B,2,1)-VLOOKUP($AN21,'Технический лист'!$A:$B,2,1)),1+(1-$AS21))</f>
        <v>1</v>
      </c>
      <c r="CO21" s="41">
        <f>MIN(IF($AS21=100%,1,1+VLOOKUP(($AI21-$AH21-$AG21-$AF21-$AE21-$AA21*(1+CO$3))/$AI21,'Технический лист'!$A:$B,2,1)-VLOOKUP($AN21,'Технический лист'!$A:$B,2,1)),1+(1-$AS21))</f>
        <v>1</v>
      </c>
      <c r="CP21" s="41">
        <f>MIN(IF($AS21=100%,1,1+VLOOKUP(($AI21-$AH21-$AG21-$AF21-$AE21-$AA21*(1+CP$3))/$AI21,'Технический лист'!$A:$B,2,1)-VLOOKUP($AN21,'Технический лист'!$A:$B,2,1)),1+(1-$AS21))</f>
        <v>1</v>
      </c>
      <c r="CQ21" s="41">
        <f>MIN(IF($AS21=100%,1,1+VLOOKUP(($AI21-$AH21-$AG21-$AF21-$AE21-$AA21*(1+CQ$3))/$AI21,'Технический лист'!$A:$B,2,1)-VLOOKUP($AN21,'Технический лист'!$A:$B,2,1)),1+(1-$AS21))</f>
        <v>1</v>
      </c>
      <c r="CR21">
        <v>1</v>
      </c>
      <c r="CS21" s="41">
        <f>MIN(1,MAX(VLOOKUP(($AI21-$AH21-$AG21-$AF21-$AE21-$AA21*(1+CS$3))/$AI21,'[8]Технический лист'!$A:$B,2,1),(CR21-0.05)))</f>
        <v>0.95</v>
      </c>
      <c r="CT21" s="41">
        <f>MIN(1,MAX(VLOOKUP(($AI21-$AH21-$AG21-$AF21-$AE21-$AA21*(1+CT$3))/$AI21,'[8]Технический лист'!$A:$B,2,1),(CS21-0.05)))</f>
        <v>0.89999999999999991</v>
      </c>
      <c r="CU21" s="41">
        <f>MIN(1,MAX(VLOOKUP(($AI21-$AH21-$AG21-$AF21-$AE21-$AA21*(1+CU$3))/$AI21,'[8]Технический лист'!$A:$B,2,1),(CT21-0.05)))</f>
        <v>0.84999999999999987</v>
      </c>
      <c r="CV21" s="41">
        <f>MIN(1,MAX(VLOOKUP(($AI21-$AH21-$AG21-$AF21-$AE21-$AA21*(1+CV$3))/$AI21,'[8]Технический лист'!$A:$B,2,1),(CU21-0.05)))</f>
        <v>0.79999999999999982</v>
      </c>
      <c r="CW21" s="41">
        <f>MIN(1,MAX(VLOOKUP(($AI21-$AH21-$AG21-$AF21-$AE21-$AA21*(1+CW$3))/$AI21,'[8]Технический лист'!$A:$B,2,1),(CV21-0.05)))</f>
        <v>0.74999999999999978</v>
      </c>
      <c r="CX21" s="41">
        <f>MIN(1,MAX(VLOOKUP(($AI21-$AH21-$AG21-$AF21-$AE21-$AA21*(1+CX$3))/$AI21,'[8]Технический лист'!$A:$B,2,1),(CW21-0.05)))</f>
        <v>0.69999999999999973</v>
      </c>
      <c r="CY21" s="41">
        <f>MIN(1,MAX(VLOOKUP(($AI21-$AH21-$AG21-$AF21-$AE21-$AA21*(1+CY$3))/$AI21,'[8]Технический лист'!$A:$B,2,1),(CX21-0.05)))</f>
        <v>0.64999999999999969</v>
      </c>
      <c r="CZ21" s="41">
        <f>MIN(1,MAX(VLOOKUP(($AI21-$AH21-$AG21-$AF21-$AE21-$AA21*(1+CZ$3))/$AI21,'[8]Технический лист'!$A:$B,2,1),(CY21-0.05)))</f>
        <v>0.59999999999999964</v>
      </c>
      <c r="DA21" s="41">
        <f>MIN(1,MAX(VLOOKUP(($AI21-$AH21-$AG21-$AF21-$AE21-$AA21*(1+DA$3))/$AI21,'[8]Технический лист'!$A:$B,2,1),(CZ21-0.05)))</f>
        <v>0.5499999999999996</v>
      </c>
      <c r="DB21" s="41">
        <f>MIN(1,MAX(VLOOKUP(($AI21-$AH21-$AG21-$AF21-$AE21-$AA21*(1+DB$3))/$AI21,'[8]Технический лист'!$A:$B,2,1),(DA21-0.05)))</f>
        <v>0.49999999999999961</v>
      </c>
      <c r="DC21" s="41">
        <f>MIN(1,MAX(VLOOKUP(($AI21-$AH21-$AG21-$AF21-$AE21-$AA21*(1+DC$3))/$AI21,'[8]Технический лист'!$A:$B,2,1),(DB21-0.05)))</f>
        <v>0.44999999999999962</v>
      </c>
      <c r="DD21" s="41">
        <f>MIN(1,MAX(VLOOKUP(($AI21-$AH21-$AG21-$AF21-$AE21-$AA21*(1+DD$3))/$AI21,'[8]Технический лист'!$A:$B,2,1),(DC21-0.05)))</f>
        <v>0.39999999999999963</v>
      </c>
      <c r="DE21" s="41">
        <f>MIN(1,MAX(VLOOKUP(($AI21-$AH21-$AG21-$AF21-$AE21-$AA21*(1+DE$3))/$AI21,'[8]Технический лист'!$A:$B,2,1),(DD21-0.05)))</f>
        <v>0.34999999999999964</v>
      </c>
      <c r="DF21" s="41">
        <f>MIN(1,MAX(VLOOKUP(($AI21-$AH21-$AG21-$AF21-$AE21-$AA21*(1+DF$3))/$AI21,'[8]Технический лист'!$A:$B,2,1),(DE21-0.05)))</f>
        <v>0.29999999999999966</v>
      </c>
      <c r="DG21" s="41">
        <f>MIN(1,MAX(VLOOKUP(($AI21-$AH21-$AG21-$AF21-$AE21-$AA21*(1+DG$3))/$AI21,'[8]Технический лист'!$A:$B,2,1),(DF21-0.05)))</f>
        <v>0.24999999999999967</v>
      </c>
      <c r="DH21" s="41">
        <f>MIN(1,MAX(VLOOKUP(($AI21-$AH21-$AG21-$AF21-$AE21-$AA21*(1+DH$3))/$AI21,'[8]Технический лист'!$A:$B,2,1),(DG21-0.05)))</f>
        <v>0.19999999999999968</v>
      </c>
      <c r="DI21" s="41">
        <f>MIN(1,MAX(VLOOKUP(($AI21-$AH21-$AG21-$AF21-$AE21-$AA21*(1+DI$3))/$AI21,'[8]Технический лист'!$A:$B,2,1),(DH21-0.05)))</f>
        <v>0.14999999999999969</v>
      </c>
      <c r="DJ21" s="41">
        <f>MIN(1,MAX(VLOOKUP(($AI21-$AH21-$AG21-$AF21-$AE21-$AA21*(1+DJ$3))/$AI21,'[8]Технический лист'!$A:$B,2,1),(DI21-0.05)))</f>
        <v>9.9999999999999686E-2</v>
      </c>
      <c r="DK21" s="41">
        <f>MIN(1,MAX(VLOOKUP(($AI21-$AH21-$AG21-$AF21-$AE21-$AA21*(1+DK$3))/$AI21,'[8]Технический лист'!$A:$B,2,1),(DJ21-0.05)))</f>
        <v>4.9999999999999684E-2</v>
      </c>
      <c r="DL21" s="41">
        <f>MIN(1,MAX(VLOOKUP(($AI21-$AH21-$AG21-$AF21-$AE21-$AA21*(1+DL$3))/$AI21,'[8]Технический лист'!$A:$B,2,1),(DK21-0.05)))</f>
        <v>0</v>
      </c>
      <c r="DM21" s="41">
        <f>MIN(1,MAX(VLOOKUP(($AI21-$AH21-$AG21-$AF21-$AE21-$AA21*(1+DM$3))/$AI21,'[8]Технический лист'!$A:$B,2,1),(DL21-0.05)))</f>
        <v>0</v>
      </c>
      <c r="DN21" s="41">
        <f>MIN(1,MAX(VLOOKUP(($AI21-$AH21-$AG21-$AF21-$AE21-$AA21*(1+DN$3))/$AI21,'[8]Технический лист'!$A:$B,2,1),(DM21-0.05)))</f>
        <v>0</v>
      </c>
      <c r="DO21" s="41">
        <f>MIN(1,MAX(VLOOKUP(($AI21-$AH21-$AG21-$AF21-$AE21-$AA21*(1+DO$3))/$AI21,'[8]Технический лист'!$A:$B,2,1),(DN21-0.05)))</f>
        <v>0</v>
      </c>
      <c r="DP21" s="41">
        <f>MIN(1,MAX(VLOOKUP(($AI21-$AH21-$AG21-$AF21-$AE21-$AA21*(1+DP$3))/$AI21,'[8]Технический лист'!$A:$B,2,1),(DO21-0.05)))</f>
        <v>0</v>
      </c>
      <c r="DQ21" s="41">
        <f>MIN(1,MAX(VLOOKUP(($AI21-$AH21-$AG21-$AF21-$AE21-$AA21*(1+DQ$3))/$AI21,'[8]Технический лист'!$A:$B,2,1),(DP21-0.05)))</f>
        <v>0</v>
      </c>
      <c r="DR21" s="41">
        <f>MIN(1,MAX(VLOOKUP(($AI21-$AH21-$AG21-$AF21-$AE21-$AA21*(1+DR$3))/$AI21,'[8]Технический лист'!$A:$B,2,1),(DQ21-0.05)))</f>
        <v>0</v>
      </c>
      <c r="DS21" s="41">
        <f>MIN(1,MAX(VLOOKUP(($AI21-$AH21-$AG21-$AF21-$AE21-$AA21*(1+DS$3))/$AI21,'[8]Технический лист'!$A:$B,2,1),(DR21-0.05)))</f>
        <v>0</v>
      </c>
      <c r="DT21" s="41">
        <f>MIN(1,MAX(VLOOKUP(($AI21-$AH21-$AG21-$AF21-$AE21-$AA21*(1+DT$3))/$AI21,'[8]Технический лист'!$A:$B,2,1),(DS21-0.05)))</f>
        <v>0</v>
      </c>
      <c r="DU21" s="41">
        <f>MIN(1,MAX(VLOOKUP(($AI21-$AH21-$AG21-$AF21-$AE21-$AA21*(1+DU$3))/$AI21,'[8]Технический лист'!$A:$B,2,1),(DT21-0.05)))</f>
        <v>0</v>
      </c>
      <c r="DV21" s="41">
        <f>MIN(1,MAX(VLOOKUP(($AI21-$AH21-$AG21-$AF21-$AE21-$AA21*(1+DV$3))/$AI21,'[8]Технический лист'!$A:$B,2,1),(DU21-0.05)))</f>
        <v>0</v>
      </c>
      <c r="DW21" s="41">
        <f>MIN(1,MAX(VLOOKUP(($AI21-$AH21-$AG21-$AF21-$AE21-$AA21*(1+DW$3))/$AI21,'[8]Технический лист'!$A:$B,2,1),(DV21-0.05)))</f>
        <v>0</v>
      </c>
      <c r="DX21" s="41">
        <f>MIN(1,MAX(VLOOKUP(($AI21-$AH21-$AG21-$AF21-$AE21-$AA21*(1+DX$3))/$AI21,'[8]Технический лист'!$A:$B,2,1),(DW21-0.05)))</f>
        <v>0</v>
      </c>
      <c r="DY21" s="41">
        <f>MIN(1,MAX(VLOOKUP(($AI21-$AH21-$AG21-$AF21-$AE21-$AA21*(1+DY$3))/$AI21,'[8]Технический лист'!$A:$B,2,1),(DX21-0.05)))</f>
        <v>0</v>
      </c>
      <c r="DZ21" s="41">
        <f>MIN(1,MAX(VLOOKUP(($AI21-$AH21-$AG21-$AF21-$AE21-$AA21*(1+DZ$3))/$AI21,'[8]Технический лист'!$A:$B,2,1),(DY21-0.05)))</f>
        <v>0</v>
      </c>
      <c r="EA21" s="41">
        <f>MIN(1,MAX(VLOOKUP(($AI21-$AH21-$AG21-$AF21-$AE21-$AA21*(1+EA$3))/$AI21,'[8]Технический лист'!$A:$B,2,1),(DZ21-0.05)))</f>
        <v>0</v>
      </c>
      <c r="EB21" s="41">
        <f>MIN(1,MAX(VLOOKUP(($AI21-$AH21-$AG21-$AF21-$AE21-$AA21*(1+EB$3))/$AI21,'[8]Технический лист'!$A:$B,2,1),(EA21-0.05)))</f>
        <v>0</v>
      </c>
      <c r="EC21" s="41">
        <f>MIN(1,MAX(VLOOKUP(($AI21-$AH21-$AG21-$AF21-$AE21-$AA21*(1+EC$3))/$AI21,'[8]Технический лист'!$A:$B,2,1),(EB21-0.05)))</f>
        <v>0</v>
      </c>
      <c r="ED21" s="41">
        <f>MIN(1,MAX(VLOOKUP(($AI21-$AH21-$AG21-$AF21-$AE21-$AA21*(1+ED$3))/$AI21,'[8]Технический лист'!$A:$B,2,1),(EC21-0.05)))</f>
        <v>0</v>
      </c>
      <c r="EE21" s="41">
        <f>MIN(1,MAX(VLOOKUP(($AI21-$AH21-$AG21-$AF21-$AE21-$AA21*(1+EE$3))/$AI21,'[8]Технический лист'!$A:$B,2,1),(ED21-0.05)))</f>
        <v>0</v>
      </c>
      <c r="EF21" s="41">
        <f>MIN(1,MAX(VLOOKUP(($AI21-$AH21-$AG21-$AF21-$AE21-$AA21*(1+EF$3))/$AI21,'[8]Технический лист'!$A:$B,2,1),(EE21-0.05)))</f>
        <v>0</v>
      </c>
      <c r="EG21" s="41">
        <f>MIN(1,MAX(VLOOKUP(($AI21-$AH21-$AG21-$AF21-$AE21-$AA21*(1+EG$3))/$AI21,'[8]Технический лист'!$A:$B,2,1),(EF21-0.05)))</f>
        <v>0</v>
      </c>
      <c r="EH21" s="41">
        <f>MIN(1,MAX(VLOOKUP(($AI21-$AH21-$AG21-$AF21-$AE21-$AA21*(1+EH$3))/$AI21,'[8]Технический лист'!$A:$B,2,1),(EG21-0.05)))</f>
        <v>0</v>
      </c>
      <c r="EI21" s="41">
        <f>MIN(1,MAX(VLOOKUP(($AI21-$AH21-$AG21-$AF21-$AE21-$AA21*(1+EI$3))/$AI21,'[8]Технический лист'!$A:$B,2,1),(EH21-0.05)))</f>
        <v>0</v>
      </c>
      <c r="EJ21" s="41">
        <f>MIN(1,MAX(VLOOKUP(($AI21-$AH21-$AG21-$AF21-$AE21-$AA21*(1+EJ$3))/$AI21,'[8]Технический лист'!$A:$B,2,1),(EI21-0.05)))</f>
        <v>0</v>
      </c>
      <c r="EK21" s="41">
        <f>MIN(1,MAX(VLOOKUP(($AI21-$AH21-$AG21-$AF21-$AE21-$AA21*(1+EK$3))/$AI21,'[8]Технический лист'!$A:$B,2,1),(EJ21-0.05)))</f>
        <v>0</v>
      </c>
      <c r="EL21" s="41">
        <f>MIN(1,MAX(VLOOKUP(($AI21-$AH21-$AG21-$AF21-$AE21-$AA21*(1+EL$3))/$AI21,'[8]Технический лист'!$A:$B,2,1),(EK21-0.05)))</f>
        <v>0</v>
      </c>
      <c r="EM21" s="41">
        <f>MIN(1,MAX(VLOOKUP(($AI21-$AH21-$AG21-$AF21-$AE21-$AA21*(1+EM$3))/$AI21,'[8]Технический лист'!$A:$B,2,1),(EL21-0.05)))</f>
        <v>0</v>
      </c>
      <c r="EN21" s="41">
        <f>MIN(1,MAX(VLOOKUP(($AI21-$AH21-$AG21-$AF21-$AE21-$AA21*(1+EN$3))/$AI21,'[8]Технический лист'!$A:$B,2,1),(EM21-0.05)))</f>
        <v>0</v>
      </c>
      <c r="EO21" s="41">
        <f>MIN(1,MAX(VLOOKUP(($AI21-$AH21-$AG21-$AF21-$AE21-$AA21*(1+EO$3))/$AI21,'[8]Технический лист'!$A:$B,2,1),(EN21-0.05)))</f>
        <v>0</v>
      </c>
      <c r="EP21" s="41">
        <f>MIN(1,MAX(VLOOKUP(($AI21-$AH21-$AG21-$AF21-$AE21-$AA21*(1+EP$3))/$AI21,'[8]Технический лист'!$A:$B,2,1),(EO21-0.05)))</f>
        <v>0</v>
      </c>
      <c r="EQ21" s="41">
        <f>MIN(1,MAX(VLOOKUP(($AI21-$AH21-$AG21-$AF21-$AE21-$AA21*(1+EQ$3))/$AI21,'[8]Технический лист'!$A:$B,2,1),(EP21-0.05)))</f>
        <v>0</v>
      </c>
      <c r="ER21" s="41">
        <f>MIN(1,MAX(VLOOKUP(($AI21-$AH21-$AG21-$AF21-$AE21-$AA21*(1+ER$3))/$AI21,'[8]Технический лист'!$A:$B,2,1),(EQ21-0.05)))</f>
        <v>0</v>
      </c>
      <c r="ES21" s="41">
        <f>MIN(1,MAX(VLOOKUP(($AI21-$AH21-$AG21-$AF21-$AE21-$AA21*(1+ES$3))/$AI21,'[8]Технический лист'!$A:$B,2,1),(ER21-0.05)))</f>
        <v>0</v>
      </c>
      <c r="ET21" s="41">
        <f>MIN(1,MAX(VLOOKUP(($AI21-$AH21-$AG21-$AF21-$AE21-$AA21*(1+ET$3))/$AI21,'[8]Технический лист'!$A:$B,2,1),(ES21-0.05)))</f>
        <v>0</v>
      </c>
      <c r="EU21" s="41">
        <f>MIN(1,MAX(VLOOKUP(($AI21-$AH21-$AG21-$AF21-$AE21-$AA21*(1+EU$3))/$AI21,'[8]Технический лист'!$A:$B,2,1),(ET21-0.05)))</f>
        <v>0</v>
      </c>
      <c r="EV21" s="41">
        <f>MIN(1,MAX(VLOOKUP(($AI21-$AH21-$AG21-$AF21-$AE21-$AA21*(1+EV$3))/$AI21,'[8]Технический лист'!$A:$B,2,1),(EU21-0.05)))</f>
        <v>0</v>
      </c>
      <c r="EW21" s="41">
        <f>MIN(1,MAX(VLOOKUP(($AI21-$AH21-$AG21-$AF21-$AE21-$AA21*(1+EW$3))/$AI21,'[8]Технический лист'!$A:$B,2,1),(EV21-0.05)))</f>
        <v>0</v>
      </c>
      <c r="EX21" s="41">
        <f>MIN(1,MAX(VLOOKUP(($AI21-$AH21-$AG21-$AF21-$AE21-$AA21*(1+EX$3))/$AI21,'[8]Технический лист'!$A:$B,2,1),(EW21-0.05)))</f>
        <v>0</v>
      </c>
      <c r="EY21" s="41">
        <f>MIN(1,MAX(VLOOKUP(($AI21-$AH21-$AG21-$AF21-$AE21-$AA21*(1+EY$3))/$AI21,'[8]Технический лист'!$A:$B,2,1),(EX21-0.05)))</f>
        <v>0</v>
      </c>
      <c r="EZ21" s="41">
        <f>MIN(1,MAX(VLOOKUP(($AI21-$AH21-$AG21-$AF21-$AE21-$AA21*(1+EZ$3))/$AI21,'[8]Технический лист'!$A:$B,2,1),(EY21-0.05)))</f>
        <v>0</v>
      </c>
      <c r="FA21" s="41">
        <f>MIN(1,MAX(VLOOKUP(($AI21-$AH21-$AG21-$AF21-$AE21-$AA21*(1+FA$3))/$AI21,'[8]Технический лист'!$A:$B,2,1),(EZ21-0.05)))</f>
        <v>0</v>
      </c>
      <c r="FB21" s="41">
        <f>MIN(1,MAX(VLOOKUP(($AI21-$AH21-$AG21-$AF21-$AE21-$AA21*(1+FB$3))/$AI21,'[8]Технический лист'!$A:$B,2,1),(FA21-0.05)))</f>
        <v>0</v>
      </c>
      <c r="FC21" s="41">
        <f>MIN(1,MAX(VLOOKUP(($AI21-$AH21-$AG21-$AF21-$AE21-$AA21*(1+FC$3))/$AI21,'[8]Технический лист'!$A:$B,2,1),(FB21-0.05)))</f>
        <v>0</v>
      </c>
      <c r="FD21" s="41">
        <f>MIN(1,MAX(VLOOKUP(($AI21-$AH21-$AG21-$AF21-$AE21-$AA21*(1+FD$3))/$AI21,'[8]Технический лист'!$A:$B,2,1),(FC21-0.05)))</f>
        <v>0</v>
      </c>
      <c r="FE21" s="41">
        <f>MIN(1,MAX(VLOOKUP(($AI21-$AH21-$AG21-$AF21-$AE21-$AA21*(1+FE$3))/$AI21,'[8]Технический лист'!$A:$B,2,1),(FD21-0.05)))</f>
        <v>0</v>
      </c>
      <c r="FF21" s="41">
        <f>MIN(1,MAX(VLOOKUP(($AI21-$AH21-$AG21-$AF21-$AE21-$AA21*(1+FF$3))/$AI21,'[8]Технический лист'!$A:$B,2,1),(FE21-0.05)))</f>
        <v>0</v>
      </c>
      <c r="FG21" s="41">
        <f>MIN(1,MAX(VLOOKUP(($AI21-$AH21-$AG21-$AF21-$AE21-$AA21*(1+FG$3))/$AI21,'[8]Технический лист'!$A:$B,2,1),(FF21-0.05)))</f>
        <v>0</v>
      </c>
      <c r="FH21" s="41">
        <f>MIN(1,MAX(VLOOKUP(($AI21-$AH21-$AG21-$AF21-$AE21-$AA21*(1+FH$3))/$AI21,'[8]Технический лист'!$A:$B,2,1),(FG21-0.05)))</f>
        <v>0</v>
      </c>
      <c r="FI21" s="41">
        <f>MIN(1,MAX(VLOOKUP(($AI21-$AH21-$AG21-$AF21-$AE21-$AA21*(1+FI$3))/$AI21,'[8]Технический лист'!$A:$B,2,1),(FH21-0.05)))</f>
        <v>0</v>
      </c>
      <c r="FJ21" s="41">
        <f>MIN(1,MAX(VLOOKUP(($AI21-$AH21-$AG21-$AF21-$AE21-$AA21*(1+FJ$3))/$AI21,'[8]Технический лист'!$A:$B,2,1),(FI21-0.05)))</f>
        <v>0</v>
      </c>
      <c r="FK21" s="41">
        <f>MIN(1,MAX(VLOOKUP(($AI21-$AH21-$AG21-$AF21-$AE21-$AA21*(1+FK$3))/$AI21,'[8]Технический лист'!$A:$B,2,1),(FJ21-0.05)))</f>
        <v>0</v>
      </c>
      <c r="FL21" s="41">
        <f>MIN(1,MAX(VLOOKUP(($AI21-$AH21-$AG21-$AF21-$AE21-$AA21*(1+FL$3))/$AI21,'[8]Технический лист'!$A:$B,2,1),(FK21-0.05)))</f>
        <v>0</v>
      </c>
      <c r="FM21" s="41">
        <f>MIN(1,MAX(VLOOKUP(($AI21-$AH21-$AG21-$AF21-$AE21-$AA21*(1+FM$3))/$AI21,'[8]Технический лист'!$A:$B,2,1),(FL21-0.05)))</f>
        <v>0</v>
      </c>
      <c r="FN21" s="41">
        <f>MIN(1,MAX(VLOOKUP(($AI21-$AH21-$AG21-$AF21-$AE21-$AA21*(1+FN$3))/$AI21,'[8]Технический лист'!$A:$B,2,1),(FM21-0.05)))</f>
        <v>0</v>
      </c>
      <c r="FO21" s="41">
        <f>MIN(1,MAX(VLOOKUP(($AI21-$AH21-$AG21-$AF21-$AE21-$AA21*(1+FO$3))/$AI21,'[8]Технический лист'!$A:$B,2,1),(FN21-0.05)))</f>
        <v>0</v>
      </c>
      <c r="FP21" s="41">
        <f>MIN(1,MAX(VLOOKUP(($AI21-$AH21-$AG21-$AF21-$AE21-$AA21*(1+FP$3))/$AI21,'[8]Технический лист'!$A:$B,2,1),(FO21-0.05)))</f>
        <v>0</v>
      </c>
      <c r="FQ21" s="41">
        <f>MIN(1,MAX(VLOOKUP(($AI21-$AH21-$AG21-$AF21-$AE21-$AA21*(1+FQ$3))/$AI21,'[8]Технический лист'!$A:$B,2,1),(FP21-0.05)))</f>
        <v>0</v>
      </c>
      <c r="FR21" s="41">
        <f>MIN(1,MAX(VLOOKUP(($AI21-$AH21-$AG21-$AF21-$AE21-$AA21*(1+FR$3))/$AI21,'[8]Технический лист'!$A:$B,2,1),(FQ21-0.05)))</f>
        <v>0</v>
      </c>
      <c r="FS21" s="41">
        <f>MIN(1,MAX(VLOOKUP(($AI21-$AH21-$AG21-$AF21-$AE21-$AA21*(1+FS$3))/$AI21,'[8]Технический лист'!$A:$B,2,1),(FR21-0.05)))</f>
        <v>0</v>
      </c>
      <c r="FT21" s="41">
        <f>MIN(1,MAX(VLOOKUP(($AI21-$AH21-$AG21-$AF21-$AE21-$AA21*(1+FT$3))/$AI21,'[8]Технический лист'!$A:$B,2,1),(FS21-0.05)))</f>
        <v>0</v>
      </c>
      <c r="FU21" s="41">
        <f>MIN(1,MAX(VLOOKUP(($AI21-$AH21-$AG21-$AF21-$AE21-$AA21*(1+FU$3))/$AI21,'[8]Технический лист'!$A:$B,2,1),(FT21-0.05)))</f>
        <v>0</v>
      </c>
      <c r="FV21" s="41">
        <f>MIN(1,MAX(VLOOKUP(($AI21-$AH21-$AG21-$AF21-$AE21-$AA21*(1+FV$3))/$AI21,'[8]Технический лист'!$A:$B,2,1),(FU21-0.05)))</f>
        <v>0</v>
      </c>
      <c r="FW21" s="41">
        <f>MIN(1,MAX(VLOOKUP(($AI21-$AH21-$AG21-$AF21-$AE21-$AA21*(1+FW$3))/$AI21,'[8]Технический лист'!$A:$B,2,1),(FV21-0.05)))</f>
        <v>0</v>
      </c>
      <c r="FX21" s="41">
        <f>MIN(1,MAX(VLOOKUP(($AI21-$AH21-$AG21-$AF21-$AE21-$AA21*(1+FX$3))/$AI21,'[8]Технический лист'!$A:$B,2,1),(FW21-0.05)))</f>
        <v>0</v>
      </c>
      <c r="FY21" s="41">
        <f>MIN(1,MAX(VLOOKUP(($AI21-$AH21-$AG21-$AF21-$AE21-$AA21*(1+FY$3))/$AI21,'[8]Технический лист'!$A:$B,2,1),(FX21-0.05)))</f>
        <v>0</v>
      </c>
      <c r="FZ21" s="41">
        <f>MIN(1,MAX(VLOOKUP(($AI21-$AH21-$AG21-$AF21-$AE21-$AA21*(1+FZ$3))/$AI21,'[8]Технический лист'!$A:$B,2,1),(FY21-0.05)))</f>
        <v>0</v>
      </c>
      <c r="GA21" s="41">
        <f>MIN(1,MAX(VLOOKUP(($AI21-$AH21-$AG21-$AF21-$AE21-$AA21*(1+GA$3))/$AI21,'[8]Технический лист'!$A:$B,2,1),(FZ21-0.05)))</f>
        <v>0</v>
      </c>
      <c r="GB21" s="41">
        <f>MIN(1,MAX(VLOOKUP(($AI21-$AH21-$AG21-$AF21-$AE21-$AA21*(1+GB$3))/$AI21,'[8]Технический лист'!$A:$B,2,1),(GA21-0.05)))</f>
        <v>0</v>
      </c>
      <c r="GC21" s="41">
        <f>MIN(1,MAX(VLOOKUP(($AI21-$AH21-$AG21-$AF21-$AE21-$AA21*(1+GC$3))/$AI21,'[8]Технический лист'!$A:$B,2,1),(GB21-0.05)))</f>
        <v>0</v>
      </c>
      <c r="GD21" s="41">
        <f>MIN(1,MAX(VLOOKUP(($AI21-$AH21-$AG21-$AF21-$AE21-$AA21*(1+GD$3))/$AI21,'[8]Технический лист'!$A:$B,2,1),(GC21-0.05)))</f>
        <v>0</v>
      </c>
      <c r="GE21" s="41">
        <f>MIN(1,MAX(VLOOKUP(($AI21-$AH21-$AG21-$AF21-$AE21-$AA21*(1+GE$3))/$AI21,'[8]Технический лист'!$A:$B,2,1),(GD21-0.05)))</f>
        <v>0</v>
      </c>
      <c r="GF21" s="41">
        <f>MIN(1,MAX(VLOOKUP(($AI21-$AH21-$AG21-$AF21-$AE21-$AA21*(1+GF$3))/$AI21,'[8]Технический лист'!$A:$B,2,1),(GE21-0.05)))</f>
        <v>0</v>
      </c>
      <c r="GG21" s="41">
        <f>MIN(1,MAX(VLOOKUP(($AI21-$AH21-$AG21-$AF21-$AE21-$AA21*(1+GG$3))/$AI21,'[8]Технический лист'!$A:$B,2,1),(GF21-0.05)))</f>
        <v>0</v>
      </c>
      <c r="GH21" s="41">
        <f>MIN(1,MAX(VLOOKUP(($AI21-$AH21-$AG21-$AF21-$AE21-$AA21*(1+GH$3))/$AI21,'[8]Технический лист'!$A:$B,2,1),(GG21-0.05)))</f>
        <v>0</v>
      </c>
      <c r="GI21" s="41">
        <f>MIN(1,MAX(VLOOKUP(($AI21-$AH21-$AG21-$AF21-$AE21-$AA21*(1+GI$3))/$AI21,'[8]Технический лист'!$A:$B,2,1),(GH21-0.05)))</f>
        <v>0</v>
      </c>
      <c r="GJ21" s="41">
        <f>MIN(1,MAX(VLOOKUP(($AI21-$AH21-$AG21-$AF21-$AE21-$AA21*(1+GJ$3))/$AI21,'[8]Технический лист'!$A:$B,2,1),(GI21-0.05)))</f>
        <v>0</v>
      </c>
      <c r="GK21" s="41">
        <f>MIN(1,MAX(VLOOKUP(($AI21-$AH21-$AG21-$AF21-$AE21-$AA21*(1+GK$3))/$AI21,'[8]Технический лист'!$A:$B,2,1),(GJ21-0.05)))</f>
        <v>0</v>
      </c>
      <c r="GL21" s="41">
        <f>MIN(1,MAX(VLOOKUP(($AI21-$AH21-$AG21-$AF21-$AE21-$AA21*(1+GL$3))/$AI21,'[8]Технический лист'!$A:$B,2,1),(GK21-0.05)))</f>
        <v>0</v>
      </c>
      <c r="GM21" s="41">
        <f>MIN(1,MAX(VLOOKUP(($AI21-$AH21-$AG21-$AF21-$AE21-$AA21*(1+GM$3))/$AI21,'[8]Технический лист'!$A:$B,2,1),(GL21-0.05)))</f>
        <v>0</v>
      </c>
      <c r="GN21" s="41">
        <f>MIN(1,MAX(VLOOKUP(($AI21-$AH21-$AG21-$AF21-$AE21-$AA21*(1+GN$3))/$AI21,'[8]Технический лист'!$A:$B,2,1),(GM21-0.05)))</f>
        <v>0</v>
      </c>
    </row>
    <row r="22" spans="1:196">
      <c r="A22" s="3">
        <v>6</v>
      </c>
      <c r="B22" s="15" t="s">
        <v>61</v>
      </c>
      <c r="C22" s="4" t="s">
        <v>150</v>
      </c>
      <c r="D22" s="4" t="s">
        <v>151</v>
      </c>
      <c r="E22" s="4" t="s">
        <v>152</v>
      </c>
      <c r="F22" s="4" t="s">
        <v>22</v>
      </c>
      <c r="G22" s="4" t="s">
        <v>19</v>
      </c>
      <c r="H22" s="4" t="s">
        <v>98</v>
      </c>
      <c r="I22" s="4" t="s">
        <v>159</v>
      </c>
      <c r="J22" s="4" t="s">
        <v>160</v>
      </c>
      <c r="K22" s="4" t="s">
        <v>169</v>
      </c>
      <c r="L22" s="4" t="s">
        <v>21</v>
      </c>
      <c r="M22" s="4" t="s">
        <v>167</v>
      </c>
      <c r="N22" s="4" t="s">
        <v>54</v>
      </c>
      <c r="O22" s="4" t="s">
        <v>100</v>
      </c>
      <c r="P22" s="4" t="s">
        <v>101</v>
      </c>
      <c r="Q22" s="4" t="s">
        <v>71</v>
      </c>
      <c r="R22" s="16">
        <v>163388</v>
      </c>
      <c r="S22" s="17">
        <v>61433888</v>
      </c>
      <c r="T22" s="18">
        <v>3112</v>
      </c>
      <c r="U22" s="18">
        <v>0</v>
      </c>
      <c r="V22" s="17">
        <v>117587573</v>
      </c>
      <c r="W22" s="26" t="s">
        <v>180</v>
      </c>
      <c r="X22" s="26">
        <v>60</v>
      </c>
      <c r="Y22" s="24">
        <v>705.8</v>
      </c>
      <c r="Z22" s="27">
        <f>AA22-Y22</f>
        <v>309.48</v>
      </c>
      <c r="AA22" s="20">
        <v>1015.28</v>
      </c>
      <c r="AB22" s="20">
        <v>5</v>
      </c>
      <c r="AC22" s="20">
        <v>5</v>
      </c>
      <c r="AD22" s="20">
        <v>4</v>
      </c>
      <c r="AE22" s="20">
        <f>'Ставки аренды'!$B$2*SUM(Лесные!AB22+Лесные!AC22+Лесные!AD22)/Лесные!X22</f>
        <v>163.33333333333334</v>
      </c>
      <c r="AF22" s="20">
        <v>0</v>
      </c>
      <c r="AG22" s="20"/>
      <c r="AH22" s="20">
        <f>0.86*AI22</f>
        <v>3526</v>
      </c>
      <c r="AI22" s="20">
        <f>Цены!$C$11</f>
        <v>4100</v>
      </c>
      <c r="AJ22" s="20"/>
      <c r="AK22" s="21"/>
      <c r="AL22" s="20"/>
      <c r="AM22" s="20"/>
      <c r="AN22" s="29">
        <f t="shared" si="0"/>
        <v>-0.14746666666666666</v>
      </c>
      <c r="AO22" s="20"/>
      <c r="AP22" s="20"/>
      <c r="AQ22" s="2"/>
      <c r="AR22" s="19"/>
      <c r="AS22" s="42">
        <v>0.8</v>
      </c>
      <c r="AT22" s="41">
        <f>MIN(IF($AS22=100%,1,1+VLOOKUP(($AI22-$AH22-$AG22-$AF22-$AE22-$AA22*(1+AT$3))/$AI22,'Технический лист'!$A:$B,2,1)-VLOOKUP($AN22,'Технический лист'!$A:$B,2,1)),1+(1-$AS22))</f>
        <v>1.2</v>
      </c>
      <c r="AU22" s="41">
        <f>MIN(IF($AS22=100%,1,1+VLOOKUP(($AI22-$AH22-$AG22-$AF22-$AE22-$AA22*(1+AU$3))/$AI22,'Технический лист'!$A:$B,2,1)-VLOOKUP($AN22,'Технический лист'!$A:$B,2,1)),1+(1-$AS22))</f>
        <v>1.2</v>
      </c>
      <c r="AV22" s="41">
        <f>MIN(IF($AS22=100%,1,1+VLOOKUP(($AI22-$AH22-$AG22-$AF22-$AE22-$AA22*(1+AV$3))/$AI22,'Технический лист'!$A:$B,2,1)-VLOOKUP($AN22,'Технический лист'!$A:$B,2,1)),1+(1-$AS22))</f>
        <v>1.2</v>
      </c>
      <c r="AW22" s="41">
        <f>MIN(IF($AS22=100%,1,1+VLOOKUP(($AI22-$AH22-$AG22-$AF22-$AE22-$AA22*(1+AW$3))/$AI22,'Технический лист'!$A:$B,2,1)-VLOOKUP($AN22,'Технический лист'!$A:$B,2,1)),1+(1-$AS22))</f>
        <v>1.2</v>
      </c>
      <c r="AX22" s="41">
        <f>MIN(IF($AS22=100%,1,1+VLOOKUP(($AI22-$AH22-$AG22-$AF22-$AE22-$AA22*(1+AX$3))/$AI22,'Технический лист'!$A:$B,2,1)-VLOOKUP($AN22,'Технический лист'!$A:$B,2,1)),1+(1-$AS22))</f>
        <v>1.2</v>
      </c>
      <c r="AY22" s="41">
        <f>MIN(IF($AS22=100%,1,1+VLOOKUP(($AI22-$AH22-$AG22-$AF22-$AE22-$AA22*(1+AY$3))/$AI22,'Технический лист'!$A:$B,2,1)-VLOOKUP($AN22,'Технический лист'!$A:$B,2,1)),1+(1-$AS22))</f>
        <v>1.2</v>
      </c>
      <c r="AZ22" s="41">
        <f>MIN(IF($AS22=100%,1,1+VLOOKUP(($AI22-$AH22-$AG22-$AF22-$AE22-$AA22*(1+AZ$3))/$AI22,'Технический лист'!$A:$B,2,1)-VLOOKUP($AN22,'Технический лист'!$A:$B,2,1)),1+(1-$AS22))</f>
        <v>1.2</v>
      </c>
      <c r="BA22" s="41">
        <f>MIN(IF($AS22=100%,1,1+VLOOKUP(($AI22-$AH22-$AG22-$AF22-$AE22-$AA22*(1+BA$3))/$AI22,'Технический лист'!$A:$B,2,1)-VLOOKUP($AN22,'Технический лист'!$A:$B,2,1)),1+(1-$AS22))</f>
        <v>1.2</v>
      </c>
      <c r="BB22" s="41">
        <f>MIN(IF($AS22=100%,1,1+VLOOKUP(($AI22-$AH22-$AG22-$AF22-$AE22-$AA22*(1+BB$3))/$AI22,'Технический лист'!$A:$B,2,1)-VLOOKUP($AN22,'Технический лист'!$A:$B,2,1)),1+(1-$AS22))</f>
        <v>1.2</v>
      </c>
      <c r="BC22" s="41">
        <f>MIN(IF($AS22=100%,1,1+VLOOKUP(($AI22-$AH22-$AG22-$AF22-$AE22-$AA22*(1+BC$3))/$AI22,'Технический лист'!$A:$B,2,1)-VLOOKUP($AN22,'Технический лист'!$A:$B,2,1)),1+(1-$AS22))</f>
        <v>1.2</v>
      </c>
      <c r="BD22" s="41">
        <f>MIN(IF($AS22=100%,1,1+VLOOKUP(($AI22-$AH22-$AG22-$AF22-$AE22-$AA22*(1+BD$3))/$AI22,'Технический лист'!$A:$B,2,1)-VLOOKUP($AN22,'Технический лист'!$A:$B,2,1)),1+(1-$AS22))</f>
        <v>1.2</v>
      </c>
      <c r="BE22" s="41">
        <f>MIN(IF($AS22=100%,1,1+VLOOKUP(($AI22-$AH22-$AG22-$AF22-$AE22-$AA22*(1+BE$3))/$AI22,'Технический лист'!$A:$B,2,1)-VLOOKUP($AN22,'Технический лист'!$A:$B,2,1)),1+(1-$AS22))</f>
        <v>1.2</v>
      </c>
      <c r="BF22" s="41">
        <f>MIN(IF($AS22=100%,1,1+VLOOKUP(($AI22-$AH22-$AG22-$AF22-$AE22-$AA22*(1+BF$3))/$AI22,'Технический лист'!$A:$B,2,1)-VLOOKUP($AN22,'Технический лист'!$A:$B,2,1)),1+(1-$AS22))</f>
        <v>1.2</v>
      </c>
      <c r="BG22" s="41">
        <f>MIN(IF($AS22=100%,1,1+VLOOKUP(($AI22-$AH22-$AG22-$AF22-$AE22-$AA22*(1+BG$3))/$AI22,'Технический лист'!$A:$B,2,1)-VLOOKUP($AN22,'Технический лист'!$A:$B,2,1)),1+(1-$AS22))</f>
        <v>1.2</v>
      </c>
      <c r="BH22" s="41">
        <f>MIN(IF($AS22=100%,1,1+VLOOKUP(($AI22-$AH22-$AG22-$AF22-$AE22-$AA22*(1+BH$3))/$AI22,'Технический лист'!$A:$B,2,1)-VLOOKUP($AN22,'Технический лист'!$A:$B,2,1)),1+(1-$AS22))</f>
        <v>1.2</v>
      </c>
      <c r="BI22" s="41">
        <f>MIN(IF($AS22=100%,1,1+VLOOKUP(($AI22-$AH22-$AG22-$AF22-$AE22-$AA22*(1+BI$3))/$AI22,'Технический лист'!$A:$B,2,1)-VLOOKUP($AN22,'Технический лист'!$A:$B,2,1)),1+(1-$AS22))</f>
        <v>1.2</v>
      </c>
      <c r="BJ22" s="41">
        <f>MIN(IF($AS22=100%,1,1+VLOOKUP(($AI22-$AH22-$AG22-$AF22-$AE22-$AA22*(1+BJ$3))/$AI22,'Технический лист'!$A:$B,2,1)-VLOOKUP($AN22,'Технический лист'!$A:$B,2,1)),1+(1-$AS22))</f>
        <v>1.2</v>
      </c>
      <c r="BK22" s="41">
        <f>MIN(IF($AS22=100%,1,1+VLOOKUP(($AI22-$AH22-$AG22-$AF22-$AE22-$AA22*(1+BK$3))/$AI22,'Технический лист'!$A:$B,2,1)-VLOOKUP($AN22,'Технический лист'!$A:$B,2,1)),1+(1-$AS22))</f>
        <v>1.2</v>
      </c>
      <c r="BL22" s="41">
        <f>MIN(IF($AS22=100%,1,1+VLOOKUP(($AI22-$AH22-$AG22-$AF22-$AE22-$AA22*(1+BL$3))/$AI22,'Технический лист'!$A:$B,2,1)-VLOOKUP($AN22,'Технический лист'!$A:$B,2,1)),1+(1-$AS22))</f>
        <v>1.2</v>
      </c>
      <c r="BM22" s="41">
        <f>MIN(IF($AS22=100%,1,1+VLOOKUP(($AI22-$AH22-$AG22-$AF22-$AE22-$AA22*(1+BM$3))/$AI22,'Технический лист'!$A:$B,2,1)-VLOOKUP($AN22,'Технический лист'!$A:$B,2,1)),1+(1-$AS22))</f>
        <v>1.2</v>
      </c>
      <c r="BN22" s="41">
        <f>MIN(IF($AS22=100%,1,1+VLOOKUP(($AI22-$AH22-$AG22-$AF22-$AE22-$AA22*(1+BN$3))/$AI22,'Технический лист'!$A:$B,2,1)-VLOOKUP($AN22,'Технический лист'!$A:$B,2,1)),1+(1-$AS22))</f>
        <v>1.2</v>
      </c>
      <c r="BO22" s="41">
        <f>MIN(IF($AS22=100%,1,1+VLOOKUP(($AI22-$AH22-$AG22-$AF22-$AE22-$AA22*(1+BO$3))/$AI22,'Технический лист'!$A:$B,2,1)-VLOOKUP($AN22,'Технический лист'!$A:$B,2,1)),1+(1-$AS22))</f>
        <v>1.2</v>
      </c>
      <c r="BP22" s="41">
        <f>MIN(IF($AS22=100%,1,1+VLOOKUP(($AI22-$AH22-$AG22-$AF22-$AE22-$AA22*(1+BP$3))/$AI22,'Технический лист'!$A:$B,2,1)-VLOOKUP($AN22,'Технический лист'!$A:$B,2,1)),1+(1-$AS22))</f>
        <v>1.2</v>
      </c>
      <c r="BQ22" s="41">
        <f>MIN(IF($AS22=100%,1,1+VLOOKUP(($AI22-$AH22-$AG22-$AF22-$AE22-$AA22*(1+BQ$3))/$AI22,'Технический лист'!$A:$B,2,1)-VLOOKUP($AN22,'Технический лист'!$A:$B,2,1)),1+(1-$AS22))</f>
        <v>1.2</v>
      </c>
      <c r="BR22" s="41">
        <f>MIN(IF($AS22=100%,1,1+VLOOKUP(($AI22-$AH22-$AG22-$AF22-$AE22-$AA22*(1+BR$3))/$AI22,'Технический лист'!$A:$B,2,1)-VLOOKUP($AN22,'Технический лист'!$A:$B,2,1)),1+(1-$AS22))</f>
        <v>1.2</v>
      </c>
      <c r="BS22" s="41">
        <f>MIN(IF($AS22=100%,1,1+VLOOKUP(($AI22-$AH22-$AG22-$AF22-$AE22-$AA22*(1+BS$3))/$AI22,'Технический лист'!$A:$B,2,1)-VLOOKUP($AN22,'Технический лист'!$A:$B,2,1)),1+(1-$AS22))</f>
        <v>1.2</v>
      </c>
      <c r="BT22" s="41">
        <f>MIN(IF($AS22=100%,1,1+VLOOKUP(($AI22-$AH22-$AG22-$AF22-$AE22-$AA22*(1+BT$3))/$AI22,'Технический лист'!$A:$B,2,1)-VLOOKUP($AN22,'Технический лист'!$A:$B,2,1)),1+(1-$AS22))</f>
        <v>1.2</v>
      </c>
      <c r="BU22" s="41">
        <f>MIN(IF($AS22=100%,1,1+VLOOKUP(($AI22-$AH22-$AG22-$AF22-$AE22-$AA22*(1+BU$3))/$AI22,'Технический лист'!$A:$B,2,1)-VLOOKUP($AN22,'Технический лист'!$A:$B,2,1)),1+(1-$AS22))</f>
        <v>1.2</v>
      </c>
      <c r="BV22" s="41">
        <f>MIN(IF($AS22=100%,1,1+VLOOKUP(($AI22-$AH22-$AG22-$AF22-$AE22-$AA22*(1+BV$3))/$AI22,'Технический лист'!$A:$B,2,1)-VLOOKUP($AN22,'Технический лист'!$A:$B,2,1)),1+(1-$AS22))</f>
        <v>1.2</v>
      </c>
      <c r="BW22" s="41">
        <f>MIN(IF($AS22=100%,1,1+VLOOKUP(($AI22-$AH22-$AG22-$AF22-$AE22-$AA22*(1+BW$3))/$AI22,'Технический лист'!$A:$B,2,1)-VLOOKUP($AN22,'Технический лист'!$A:$B,2,1)),1+(1-$AS22))</f>
        <v>1.2</v>
      </c>
      <c r="BX22" s="41">
        <f>MIN(IF($AS22=100%,1,1+VLOOKUP(($AI22-$AH22-$AG22-$AF22-$AE22-$AA22*(1+BX$3))/$AI22,'Технический лист'!$A:$B,2,1)-VLOOKUP($AN22,'Технический лист'!$A:$B,2,1)),1+(1-$AS22))</f>
        <v>1.2</v>
      </c>
      <c r="BY22" s="41">
        <f>MIN(IF($AS22=100%,1,1+VLOOKUP(($AI22-$AH22-$AG22-$AF22-$AE22-$AA22*(1+BY$3))/$AI22,'Технический лист'!$A:$B,2,1)-VLOOKUP($AN22,'Технический лист'!$A:$B,2,1)),1+(1-$AS22))</f>
        <v>1.2</v>
      </c>
      <c r="BZ22" s="41">
        <f>MIN(IF($AS22=100%,1,1+VLOOKUP(($AI22-$AH22-$AG22-$AF22-$AE22-$AA22*(1+BZ$3))/$AI22,'Технический лист'!$A:$B,2,1)-VLOOKUP($AN22,'Технический лист'!$A:$B,2,1)),1+(1-$AS22))</f>
        <v>1.1700000000000002</v>
      </c>
      <c r="CA22" s="41">
        <f>MIN(IF($AS22=100%,1,1+VLOOKUP(($AI22-$AH22-$AG22-$AF22-$AE22-$AA22*(1+CA$3))/$AI22,'Технический лист'!$A:$B,2,1)-VLOOKUP($AN22,'Технический лист'!$A:$B,2,1)),1+(1-$AS22))</f>
        <v>1.1700000000000002</v>
      </c>
      <c r="CB22" s="41">
        <f>MIN(IF($AS22=100%,1,1+VLOOKUP(($AI22-$AH22-$AG22-$AF22-$AE22-$AA22*(1+CB$3))/$AI22,'Технический лист'!$A:$B,2,1)-VLOOKUP($AN22,'Технический лист'!$A:$B,2,1)),1+(1-$AS22))</f>
        <v>1.1700000000000002</v>
      </c>
      <c r="CC22" s="41">
        <f>MIN(IF($AS22=100%,1,1+VLOOKUP(($AI22-$AH22-$AG22-$AF22-$AE22-$AA22*(1+CC$3))/$AI22,'Технический лист'!$A:$B,2,1)-VLOOKUP($AN22,'Технический лист'!$A:$B,2,1)),1+(1-$AS22))</f>
        <v>1.1700000000000002</v>
      </c>
      <c r="CD22" s="41">
        <f>MIN(IF($AS22=100%,1,1+VLOOKUP(($AI22-$AH22-$AG22-$AF22-$AE22-$AA22*(1+CD$3))/$AI22,'Технический лист'!$A:$B,2,1)-VLOOKUP($AN22,'Технический лист'!$A:$B,2,1)),1+(1-$AS22))</f>
        <v>1.1300000000000001</v>
      </c>
      <c r="CE22" s="41">
        <f>MIN(IF($AS22=100%,1,1+VLOOKUP(($AI22-$AH22-$AG22-$AF22-$AE22-$AA22*(1+CE$3))/$AI22,'Технический лист'!$A:$B,2,1)-VLOOKUP($AN22,'Технический лист'!$A:$B,2,1)),1+(1-$AS22))</f>
        <v>1.1300000000000001</v>
      </c>
      <c r="CF22" s="41">
        <f>MIN(IF($AS22=100%,1,1+VLOOKUP(($AI22-$AH22-$AG22-$AF22-$AE22-$AA22*(1+CF$3))/$AI22,'Технический лист'!$A:$B,2,1)-VLOOKUP($AN22,'Технический лист'!$A:$B,2,1)),1+(1-$AS22))</f>
        <v>1.1300000000000001</v>
      </c>
      <c r="CG22" s="41">
        <f>MIN(IF($AS22=100%,1,1+VLOOKUP(($AI22-$AH22-$AG22-$AF22-$AE22-$AA22*(1+CG$3))/$AI22,'Технический лист'!$A:$B,2,1)-VLOOKUP($AN22,'Технический лист'!$A:$B,2,1)),1+(1-$AS22))</f>
        <v>1.1300000000000001</v>
      </c>
      <c r="CH22" s="41">
        <f>MIN(IF($AS22=100%,1,1+VLOOKUP(($AI22-$AH22-$AG22-$AF22-$AE22-$AA22*(1+CH$3))/$AI22,'Технический лист'!$A:$B,2,1)-VLOOKUP($AN22,'Технический лист'!$A:$B,2,1)),1+(1-$AS22))</f>
        <v>1.0900000000000001</v>
      </c>
      <c r="CI22" s="41">
        <f>MIN(IF($AS22=100%,1,1+VLOOKUP(($AI22-$AH22-$AG22-$AF22-$AE22-$AA22*(1+CI$3))/$AI22,'Технический лист'!$A:$B,2,1)-VLOOKUP($AN22,'Технический лист'!$A:$B,2,1)),1+(1-$AS22))</f>
        <v>1.0900000000000001</v>
      </c>
      <c r="CJ22" s="41">
        <f>MIN(IF($AS22=100%,1,1+VLOOKUP(($AI22-$AH22-$AG22-$AF22-$AE22-$AA22*(1+CJ$3))/$AI22,'Технический лист'!$A:$B,2,1)-VLOOKUP($AN22,'Технический лист'!$A:$B,2,1)),1+(1-$AS22))</f>
        <v>1.0900000000000001</v>
      </c>
      <c r="CK22" s="41">
        <f>MIN(IF($AS22=100%,1,1+VLOOKUP(($AI22-$AH22-$AG22-$AF22-$AE22-$AA22*(1+CK$3))/$AI22,'Технический лист'!$A:$B,2,1)-VLOOKUP($AN22,'Технический лист'!$A:$B,2,1)),1+(1-$AS22))</f>
        <v>1.0900000000000001</v>
      </c>
      <c r="CL22" s="41">
        <f>MIN(IF($AS22=100%,1,1+VLOOKUP(($AI22-$AH22-$AG22-$AF22-$AE22-$AA22*(1+CL$3))/$AI22,'Технический лист'!$A:$B,2,1)-VLOOKUP($AN22,'Технический лист'!$A:$B,2,1)),1+(1-$AS22))</f>
        <v>1.0450000000000002</v>
      </c>
      <c r="CM22" s="41">
        <f>MIN(IF($AS22=100%,1,1+VLOOKUP(($AI22-$AH22-$AG22-$AF22-$AE22-$AA22*(1+CM$3))/$AI22,'Технический лист'!$A:$B,2,1)-VLOOKUP($AN22,'Технический лист'!$A:$B,2,1)),1+(1-$AS22))</f>
        <v>1.0450000000000002</v>
      </c>
      <c r="CN22" s="41">
        <f>MIN(IF($AS22=100%,1,1+VLOOKUP(($AI22-$AH22-$AG22-$AF22-$AE22-$AA22*(1+CN$3))/$AI22,'Технический лист'!$A:$B,2,1)-VLOOKUP($AN22,'Технический лист'!$A:$B,2,1)),1+(1-$AS22))</f>
        <v>1.0450000000000002</v>
      </c>
      <c r="CO22" s="41">
        <f>MIN(IF($AS22=100%,1,1+VLOOKUP(($AI22-$AH22-$AG22-$AF22-$AE22-$AA22*(1+CO$3))/$AI22,'Технический лист'!$A:$B,2,1)-VLOOKUP($AN22,'Технический лист'!$A:$B,2,1)),1+(1-$AS22))</f>
        <v>1.0450000000000002</v>
      </c>
      <c r="CP22" s="41">
        <f>MIN(IF($AS22=100%,1,1+VLOOKUP(($AI22-$AH22-$AG22-$AF22-$AE22-$AA22*(1+CP$3))/$AI22,'Технический лист'!$A:$B,2,1)-VLOOKUP($AN22,'Технический лист'!$A:$B,2,1)),1+(1-$AS22))</f>
        <v>1.0450000000000002</v>
      </c>
      <c r="CQ22" s="41">
        <f>MIN(IF($AS22=100%,1,1+VLOOKUP(($AI22-$AH22-$AG22-$AF22-$AE22-$AA22*(1+CQ$3))/$AI22,'Технический лист'!$A:$B,2,1)-VLOOKUP($AN22,'Технический лист'!$A:$B,2,1)),1+(1-$AS22))</f>
        <v>1</v>
      </c>
      <c r="CR22">
        <v>1</v>
      </c>
      <c r="CS22" s="41">
        <f>MIN(1,MAX(VLOOKUP(($AI22-$AH22-$AG22-$AF22-$AE22-$AA22*(1+CS$3))/$AI22,'[8]Технический лист'!$A:$B,2,1),(CR22-0.05)))</f>
        <v>0.95</v>
      </c>
      <c r="CT22" s="41">
        <f>MIN(1,MAX(VLOOKUP(($AI22-$AH22-$AG22-$AF22-$AE22-$AA22*(1+CT$3))/$AI22,'[8]Технический лист'!$A:$B,2,1),(CS22-0.05)))</f>
        <v>0.89999999999999991</v>
      </c>
      <c r="CU22" s="41">
        <f>MIN(1,MAX(VLOOKUP(($AI22-$AH22-$AG22-$AF22-$AE22-$AA22*(1+CU$3))/$AI22,'[8]Технический лист'!$A:$B,2,1),(CT22-0.05)))</f>
        <v>0.84999999999999987</v>
      </c>
      <c r="CV22" s="41">
        <f>MIN(1,MAX(VLOOKUP(($AI22-$AH22-$AG22-$AF22-$AE22-$AA22*(1+CV$3))/$AI22,'[8]Технический лист'!$A:$B,2,1),(CU22-0.05)))</f>
        <v>0.79999999999999982</v>
      </c>
      <c r="CW22" s="41">
        <f>MIN(1,MAX(VLOOKUP(($AI22-$AH22-$AG22-$AF22-$AE22-$AA22*(1+CW$3))/$AI22,'[8]Технический лист'!$A:$B,2,1),(CV22-0.05)))</f>
        <v>0.74999999999999978</v>
      </c>
      <c r="CX22" s="41">
        <f>MIN(1,MAX(VLOOKUP(($AI22-$AH22-$AG22-$AF22-$AE22-$AA22*(1+CX$3))/$AI22,'[8]Технический лист'!$A:$B,2,1),(CW22-0.05)))</f>
        <v>0.69999999999999973</v>
      </c>
      <c r="CY22" s="41">
        <f>MIN(1,MAX(VLOOKUP(($AI22-$AH22-$AG22-$AF22-$AE22-$AA22*(1+CY$3))/$AI22,'[8]Технический лист'!$A:$B,2,1),(CX22-0.05)))</f>
        <v>0.64999999999999969</v>
      </c>
      <c r="CZ22" s="41">
        <f>MIN(1,MAX(VLOOKUP(($AI22-$AH22-$AG22-$AF22-$AE22-$AA22*(1+CZ$3))/$AI22,'[8]Технический лист'!$A:$B,2,1),(CY22-0.05)))</f>
        <v>0.59999999999999964</v>
      </c>
      <c r="DA22" s="41">
        <f>MIN(1,MAX(VLOOKUP(($AI22-$AH22-$AG22-$AF22-$AE22-$AA22*(1+DA$3))/$AI22,'[8]Технический лист'!$A:$B,2,1),(CZ22-0.05)))</f>
        <v>0.57999999999999996</v>
      </c>
      <c r="DB22" s="41">
        <f>MIN(1,MAX(VLOOKUP(($AI22-$AH22-$AG22-$AF22-$AE22-$AA22*(1+DB$3))/$AI22,'[8]Технический лист'!$A:$B,2,1),(DA22-0.05)))</f>
        <v>0.57999999999999996</v>
      </c>
      <c r="DC22" s="41">
        <f>MIN(1,MAX(VLOOKUP(($AI22-$AH22-$AG22-$AF22-$AE22-$AA22*(1+DC$3))/$AI22,'[8]Технический лист'!$A:$B,2,1),(DB22-0.05)))</f>
        <v>0.55000000000000004</v>
      </c>
      <c r="DD22" s="41">
        <f>MIN(1,MAX(VLOOKUP(($AI22-$AH22-$AG22-$AF22-$AE22-$AA22*(1+DD$3))/$AI22,'[8]Технический лист'!$A:$B,2,1),(DC22-0.05)))</f>
        <v>0.55000000000000004</v>
      </c>
      <c r="DE22" s="41">
        <f>MIN(1,MAX(VLOOKUP(($AI22-$AH22-$AG22-$AF22-$AE22-$AA22*(1+DE$3))/$AI22,'[8]Технический лист'!$A:$B,2,1),(DD22-0.05)))</f>
        <v>0.55000000000000004</v>
      </c>
      <c r="DF22" s="41">
        <f>MIN(1,MAX(VLOOKUP(($AI22-$AH22-$AG22-$AF22-$AE22-$AA22*(1+DF$3))/$AI22,'[8]Технический лист'!$A:$B,2,1),(DE22-0.05)))</f>
        <v>0.55000000000000004</v>
      </c>
      <c r="DG22" s="41">
        <f>MIN(1,MAX(VLOOKUP(($AI22-$AH22-$AG22-$AF22-$AE22-$AA22*(1+DG$3))/$AI22,'[8]Технический лист'!$A:$B,2,1),(DF22-0.05)))</f>
        <v>0.52</v>
      </c>
      <c r="DH22" s="41">
        <f>MIN(1,MAX(VLOOKUP(($AI22-$AH22-$AG22-$AF22-$AE22-$AA22*(1+DH$3))/$AI22,'[8]Технический лист'!$A:$B,2,1),(DG22-0.05)))</f>
        <v>0.52</v>
      </c>
      <c r="DI22" s="41">
        <f>MIN(1,MAX(VLOOKUP(($AI22-$AH22-$AG22-$AF22-$AE22-$AA22*(1+DI$3))/$AI22,'[8]Технический лист'!$A:$B,2,1),(DH22-0.05)))</f>
        <v>0.52</v>
      </c>
      <c r="DJ22" s="41">
        <f>MIN(1,MAX(VLOOKUP(($AI22-$AH22-$AG22-$AF22-$AE22-$AA22*(1+DJ$3))/$AI22,'[8]Технический лист'!$A:$B,2,1),(DI22-0.05)))</f>
        <v>0.52</v>
      </c>
      <c r="DK22" s="41">
        <f>MIN(1,MAX(VLOOKUP(($AI22-$AH22-$AG22-$AF22-$AE22-$AA22*(1+DK$3))/$AI22,'[8]Технический лист'!$A:$B,2,1),(DJ22-0.05)))</f>
        <v>0.49</v>
      </c>
      <c r="DL22" s="41">
        <f>MIN(1,MAX(VLOOKUP(($AI22-$AH22-$AG22-$AF22-$AE22-$AA22*(1+DL$3))/$AI22,'[8]Технический лист'!$A:$B,2,1),(DK22-0.05)))</f>
        <v>0.49</v>
      </c>
      <c r="DM22" s="41">
        <f>MIN(1,MAX(VLOOKUP(($AI22-$AH22-$AG22-$AF22-$AE22-$AA22*(1+DM$3))/$AI22,'[8]Технический лист'!$A:$B,2,1),(DL22-0.05)))</f>
        <v>0.49</v>
      </c>
      <c r="DN22" s="41">
        <f>MIN(1,MAX(VLOOKUP(($AI22-$AH22-$AG22-$AF22-$AE22-$AA22*(1+DN$3))/$AI22,'[8]Технический лист'!$A:$B,2,1),(DM22-0.05)))</f>
        <v>0.49</v>
      </c>
      <c r="DO22" s="41">
        <f>MIN(1,MAX(VLOOKUP(($AI22-$AH22-$AG22-$AF22-$AE22-$AA22*(1+DO$3))/$AI22,'[8]Технический лист'!$A:$B,2,1),(DN22-0.05)))</f>
        <v>0.46</v>
      </c>
      <c r="DP22" s="41">
        <f>MIN(1,MAX(VLOOKUP(($AI22-$AH22-$AG22-$AF22-$AE22-$AA22*(1+DP$3))/$AI22,'[8]Технический лист'!$A:$B,2,1),(DO22-0.05)))</f>
        <v>0.46</v>
      </c>
      <c r="DQ22" s="41">
        <f>MIN(1,MAX(VLOOKUP(($AI22-$AH22-$AG22-$AF22-$AE22-$AA22*(1+DQ$3))/$AI22,'[8]Технический лист'!$A:$B,2,1),(DP22-0.05)))</f>
        <v>0.46</v>
      </c>
      <c r="DR22" s="41">
        <f>MIN(1,MAX(VLOOKUP(($AI22-$AH22-$AG22-$AF22-$AE22-$AA22*(1+DR$3))/$AI22,'[8]Технический лист'!$A:$B,2,1),(DQ22-0.05)))</f>
        <v>0.46</v>
      </c>
      <c r="DS22" s="41">
        <f>MIN(1,MAX(VLOOKUP(($AI22-$AH22-$AG22-$AF22-$AE22-$AA22*(1+DS$3))/$AI22,'[8]Технический лист'!$A:$B,2,1),(DR22-0.05)))</f>
        <v>0.42499999999999999</v>
      </c>
      <c r="DT22" s="41">
        <f>MIN(1,MAX(VLOOKUP(($AI22-$AH22-$AG22-$AF22-$AE22-$AA22*(1+DT$3))/$AI22,'[8]Технический лист'!$A:$B,2,1),(DS22-0.05)))</f>
        <v>0.42499999999999999</v>
      </c>
      <c r="DU22" s="41">
        <f>MIN(1,MAX(VLOOKUP(($AI22-$AH22-$AG22-$AF22-$AE22-$AA22*(1+DU$3))/$AI22,'[8]Технический лист'!$A:$B,2,1),(DT22-0.05)))</f>
        <v>0.42499999999999999</v>
      </c>
      <c r="DV22" s="41">
        <f>MIN(1,MAX(VLOOKUP(($AI22-$AH22-$AG22-$AF22-$AE22-$AA22*(1+DV$3))/$AI22,'[8]Технический лист'!$A:$B,2,1),(DU22-0.05)))</f>
        <v>0.42499999999999999</v>
      </c>
      <c r="DW22" s="41">
        <f>MIN(1,MAX(VLOOKUP(($AI22-$AH22-$AG22-$AF22-$AE22-$AA22*(1+DW$3))/$AI22,'[8]Технический лист'!$A:$B,2,1),(DV22-0.05)))</f>
        <v>0.39</v>
      </c>
      <c r="DX22" s="41">
        <f>MIN(1,MAX(VLOOKUP(($AI22-$AH22-$AG22-$AF22-$AE22-$AA22*(1+DX$3))/$AI22,'[8]Технический лист'!$A:$B,2,1),(DW22-0.05)))</f>
        <v>0.39</v>
      </c>
      <c r="DY22" s="41">
        <f>MIN(1,MAX(VLOOKUP(($AI22-$AH22-$AG22-$AF22-$AE22-$AA22*(1+DY$3))/$AI22,'[8]Технический лист'!$A:$B,2,1),(DX22-0.05)))</f>
        <v>0.39</v>
      </c>
      <c r="DZ22" s="41">
        <f>MIN(1,MAX(VLOOKUP(($AI22-$AH22-$AG22-$AF22-$AE22-$AA22*(1+DZ$3))/$AI22,'[8]Технический лист'!$A:$B,2,1),(DY22-0.05)))</f>
        <v>0.39</v>
      </c>
      <c r="EA22" s="41">
        <f>MIN(1,MAX(VLOOKUP(($AI22-$AH22-$AG22-$AF22-$AE22-$AA22*(1+EA$3))/$AI22,'[8]Технический лист'!$A:$B,2,1),(DZ22-0.05)))</f>
        <v>0.35499999999999998</v>
      </c>
      <c r="EB22" s="41">
        <f>MIN(1,MAX(VLOOKUP(($AI22-$AH22-$AG22-$AF22-$AE22-$AA22*(1+EB$3))/$AI22,'[8]Технический лист'!$A:$B,2,1),(EA22-0.05)))</f>
        <v>0.35499999999999998</v>
      </c>
      <c r="EC22" s="41">
        <f>MIN(1,MAX(VLOOKUP(($AI22-$AH22-$AG22-$AF22-$AE22-$AA22*(1+EC$3))/$AI22,'[8]Технический лист'!$A:$B,2,1),(EB22-0.05)))</f>
        <v>0.35499999999999998</v>
      </c>
      <c r="ED22" s="41">
        <f>MIN(1,MAX(VLOOKUP(($AI22-$AH22-$AG22-$AF22-$AE22-$AA22*(1+ED$3))/$AI22,'[8]Технический лист'!$A:$B,2,1),(EC22-0.05)))</f>
        <v>0.35499999999999998</v>
      </c>
      <c r="EE22" s="41">
        <f>MIN(1,MAX(VLOOKUP(($AI22-$AH22-$AG22-$AF22-$AE22-$AA22*(1+EE$3))/$AI22,'[8]Технический лист'!$A:$B,2,1),(ED22-0.05)))</f>
        <v>0.32</v>
      </c>
      <c r="EF22" s="41">
        <f>MIN(1,MAX(VLOOKUP(($AI22-$AH22-$AG22-$AF22-$AE22-$AA22*(1+EF$3))/$AI22,'[8]Технический лист'!$A:$B,2,1),(EE22-0.05)))</f>
        <v>0.32</v>
      </c>
      <c r="EG22" s="41">
        <f>MIN(1,MAX(VLOOKUP(($AI22-$AH22-$AG22-$AF22-$AE22-$AA22*(1+EG$3))/$AI22,'[8]Технический лист'!$A:$B,2,1),(EF22-0.05)))</f>
        <v>0.32</v>
      </c>
      <c r="EH22" s="41">
        <f>MIN(1,MAX(VLOOKUP(($AI22-$AH22-$AG22-$AF22-$AE22-$AA22*(1+EH$3))/$AI22,'[8]Технический лист'!$A:$B,2,1),(EG22-0.05)))</f>
        <v>0.32</v>
      </c>
      <c r="EI22" s="41">
        <f>MIN(1,MAX(VLOOKUP(($AI22-$AH22-$AG22-$AF22-$AE22-$AA22*(1+EI$3))/$AI22,'[8]Технический лист'!$A:$B,2,1),(EH22-0.05)))</f>
        <v>0.28000000000000003</v>
      </c>
      <c r="EJ22" s="41">
        <f>MIN(1,MAX(VLOOKUP(($AI22-$AH22-$AG22-$AF22-$AE22-$AA22*(1+EJ$3))/$AI22,'[8]Технический лист'!$A:$B,2,1),(EI22-0.05)))</f>
        <v>0.28000000000000003</v>
      </c>
      <c r="EK22" s="41">
        <f>MIN(1,MAX(VLOOKUP(($AI22-$AH22-$AG22-$AF22-$AE22-$AA22*(1+EK$3))/$AI22,'[8]Технический лист'!$A:$B,2,1),(EJ22-0.05)))</f>
        <v>0.28000000000000003</v>
      </c>
      <c r="EL22" s="41">
        <f>MIN(1,MAX(VLOOKUP(($AI22-$AH22-$AG22-$AF22-$AE22-$AA22*(1+EL$3))/$AI22,'[8]Технический лист'!$A:$B,2,1),(EK22-0.05)))</f>
        <v>0.28000000000000003</v>
      </c>
      <c r="EM22" s="41">
        <f>MIN(1,MAX(VLOOKUP(($AI22-$AH22-$AG22-$AF22-$AE22-$AA22*(1+EM$3))/$AI22,'[8]Технический лист'!$A:$B,2,1),(EL22-0.05)))</f>
        <v>0.24</v>
      </c>
      <c r="EN22" s="41">
        <f>MIN(1,MAX(VLOOKUP(($AI22-$AH22-$AG22-$AF22-$AE22-$AA22*(1+EN$3))/$AI22,'[8]Технический лист'!$A:$B,2,1),(EM22-0.05)))</f>
        <v>0.24</v>
      </c>
      <c r="EO22" s="41">
        <f>MIN(1,MAX(VLOOKUP(($AI22-$AH22-$AG22-$AF22-$AE22-$AA22*(1+EO$3))/$AI22,'[8]Технический лист'!$A:$B,2,1),(EN22-0.05)))</f>
        <v>0.24</v>
      </c>
      <c r="EP22" s="41">
        <f>MIN(1,MAX(VLOOKUP(($AI22-$AH22-$AG22-$AF22-$AE22-$AA22*(1+EP$3))/$AI22,'[8]Технический лист'!$A:$B,2,1),(EO22-0.05)))</f>
        <v>0.24</v>
      </c>
      <c r="EQ22" s="41">
        <f>MIN(1,MAX(VLOOKUP(($AI22-$AH22-$AG22-$AF22-$AE22-$AA22*(1+EQ$3))/$AI22,'[8]Технический лист'!$A:$B,2,1),(EP22-0.05)))</f>
        <v>0.2</v>
      </c>
      <c r="ER22" s="41">
        <f>MIN(1,MAX(VLOOKUP(($AI22-$AH22-$AG22-$AF22-$AE22-$AA22*(1+ER$3))/$AI22,'[8]Технический лист'!$A:$B,2,1),(EQ22-0.05)))</f>
        <v>0.2</v>
      </c>
      <c r="ES22" s="41">
        <f>MIN(1,MAX(VLOOKUP(($AI22-$AH22-$AG22-$AF22-$AE22-$AA22*(1+ES$3))/$AI22,'[8]Технический лист'!$A:$B,2,1),(ER22-0.05)))</f>
        <v>0.2</v>
      </c>
      <c r="ET22" s="41">
        <f>MIN(1,MAX(VLOOKUP(($AI22-$AH22-$AG22-$AF22-$AE22-$AA22*(1+ET$3))/$AI22,'[8]Технический лист'!$A:$B,2,1),(ES22-0.05)))</f>
        <v>0.2</v>
      </c>
      <c r="EU22" s="41">
        <f>MIN(1,MAX(VLOOKUP(($AI22-$AH22-$AG22-$AF22-$AE22-$AA22*(1+EU$3))/$AI22,'[8]Технический лист'!$A:$B,2,1),(ET22-0.05)))</f>
        <v>0.155</v>
      </c>
      <c r="EV22" s="41">
        <f>MIN(1,MAX(VLOOKUP(($AI22-$AH22-$AG22-$AF22-$AE22-$AA22*(1+EV$3))/$AI22,'[8]Технический лист'!$A:$B,2,1),(EU22-0.05)))</f>
        <v>0.155</v>
      </c>
      <c r="EW22" s="41">
        <f>MIN(1,MAX(VLOOKUP(($AI22-$AH22-$AG22-$AF22-$AE22-$AA22*(1+EW$3))/$AI22,'[8]Технический лист'!$A:$B,2,1),(EV22-0.05)))</f>
        <v>0.155</v>
      </c>
      <c r="EX22" s="41">
        <f>MIN(1,MAX(VLOOKUP(($AI22-$AH22-$AG22-$AF22-$AE22-$AA22*(1+EX$3))/$AI22,'[8]Технический лист'!$A:$B,2,1),(EW22-0.05)))</f>
        <v>0.155</v>
      </c>
      <c r="EY22" s="41">
        <f>MIN(1,MAX(VLOOKUP(($AI22-$AH22-$AG22-$AF22-$AE22-$AA22*(1+EY$3))/$AI22,'[8]Технический лист'!$A:$B,2,1),(EX22-0.05)))</f>
        <v>0.11</v>
      </c>
      <c r="EZ22" s="41">
        <f>MIN(1,MAX(VLOOKUP(($AI22-$AH22-$AG22-$AF22-$AE22-$AA22*(1+EZ$3))/$AI22,'[8]Технический лист'!$A:$B,2,1),(EY22-0.05)))</f>
        <v>0.11</v>
      </c>
      <c r="FA22" s="41">
        <f>MIN(1,MAX(VLOOKUP(($AI22-$AH22-$AG22-$AF22-$AE22-$AA22*(1+FA$3))/$AI22,'[8]Технический лист'!$A:$B,2,1),(EZ22-0.05)))</f>
        <v>0.11</v>
      </c>
      <c r="FB22" s="41">
        <f>MIN(1,MAX(VLOOKUP(($AI22-$AH22-$AG22-$AF22-$AE22-$AA22*(1+FB$3))/$AI22,'[8]Технический лист'!$A:$B,2,1),(FA22-0.05)))</f>
        <v>0.11</v>
      </c>
      <c r="FC22" s="41">
        <f>MIN(1,MAX(VLOOKUP(($AI22-$AH22-$AG22-$AF22-$AE22-$AA22*(1+FC$3))/$AI22,'[8]Технический лист'!$A:$B,2,1),(FB22-0.05)))</f>
        <v>0.06</v>
      </c>
      <c r="FD22" s="41">
        <f>MIN(1,MAX(VLOOKUP(($AI22-$AH22-$AG22-$AF22-$AE22-$AA22*(1+FD$3))/$AI22,'[8]Технический лист'!$A:$B,2,1),(FC22-0.05)))</f>
        <v>0.06</v>
      </c>
      <c r="FE22" s="41">
        <f>MIN(1,MAX(VLOOKUP(($AI22-$AH22-$AG22-$AF22-$AE22-$AA22*(1+FE$3))/$AI22,'[8]Технический лист'!$A:$B,2,1),(FD22-0.05)))</f>
        <v>0.06</v>
      </c>
      <c r="FF22" s="41">
        <f>MIN(1,MAX(VLOOKUP(($AI22-$AH22-$AG22-$AF22-$AE22-$AA22*(1+FF$3))/$AI22,'[8]Технический лист'!$A:$B,2,1),(FE22-0.05)))</f>
        <v>0.06</v>
      </c>
      <c r="FG22" s="41">
        <f>MIN(1,MAX(VLOOKUP(($AI22-$AH22-$AG22-$AF22-$AE22-$AA22*(1+FG$3))/$AI22,'[8]Технический лист'!$A:$B,2,1),(FF22-0.05)))</f>
        <v>9.999999999999995E-3</v>
      </c>
      <c r="FH22" s="41">
        <f>MIN(1,MAX(VLOOKUP(($AI22-$AH22-$AG22-$AF22-$AE22-$AA22*(1+FH$3))/$AI22,'[8]Технический лист'!$A:$B,2,1),(FG22-0.05)))</f>
        <v>0</v>
      </c>
      <c r="FI22" s="41">
        <f>MIN(1,MAX(VLOOKUP(($AI22-$AH22-$AG22-$AF22-$AE22-$AA22*(1+FI$3))/$AI22,'[8]Технический лист'!$A:$B,2,1),(FH22-0.05)))</f>
        <v>0</v>
      </c>
      <c r="FJ22" s="41">
        <f>MIN(1,MAX(VLOOKUP(($AI22-$AH22-$AG22-$AF22-$AE22-$AA22*(1+FJ$3))/$AI22,'[8]Технический лист'!$A:$B,2,1),(FI22-0.05)))</f>
        <v>0</v>
      </c>
      <c r="FK22" s="41">
        <f>MIN(1,MAX(VLOOKUP(($AI22-$AH22-$AG22-$AF22-$AE22-$AA22*(1+FK$3))/$AI22,'[8]Технический лист'!$A:$B,2,1),(FJ22-0.05)))</f>
        <v>0</v>
      </c>
      <c r="FL22" s="41">
        <f>MIN(1,MAX(VLOOKUP(($AI22-$AH22-$AG22-$AF22-$AE22-$AA22*(1+FL$3))/$AI22,'[8]Технический лист'!$A:$B,2,1),(FK22-0.05)))</f>
        <v>0</v>
      </c>
      <c r="FM22" s="41">
        <f>MIN(1,MAX(VLOOKUP(($AI22-$AH22-$AG22-$AF22-$AE22-$AA22*(1+FM$3))/$AI22,'[8]Технический лист'!$A:$B,2,1),(FL22-0.05)))</f>
        <v>0</v>
      </c>
      <c r="FN22" s="41">
        <f>MIN(1,MAX(VLOOKUP(($AI22-$AH22-$AG22-$AF22-$AE22-$AA22*(1+FN$3))/$AI22,'[8]Технический лист'!$A:$B,2,1),(FM22-0.05)))</f>
        <v>0</v>
      </c>
      <c r="FO22" s="41">
        <f>MIN(1,MAX(VLOOKUP(($AI22-$AH22-$AG22-$AF22-$AE22-$AA22*(1+FO$3))/$AI22,'[8]Технический лист'!$A:$B,2,1),(FN22-0.05)))</f>
        <v>0</v>
      </c>
      <c r="FP22" s="41">
        <f>MIN(1,MAX(VLOOKUP(($AI22-$AH22-$AG22-$AF22-$AE22-$AA22*(1+FP$3))/$AI22,'[8]Технический лист'!$A:$B,2,1),(FO22-0.05)))</f>
        <v>0</v>
      </c>
      <c r="FQ22" s="41">
        <f>MIN(1,MAX(VLOOKUP(($AI22-$AH22-$AG22-$AF22-$AE22-$AA22*(1+FQ$3))/$AI22,'[8]Технический лист'!$A:$B,2,1),(FP22-0.05)))</f>
        <v>0</v>
      </c>
      <c r="FR22" s="41">
        <f>MIN(1,MAX(VLOOKUP(($AI22-$AH22-$AG22-$AF22-$AE22-$AA22*(1+FR$3))/$AI22,'[8]Технический лист'!$A:$B,2,1),(FQ22-0.05)))</f>
        <v>0</v>
      </c>
      <c r="FS22" s="41">
        <f>MIN(1,MAX(VLOOKUP(($AI22-$AH22-$AG22-$AF22-$AE22-$AA22*(1+FS$3))/$AI22,'[8]Технический лист'!$A:$B,2,1),(FR22-0.05)))</f>
        <v>0</v>
      </c>
      <c r="FT22" s="41">
        <f>MIN(1,MAX(VLOOKUP(($AI22-$AH22-$AG22-$AF22-$AE22-$AA22*(1+FT$3))/$AI22,'[8]Технический лист'!$A:$B,2,1),(FS22-0.05)))</f>
        <v>0</v>
      </c>
      <c r="FU22" s="41">
        <f>MIN(1,MAX(VLOOKUP(($AI22-$AH22-$AG22-$AF22-$AE22-$AA22*(1+FU$3))/$AI22,'[8]Технический лист'!$A:$B,2,1),(FT22-0.05)))</f>
        <v>0</v>
      </c>
      <c r="FV22" s="41">
        <f>MIN(1,MAX(VLOOKUP(($AI22-$AH22-$AG22-$AF22-$AE22-$AA22*(1+FV$3))/$AI22,'[8]Технический лист'!$A:$B,2,1),(FU22-0.05)))</f>
        <v>0</v>
      </c>
      <c r="FW22" s="41">
        <f>MIN(1,MAX(VLOOKUP(($AI22-$AH22-$AG22-$AF22-$AE22-$AA22*(1+FW$3))/$AI22,'[8]Технический лист'!$A:$B,2,1),(FV22-0.05)))</f>
        <v>0</v>
      </c>
      <c r="FX22" s="41">
        <f>MIN(1,MAX(VLOOKUP(($AI22-$AH22-$AG22-$AF22-$AE22-$AA22*(1+FX$3))/$AI22,'[8]Технический лист'!$A:$B,2,1),(FW22-0.05)))</f>
        <v>0</v>
      </c>
      <c r="FY22" s="41">
        <f>MIN(1,MAX(VLOOKUP(($AI22-$AH22-$AG22-$AF22-$AE22-$AA22*(1+FY$3))/$AI22,'[8]Технический лист'!$A:$B,2,1),(FX22-0.05)))</f>
        <v>0</v>
      </c>
      <c r="FZ22" s="41">
        <f>MIN(1,MAX(VLOOKUP(($AI22-$AH22-$AG22-$AF22-$AE22-$AA22*(1+FZ$3))/$AI22,'[8]Технический лист'!$A:$B,2,1),(FY22-0.05)))</f>
        <v>0</v>
      </c>
      <c r="GA22" s="41">
        <f>MIN(1,MAX(VLOOKUP(($AI22-$AH22-$AG22-$AF22-$AE22-$AA22*(1+GA$3))/$AI22,'[8]Технический лист'!$A:$B,2,1),(FZ22-0.05)))</f>
        <v>0</v>
      </c>
      <c r="GB22" s="41">
        <f>MIN(1,MAX(VLOOKUP(($AI22-$AH22-$AG22-$AF22-$AE22-$AA22*(1+GB$3))/$AI22,'[8]Технический лист'!$A:$B,2,1),(GA22-0.05)))</f>
        <v>0</v>
      </c>
      <c r="GC22" s="41">
        <f>MIN(1,MAX(VLOOKUP(($AI22-$AH22-$AG22-$AF22-$AE22-$AA22*(1+GC$3))/$AI22,'[8]Технический лист'!$A:$B,2,1),(GB22-0.05)))</f>
        <v>0</v>
      </c>
      <c r="GD22" s="41">
        <f>MIN(1,MAX(VLOOKUP(($AI22-$AH22-$AG22-$AF22-$AE22-$AA22*(1+GD$3))/$AI22,'[8]Технический лист'!$A:$B,2,1),(GC22-0.05)))</f>
        <v>0</v>
      </c>
      <c r="GE22" s="41">
        <f>MIN(1,MAX(VLOOKUP(($AI22-$AH22-$AG22-$AF22-$AE22-$AA22*(1+GE$3))/$AI22,'[8]Технический лист'!$A:$B,2,1),(GD22-0.05)))</f>
        <v>0</v>
      </c>
      <c r="GF22" s="41">
        <f>MIN(1,MAX(VLOOKUP(($AI22-$AH22-$AG22-$AF22-$AE22-$AA22*(1+GF$3))/$AI22,'[8]Технический лист'!$A:$B,2,1),(GE22-0.05)))</f>
        <v>0</v>
      </c>
      <c r="GG22" s="41">
        <f>MIN(1,MAX(VLOOKUP(($AI22-$AH22-$AG22-$AF22-$AE22-$AA22*(1+GG$3))/$AI22,'[8]Технический лист'!$A:$B,2,1),(GF22-0.05)))</f>
        <v>0</v>
      </c>
      <c r="GH22" s="41">
        <f>MIN(1,MAX(VLOOKUP(($AI22-$AH22-$AG22-$AF22-$AE22-$AA22*(1+GH$3))/$AI22,'[8]Технический лист'!$A:$B,2,1),(GG22-0.05)))</f>
        <v>0</v>
      </c>
      <c r="GI22" s="41">
        <f>MIN(1,MAX(VLOOKUP(($AI22-$AH22-$AG22-$AF22-$AE22-$AA22*(1+GI$3))/$AI22,'[8]Технический лист'!$A:$B,2,1),(GH22-0.05)))</f>
        <v>0</v>
      </c>
      <c r="GJ22" s="41">
        <f>MIN(1,MAX(VLOOKUP(($AI22-$AH22-$AG22-$AF22-$AE22-$AA22*(1+GJ$3))/$AI22,'[8]Технический лист'!$A:$B,2,1),(GI22-0.05)))</f>
        <v>0</v>
      </c>
      <c r="GK22" s="41">
        <f>MIN(1,MAX(VLOOKUP(($AI22-$AH22-$AG22-$AF22-$AE22-$AA22*(1+GK$3))/$AI22,'[8]Технический лист'!$A:$B,2,1),(GJ22-0.05)))</f>
        <v>0</v>
      </c>
      <c r="GL22" s="41">
        <f>MIN(1,MAX(VLOOKUP(($AI22-$AH22-$AG22-$AF22-$AE22-$AA22*(1+GL$3))/$AI22,'[8]Технический лист'!$A:$B,2,1),(GK22-0.05)))</f>
        <v>0</v>
      </c>
      <c r="GM22" s="41">
        <f>MIN(1,MAX(VLOOKUP(($AI22-$AH22-$AG22-$AF22-$AE22-$AA22*(1+GM$3))/$AI22,'[8]Технический лист'!$A:$B,2,1),(GL22-0.05)))</f>
        <v>0</v>
      </c>
      <c r="GN22" s="41">
        <f>MIN(1,MAX(VLOOKUP(($AI22-$AH22-$AG22-$AF22-$AE22-$AA22*(1+GN$3))/$AI22,'[8]Технический лист'!$A:$B,2,1),(GM22-0.05)))</f>
        <v>0</v>
      </c>
    </row>
    <row r="23" spans="1:196">
      <c r="A23" s="3">
        <v>6</v>
      </c>
      <c r="B23" s="15" t="s">
        <v>61</v>
      </c>
      <c r="C23" s="4" t="s">
        <v>141</v>
      </c>
      <c r="D23" s="4" t="s">
        <v>142</v>
      </c>
      <c r="E23" s="4" t="s">
        <v>143</v>
      </c>
      <c r="F23" s="4" t="s">
        <v>22</v>
      </c>
      <c r="G23" s="4" t="s">
        <v>22</v>
      </c>
      <c r="H23" s="4" t="s">
        <v>155</v>
      </c>
      <c r="I23" s="4" t="s">
        <v>156</v>
      </c>
      <c r="J23" s="4" t="s">
        <v>157</v>
      </c>
      <c r="K23" s="4" t="s">
        <v>147</v>
      </c>
      <c r="L23" s="4" t="s">
        <v>21</v>
      </c>
      <c r="M23" s="4" t="s">
        <v>167</v>
      </c>
      <c r="N23" s="4" t="s">
        <v>54</v>
      </c>
      <c r="O23" s="4" t="s">
        <v>62</v>
      </c>
      <c r="P23" s="4" t="s">
        <v>158</v>
      </c>
      <c r="Q23" s="4" t="s">
        <v>158</v>
      </c>
      <c r="R23" s="16">
        <v>103487</v>
      </c>
      <c r="S23" s="17">
        <v>54123701</v>
      </c>
      <c r="T23" s="18">
        <v>1760</v>
      </c>
      <c r="U23" s="18">
        <v>0</v>
      </c>
      <c r="V23" s="17">
        <v>61866290</v>
      </c>
      <c r="W23" s="26" t="s">
        <v>180</v>
      </c>
      <c r="X23" s="26">
        <v>58</v>
      </c>
      <c r="Y23" s="24">
        <v>1007.19</v>
      </c>
      <c r="Z23" s="27">
        <f>AA23-Y23</f>
        <v>458.8599999999999</v>
      </c>
      <c r="AA23" s="20">
        <v>1466.05</v>
      </c>
      <c r="AB23" s="20">
        <v>6</v>
      </c>
      <c r="AC23" s="20">
        <v>6</v>
      </c>
      <c r="AD23" s="20">
        <v>4</v>
      </c>
      <c r="AE23" s="20"/>
      <c r="AF23" s="20">
        <v>0</v>
      </c>
      <c r="AG23" s="20"/>
      <c r="AH23" s="20">
        <f t="shared" ref="AH23:AH24" si="4">0.76*AI23</f>
        <v>2584</v>
      </c>
      <c r="AI23" s="20">
        <f>Цены!$C$9</f>
        <v>3400</v>
      </c>
      <c r="AJ23" s="20"/>
      <c r="AK23" s="21"/>
      <c r="AL23" s="20"/>
      <c r="AM23" s="20"/>
      <c r="AN23" s="29">
        <f t="shared" si="0"/>
        <v>-0.19119117647058823</v>
      </c>
      <c r="AO23" s="20"/>
      <c r="AP23" s="20"/>
      <c r="AQ23" s="2"/>
      <c r="AR23" s="19"/>
      <c r="AS23" s="42">
        <v>0.8</v>
      </c>
      <c r="AT23" s="41">
        <f>MIN(IF($AS23=100%,1,1+VLOOKUP(($AI23-$AH23-$AG23-$AF23-$AE23-$AA23*(1+AT$3))/$AI23,'Технический лист'!$A:$B,2,1)-VLOOKUP($AN23,'Технический лист'!$A:$B,2,1)),1+(1-$AS23))</f>
        <v>1.2</v>
      </c>
      <c r="AU23" s="41">
        <f>MIN(IF($AS23=100%,1,1+VLOOKUP(($AI23-$AH23-$AG23-$AF23-$AE23-$AA23*(1+AU$3))/$AI23,'Технический лист'!$A:$B,2,1)-VLOOKUP($AN23,'Технический лист'!$A:$B,2,1)),1+(1-$AS23))</f>
        <v>1.2</v>
      </c>
      <c r="AV23" s="41">
        <f>MIN(IF($AS23=100%,1,1+VLOOKUP(($AI23-$AH23-$AG23-$AF23-$AE23-$AA23*(1+AV$3))/$AI23,'Технический лист'!$A:$B,2,1)-VLOOKUP($AN23,'Технический лист'!$A:$B,2,1)),1+(1-$AS23))</f>
        <v>1.2</v>
      </c>
      <c r="AW23" s="41">
        <f>MIN(IF($AS23=100%,1,1+VLOOKUP(($AI23-$AH23-$AG23-$AF23-$AE23-$AA23*(1+AW$3))/$AI23,'Технический лист'!$A:$B,2,1)-VLOOKUP($AN23,'Технический лист'!$A:$B,2,1)),1+(1-$AS23))</f>
        <v>1.2</v>
      </c>
      <c r="AX23" s="41">
        <f>MIN(IF($AS23=100%,1,1+VLOOKUP(($AI23-$AH23-$AG23-$AF23-$AE23-$AA23*(1+AX$3))/$AI23,'Технический лист'!$A:$B,2,1)-VLOOKUP($AN23,'Технический лист'!$A:$B,2,1)),1+(1-$AS23))</f>
        <v>1.2</v>
      </c>
      <c r="AY23" s="41">
        <f>MIN(IF($AS23=100%,1,1+VLOOKUP(($AI23-$AH23-$AG23-$AF23-$AE23-$AA23*(1+AY$3))/$AI23,'Технический лист'!$A:$B,2,1)-VLOOKUP($AN23,'Технический лист'!$A:$B,2,1)),1+(1-$AS23))</f>
        <v>1.2</v>
      </c>
      <c r="AZ23" s="41">
        <f>MIN(IF($AS23=100%,1,1+VLOOKUP(($AI23-$AH23-$AG23-$AF23-$AE23-$AA23*(1+AZ$3))/$AI23,'Технический лист'!$A:$B,2,1)-VLOOKUP($AN23,'Технический лист'!$A:$B,2,1)),1+(1-$AS23))</f>
        <v>1.2</v>
      </c>
      <c r="BA23" s="41">
        <f>MIN(IF($AS23=100%,1,1+VLOOKUP(($AI23-$AH23-$AG23-$AF23-$AE23-$AA23*(1+BA$3))/$AI23,'Технический лист'!$A:$B,2,1)-VLOOKUP($AN23,'Технический лист'!$A:$B,2,1)),1+(1-$AS23))</f>
        <v>1.2</v>
      </c>
      <c r="BB23" s="41">
        <f>MIN(IF($AS23=100%,1,1+VLOOKUP(($AI23-$AH23-$AG23-$AF23-$AE23-$AA23*(1+BB$3))/$AI23,'Технический лист'!$A:$B,2,1)-VLOOKUP($AN23,'Технический лист'!$A:$B,2,1)),1+(1-$AS23))</f>
        <v>1.2</v>
      </c>
      <c r="BC23" s="41">
        <f>MIN(IF($AS23=100%,1,1+VLOOKUP(($AI23-$AH23-$AG23-$AF23-$AE23-$AA23*(1+BC$3))/$AI23,'Технический лист'!$A:$B,2,1)-VLOOKUP($AN23,'Технический лист'!$A:$B,2,1)),1+(1-$AS23))</f>
        <v>1.2</v>
      </c>
      <c r="BD23" s="41">
        <f>MIN(IF($AS23=100%,1,1+VLOOKUP(($AI23-$AH23-$AG23-$AF23-$AE23-$AA23*(1+BD$3))/$AI23,'Технический лист'!$A:$B,2,1)-VLOOKUP($AN23,'Технический лист'!$A:$B,2,1)),1+(1-$AS23))</f>
        <v>1.2</v>
      </c>
      <c r="BE23" s="41">
        <f>MIN(IF($AS23=100%,1,1+VLOOKUP(($AI23-$AH23-$AG23-$AF23-$AE23-$AA23*(1+BE$3))/$AI23,'Технический лист'!$A:$B,2,1)-VLOOKUP($AN23,'Технический лист'!$A:$B,2,1)),1+(1-$AS23))</f>
        <v>1.2</v>
      </c>
      <c r="BF23" s="41">
        <f>MIN(IF($AS23=100%,1,1+VLOOKUP(($AI23-$AH23-$AG23-$AF23-$AE23-$AA23*(1+BF$3))/$AI23,'Технический лист'!$A:$B,2,1)-VLOOKUP($AN23,'Технический лист'!$A:$B,2,1)),1+(1-$AS23))</f>
        <v>1.2</v>
      </c>
      <c r="BG23" s="41">
        <f>MIN(IF($AS23=100%,1,1+VLOOKUP(($AI23-$AH23-$AG23-$AF23-$AE23-$AA23*(1+BG$3))/$AI23,'Технический лист'!$A:$B,2,1)-VLOOKUP($AN23,'Технический лист'!$A:$B,2,1)),1+(1-$AS23))</f>
        <v>1.2</v>
      </c>
      <c r="BH23" s="41">
        <f>MIN(IF($AS23=100%,1,1+VLOOKUP(($AI23-$AH23-$AG23-$AF23-$AE23-$AA23*(1+BH$3))/$AI23,'Технический лист'!$A:$B,2,1)-VLOOKUP($AN23,'Технический лист'!$A:$B,2,1)),1+(1-$AS23))</f>
        <v>1.2</v>
      </c>
      <c r="BI23" s="41">
        <f>MIN(IF($AS23=100%,1,1+VLOOKUP(($AI23-$AH23-$AG23-$AF23-$AE23-$AA23*(1+BI$3))/$AI23,'Технический лист'!$A:$B,2,1)-VLOOKUP($AN23,'Технический лист'!$A:$B,2,1)),1+(1-$AS23))</f>
        <v>1.2</v>
      </c>
      <c r="BJ23" s="41">
        <f>MIN(IF($AS23=100%,1,1+VLOOKUP(($AI23-$AH23-$AG23-$AF23-$AE23-$AA23*(1+BJ$3))/$AI23,'Технический лист'!$A:$B,2,1)-VLOOKUP($AN23,'Технический лист'!$A:$B,2,1)),1+(1-$AS23))</f>
        <v>1.2</v>
      </c>
      <c r="BK23" s="41">
        <f>MIN(IF($AS23=100%,1,1+VLOOKUP(($AI23-$AH23-$AG23-$AF23-$AE23-$AA23*(1+BK$3))/$AI23,'Технический лист'!$A:$B,2,1)-VLOOKUP($AN23,'Технический лист'!$A:$B,2,1)),1+(1-$AS23))</f>
        <v>1.2</v>
      </c>
      <c r="BL23" s="41">
        <f>MIN(IF($AS23=100%,1,1+VLOOKUP(($AI23-$AH23-$AG23-$AF23-$AE23-$AA23*(1+BL$3))/$AI23,'Технический лист'!$A:$B,2,1)-VLOOKUP($AN23,'Технический лист'!$A:$B,2,1)),1+(1-$AS23))</f>
        <v>1.2</v>
      </c>
      <c r="BM23" s="41">
        <f>MIN(IF($AS23=100%,1,1+VLOOKUP(($AI23-$AH23-$AG23-$AF23-$AE23-$AA23*(1+BM$3))/$AI23,'Технический лист'!$A:$B,2,1)-VLOOKUP($AN23,'Технический лист'!$A:$B,2,1)),1+(1-$AS23))</f>
        <v>1.2</v>
      </c>
      <c r="BN23" s="41">
        <f>MIN(IF($AS23=100%,1,1+VLOOKUP(($AI23-$AH23-$AG23-$AF23-$AE23-$AA23*(1+BN$3))/$AI23,'Технический лист'!$A:$B,2,1)-VLOOKUP($AN23,'Технический лист'!$A:$B,2,1)),1+(1-$AS23))</f>
        <v>1.2</v>
      </c>
      <c r="BO23" s="41">
        <f>MIN(IF($AS23=100%,1,1+VLOOKUP(($AI23-$AH23-$AG23-$AF23-$AE23-$AA23*(1+BO$3))/$AI23,'Технический лист'!$A:$B,2,1)-VLOOKUP($AN23,'Технический лист'!$A:$B,2,1)),1+(1-$AS23))</f>
        <v>1.2</v>
      </c>
      <c r="BP23" s="41">
        <f>MIN(IF($AS23=100%,1,1+VLOOKUP(($AI23-$AH23-$AG23-$AF23-$AE23-$AA23*(1+BP$3))/$AI23,'Технический лист'!$A:$B,2,1)-VLOOKUP($AN23,'Технический лист'!$A:$B,2,1)),1+(1-$AS23))</f>
        <v>1.2</v>
      </c>
      <c r="BQ23" s="41">
        <f>MIN(IF($AS23=100%,1,1+VLOOKUP(($AI23-$AH23-$AG23-$AF23-$AE23-$AA23*(1+BQ$3))/$AI23,'Технический лист'!$A:$B,2,1)-VLOOKUP($AN23,'Технический лист'!$A:$B,2,1)),1+(1-$AS23))</f>
        <v>1.2</v>
      </c>
      <c r="BR23" s="41">
        <f>MIN(IF($AS23=100%,1,1+VLOOKUP(($AI23-$AH23-$AG23-$AF23-$AE23-$AA23*(1+BR$3))/$AI23,'Технический лист'!$A:$B,2,1)-VLOOKUP($AN23,'Технический лист'!$A:$B,2,1)),1+(1-$AS23))</f>
        <v>1.2</v>
      </c>
      <c r="BS23" s="41">
        <f>MIN(IF($AS23=100%,1,1+VLOOKUP(($AI23-$AH23-$AG23-$AF23-$AE23-$AA23*(1+BS$3))/$AI23,'Технический лист'!$A:$B,2,1)-VLOOKUP($AN23,'Технический лист'!$A:$B,2,1)),1+(1-$AS23))</f>
        <v>1.2</v>
      </c>
      <c r="BT23" s="41">
        <f>MIN(IF($AS23=100%,1,1+VLOOKUP(($AI23-$AH23-$AG23-$AF23-$AE23-$AA23*(1+BT$3))/$AI23,'Технический лист'!$A:$B,2,1)-VLOOKUP($AN23,'Технический лист'!$A:$B,2,1)),1+(1-$AS23))</f>
        <v>1.2</v>
      </c>
      <c r="BU23" s="41">
        <f>MIN(IF($AS23=100%,1,1+VLOOKUP(($AI23-$AH23-$AG23-$AF23-$AE23-$AA23*(1+BU$3))/$AI23,'Технический лист'!$A:$B,2,1)-VLOOKUP($AN23,'Технический лист'!$A:$B,2,1)),1+(1-$AS23))</f>
        <v>1.2</v>
      </c>
      <c r="BV23" s="41">
        <f>MIN(IF($AS23=100%,1,1+VLOOKUP(($AI23-$AH23-$AG23-$AF23-$AE23-$AA23*(1+BV$3))/$AI23,'Технический лист'!$A:$B,2,1)-VLOOKUP($AN23,'Технический лист'!$A:$B,2,1)),1+(1-$AS23))</f>
        <v>1.2</v>
      </c>
      <c r="BW23" s="41">
        <f>MIN(IF($AS23=100%,1,1+VLOOKUP(($AI23-$AH23-$AG23-$AF23-$AE23-$AA23*(1+BW$3))/$AI23,'Технический лист'!$A:$B,2,1)-VLOOKUP($AN23,'Технический лист'!$A:$B,2,1)),1+(1-$AS23))</f>
        <v>1.2</v>
      </c>
      <c r="BX23" s="41">
        <f>MIN(IF($AS23=100%,1,1+VLOOKUP(($AI23-$AH23-$AG23-$AF23-$AE23-$AA23*(1+BX$3))/$AI23,'Технический лист'!$A:$B,2,1)-VLOOKUP($AN23,'Технический лист'!$A:$B,2,1)),1+(1-$AS23))</f>
        <v>1.2</v>
      </c>
      <c r="BY23" s="41">
        <f>MIN(IF($AS23=100%,1,1+VLOOKUP(($AI23-$AH23-$AG23-$AF23-$AE23-$AA23*(1+BY$3))/$AI23,'Технический лист'!$A:$B,2,1)-VLOOKUP($AN23,'Технический лист'!$A:$B,2,1)),1+(1-$AS23))</f>
        <v>1.1499999999999999</v>
      </c>
      <c r="BZ23" s="41">
        <f>MIN(IF($AS23=100%,1,1+VLOOKUP(($AI23-$AH23-$AG23-$AF23-$AE23-$AA23*(1+BZ$3))/$AI23,'Технический лист'!$A:$B,2,1)-VLOOKUP($AN23,'Технический лист'!$A:$B,2,1)),1+(1-$AS23))</f>
        <v>1.1499999999999999</v>
      </c>
      <c r="CA23" s="41">
        <f>MIN(IF($AS23=100%,1,1+VLOOKUP(($AI23-$AH23-$AG23-$AF23-$AE23-$AA23*(1+CA$3))/$AI23,'Технический лист'!$A:$B,2,1)-VLOOKUP($AN23,'Технический лист'!$A:$B,2,1)),1+(1-$AS23))</f>
        <v>1.1499999999999999</v>
      </c>
      <c r="CB23" s="41">
        <f>MIN(IF($AS23=100%,1,1+VLOOKUP(($AI23-$AH23-$AG23-$AF23-$AE23-$AA23*(1+CB$3))/$AI23,'Технический лист'!$A:$B,2,1)-VLOOKUP($AN23,'Технический лист'!$A:$B,2,1)),1+(1-$AS23))</f>
        <v>1.1000000000000001</v>
      </c>
      <c r="CC23" s="41">
        <f>MIN(IF($AS23=100%,1,1+VLOOKUP(($AI23-$AH23-$AG23-$AF23-$AE23-$AA23*(1+CC$3))/$AI23,'Технический лист'!$A:$B,2,1)-VLOOKUP($AN23,'Технический лист'!$A:$B,2,1)),1+(1-$AS23))</f>
        <v>1.1000000000000001</v>
      </c>
      <c r="CD23" s="41">
        <f>MIN(IF($AS23=100%,1,1+VLOOKUP(($AI23-$AH23-$AG23-$AF23-$AE23-$AA23*(1+CD$3))/$AI23,'Технический лист'!$A:$B,2,1)-VLOOKUP($AN23,'Технический лист'!$A:$B,2,1)),1+(1-$AS23))</f>
        <v>1.05</v>
      </c>
      <c r="CE23" s="41">
        <f>MIN(IF($AS23=100%,1,1+VLOOKUP(($AI23-$AH23-$AG23-$AF23-$AE23-$AA23*(1+CE$3))/$AI23,'Технический лист'!$A:$B,2,1)-VLOOKUP($AN23,'Технический лист'!$A:$B,2,1)),1+(1-$AS23))</f>
        <v>1.05</v>
      </c>
      <c r="CF23" s="41">
        <f>MIN(IF($AS23=100%,1,1+VLOOKUP(($AI23-$AH23-$AG23-$AF23-$AE23-$AA23*(1+CF$3))/$AI23,'Технический лист'!$A:$B,2,1)-VLOOKUP($AN23,'Технический лист'!$A:$B,2,1)),1+(1-$AS23))</f>
        <v>1</v>
      </c>
      <c r="CG23" s="41">
        <f>MIN(IF($AS23=100%,1,1+VLOOKUP(($AI23-$AH23-$AG23-$AF23-$AE23-$AA23*(1+CG$3))/$AI23,'Технический лист'!$A:$B,2,1)-VLOOKUP($AN23,'Технический лист'!$A:$B,2,1)),1+(1-$AS23))</f>
        <v>1</v>
      </c>
      <c r="CH23" s="41">
        <f>MIN(IF($AS23=100%,1,1+VLOOKUP(($AI23-$AH23-$AG23-$AF23-$AE23-$AA23*(1+CH$3))/$AI23,'Технический лист'!$A:$B,2,1)-VLOOKUP($AN23,'Технический лист'!$A:$B,2,1)),1+(1-$AS23))</f>
        <v>1</v>
      </c>
      <c r="CI23" s="41">
        <f>MIN(IF($AS23=100%,1,1+VLOOKUP(($AI23-$AH23-$AG23-$AF23-$AE23-$AA23*(1+CI$3))/$AI23,'Технический лист'!$A:$B,2,1)-VLOOKUP($AN23,'Технический лист'!$A:$B,2,1)),1+(1-$AS23))</f>
        <v>1</v>
      </c>
      <c r="CJ23" s="41">
        <f>MIN(IF($AS23=100%,1,1+VLOOKUP(($AI23-$AH23-$AG23-$AF23-$AE23-$AA23*(1+CJ$3))/$AI23,'Технический лист'!$A:$B,2,1)-VLOOKUP($AN23,'Технический лист'!$A:$B,2,1)),1+(1-$AS23))</f>
        <v>1</v>
      </c>
      <c r="CK23" s="41">
        <f>MIN(IF($AS23=100%,1,1+VLOOKUP(($AI23-$AH23-$AG23-$AF23-$AE23-$AA23*(1+CK$3))/$AI23,'Технический лист'!$A:$B,2,1)-VLOOKUP($AN23,'Технический лист'!$A:$B,2,1)),1+(1-$AS23))</f>
        <v>1</v>
      </c>
      <c r="CL23" s="41">
        <f>MIN(IF($AS23=100%,1,1+VLOOKUP(($AI23-$AH23-$AG23-$AF23-$AE23-$AA23*(1+CL$3))/$AI23,'Технический лист'!$A:$B,2,1)-VLOOKUP($AN23,'Технический лист'!$A:$B,2,1)),1+(1-$AS23))</f>
        <v>1</v>
      </c>
      <c r="CM23" s="41">
        <f>MIN(IF($AS23=100%,1,1+VLOOKUP(($AI23-$AH23-$AG23-$AF23-$AE23-$AA23*(1+CM$3))/$AI23,'Технический лист'!$A:$B,2,1)-VLOOKUP($AN23,'Технический лист'!$A:$B,2,1)),1+(1-$AS23))</f>
        <v>1</v>
      </c>
      <c r="CN23" s="41">
        <f>MIN(IF($AS23=100%,1,1+VLOOKUP(($AI23-$AH23-$AG23-$AF23-$AE23-$AA23*(1+CN$3))/$AI23,'Технический лист'!$A:$B,2,1)-VLOOKUP($AN23,'Технический лист'!$A:$B,2,1)),1+(1-$AS23))</f>
        <v>1</v>
      </c>
      <c r="CO23" s="41">
        <f>MIN(IF($AS23=100%,1,1+VLOOKUP(($AI23-$AH23-$AG23-$AF23-$AE23-$AA23*(1+CO$3))/$AI23,'Технический лист'!$A:$B,2,1)-VLOOKUP($AN23,'Технический лист'!$A:$B,2,1)),1+(1-$AS23))</f>
        <v>1</v>
      </c>
      <c r="CP23" s="41">
        <f>MIN(IF($AS23=100%,1,1+VLOOKUP(($AI23-$AH23-$AG23-$AF23-$AE23-$AA23*(1+CP$3))/$AI23,'Технический лист'!$A:$B,2,1)-VLOOKUP($AN23,'Технический лист'!$A:$B,2,1)),1+(1-$AS23))</f>
        <v>1</v>
      </c>
      <c r="CQ23" s="41">
        <f>MIN(IF($AS23=100%,1,1+VLOOKUP(($AI23-$AH23-$AG23-$AF23-$AE23-$AA23*(1+CQ$3))/$AI23,'Технический лист'!$A:$B,2,1)-VLOOKUP($AN23,'Технический лист'!$A:$B,2,1)),1+(1-$AS23))</f>
        <v>1</v>
      </c>
      <c r="CR23">
        <v>1</v>
      </c>
      <c r="CS23" s="41">
        <f>MIN(1,MAX(VLOOKUP(($AI23-$AH23-$AG23-$AF23-$AE23-$AA23*(1+CS$3))/$AI23,'[8]Технический лист'!$A:$B,2,1),(CR23-0.05)))</f>
        <v>0.95</v>
      </c>
      <c r="CT23" s="41">
        <f>MIN(1,MAX(VLOOKUP(($AI23-$AH23-$AG23-$AF23-$AE23-$AA23*(1+CT$3))/$AI23,'[8]Технический лист'!$A:$B,2,1),(CS23-0.05)))</f>
        <v>0.89999999999999991</v>
      </c>
      <c r="CU23" s="41">
        <f>MIN(1,MAX(VLOOKUP(($AI23-$AH23-$AG23-$AF23-$AE23-$AA23*(1+CU$3))/$AI23,'[8]Технический лист'!$A:$B,2,1),(CT23-0.05)))</f>
        <v>0.84999999999999987</v>
      </c>
      <c r="CV23" s="41">
        <f>MIN(1,MAX(VLOOKUP(($AI23-$AH23-$AG23-$AF23-$AE23-$AA23*(1+CV$3))/$AI23,'[8]Технический лист'!$A:$B,2,1),(CU23-0.05)))</f>
        <v>0.79999999999999982</v>
      </c>
      <c r="CW23" s="41">
        <f>MIN(1,MAX(VLOOKUP(($AI23-$AH23-$AG23-$AF23-$AE23-$AA23*(1+CW$3))/$AI23,'[8]Технический лист'!$A:$B,2,1),(CV23-0.05)))</f>
        <v>0.74999999999999978</v>
      </c>
      <c r="CX23" s="41">
        <f>MIN(1,MAX(VLOOKUP(($AI23-$AH23-$AG23-$AF23-$AE23-$AA23*(1+CX$3))/$AI23,'[8]Технический лист'!$A:$B,2,1),(CW23-0.05)))</f>
        <v>0.69999999999999973</v>
      </c>
      <c r="CY23" s="41">
        <f>MIN(1,MAX(VLOOKUP(($AI23-$AH23-$AG23-$AF23-$AE23-$AA23*(1+CY$3))/$AI23,'[8]Технический лист'!$A:$B,2,1),(CX23-0.05)))</f>
        <v>0.64999999999999969</v>
      </c>
      <c r="CZ23" s="41">
        <f>MIN(1,MAX(VLOOKUP(($AI23-$AH23-$AG23-$AF23-$AE23-$AA23*(1+CZ$3))/$AI23,'[8]Технический лист'!$A:$B,2,1),(CY23-0.05)))</f>
        <v>0.59999999999999964</v>
      </c>
      <c r="DA23" s="41">
        <f>MIN(1,MAX(VLOOKUP(($AI23-$AH23-$AG23-$AF23-$AE23-$AA23*(1+DA$3))/$AI23,'[8]Технический лист'!$A:$B,2,1),(CZ23-0.05)))</f>
        <v>0.5499999999999996</v>
      </c>
      <c r="DB23" s="41">
        <f>MIN(1,MAX(VLOOKUP(($AI23-$AH23-$AG23-$AF23-$AE23-$AA23*(1+DB$3))/$AI23,'[8]Технический лист'!$A:$B,2,1),(DA23-0.05)))</f>
        <v>0.49999999999999961</v>
      </c>
      <c r="DC23" s="41">
        <f>MIN(1,MAX(VLOOKUP(($AI23-$AH23-$AG23-$AF23-$AE23-$AA23*(1+DC$3))/$AI23,'[8]Технический лист'!$A:$B,2,1),(DB23-0.05)))</f>
        <v>0.44999999999999962</v>
      </c>
      <c r="DD23" s="41">
        <f>MIN(1,MAX(VLOOKUP(($AI23-$AH23-$AG23-$AF23-$AE23-$AA23*(1+DD$3))/$AI23,'[8]Технический лист'!$A:$B,2,1),(DC23-0.05)))</f>
        <v>0.39999999999999963</v>
      </c>
      <c r="DE23" s="41">
        <f>MIN(1,MAX(VLOOKUP(($AI23-$AH23-$AG23-$AF23-$AE23-$AA23*(1+DE$3))/$AI23,'[8]Технический лист'!$A:$B,2,1),(DD23-0.05)))</f>
        <v>0.34999999999999964</v>
      </c>
      <c r="DF23" s="41">
        <f>MIN(1,MAX(VLOOKUP(($AI23-$AH23-$AG23-$AF23-$AE23-$AA23*(1+DF$3))/$AI23,'[8]Технический лист'!$A:$B,2,1),(DE23-0.05)))</f>
        <v>0.29999999999999966</v>
      </c>
      <c r="DG23" s="41">
        <f>MIN(1,MAX(VLOOKUP(($AI23-$AH23-$AG23-$AF23-$AE23-$AA23*(1+DG$3))/$AI23,'[8]Технический лист'!$A:$B,2,1),(DF23-0.05)))</f>
        <v>0.24999999999999967</v>
      </c>
      <c r="DH23" s="41">
        <f>MIN(1,MAX(VLOOKUP(($AI23-$AH23-$AG23-$AF23-$AE23-$AA23*(1+DH$3))/$AI23,'[8]Технический лист'!$A:$B,2,1),(DG23-0.05)))</f>
        <v>0.19999999999999968</v>
      </c>
      <c r="DI23" s="41">
        <f>MIN(1,MAX(VLOOKUP(($AI23-$AH23-$AG23-$AF23-$AE23-$AA23*(1+DI$3))/$AI23,'[8]Технический лист'!$A:$B,2,1),(DH23-0.05)))</f>
        <v>0.14999999999999969</v>
      </c>
      <c r="DJ23" s="41">
        <f>MIN(1,MAX(VLOOKUP(($AI23-$AH23-$AG23-$AF23-$AE23-$AA23*(1+DJ$3))/$AI23,'[8]Технический лист'!$A:$B,2,1),(DI23-0.05)))</f>
        <v>9.9999999999999686E-2</v>
      </c>
      <c r="DK23" s="41">
        <f>MIN(1,MAX(VLOOKUP(($AI23-$AH23-$AG23-$AF23-$AE23-$AA23*(1+DK$3))/$AI23,'[8]Технический лист'!$A:$B,2,1),(DJ23-0.05)))</f>
        <v>4.9999999999999684E-2</v>
      </c>
      <c r="DL23" s="41">
        <f>MIN(1,MAX(VLOOKUP(($AI23-$AH23-$AG23-$AF23-$AE23-$AA23*(1+DL$3))/$AI23,'[8]Технический лист'!$A:$B,2,1),(DK23-0.05)))</f>
        <v>0</v>
      </c>
      <c r="DM23" s="41">
        <f>MIN(1,MAX(VLOOKUP(($AI23-$AH23-$AG23-$AF23-$AE23-$AA23*(1+DM$3))/$AI23,'[8]Технический лист'!$A:$B,2,1),(DL23-0.05)))</f>
        <v>0</v>
      </c>
      <c r="DN23" s="41">
        <f>MIN(1,MAX(VLOOKUP(($AI23-$AH23-$AG23-$AF23-$AE23-$AA23*(1+DN$3))/$AI23,'[8]Технический лист'!$A:$B,2,1),(DM23-0.05)))</f>
        <v>0</v>
      </c>
      <c r="DO23" s="41">
        <f>MIN(1,MAX(VLOOKUP(($AI23-$AH23-$AG23-$AF23-$AE23-$AA23*(1+DO$3))/$AI23,'[8]Технический лист'!$A:$B,2,1),(DN23-0.05)))</f>
        <v>0</v>
      </c>
      <c r="DP23" s="41">
        <f>MIN(1,MAX(VLOOKUP(($AI23-$AH23-$AG23-$AF23-$AE23-$AA23*(1+DP$3))/$AI23,'[8]Технический лист'!$A:$B,2,1),(DO23-0.05)))</f>
        <v>0</v>
      </c>
      <c r="DQ23" s="41">
        <f>MIN(1,MAX(VLOOKUP(($AI23-$AH23-$AG23-$AF23-$AE23-$AA23*(1+DQ$3))/$AI23,'[8]Технический лист'!$A:$B,2,1),(DP23-0.05)))</f>
        <v>0</v>
      </c>
      <c r="DR23" s="41">
        <f>MIN(1,MAX(VLOOKUP(($AI23-$AH23-$AG23-$AF23-$AE23-$AA23*(1+DR$3))/$AI23,'[8]Технический лист'!$A:$B,2,1),(DQ23-0.05)))</f>
        <v>0</v>
      </c>
      <c r="DS23" s="41">
        <f>MIN(1,MAX(VLOOKUP(($AI23-$AH23-$AG23-$AF23-$AE23-$AA23*(1+DS$3))/$AI23,'[8]Технический лист'!$A:$B,2,1),(DR23-0.05)))</f>
        <v>0</v>
      </c>
      <c r="DT23" s="41">
        <f>MIN(1,MAX(VLOOKUP(($AI23-$AH23-$AG23-$AF23-$AE23-$AA23*(1+DT$3))/$AI23,'[8]Технический лист'!$A:$B,2,1),(DS23-0.05)))</f>
        <v>0</v>
      </c>
      <c r="DU23" s="41">
        <f>MIN(1,MAX(VLOOKUP(($AI23-$AH23-$AG23-$AF23-$AE23-$AA23*(1+DU$3))/$AI23,'[8]Технический лист'!$A:$B,2,1),(DT23-0.05)))</f>
        <v>0</v>
      </c>
      <c r="DV23" s="41">
        <f>MIN(1,MAX(VLOOKUP(($AI23-$AH23-$AG23-$AF23-$AE23-$AA23*(1+DV$3))/$AI23,'[8]Технический лист'!$A:$B,2,1),(DU23-0.05)))</f>
        <v>0</v>
      </c>
      <c r="DW23" s="41">
        <f>MIN(1,MAX(VLOOKUP(($AI23-$AH23-$AG23-$AF23-$AE23-$AA23*(1+DW$3))/$AI23,'[8]Технический лист'!$A:$B,2,1),(DV23-0.05)))</f>
        <v>0</v>
      </c>
      <c r="DX23" s="41">
        <f>MIN(1,MAX(VLOOKUP(($AI23-$AH23-$AG23-$AF23-$AE23-$AA23*(1+DX$3))/$AI23,'[8]Технический лист'!$A:$B,2,1),(DW23-0.05)))</f>
        <v>0</v>
      </c>
      <c r="DY23" s="41">
        <f>MIN(1,MAX(VLOOKUP(($AI23-$AH23-$AG23-$AF23-$AE23-$AA23*(1+DY$3))/$AI23,'[8]Технический лист'!$A:$B,2,1),(DX23-0.05)))</f>
        <v>0</v>
      </c>
      <c r="DZ23" s="41">
        <f>MIN(1,MAX(VLOOKUP(($AI23-$AH23-$AG23-$AF23-$AE23-$AA23*(1+DZ$3))/$AI23,'[8]Технический лист'!$A:$B,2,1),(DY23-0.05)))</f>
        <v>0</v>
      </c>
      <c r="EA23" s="41">
        <f>MIN(1,MAX(VLOOKUP(($AI23-$AH23-$AG23-$AF23-$AE23-$AA23*(1+EA$3))/$AI23,'[8]Технический лист'!$A:$B,2,1),(DZ23-0.05)))</f>
        <v>0</v>
      </c>
      <c r="EB23" s="41">
        <f>MIN(1,MAX(VLOOKUP(($AI23-$AH23-$AG23-$AF23-$AE23-$AA23*(1+EB$3))/$AI23,'[8]Технический лист'!$A:$B,2,1),(EA23-0.05)))</f>
        <v>0</v>
      </c>
      <c r="EC23" s="41">
        <f>MIN(1,MAX(VLOOKUP(($AI23-$AH23-$AG23-$AF23-$AE23-$AA23*(1+EC$3))/$AI23,'[8]Технический лист'!$A:$B,2,1),(EB23-0.05)))</f>
        <v>0</v>
      </c>
      <c r="ED23" s="41">
        <f>MIN(1,MAX(VLOOKUP(($AI23-$AH23-$AG23-$AF23-$AE23-$AA23*(1+ED$3))/$AI23,'[8]Технический лист'!$A:$B,2,1),(EC23-0.05)))</f>
        <v>0</v>
      </c>
      <c r="EE23" s="41">
        <f>MIN(1,MAX(VLOOKUP(($AI23-$AH23-$AG23-$AF23-$AE23-$AA23*(1+EE$3))/$AI23,'[8]Технический лист'!$A:$B,2,1),(ED23-0.05)))</f>
        <v>0</v>
      </c>
      <c r="EF23" s="41">
        <f>MIN(1,MAX(VLOOKUP(($AI23-$AH23-$AG23-$AF23-$AE23-$AA23*(1+EF$3))/$AI23,'[8]Технический лист'!$A:$B,2,1),(EE23-0.05)))</f>
        <v>0</v>
      </c>
      <c r="EG23" s="41">
        <f>MIN(1,MAX(VLOOKUP(($AI23-$AH23-$AG23-$AF23-$AE23-$AA23*(1+EG$3))/$AI23,'[8]Технический лист'!$A:$B,2,1),(EF23-0.05)))</f>
        <v>0</v>
      </c>
      <c r="EH23" s="41">
        <f>MIN(1,MAX(VLOOKUP(($AI23-$AH23-$AG23-$AF23-$AE23-$AA23*(1+EH$3))/$AI23,'[8]Технический лист'!$A:$B,2,1),(EG23-0.05)))</f>
        <v>0</v>
      </c>
      <c r="EI23" s="41">
        <f>MIN(1,MAX(VLOOKUP(($AI23-$AH23-$AG23-$AF23-$AE23-$AA23*(1+EI$3))/$AI23,'[8]Технический лист'!$A:$B,2,1),(EH23-0.05)))</f>
        <v>0</v>
      </c>
      <c r="EJ23" s="41">
        <f>MIN(1,MAX(VLOOKUP(($AI23-$AH23-$AG23-$AF23-$AE23-$AA23*(1+EJ$3))/$AI23,'[8]Технический лист'!$A:$B,2,1),(EI23-0.05)))</f>
        <v>0</v>
      </c>
      <c r="EK23" s="41">
        <f>MIN(1,MAX(VLOOKUP(($AI23-$AH23-$AG23-$AF23-$AE23-$AA23*(1+EK$3))/$AI23,'[8]Технический лист'!$A:$B,2,1),(EJ23-0.05)))</f>
        <v>0</v>
      </c>
      <c r="EL23" s="41">
        <f>MIN(1,MAX(VLOOKUP(($AI23-$AH23-$AG23-$AF23-$AE23-$AA23*(1+EL$3))/$AI23,'[8]Технический лист'!$A:$B,2,1),(EK23-0.05)))</f>
        <v>0</v>
      </c>
      <c r="EM23" s="41">
        <f>MIN(1,MAX(VLOOKUP(($AI23-$AH23-$AG23-$AF23-$AE23-$AA23*(1+EM$3))/$AI23,'[8]Технический лист'!$A:$B,2,1),(EL23-0.05)))</f>
        <v>0</v>
      </c>
      <c r="EN23" s="41">
        <f>MIN(1,MAX(VLOOKUP(($AI23-$AH23-$AG23-$AF23-$AE23-$AA23*(1+EN$3))/$AI23,'[8]Технический лист'!$A:$B,2,1),(EM23-0.05)))</f>
        <v>0</v>
      </c>
      <c r="EO23" s="41">
        <f>MIN(1,MAX(VLOOKUP(($AI23-$AH23-$AG23-$AF23-$AE23-$AA23*(1+EO$3))/$AI23,'[8]Технический лист'!$A:$B,2,1),(EN23-0.05)))</f>
        <v>0</v>
      </c>
      <c r="EP23" s="41">
        <f>MIN(1,MAX(VLOOKUP(($AI23-$AH23-$AG23-$AF23-$AE23-$AA23*(1+EP$3))/$AI23,'[8]Технический лист'!$A:$B,2,1),(EO23-0.05)))</f>
        <v>0</v>
      </c>
      <c r="EQ23" s="41">
        <f>MIN(1,MAX(VLOOKUP(($AI23-$AH23-$AG23-$AF23-$AE23-$AA23*(1+EQ$3))/$AI23,'[8]Технический лист'!$A:$B,2,1),(EP23-0.05)))</f>
        <v>0</v>
      </c>
      <c r="ER23" s="41">
        <f>MIN(1,MAX(VLOOKUP(($AI23-$AH23-$AG23-$AF23-$AE23-$AA23*(1+ER$3))/$AI23,'[8]Технический лист'!$A:$B,2,1),(EQ23-0.05)))</f>
        <v>0</v>
      </c>
      <c r="ES23" s="41">
        <f>MIN(1,MAX(VLOOKUP(($AI23-$AH23-$AG23-$AF23-$AE23-$AA23*(1+ES$3))/$AI23,'[8]Технический лист'!$A:$B,2,1),(ER23-0.05)))</f>
        <v>0</v>
      </c>
      <c r="ET23" s="41">
        <f>MIN(1,MAX(VLOOKUP(($AI23-$AH23-$AG23-$AF23-$AE23-$AA23*(1+ET$3))/$AI23,'[8]Технический лист'!$A:$B,2,1),(ES23-0.05)))</f>
        <v>0</v>
      </c>
      <c r="EU23" s="41">
        <f>MIN(1,MAX(VLOOKUP(($AI23-$AH23-$AG23-$AF23-$AE23-$AA23*(1+EU$3))/$AI23,'[8]Технический лист'!$A:$B,2,1),(ET23-0.05)))</f>
        <v>0</v>
      </c>
      <c r="EV23" s="41">
        <f>MIN(1,MAX(VLOOKUP(($AI23-$AH23-$AG23-$AF23-$AE23-$AA23*(1+EV$3))/$AI23,'[8]Технический лист'!$A:$B,2,1),(EU23-0.05)))</f>
        <v>0</v>
      </c>
      <c r="EW23" s="41">
        <f>MIN(1,MAX(VLOOKUP(($AI23-$AH23-$AG23-$AF23-$AE23-$AA23*(1+EW$3))/$AI23,'[8]Технический лист'!$A:$B,2,1),(EV23-0.05)))</f>
        <v>0</v>
      </c>
      <c r="EX23" s="41">
        <f>MIN(1,MAX(VLOOKUP(($AI23-$AH23-$AG23-$AF23-$AE23-$AA23*(1+EX$3))/$AI23,'[8]Технический лист'!$A:$B,2,1),(EW23-0.05)))</f>
        <v>0</v>
      </c>
      <c r="EY23" s="41">
        <f>MIN(1,MAX(VLOOKUP(($AI23-$AH23-$AG23-$AF23-$AE23-$AA23*(1+EY$3))/$AI23,'[8]Технический лист'!$A:$B,2,1),(EX23-0.05)))</f>
        <v>0</v>
      </c>
      <c r="EZ23" s="41">
        <f>MIN(1,MAX(VLOOKUP(($AI23-$AH23-$AG23-$AF23-$AE23-$AA23*(1+EZ$3))/$AI23,'[8]Технический лист'!$A:$B,2,1),(EY23-0.05)))</f>
        <v>0</v>
      </c>
      <c r="FA23" s="41">
        <f>MIN(1,MAX(VLOOKUP(($AI23-$AH23-$AG23-$AF23-$AE23-$AA23*(1+FA$3))/$AI23,'[8]Технический лист'!$A:$B,2,1),(EZ23-0.05)))</f>
        <v>0</v>
      </c>
      <c r="FB23" s="41">
        <f>MIN(1,MAX(VLOOKUP(($AI23-$AH23-$AG23-$AF23-$AE23-$AA23*(1+FB$3))/$AI23,'[8]Технический лист'!$A:$B,2,1),(FA23-0.05)))</f>
        <v>0</v>
      </c>
      <c r="FC23" s="41">
        <f>MIN(1,MAX(VLOOKUP(($AI23-$AH23-$AG23-$AF23-$AE23-$AA23*(1+FC$3))/$AI23,'[8]Технический лист'!$A:$B,2,1),(FB23-0.05)))</f>
        <v>0</v>
      </c>
      <c r="FD23" s="41">
        <f>MIN(1,MAX(VLOOKUP(($AI23-$AH23-$AG23-$AF23-$AE23-$AA23*(1+FD$3))/$AI23,'[8]Технический лист'!$A:$B,2,1),(FC23-0.05)))</f>
        <v>0</v>
      </c>
      <c r="FE23" s="41">
        <f>MIN(1,MAX(VLOOKUP(($AI23-$AH23-$AG23-$AF23-$AE23-$AA23*(1+FE$3))/$AI23,'[8]Технический лист'!$A:$B,2,1),(FD23-0.05)))</f>
        <v>0</v>
      </c>
      <c r="FF23" s="41">
        <f>MIN(1,MAX(VLOOKUP(($AI23-$AH23-$AG23-$AF23-$AE23-$AA23*(1+FF$3))/$AI23,'[8]Технический лист'!$A:$B,2,1),(FE23-0.05)))</f>
        <v>0</v>
      </c>
      <c r="FG23" s="41">
        <f>MIN(1,MAX(VLOOKUP(($AI23-$AH23-$AG23-$AF23-$AE23-$AA23*(1+FG$3))/$AI23,'[8]Технический лист'!$A:$B,2,1),(FF23-0.05)))</f>
        <v>0</v>
      </c>
      <c r="FH23" s="41">
        <f>MIN(1,MAX(VLOOKUP(($AI23-$AH23-$AG23-$AF23-$AE23-$AA23*(1+FH$3))/$AI23,'[8]Технический лист'!$A:$B,2,1),(FG23-0.05)))</f>
        <v>0</v>
      </c>
      <c r="FI23" s="41">
        <f>MIN(1,MAX(VLOOKUP(($AI23-$AH23-$AG23-$AF23-$AE23-$AA23*(1+FI$3))/$AI23,'[8]Технический лист'!$A:$B,2,1),(FH23-0.05)))</f>
        <v>0</v>
      </c>
      <c r="FJ23" s="41">
        <f>MIN(1,MAX(VLOOKUP(($AI23-$AH23-$AG23-$AF23-$AE23-$AA23*(1+FJ$3))/$AI23,'[8]Технический лист'!$A:$B,2,1),(FI23-0.05)))</f>
        <v>0</v>
      </c>
      <c r="FK23" s="41">
        <f>MIN(1,MAX(VLOOKUP(($AI23-$AH23-$AG23-$AF23-$AE23-$AA23*(1+FK$3))/$AI23,'[8]Технический лист'!$A:$B,2,1),(FJ23-0.05)))</f>
        <v>0</v>
      </c>
      <c r="FL23" s="41">
        <f>MIN(1,MAX(VLOOKUP(($AI23-$AH23-$AG23-$AF23-$AE23-$AA23*(1+FL$3))/$AI23,'[8]Технический лист'!$A:$B,2,1),(FK23-0.05)))</f>
        <v>0</v>
      </c>
      <c r="FM23" s="41">
        <f>MIN(1,MAX(VLOOKUP(($AI23-$AH23-$AG23-$AF23-$AE23-$AA23*(1+FM$3))/$AI23,'[8]Технический лист'!$A:$B,2,1),(FL23-0.05)))</f>
        <v>0</v>
      </c>
      <c r="FN23" s="41">
        <f>MIN(1,MAX(VLOOKUP(($AI23-$AH23-$AG23-$AF23-$AE23-$AA23*(1+FN$3))/$AI23,'[8]Технический лист'!$A:$B,2,1),(FM23-0.05)))</f>
        <v>0</v>
      </c>
      <c r="FO23" s="41">
        <f>MIN(1,MAX(VLOOKUP(($AI23-$AH23-$AG23-$AF23-$AE23-$AA23*(1+FO$3))/$AI23,'[8]Технический лист'!$A:$B,2,1),(FN23-0.05)))</f>
        <v>0</v>
      </c>
      <c r="FP23" s="41">
        <f>MIN(1,MAX(VLOOKUP(($AI23-$AH23-$AG23-$AF23-$AE23-$AA23*(1+FP$3))/$AI23,'[8]Технический лист'!$A:$B,2,1),(FO23-0.05)))</f>
        <v>0</v>
      </c>
      <c r="FQ23" s="41">
        <f>MIN(1,MAX(VLOOKUP(($AI23-$AH23-$AG23-$AF23-$AE23-$AA23*(1+FQ$3))/$AI23,'[8]Технический лист'!$A:$B,2,1),(FP23-0.05)))</f>
        <v>0</v>
      </c>
      <c r="FR23" s="41">
        <f>MIN(1,MAX(VLOOKUP(($AI23-$AH23-$AG23-$AF23-$AE23-$AA23*(1+FR$3))/$AI23,'[8]Технический лист'!$A:$B,2,1),(FQ23-0.05)))</f>
        <v>0</v>
      </c>
      <c r="FS23" s="41">
        <f>MIN(1,MAX(VLOOKUP(($AI23-$AH23-$AG23-$AF23-$AE23-$AA23*(1+FS$3))/$AI23,'[8]Технический лист'!$A:$B,2,1),(FR23-0.05)))</f>
        <v>0</v>
      </c>
      <c r="FT23" s="41">
        <f>MIN(1,MAX(VLOOKUP(($AI23-$AH23-$AG23-$AF23-$AE23-$AA23*(1+FT$3))/$AI23,'[8]Технический лист'!$A:$B,2,1),(FS23-0.05)))</f>
        <v>0</v>
      </c>
      <c r="FU23" s="41">
        <f>MIN(1,MAX(VLOOKUP(($AI23-$AH23-$AG23-$AF23-$AE23-$AA23*(1+FU$3))/$AI23,'[8]Технический лист'!$A:$B,2,1),(FT23-0.05)))</f>
        <v>0</v>
      </c>
      <c r="FV23" s="41">
        <f>MIN(1,MAX(VLOOKUP(($AI23-$AH23-$AG23-$AF23-$AE23-$AA23*(1+FV$3))/$AI23,'[8]Технический лист'!$A:$B,2,1),(FU23-0.05)))</f>
        <v>0</v>
      </c>
      <c r="FW23" s="41">
        <f>MIN(1,MAX(VLOOKUP(($AI23-$AH23-$AG23-$AF23-$AE23-$AA23*(1+FW$3))/$AI23,'[8]Технический лист'!$A:$B,2,1),(FV23-0.05)))</f>
        <v>0</v>
      </c>
      <c r="FX23" s="41">
        <f>MIN(1,MAX(VLOOKUP(($AI23-$AH23-$AG23-$AF23-$AE23-$AA23*(1+FX$3))/$AI23,'[8]Технический лист'!$A:$B,2,1),(FW23-0.05)))</f>
        <v>0</v>
      </c>
      <c r="FY23" s="41">
        <f>MIN(1,MAX(VLOOKUP(($AI23-$AH23-$AG23-$AF23-$AE23-$AA23*(1+FY$3))/$AI23,'[8]Технический лист'!$A:$B,2,1),(FX23-0.05)))</f>
        <v>0</v>
      </c>
      <c r="FZ23" s="41">
        <f>MIN(1,MAX(VLOOKUP(($AI23-$AH23-$AG23-$AF23-$AE23-$AA23*(1+FZ$3))/$AI23,'[8]Технический лист'!$A:$B,2,1),(FY23-0.05)))</f>
        <v>0</v>
      </c>
      <c r="GA23" s="41">
        <f>MIN(1,MAX(VLOOKUP(($AI23-$AH23-$AG23-$AF23-$AE23-$AA23*(1+GA$3))/$AI23,'[8]Технический лист'!$A:$B,2,1),(FZ23-0.05)))</f>
        <v>0</v>
      </c>
      <c r="GB23" s="41">
        <f>MIN(1,MAX(VLOOKUP(($AI23-$AH23-$AG23-$AF23-$AE23-$AA23*(1+GB$3))/$AI23,'[8]Технический лист'!$A:$B,2,1),(GA23-0.05)))</f>
        <v>0</v>
      </c>
      <c r="GC23" s="41">
        <f>MIN(1,MAX(VLOOKUP(($AI23-$AH23-$AG23-$AF23-$AE23-$AA23*(1+GC$3))/$AI23,'[8]Технический лист'!$A:$B,2,1),(GB23-0.05)))</f>
        <v>0</v>
      </c>
      <c r="GD23" s="41">
        <f>MIN(1,MAX(VLOOKUP(($AI23-$AH23-$AG23-$AF23-$AE23-$AA23*(1+GD$3))/$AI23,'[8]Технический лист'!$A:$B,2,1),(GC23-0.05)))</f>
        <v>0</v>
      </c>
      <c r="GE23" s="41">
        <f>MIN(1,MAX(VLOOKUP(($AI23-$AH23-$AG23-$AF23-$AE23-$AA23*(1+GE$3))/$AI23,'[8]Технический лист'!$A:$B,2,1),(GD23-0.05)))</f>
        <v>0</v>
      </c>
      <c r="GF23" s="41">
        <f>MIN(1,MAX(VLOOKUP(($AI23-$AH23-$AG23-$AF23-$AE23-$AA23*(1+GF$3))/$AI23,'[8]Технический лист'!$A:$B,2,1),(GE23-0.05)))</f>
        <v>0</v>
      </c>
      <c r="GG23" s="41">
        <f>MIN(1,MAX(VLOOKUP(($AI23-$AH23-$AG23-$AF23-$AE23-$AA23*(1+GG$3))/$AI23,'[8]Технический лист'!$A:$B,2,1),(GF23-0.05)))</f>
        <v>0</v>
      </c>
      <c r="GH23" s="41">
        <f>MIN(1,MAX(VLOOKUP(($AI23-$AH23-$AG23-$AF23-$AE23-$AA23*(1+GH$3))/$AI23,'[8]Технический лист'!$A:$B,2,1),(GG23-0.05)))</f>
        <v>0</v>
      </c>
      <c r="GI23" s="41">
        <f>MIN(1,MAX(VLOOKUP(($AI23-$AH23-$AG23-$AF23-$AE23-$AA23*(1+GI$3))/$AI23,'[8]Технический лист'!$A:$B,2,1),(GH23-0.05)))</f>
        <v>0</v>
      </c>
      <c r="GJ23" s="41">
        <f>MIN(1,MAX(VLOOKUP(($AI23-$AH23-$AG23-$AF23-$AE23-$AA23*(1+GJ$3))/$AI23,'[8]Технический лист'!$A:$B,2,1),(GI23-0.05)))</f>
        <v>0</v>
      </c>
      <c r="GK23" s="41">
        <f>MIN(1,MAX(VLOOKUP(($AI23-$AH23-$AG23-$AF23-$AE23-$AA23*(1+GK$3))/$AI23,'[8]Технический лист'!$A:$B,2,1),(GJ23-0.05)))</f>
        <v>0</v>
      </c>
      <c r="GL23" s="41">
        <f>MIN(1,MAX(VLOOKUP(($AI23-$AH23-$AG23-$AF23-$AE23-$AA23*(1+GL$3))/$AI23,'[8]Технический лист'!$A:$B,2,1),(GK23-0.05)))</f>
        <v>0</v>
      </c>
      <c r="GM23" s="41">
        <f>MIN(1,MAX(VLOOKUP(($AI23-$AH23-$AG23-$AF23-$AE23-$AA23*(1+GM$3))/$AI23,'[8]Технический лист'!$A:$B,2,1),(GL23-0.05)))</f>
        <v>0</v>
      </c>
      <c r="GN23" s="41">
        <f>MIN(1,MAX(VLOOKUP(($AI23-$AH23-$AG23-$AF23-$AE23-$AA23*(1+GN$3))/$AI23,'[8]Технический лист'!$A:$B,2,1),(GM23-0.05)))</f>
        <v>0</v>
      </c>
    </row>
    <row r="24" spans="1:196" ht="29.15">
      <c r="A24" s="3">
        <v>6</v>
      </c>
      <c r="B24" s="15" t="s">
        <v>61</v>
      </c>
      <c r="C24" s="4" t="s">
        <v>141</v>
      </c>
      <c r="D24" s="4" t="s">
        <v>142</v>
      </c>
      <c r="E24" s="4" t="s">
        <v>143</v>
      </c>
      <c r="F24" s="4" t="s">
        <v>22</v>
      </c>
      <c r="G24" s="4" t="s">
        <v>22</v>
      </c>
      <c r="H24" s="4" t="s">
        <v>161</v>
      </c>
      <c r="I24" s="4" t="s">
        <v>156</v>
      </c>
      <c r="J24" s="4" t="s">
        <v>162</v>
      </c>
      <c r="K24" s="4" t="s">
        <v>168</v>
      </c>
      <c r="L24" s="4" t="s">
        <v>21</v>
      </c>
      <c r="M24" s="4" t="s">
        <v>167</v>
      </c>
      <c r="N24" s="4" t="s">
        <v>54</v>
      </c>
      <c r="O24" s="4" t="s">
        <v>163</v>
      </c>
      <c r="P24" s="4" t="s">
        <v>158</v>
      </c>
      <c r="Q24" s="4" t="s">
        <v>158</v>
      </c>
      <c r="R24" s="16">
        <v>77693</v>
      </c>
      <c r="S24" s="17">
        <v>52132003</v>
      </c>
      <c r="T24" s="18">
        <v>1339</v>
      </c>
      <c r="U24" s="18">
        <v>0</v>
      </c>
      <c r="V24" s="17">
        <v>55182180</v>
      </c>
      <c r="W24" s="26" t="s">
        <v>180</v>
      </c>
      <c r="X24" s="26">
        <v>58</v>
      </c>
      <c r="Y24" s="24">
        <v>1157.0999999999999</v>
      </c>
      <c r="Z24" s="27">
        <f t="shared" ref="Z24" si="5">AA24-Y24</f>
        <v>569.19000000000005</v>
      </c>
      <c r="AA24" s="20">
        <v>1726.29</v>
      </c>
      <c r="AB24" s="20">
        <v>5</v>
      </c>
      <c r="AC24" s="20">
        <v>5</v>
      </c>
      <c r="AD24" s="20">
        <v>4</v>
      </c>
      <c r="AE24" s="20">
        <f>'Ставки аренды'!$B$5*SUM(Лесные!AB24+Лесные!AC24+Лесные!AD24)/Лесные!X24</f>
        <v>265.51724137931035</v>
      </c>
      <c r="AF24" s="20">
        <v>0</v>
      </c>
      <c r="AG24" s="20"/>
      <c r="AH24" s="20">
        <f t="shared" si="4"/>
        <v>2584</v>
      </c>
      <c r="AI24" s="20">
        <f>Цены!$C$9</f>
        <v>3400</v>
      </c>
      <c r="AJ24" s="20"/>
      <c r="AK24" s="21"/>
      <c r="AL24" s="20"/>
      <c r="AM24" s="20"/>
      <c r="AN24" s="29">
        <f t="shared" si="0"/>
        <v>-0.34582565922920888</v>
      </c>
      <c r="AO24" s="20"/>
      <c r="AP24" s="20"/>
      <c r="AQ24" s="2"/>
      <c r="AR24" s="19"/>
      <c r="AS24" s="42">
        <v>0.8</v>
      </c>
      <c r="AT24" s="41">
        <f>MIN(IF($AS24=100%,1,1+VLOOKUP(($AI24-$AH24-$AG24-$AF24-$AE24-$AA24*(1+AT$3))/$AI24,'Технический лист'!$A:$B,2,1)-VLOOKUP($AN24,'Технический лист'!$A:$B,2,1)),1+(1-$AS24))</f>
        <v>1</v>
      </c>
      <c r="AU24" s="41">
        <f>MIN(IF($AS24=100%,1,1+VLOOKUP(($AI24-$AH24-$AG24-$AF24-$AE24-$AA24*(1+AU$3))/$AI24,'Технический лист'!$A:$B,2,1)-VLOOKUP($AN24,'Технический лист'!$A:$B,2,1)),1+(1-$AS24))</f>
        <v>1</v>
      </c>
      <c r="AV24" s="41">
        <f>MIN(IF($AS24=100%,1,1+VLOOKUP(($AI24-$AH24-$AG24-$AF24-$AE24-$AA24*(1+AV$3))/$AI24,'Технический лист'!$A:$B,2,1)-VLOOKUP($AN24,'Технический лист'!$A:$B,2,1)),1+(1-$AS24))</f>
        <v>1</v>
      </c>
      <c r="AW24" s="41">
        <f>MIN(IF($AS24=100%,1,1+VLOOKUP(($AI24-$AH24-$AG24-$AF24-$AE24-$AA24*(1+AW$3))/$AI24,'Технический лист'!$A:$B,2,1)-VLOOKUP($AN24,'Технический лист'!$A:$B,2,1)),1+(1-$AS24))</f>
        <v>1</v>
      </c>
      <c r="AX24" s="41">
        <f>MIN(IF($AS24=100%,1,1+VLOOKUP(($AI24-$AH24-$AG24-$AF24-$AE24-$AA24*(1+AX$3))/$AI24,'Технический лист'!$A:$B,2,1)-VLOOKUP($AN24,'Технический лист'!$A:$B,2,1)),1+(1-$AS24))</f>
        <v>1</v>
      </c>
      <c r="AY24" s="41">
        <f>MIN(IF($AS24=100%,1,1+VLOOKUP(($AI24-$AH24-$AG24-$AF24-$AE24-$AA24*(1+AY$3))/$AI24,'Технический лист'!$A:$B,2,1)-VLOOKUP($AN24,'Технический лист'!$A:$B,2,1)),1+(1-$AS24))</f>
        <v>1</v>
      </c>
      <c r="AZ24" s="41">
        <f>MIN(IF($AS24=100%,1,1+VLOOKUP(($AI24-$AH24-$AG24-$AF24-$AE24-$AA24*(1+AZ$3))/$AI24,'Технический лист'!$A:$B,2,1)-VLOOKUP($AN24,'Технический лист'!$A:$B,2,1)),1+(1-$AS24))</f>
        <v>1</v>
      </c>
      <c r="BA24" s="41">
        <f>MIN(IF($AS24=100%,1,1+VLOOKUP(($AI24-$AH24-$AG24-$AF24-$AE24-$AA24*(1+BA$3))/$AI24,'Технический лист'!$A:$B,2,1)-VLOOKUP($AN24,'Технический лист'!$A:$B,2,1)),1+(1-$AS24))</f>
        <v>1</v>
      </c>
      <c r="BB24" s="41">
        <f>MIN(IF($AS24=100%,1,1+VLOOKUP(($AI24-$AH24-$AG24-$AF24-$AE24-$AA24*(1+BB$3))/$AI24,'Технический лист'!$A:$B,2,1)-VLOOKUP($AN24,'Технический лист'!$A:$B,2,1)),1+(1-$AS24))</f>
        <v>1</v>
      </c>
      <c r="BC24" s="41">
        <f>MIN(IF($AS24=100%,1,1+VLOOKUP(($AI24-$AH24-$AG24-$AF24-$AE24-$AA24*(1+BC$3))/$AI24,'Технический лист'!$A:$B,2,1)-VLOOKUP($AN24,'Технический лист'!$A:$B,2,1)),1+(1-$AS24))</f>
        <v>1</v>
      </c>
      <c r="BD24" s="41">
        <f>MIN(IF($AS24=100%,1,1+VLOOKUP(($AI24-$AH24-$AG24-$AF24-$AE24-$AA24*(1+BD$3))/$AI24,'Технический лист'!$A:$B,2,1)-VLOOKUP($AN24,'Технический лист'!$A:$B,2,1)),1+(1-$AS24))</f>
        <v>1</v>
      </c>
      <c r="BE24" s="41">
        <f>MIN(IF($AS24=100%,1,1+VLOOKUP(($AI24-$AH24-$AG24-$AF24-$AE24-$AA24*(1+BE$3))/$AI24,'Технический лист'!$A:$B,2,1)-VLOOKUP($AN24,'Технический лист'!$A:$B,2,1)),1+(1-$AS24))</f>
        <v>1</v>
      </c>
      <c r="BF24" s="41">
        <f>MIN(IF($AS24=100%,1,1+VLOOKUP(($AI24-$AH24-$AG24-$AF24-$AE24-$AA24*(1+BF$3))/$AI24,'Технический лист'!$A:$B,2,1)-VLOOKUP($AN24,'Технический лист'!$A:$B,2,1)),1+(1-$AS24))</f>
        <v>1</v>
      </c>
      <c r="BG24" s="41">
        <f>MIN(IF($AS24=100%,1,1+VLOOKUP(($AI24-$AH24-$AG24-$AF24-$AE24-$AA24*(1+BG$3))/$AI24,'Технический лист'!$A:$B,2,1)-VLOOKUP($AN24,'Технический лист'!$A:$B,2,1)),1+(1-$AS24))</f>
        <v>1</v>
      </c>
      <c r="BH24" s="41">
        <f>MIN(IF($AS24=100%,1,1+VLOOKUP(($AI24-$AH24-$AG24-$AF24-$AE24-$AA24*(1+BH$3))/$AI24,'Технический лист'!$A:$B,2,1)-VLOOKUP($AN24,'Технический лист'!$A:$B,2,1)),1+(1-$AS24))</f>
        <v>1</v>
      </c>
      <c r="BI24" s="41">
        <f>MIN(IF($AS24=100%,1,1+VLOOKUP(($AI24-$AH24-$AG24-$AF24-$AE24-$AA24*(1+BI$3))/$AI24,'Технический лист'!$A:$B,2,1)-VLOOKUP($AN24,'Технический лист'!$A:$B,2,1)),1+(1-$AS24))</f>
        <v>1</v>
      </c>
      <c r="BJ24" s="41">
        <f>MIN(IF($AS24=100%,1,1+VLOOKUP(($AI24-$AH24-$AG24-$AF24-$AE24-$AA24*(1+BJ$3))/$AI24,'Технический лист'!$A:$B,2,1)-VLOOKUP($AN24,'Технический лист'!$A:$B,2,1)),1+(1-$AS24))</f>
        <v>1</v>
      </c>
      <c r="BK24" s="41">
        <f>MIN(IF($AS24=100%,1,1+VLOOKUP(($AI24-$AH24-$AG24-$AF24-$AE24-$AA24*(1+BK$3))/$AI24,'Технический лист'!$A:$B,2,1)-VLOOKUP($AN24,'Технический лист'!$A:$B,2,1)),1+(1-$AS24))</f>
        <v>1</v>
      </c>
      <c r="BL24" s="41">
        <f>MIN(IF($AS24=100%,1,1+VLOOKUP(($AI24-$AH24-$AG24-$AF24-$AE24-$AA24*(1+BL$3))/$AI24,'Технический лист'!$A:$B,2,1)-VLOOKUP($AN24,'Технический лист'!$A:$B,2,1)),1+(1-$AS24))</f>
        <v>1</v>
      </c>
      <c r="BM24" s="41">
        <f>MIN(IF($AS24=100%,1,1+VLOOKUP(($AI24-$AH24-$AG24-$AF24-$AE24-$AA24*(1+BM$3))/$AI24,'Технический лист'!$A:$B,2,1)-VLOOKUP($AN24,'Технический лист'!$A:$B,2,1)),1+(1-$AS24))</f>
        <v>1</v>
      </c>
      <c r="BN24" s="41">
        <f>MIN(IF($AS24=100%,1,1+VLOOKUP(($AI24-$AH24-$AG24-$AF24-$AE24-$AA24*(1+BN$3))/$AI24,'Технический лист'!$A:$B,2,1)-VLOOKUP($AN24,'Технический лист'!$A:$B,2,1)),1+(1-$AS24))</f>
        <v>1</v>
      </c>
      <c r="BO24" s="41">
        <f>MIN(IF($AS24=100%,1,1+VLOOKUP(($AI24-$AH24-$AG24-$AF24-$AE24-$AA24*(1+BO$3))/$AI24,'Технический лист'!$A:$B,2,1)-VLOOKUP($AN24,'Технический лист'!$A:$B,2,1)),1+(1-$AS24))</f>
        <v>1</v>
      </c>
      <c r="BP24" s="41">
        <f>MIN(IF($AS24=100%,1,1+VLOOKUP(($AI24-$AH24-$AG24-$AF24-$AE24-$AA24*(1+BP$3))/$AI24,'Технический лист'!$A:$B,2,1)-VLOOKUP($AN24,'Технический лист'!$A:$B,2,1)),1+(1-$AS24))</f>
        <v>1</v>
      </c>
      <c r="BQ24" s="41">
        <f>MIN(IF($AS24=100%,1,1+VLOOKUP(($AI24-$AH24-$AG24-$AF24-$AE24-$AA24*(1+BQ$3))/$AI24,'Технический лист'!$A:$B,2,1)-VLOOKUP($AN24,'Технический лист'!$A:$B,2,1)),1+(1-$AS24))</f>
        <v>1</v>
      </c>
      <c r="BR24" s="41">
        <f>MIN(IF($AS24=100%,1,1+VLOOKUP(($AI24-$AH24-$AG24-$AF24-$AE24-$AA24*(1+BR$3))/$AI24,'Технический лист'!$A:$B,2,1)-VLOOKUP($AN24,'Технический лист'!$A:$B,2,1)),1+(1-$AS24))</f>
        <v>1</v>
      </c>
      <c r="BS24" s="41">
        <f>MIN(IF($AS24=100%,1,1+VLOOKUP(($AI24-$AH24-$AG24-$AF24-$AE24-$AA24*(1+BS$3))/$AI24,'Технический лист'!$A:$B,2,1)-VLOOKUP($AN24,'Технический лист'!$A:$B,2,1)),1+(1-$AS24))</f>
        <v>1</v>
      </c>
      <c r="BT24" s="41">
        <f>MIN(IF($AS24=100%,1,1+VLOOKUP(($AI24-$AH24-$AG24-$AF24-$AE24-$AA24*(1+BT$3))/$AI24,'Технический лист'!$A:$B,2,1)-VLOOKUP($AN24,'Технический лист'!$A:$B,2,1)),1+(1-$AS24))</f>
        <v>1</v>
      </c>
      <c r="BU24" s="41">
        <f>MIN(IF($AS24=100%,1,1+VLOOKUP(($AI24-$AH24-$AG24-$AF24-$AE24-$AA24*(1+BU$3))/$AI24,'Технический лист'!$A:$B,2,1)-VLOOKUP($AN24,'Технический лист'!$A:$B,2,1)),1+(1-$AS24))</f>
        <v>1</v>
      </c>
      <c r="BV24" s="41">
        <f>MIN(IF($AS24=100%,1,1+VLOOKUP(($AI24-$AH24-$AG24-$AF24-$AE24-$AA24*(1+BV$3))/$AI24,'Технический лист'!$A:$B,2,1)-VLOOKUP($AN24,'Технический лист'!$A:$B,2,1)),1+(1-$AS24))</f>
        <v>1</v>
      </c>
      <c r="BW24" s="41">
        <f>MIN(IF($AS24=100%,1,1+VLOOKUP(($AI24-$AH24-$AG24-$AF24-$AE24-$AA24*(1+BW$3))/$AI24,'Технический лист'!$A:$B,2,1)-VLOOKUP($AN24,'Технический лист'!$A:$B,2,1)),1+(1-$AS24))</f>
        <v>1</v>
      </c>
      <c r="BX24" s="41">
        <f>MIN(IF($AS24=100%,1,1+VLOOKUP(($AI24-$AH24-$AG24-$AF24-$AE24-$AA24*(1+BX$3))/$AI24,'Технический лист'!$A:$B,2,1)-VLOOKUP($AN24,'Технический лист'!$A:$B,2,1)),1+(1-$AS24))</f>
        <v>1</v>
      </c>
      <c r="BY24" s="41">
        <f>MIN(IF($AS24=100%,1,1+VLOOKUP(($AI24-$AH24-$AG24-$AF24-$AE24-$AA24*(1+BY$3))/$AI24,'Технический лист'!$A:$B,2,1)-VLOOKUP($AN24,'Технический лист'!$A:$B,2,1)),1+(1-$AS24))</f>
        <v>1</v>
      </c>
      <c r="BZ24" s="41">
        <f>MIN(IF($AS24=100%,1,1+VLOOKUP(($AI24-$AH24-$AG24-$AF24-$AE24-$AA24*(1+BZ$3))/$AI24,'Технический лист'!$A:$B,2,1)-VLOOKUP($AN24,'Технический лист'!$A:$B,2,1)),1+(1-$AS24))</f>
        <v>1</v>
      </c>
      <c r="CA24" s="41">
        <f>MIN(IF($AS24=100%,1,1+VLOOKUP(($AI24-$AH24-$AG24-$AF24-$AE24-$AA24*(1+CA$3))/$AI24,'Технический лист'!$A:$B,2,1)-VLOOKUP($AN24,'Технический лист'!$A:$B,2,1)),1+(1-$AS24))</f>
        <v>1</v>
      </c>
      <c r="CB24" s="41">
        <f>MIN(IF($AS24=100%,1,1+VLOOKUP(($AI24-$AH24-$AG24-$AF24-$AE24-$AA24*(1+CB$3))/$AI24,'Технический лист'!$A:$B,2,1)-VLOOKUP($AN24,'Технический лист'!$A:$B,2,1)),1+(1-$AS24))</f>
        <v>1</v>
      </c>
      <c r="CC24" s="41">
        <f>MIN(IF($AS24=100%,1,1+VLOOKUP(($AI24-$AH24-$AG24-$AF24-$AE24-$AA24*(1+CC$3))/$AI24,'Технический лист'!$A:$B,2,1)-VLOOKUP($AN24,'Технический лист'!$A:$B,2,1)),1+(1-$AS24))</f>
        <v>1</v>
      </c>
      <c r="CD24" s="41">
        <f>MIN(IF($AS24=100%,1,1+VLOOKUP(($AI24-$AH24-$AG24-$AF24-$AE24-$AA24*(1+CD$3))/$AI24,'Технический лист'!$A:$B,2,1)-VLOOKUP($AN24,'Технический лист'!$A:$B,2,1)),1+(1-$AS24))</f>
        <v>1</v>
      </c>
      <c r="CE24" s="41">
        <f>MIN(IF($AS24=100%,1,1+VLOOKUP(($AI24-$AH24-$AG24-$AF24-$AE24-$AA24*(1+CE$3))/$AI24,'Технический лист'!$A:$B,2,1)-VLOOKUP($AN24,'Технический лист'!$A:$B,2,1)),1+(1-$AS24))</f>
        <v>1</v>
      </c>
      <c r="CF24" s="41">
        <f>MIN(IF($AS24=100%,1,1+VLOOKUP(($AI24-$AH24-$AG24-$AF24-$AE24-$AA24*(1+CF$3))/$AI24,'Технический лист'!$A:$B,2,1)-VLOOKUP($AN24,'Технический лист'!$A:$B,2,1)),1+(1-$AS24))</f>
        <v>1</v>
      </c>
      <c r="CG24" s="41">
        <f>MIN(IF($AS24=100%,1,1+VLOOKUP(($AI24-$AH24-$AG24-$AF24-$AE24-$AA24*(1+CG$3))/$AI24,'Технический лист'!$A:$B,2,1)-VLOOKUP($AN24,'Технический лист'!$A:$B,2,1)),1+(1-$AS24))</f>
        <v>1</v>
      </c>
      <c r="CH24" s="41">
        <f>MIN(IF($AS24=100%,1,1+VLOOKUP(($AI24-$AH24-$AG24-$AF24-$AE24-$AA24*(1+CH$3))/$AI24,'Технический лист'!$A:$B,2,1)-VLOOKUP($AN24,'Технический лист'!$A:$B,2,1)),1+(1-$AS24))</f>
        <v>1</v>
      </c>
      <c r="CI24" s="41">
        <f>MIN(IF($AS24=100%,1,1+VLOOKUP(($AI24-$AH24-$AG24-$AF24-$AE24-$AA24*(1+CI$3))/$AI24,'Технический лист'!$A:$B,2,1)-VLOOKUP($AN24,'Технический лист'!$A:$B,2,1)),1+(1-$AS24))</f>
        <v>1</v>
      </c>
      <c r="CJ24" s="41">
        <f>MIN(IF($AS24=100%,1,1+VLOOKUP(($AI24-$AH24-$AG24-$AF24-$AE24-$AA24*(1+CJ$3))/$AI24,'Технический лист'!$A:$B,2,1)-VLOOKUP($AN24,'Технический лист'!$A:$B,2,1)),1+(1-$AS24))</f>
        <v>1</v>
      </c>
      <c r="CK24" s="41">
        <f>MIN(IF($AS24=100%,1,1+VLOOKUP(($AI24-$AH24-$AG24-$AF24-$AE24-$AA24*(1+CK$3))/$AI24,'Технический лист'!$A:$B,2,1)-VLOOKUP($AN24,'Технический лист'!$A:$B,2,1)),1+(1-$AS24))</f>
        <v>1</v>
      </c>
      <c r="CL24" s="41">
        <f>MIN(IF($AS24=100%,1,1+VLOOKUP(($AI24-$AH24-$AG24-$AF24-$AE24-$AA24*(1+CL$3))/$AI24,'Технический лист'!$A:$B,2,1)-VLOOKUP($AN24,'Технический лист'!$A:$B,2,1)),1+(1-$AS24))</f>
        <v>1</v>
      </c>
      <c r="CM24" s="41">
        <f>MIN(IF($AS24=100%,1,1+VLOOKUP(($AI24-$AH24-$AG24-$AF24-$AE24-$AA24*(1+CM$3))/$AI24,'Технический лист'!$A:$B,2,1)-VLOOKUP($AN24,'Технический лист'!$A:$B,2,1)),1+(1-$AS24))</f>
        <v>1</v>
      </c>
      <c r="CN24" s="41">
        <f>MIN(IF($AS24=100%,1,1+VLOOKUP(($AI24-$AH24-$AG24-$AF24-$AE24-$AA24*(1+CN$3))/$AI24,'Технический лист'!$A:$B,2,1)-VLOOKUP($AN24,'Технический лист'!$A:$B,2,1)),1+(1-$AS24))</f>
        <v>1</v>
      </c>
      <c r="CO24" s="41">
        <f>MIN(IF($AS24=100%,1,1+VLOOKUP(($AI24-$AH24-$AG24-$AF24-$AE24-$AA24*(1+CO$3))/$AI24,'Технический лист'!$A:$B,2,1)-VLOOKUP($AN24,'Технический лист'!$A:$B,2,1)),1+(1-$AS24))</f>
        <v>1</v>
      </c>
      <c r="CP24" s="41">
        <f>MIN(IF($AS24=100%,1,1+VLOOKUP(($AI24-$AH24-$AG24-$AF24-$AE24-$AA24*(1+CP$3))/$AI24,'Технический лист'!$A:$B,2,1)-VLOOKUP($AN24,'Технический лист'!$A:$B,2,1)),1+(1-$AS24))</f>
        <v>1</v>
      </c>
      <c r="CQ24" s="41">
        <f>MIN(IF($AS24=100%,1,1+VLOOKUP(($AI24-$AH24-$AG24-$AF24-$AE24-$AA24*(1+CQ$3))/$AI24,'Технический лист'!$A:$B,2,1)-VLOOKUP($AN24,'Технический лист'!$A:$B,2,1)),1+(1-$AS24))</f>
        <v>1</v>
      </c>
      <c r="CR24">
        <v>1</v>
      </c>
      <c r="CS24" s="41">
        <f>MIN(1,MAX(VLOOKUP(($AI24-$AH24-$AG24-$AF24-$AE24-$AA24*(1+CS$3))/$AI24,'[8]Технический лист'!$A:$B,2,1),(CR24-0.05)))</f>
        <v>0.95</v>
      </c>
      <c r="CT24" s="41">
        <f>MIN(1,MAX(VLOOKUP(($AI24-$AH24-$AG24-$AF24-$AE24-$AA24*(1+CT$3))/$AI24,'[8]Технический лист'!$A:$B,2,1),(CS24-0.05)))</f>
        <v>0.89999999999999991</v>
      </c>
      <c r="CU24" s="41">
        <f>MIN(1,MAX(VLOOKUP(($AI24-$AH24-$AG24-$AF24-$AE24-$AA24*(1+CU$3))/$AI24,'[8]Технический лист'!$A:$B,2,1),(CT24-0.05)))</f>
        <v>0.84999999999999987</v>
      </c>
      <c r="CV24" s="41">
        <f>MIN(1,MAX(VLOOKUP(($AI24-$AH24-$AG24-$AF24-$AE24-$AA24*(1+CV$3))/$AI24,'[8]Технический лист'!$A:$B,2,1),(CU24-0.05)))</f>
        <v>0.79999999999999982</v>
      </c>
      <c r="CW24" s="41">
        <f>MIN(1,MAX(VLOOKUP(($AI24-$AH24-$AG24-$AF24-$AE24-$AA24*(1+CW$3))/$AI24,'[8]Технический лист'!$A:$B,2,1),(CV24-0.05)))</f>
        <v>0.74999999999999978</v>
      </c>
      <c r="CX24" s="41">
        <f>MIN(1,MAX(VLOOKUP(($AI24-$AH24-$AG24-$AF24-$AE24-$AA24*(1+CX$3))/$AI24,'[8]Технический лист'!$A:$B,2,1),(CW24-0.05)))</f>
        <v>0.69999999999999973</v>
      </c>
      <c r="CY24" s="41">
        <f>MIN(1,MAX(VLOOKUP(($AI24-$AH24-$AG24-$AF24-$AE24-$AA24*(1+CY$3))/$AI24,'[8]Технический лист'!$A:$B,2,1),(CX24-0.05)))</f>
        <v>0.64999999999999969</v>
      </c>
      <c r="CZ24" s="41">
        <f>MIN(1,MAX(VLOOKUP(($AI24-$AH24-$AG24-$AF24-$AE24-$AA24*(1+CZ$3))/$AI24,'[8]Технический лист'!$A:$B,2,1),(CY24-0.05)))</f>
        <v>0.59999999999999964</v>
      </c>
      <c r="DA24" s="41">
        <f>MIN(1,MAX(VLOOKUP(($AI24-$AH24-$AG24-$AF24-$AE24-$AA24*(1+DA$3))/$AI24,'[8]Технический лист'!$A:$B,2,1),(CZ24-0.05)))</f>
        <v>0.5499999999999996</v>
      </c>
      <c r="DB24" s="41">
        <f>MIN(1,MAX(VLOOKUP(($AI24-$AH24-$AG24-$AF24-$AE24-$AA24*(1+DB$3))/$AI24,'[8]Технический лист'!$A:$B,2,1),(DA24-0.05)))</f>
        <v>0.49999999999999961</v>
      </c>
      <c r="DC24" s="41">
        <f>MIN(1,MAX(VLOOKUP(($AI24-$AH24-$AG24-$AF24-$AE24-$AA24*(1+DC$3))/$AI24,'[8]Технический лист'!$A:$B,2,1),(DB24-0.05)))</f>
        <v>0.44999999999999962</v>
      </c>
      <c r="DD24" s="41">
        <f>MIN(1,MAX(VLOOKUP(($AI24-$AH24-$AG24-$AF24-$AE24-$AA24*(1+DD$3))/$AI24,'[8]Технический лист'!$A:$B,2,1),(DC24-0.05)))</f>
        <v>0.39999999999999963</v>
      </c>
      <c r="DE24" s="41">
        <f>MIN(1,MAX(VLOOKUP(($AI24-$AH24-$AG24-$AF24-$AE24-$AA24*(1+DE$3))/$AI24,'[8]Технический лист'!$A:$B,2,1),(DD24-0.05)))</f>
        <v>0.34999999999999964</v>
      </c>
      <c r="DF24" s="41">
        <f>MIN(1,MAX(VLOOKUP(($AI24-$AH24-$AG24-$AF24-$AE24-$AA24*(1+DF$3))/$AI24,'[8]Технический лист'!$A:$B,2,1),(DE24-0.05)))</f>
        <v>0.29999999999999966</v>
      </c>
      <c r="DG24" s="41">
        <f>MIN(1,MAX(VLOOKUP(($AI24-$AH24-$AG24-$AF24-$AE24-$AA24*(1+DG$3))/$AI24,'[8]Технический лист'!$A:$B,2,1),(DF24-0.05)))</f>
        <v>0.24999999999999967</v>
      </c>
      <c r="DH24" s="41">
        <f>MIN(1,MAX(VLOOKUP(($AI24-$AH24-$AG24-$AF24-$AE24-$AA24*(1+DH$3))/$AI24,'[8]Технический лист'!$A:$B,2,1),(DG24-0.05)))</f>
        <v>0.19999999999999968</v>
      </c>
      <c r="DI24" s="41">
        <f>MIN(1,MAX(VLOOKUP(($AI24-$AH24-$AG24-$AF24-$AE24-$AA24*(1+DI$3))/$AI24,'[8]Технический лист'!$A:$B,2,1),(DH24-0.05)))</f>
        <v>0.14999999999999969</v>
      </c>
      <c r="DJ24" s="41">
        <f>MIN(1,MAX(VLOOKUP(($AI24-$AH24-$AG24-$AF24-$AE24-$AA24*(1+DJ$3))/$AI24,'[8]Технический лист'!$A:$B,2,1),(DI24-0.05)))</f>
        <v>9.9999999999999686E-2</v>
      </c>
      <c r="DK24" s="41">
        <f>MIN(1,MAX(VLOOKUP(($AI24-$AH24-$AG24-$AF24-$AE24-$AA24*(1+DK$3))/$AI24,'[8]Технический лист'!$A:$B,2,1),(DJ24-0.05)))</f>
        <v>4.9999999999999684E-2</v>
      </c>
      <c r="DL24" s="41">
        <f>MIN(1,MAX(VLOOKUP(($AI24-$AH24-$AG24-$AF24-$AE24-$AA24*(1+DL$3))/$AI24,'[8]Технический лист'!$A:$B,2,1),(DK24-0.05)))</f>
        <v>0</v>
      </c>
      <c r="DM24" s="41">
        <f>MIN(1,MAX(VLOOKUP(($AI24-$AH24-$AG24-$AF24-$AE24-$AA24*(1+DM$3))/$AI24,'[8]Технический лист'!$A:$B,2,1),(DL24-0.05)))</f>
        <v>0</v>
      </c>
      <c r="DN24" s="41">
        <f>MIN(1,MAX(VLOOKUP(($AI24-$AH24-$AG24-$AF24-$AE24-$AA24*(1+DN$3))/$AI24,'[8]Технический лист'!$A:$B,2,1),(DM24-0.05)))</f>
        <v>0</v>
      </c>
      <c r="DO24" s="41">
        <f>MIN(1,MAX(VLOOKUP(($AI24-$AH24-$AG24-$AF24-$AE24-$AA24*(1+DO$3))/$AI24,'[8]Технический лист'!$A:$B,2,1),(DN24-0.05)))</f>
        <v>0</v>
      </c>
      <c r="DP24" s="41">
        <f>MIN(1,MAX(VLOOKUP(($AI24-$AH24-$AG24-$AF24-$AE24-$AA24*(1+DP$3))/$AI24,'[8]Технический лист'!$A:$B,2,1),(DO24-0.05)))</f>
        <v>0</v>
      </c>
      <c r="DQ24" s="41">
        <f>MIN(1,MAX(VLOOKUP(($AI24-$AH24-$AG24-$AF24-$AE24-$AA24*(1+DQ$3))/$AI24,'[8]Технический лист'!$A:$B,2,1),(DP24-0.05)))</f>
        <v>0</v>
      </c>
      <c r="DR24" s="41">
        <f>MIN(1,MAX(VLOOKUP(($AI24-$AH24-$AG24-$AF24-$AE24-$AA24*(1+DR$3))/$AI24,'[8]Технический лист'!$A:$B,2,1),(DQ24-0.05)))</f>
        <v>0</v>
      </c>
      <c r="DS24" s="41">
        <f>MIN(1,MAX(VLOOKUP(($AI24-$AH24-$AG24-$AF24-$AE24-$AA24*(1+DS$3))/$AI24,'[8]Технический лист'!$A:$B,2,1),(DR24-0.05)))</f>
        <v>0</v>
      </c>
      <c r="DT24" s="41">
        <f>MIN(1,MAX(VLOOKUP(($AI24-$AH24-$AG24-$AF24-$AE24-$AA24*(1+DT$3))/$AI24,'[8]Технический лист'!$A:$B,2,1),(DS24-0.05)))</f>
        <v>0</v>
      </c>
      <c r="DU24" s="41">
        <f>MIN(1,MAX(VLOOKUP(($AI24-$AH24-$AG24-$AF24-$AE24-$AA24*(1+DU$3))/$AI24,'[8]Технический лист'!$A:$B,2,1),(DT24-0.05)))</f>
        <v>0</v>
      </c>
      <c r="DV24" s="41">
        <f>MIN(1,MAX(VLOOKUP(($AI24-$AH24-$AG24-$AF24-$AE24-$AA24*(1+DV$3))/$AI24,'[8]Технический лист'!$A:$B,2,1),(DU24-0.05)))</f>
        <v>0</v>
      </c>
      <c r="DW24" s="41">
        <f>MIN(1,MAX(VLOOKUP(($AI24-$AH24-$AG24-$AF24-$AE24-$AA24*(1+DW$3))/$AI24,'[8]Технический лист'!$A:$B,2,1),(DV24-0.05)))</f>
        <v>0</v>
      </c>
      <c r="DX24" s="41">
        <f>MIN(1,MAX(VLOOKUP(($AI24-$AH24-$AG24-$AF24-$AE24-$AA24*(1+DX$3))/$AI24,'[8]Технический лист'!$A:$B,2,1),(DW24-0.05)))</f>
        <v>0</v>
      </c>
      <c r="DY24" s="41">
        <f>MIN(1,MAX(VLOOKUP(($AI24-$AH24-$AG24-$AF24-$AE24-$AA24*(1+DY$3))/$AI24,'[8]Технический лист'!$A:$B,2,1),(DX24-0.05)))</f>
        <v>0</v>
      </c>
      <c r="DZ24" s="41">
        <f>MIN(1,MAX(VLOOKUP(($AI24-$AH24-$AG24-$AF24-$AE24-$AA24*(1+DZ$3))/$AI24,'[8]Технический лист'!$A:$B,2,1),(DY24-0.05)))</f>
        <v>0</v>
      </c>
      <c r="EA24" s="41">
        <f>MIN(1,MAX(VLOOKUP(($AI24-$AH24-$AG24-$AF24-$AE24-$AA24*(1+EA$3))/$AI24,'[8]Технический лист'!$A:$B,2,1),(DZ24-0.05)))</f>
        <v>0</v>
      </c>
      <c r="EB24" s="41">
        <f>MIN(1,MAX(VLOOKUP(($AI24-$AH24-$AG24-$AF24-$AE24-$AA24*(1+EB$3))/$AI24,'[8]Технический лист'!$A:$B,2,1),(EA24-0.05)))</f>
        <v>0</v>
      </c>
      <c r="EC24" s="41">
        <f>MIN(1,MAX(VLOOKUP(($AI24-$AH24-$AG24-$AF24-$AE24-$AA24*(1+EC$3))/$AI24,'[8]Технический лист'!$A:$B,2,1),(EB24-0.05)))</f>
        <v>0</v>
      </c>
      <c r="ED24" s="41">
        <f>MIN(1,MAX(VLOOKUP(($AI24-$AH24-$AG24-$AF24-$AE24-$AA24*(1+ED$3))/$AI24,'[8]Технический лист'!$A:$B,2,1),(EC24-0.05)))</f>
        <v>0</v>
      </c>
      <c r="EE24" s="41">
        <f>MIN(1,MAX(VLOOKUP(($AI24-$AH24-$AG24-$AF24-$AE24-$AA24*(1+EE$3))/$AI24,'[8]Технический лист'!$A:$B,2,1),(ED24-0.05)))</f>
        <v>0</v>
      </c>
      <c r="EF24" s="41">
        <f>MIN(1,MAX(VLOOKUP(($AI24-$AH24-$AG24-$AF24-$AE24-$AA24*(1+EF$3))/$AI24,'[8]Технический лист'!$A:$B,2,1),(EE24-0.05)))</f>
        <v>0</v>
      </c>
      <c r="EG24" s="41">
        <f>MIN(1,MAX(VLOOKUP(($AI24-$AH24-$AG24-$AF24-$AE24-$AA24*(1+EG$3))/$AI24,'[8]Технический лист'!$A:$B,2,1),(EF24-0.05)))</f>
        <v>0</v>
      </c>
      <c r="EH24" s="41">
        <f>MIN(1,MAX(VLOOKUP(($AI24-$AH24-$AG24-$AF24-$AE24-$AA24*(1+EH$3))/$AI24,'[8]Технический лист'!$A:$B,2,1),(EG24-0.05)))</f>
        <v>0</v>
      </c>
      <c r="EI24" s="41">
        <f>MIN(1,MAX(VLOOKUP(($AI24-$AH24-$AG24-$AF24-$AE24-$AA24*(1+EI$3))/$AI24,'[8]Технический лист'!$A:$B,2,1),(EH24-0.05)))</f>
        <v>0</v>
      </c>
      <c r="EJ24" s="41">
        <f>MIN(1,MAX(VLOOKUP(($AI24-$AH24-$AG24-$AF24-$AE24-$AA24*(1+EJ$3))/$AI24,'[8]Технический лист'!$A:$B,2,1),(EI24-0.05)))</f>
        <v>0</v>
      </c>
      <c r="EK24" s="41">
        <f>MIN(1,MAX(VLOOKUP(($AI24-$AH24-$AG24-$AF24-$AE24-$AA24*(1+EK$3))/$AI24,'[8]Технический лист'!$A:$B,2,1),(EJ24-0.05)))</f>
        <v>0</v>
      </c>
      <c r="EL24" s="41">
        <f>MIN(1,MAX(VLOOKUP(($AI24-$AH24-$AG24-$AF24-$AE24-$AA24*(1+EL$3))/$AI24,'[8]Технический лист'!$A:$B,2,1),(EK24-0.05)))</f>
        <v>0</v>
      </c>
      <c r="EM24" s="41">
        <f>MIN(1,MAX(VLOOKUP(($AI24-$AH24-$AG24-$AF24-$AE24-$AA24*(1+EM$3))/$AI24,'[8]Технический лист'!$A:$B,2,1),(EL24-0.05)))</f>
        <v>0</v>
      </c>
      <c r="EN24" s="41">
        <f>MIN(1,MAX(VLOOKUP(($AI24-$AH24-$AG24-$AF24-$AE24-$AA24*(1+EN$3))/$AI24,'[8]Технический лист'!$A:$B,2,1),(EM24-0.05)))</f>
        <v>0</v>
      </c>
      <c r="EO24" s="41">
        <f>MIN(1,MAX(VLOOKUP(($AI24-$AH24-$AG24-$AF24-$AE24-$AA24*(1+EO$3))/$AI24,'[8]Технический лист'!$A:$B,2,1),(EN24-0.05)))</f>
        <v>0</v>
      </c>
      <c r="EP24" s="41">
        <f>MIN(1,MAX(VLOOKUP(($AI24-$AH24-$AG24-$AF24-$AE24-$AA24*(1+EP$3))/$AI24,'[8]Технический лист'!$A:$B,2,1),(EO24-0.05)))</f>
        <v>0</v>
      </c>
      <c r="EQ24" s="41">
        <f>MIN(1,MAX(VLOOKUP(($AI24-$AH24-$AG24-$AF24-$AE24-$AA24*(1+EQ$3))/$AI24,'[8]Технический лист'!$A:$B,2,1),(EP24-0.05)))</f>
        <v>0</v>
      </c>
      <c r="ER24" s="41">
        <f>MIN(1,MAX(VLOOKUP(($AI24-$AH24-$AG24-$AF24-$AE24-$AA24*(1+ER$3))/$AI24,'[8]Технический лист'!$A:$B,2,1),(EQ24-0.05)))</f>
        <v>0</v>
      </c>
      <c r="ES24" s="41">
        <f>MIN(1,MAX(VLOOKUP(($AI24-$AH24-$AG24-$AF24-$AE24-$AA24*(1+ES$3))/$AI24,'[8]Технический лист'!$A:$B,2,1),(ER24-0.05)))</f>
        <v>0</v>
      </c>
      <c r="ET24" s="41">
        <f>MIN(1,MAX(VLOOKUP(($AI24-$AH24-$AG24-$AF24-$AE24-$AA24*(1+ET$3))/$AI24,'[8]Технический лист'!$A:$B,2,1),(ES24-0.05)))</f>
        <v>0</v>
      </c>
      <c r="EU24" s="41">
        <f>MIN(1,MAX(VLOOKUP(($AI24-$AH24-$AG24-$AF24-$AE24-$AA24*(1+EU$3))/$AI24,'[8]Технический лист'!$A:$B,2,1),(ET24-0.05)))</f>
        <v>0</v>
      </c>
      <c r="EV24" s="41">
        <f>MIN(1,MAX(VLOOKUP(($AI24-$AH24-$AG24-$AF24-$AE24-$AA24*(1+EV$3))/$AI24,'[8]Технический лист'!$A:$B,2,1),(EU24-0.05)))</f>
        <v>0</v>
      </c>
      <c r="EW24" s="41">
        <f>MIN(1,MAX(VLOOKUP(($AI24-$AH24-$AG24-$AF24-$AE24-$AA24*(1+EW$3))/$AI24,'[8]Технический лист'!$A:$B,2,1),(EV24-0.05)))</f>
        <v>0</v>
      </c>
      <c r="EX24" s="41">
        <f>MIN(1,MAX(VLOOKUP(($AI24-$AH24-$AG24-$AF24-$AE24-$AA24*(1+EX$3))/$AI24,'[8]Технический лист'!$A:$B,2,1),(EW24-0.05)))</f>
        <v>0</v>
      </c>
      <c r="EY24" s="41">
        <f>MIN(1,MAX(VLOOKUP(($AI24-$AH24-$AG24-$AF24-$AE24-$AA24*(1+EY$3))/$AI24,'[8]Технический лист'!$A:$B,2,1),(EX24-0.05)))</f>
        <v>0</v>
      </c>
      <c r="EZ24" s="41">
        <f>MIN(1,MAX(VLOOKUP(($AI24-$AH24-$AG24-$AF24-$AE24-$AA24*(1+EZ$3))/$AI24,'[8]Технический лист'!$A:$B,2,1),(EY24-0.05)))</f>
        <v>0</v>
      </c>
      <c r="FA24" s="41">
        <f>MIN(1,MAX(VLOOKUP(($AI24-$AH24-$AG24-$AF24-$AE24-$AA24*(1+FA$3))/$AI24,'[8]Технический лист'!$A:$B,2,1),(EZ24-0.05)))</f>
        <v>0</v>
      </c>
      <c r="FB24" s="41">
        <f>MIN(1,MAX(VLOOKUP(($AI24-$AH24-$AG24-$AF24-$AE24-$AA24*(1+FB$3))/$AI24,'[8]Технический лист'!$A:$B,2,1),(FA24-0.05)))</f>
        <v>0</v>
      </c>
      <c r="FC24" s="41">
        <f>MIN(1,MAX(VLOOKUP(($AI24-$AH24-$AG24-$AF24-$AE24-$AA24*(1+FC$3))/$AI24,'[8]Технический лист'!$A:$B,2,1),(FB24-0.05)))</f>
        <v>0</v>
      </c>
      <c r="FD24" s="41">
        <f>MIN(1,MAX(VLOOKUP(($AI24-$AH24-$AG24-$AF24-$AE24-$AA24*(1+FD$3))/$AI24,'[8]Технический лист'!$A:$B,2,1),(FC24-0.05)))</f>
        <v>0</v>
      </c>
      <c r="FE24" s="41">
        <f>MIN(1,MAX(VLOOKUP(($AI24-$AH24-$AG24-$AF24-$AE24-$AA24*(1+FE$3))/$AI24,'[8]Технический лист'!$A:$B,2,1),(FD24-0.05)))</f>
        <v>0</v>
      </c>
      <c r="FF24" s="41">
        <f>MIN(1,MAX(VLOOKUP(($AI24-$AH24-$AG24-$AF24-$AE24-$AA24*(1+FF$3))/$AI24,'[8]Технический лист'!$A:$B,2,1),(FE24-0.05)))</f>
        <v>0</v>
      </c>
      <c r="FG24" s="41">
        <f>MIN(1,MAX(VLOOKUP(($AI24-$AH24-$AG24-$AF24-$AE24-$AA24*(1+FG$3))/$AI24,'[8]Технический лист'!$A:$B,2,1),(FF24-0.05)))</f>
        <v>0</v>
      </c>
      <c r="FH24" s="41">
        <f>MIN(1,MAX(VLOOKUP(($AI24-$AH24-$AG24-$AF24-$AE24-$AA24*(1+FH$3))/$AI24,'[8]Технический лист'!$A:$B,2,1),(FG24-0.05)))</f>
        <v>0</v>
      </c>
      <c r="FI24" s="41">
        <f>MIN(1,MAX(VLOOKUP(($AI24-$AH24-$AG24-$AF24-$AE24-$AA24*(1+FI$3))/$AI24,'[8]Технический лист'!$A:$B,2,1),(FH24-0.05)))</f>
        <v>0</v>
      </c>
      <c r="FJ24" s="41">
        <f>MIN(1,MAX(VLOOKUP(($AI24-$AH24-$AG24-$AF24-$AE24-$AA24*(1+FJ$3))/$AI24,'[8]Технический лист'!$A:$B,2,1),(FI24-0.05)))</f>
        <v>0</v>
      </c>
      <c r="FK24" s="41">
        <f>MIN(1,MAX(VLOOKUP(($AI24-$AH24-$AG24-$AF24-$AE24-$AA24*(1+FK$3))/$AI24,'[8]Технический лист'!$A:$B,2,1),(FJ24-0.05)))</f>
        <v>0</v>
      </c>
      <c r="FL24" s="41">
        <f>MIN(1,MAX(VLOOKUP(($AI24-$AH24-$AG24-$AF24-$AE24-$AA24*(1+FL$3))/$AI24,'[8]Технический лист'!$A:$B,2,1),(FK24-0.05)))</f>
        <v>0</v>
      </c>
      <c r="FM24" s="41">
        <f>MIN(1,MAX(VLOOKUP(($AI24-$AH24-$AG24-$AF24-$AE24-$AA24*(1+FM$3))/$AI24,'[8]Технический лист'!$A:$B,2,1),(FL24-0.05)))</f>
        <v>0</v>
      </c>
      <c r="FN24" s="41">
        <f>MIN(1,MAX(VLOOKUP(($AI24-$AH24-$AG24-$AF24-$AE24-$AA24*(1+FN$3))/$AI24,'[8]Технический лист'!$A:$B,2,1),(FM24-0.05)))</f>
        <v>0</v>
      </c>
      <c r="FO24" s="41">
        <f>MIN(1,MAX(VLOOKUP(($AI24-$AH24-$AG24-$AF24-$AE24-$AA24*(1+FO$3))/$AI24,'[8]Технический лист'!$A:$B,2,1),(FN24-0.05)))</f>
        <v>0</v>
      </c>
      <c r="FP24" s="41">
        <f>MIN(1,MAX(VLOOKUP(($AI24-$AH24-$AG24-$AF24-$AE24-$AA24*(1+FP$3))/$AI24,'[8]Технический лист'!$A:$B,2,1),(FO24-0.05)))</f>
        <v>0</v>
      </c>
      <c r="FQ24" s="41">
        <f>MIN(1,MAX(VLOOKUP(($AI24-$AH24-$AG24-$AF24-$AE24-$AA24*(1+FQ$3))/$AI24,'[8]Технический лист'!$A:$B,2,1),(FP24-0.05)))</f>
        <v>0</v>
      </c>
      <c r="FR24" s="41">
        <f>MIN(1,MAX(VLOOKUP(($AI24-$AH24-$AG24-$AF24-$AE24-$AA24*(1+FR$3))/$AI24,'[8]Технический лист'!$A:$B,2,1),(FQ24-0.05)))</f>
        <v>0</v>
      </c>
      <c r="FS24" s="41">
        <f>MIN(1,MAX(VLOOKUP(($AI24-$AH24-$AG24-$AF24-$AE24-$AA24*(1+FS$3))/$AI24,'[8]Технический лист'!$A:$B,2,1),(FR24-0.05)))</f>
        <v>0</v>
      </c>
      <c r="FT24" s="41">
        <f>MIN(1,MAX(VLOOKUP(($AI24-$AH24-$AG24-$AF24-$AE24-$AA24*(1+FT$3))/$AI24,'[8]Технический лист'!$A:$B,2,1),(FS24-0.05)))</f>
        <v>0</v>
      </c>
      <c r="FU24" s="41">
        <f>MIN(1,MAX(VLOOKUP(($AI24-$AH24-$AG24-$AF24-$AE24-$AA24*(1+FU$3))/$AI24,'[8]Технический лист'!$A:$B,2,1),(FT24-0.05)))</f>
        <v>0</v>
      </c>
      <c r="FV24" s="41">
        <f>MIN(1,MAX(VLOOKUP(($AI24-$AH24-$AG24-$AF24-$AE24-$AA24*(1+FV$3))/$AI24,'[8]Технический лист'!$A:$B,2,1),(FU24-0.05)))</f>
        <v>0</v>
      </c>
      <c r="FW24" s="41">
        <f>MIN(1,MAX(VLOOKUP(($AI24-$AH24-$AG24-$AF24-$AE24-$AA24*(1+FW$3))/$AI24,'[8]Технический лист'!$A:$B,2,1),(FV24-0.05)))</f>
        <v>0</v>
      </c>
      <c r="FX24" s="41">
        <f>MIN(1,MAX(VLOOKUP(($AI24-$AH24-$AG24-$AF24-$AE24-$AA24*(1+FX$3))/$AI24,'[8]Технический лист'!$A:$B,2,1),(FW24-0.05)))</f>
        <v>0</v>
      </c>
      <c r="FY24" s="41">
        <f>MIN(1,MAX(VLOOKUP(($AI24-$AH24-$AG24-$AF24-$AE24-$AA24*(1+FY$3))/$AI24,'[8]Технический лист'!$A:$B,2,1),(FX24-0.05)))</f>
        <v>0</v>
      </c>
      <c r="FZ24" s="41">
        <f>MIN(1,MAX(VLOOKUP(($AI24-$AH24-$AG24-$AF24-$AE24-$AA24*(1+FZ$3))/$AI24,'[8]Технический лист'!$A:$B,2,1),(FY24-0.05)))</f>
        <v>0</v>
      </c>
      <c r="GA24" s="41">
        <f>MIN(1,MAX(VLOOKUP(($AI24-$AH24-$AG24-$AF24-$AE24-$AA24*(1+GA$3))/$AI24,'[8]Технический лист'!$A:$B,2,1),(FZ24-0.05)))</f>
        <v>0</v>
      </c>
      <c r="GB24" s="41">
        <f>MIN(1,MAX(VLOOKUP(($AI24-$AH24-$AG24-$AF24-$AE24-$AA24*(1+GB$3))/$AI24,'[8]Технический лист'!$A:$B,2,1),(GA24-0.05)))</f>
        <v>0</v>
      </c>
      <c r="GC24" s="41">
        <f>MIN(1,MAX(VLOOKUP(($AI24-$AH24-$AG24-$AF24-$AE24-$AA24*(1+GC$3))/$AI24,'[8]Технический лист'!$A:$B,2,1),(GB24-0.05)))</f>
        <v>0</v>
      </c>
      <c r="GD24" s="41">
        <f>MIN(1,MAX(VLOOKUP(($AI24-$AH24-$AG24-$AF24-$AE24-$AA24*(1+GD$3))/$AI24,'[8]Технический лист'!$A:$B,2,1),(GC24-0.05)))</f>
        <v>0</v>
      </c>
      <c r="GE24" s="41">
        <f>MIN(1,MAX(VLOOKUP(($AI24-$AH24-$AG24-$AF24-$AE24-$AA24*(1+GE$3))/$AI24,'[8]Технический лист'!$A:$B,2,1),(GD24-0.05)))</f>
        <v>0</v>
      </c>
      <c r="GF24" s="41">
        <f>MIN(1,MAX(VLOOKUP(($AI24-$AH24-$AG24-$AF24-$AE24-$AA24*(1+GF$3))/$AI24,'[8]Технический лист'!$A:$B,2,1),(GE24-0.05)))</f>
        <v>0</v>
      </c>
      <c r="GG24" s="41">
        <f>MIN(1,MAX(VLOOKUP(($AI24-$AH24-$AG24-$AF24-$AE24-$AA24*(1+GG$3))/$AI24,'[8]Технический лист'!$A:$B,2,1),(GF24-0.05)))</f>
        <v>0</v>
      </c>
      <c r="GH24" s="41">
        <f>MIN(1,MAX(VLOOKUP(($AI24-$AH24-$AG24-$AF24-$AE24-$AA24*(1+GH$3))/$AI24,'[8]Технический лист'!$A:$B,2,1),(GG24-0.05)))</f>
        <v>0</v>
      </c>
      <c r="GI24" s="41">
        <f>MIN(1,MAX(VLOOKUP(($AI24-$AH24-$AG24-$AF24-$AE24-$AA24*(1+GI$3))/$AI24,'[8]Технический лист'!$A:$B,2,1),(GH24-0.05)))</f>
        <v>0</v>
      </c>
      <c r="GJ24" s="41">
        <f>MIN(1,MAX(VLOOKUP(($AI24-$AH24-$AG24-$AF24-$AE24-$AA24*(1+GJ$3))/$AI24,'[8]Технический лист'!$A:$B,2,1),(GI24-0.05)))</f>
        <v>0</v>
      </c>
      <c r="GK24" s="41">
        <f>MIN(1,MAX(VLOOKUP(($AI24-$AH24-$AG24-$AF24-$AE24-$AA24*(1+GK$3))/$AI24,'[8]Технический лист'!$A:$B,2,1),(GJ24-0.05)))</f>
        <v>0</v>
      </c>
      <c r="GL24" s="41">
        <f>MIN(1,MAX(VLOOKUP(($AI24-$AH24-$AG24-$AF24-$AE24-$AA24*(1+GL$3))/$AI24,'[8]Технический лист'!$A:$B,2,1),(GK24-0.05)))</f>
        <v>0</v>
      </c>
      <c r="GM24" s="41">
        <f>MIN(1,MAX(VLOOKUP(($AI24-$AH24-$AG24-$AF24-$AE24-$AA24*(1+GM$3))/$AI24,'[8]Технический лист'!$A:$B,2,1),(GL24-0.05)))</f>
        <v>0</v>
      </c>
      <c r="GN24" s="41">
        <f>MIN(1,MAX(VLOOKUP(($AI24-$AH24-$AG24-$AF24-$AE24-$AA24*(1+GN$3))/$AI24,'[8]Технический лист'!$A:$B,2,1),(GM24-0.05)))</f>
        <v>0</v>
      </c>
    </row>
    <row r="25" spans="1:196">
      <c r="A25" s="3">
        <v>6</v>
      </c>
      <c r="B25" s="15" t="s">
        <v>61</v>
      </c>
      <c r="C25" s="4" t="s">
        <v>150</v>
      </c>
      <c r="D25" s="4" t="s">
        <v>151</v>
      </c>
      <c r="E25" s="4" t="s">
        <v>152</v>
      </c>
      <c r="F25" s="4" t="s">
        <v>25</v>
      </c>
      <c r="G25" s="4" t="s">
        <v>25</v>
      </c>
      <c r="H25" s="4" t="s">
        <v>72</v>
      </c>
      <c r="I25" s="4" t="s">
        <v>164</v>
      </c>
      <c r="J25" s="4" t="s">
        <v>165</v>
      </c>
      <c r="K25" s="4" t="s">
        <v>169</v>
      </c>
      <c r="L25" s="4" t="s">
        <v>21</v>
      </c>
      <c r="M25" s="4" t="s">
        <v>167</v>
      </c>
      <c r="N25" s="4" t="s">
        <v>56</v>
      </c>
      <c r="O25" s="4" t="s">
        <v>74</v>
      </c>
      <c r="P25" s="4" t="s">
        <v>75</v>
      </c>
      <c r="Q25" s="4" t="s">
        <v>76</v>
      </c>
      <c r="R25" s="16">
        <v>92907</v>
      </c>
      <c r="S25" s="17">
        <v>13564560</v>
      </c>
      <c r="T25" s="18">
        <v>1928</v>
      </c>
      <c r="U25" s="18">
        <v>0</v>
      </c>
      <c r="V25" s="17">
        <v>53062354</v>
      </c>
      <c r="W25" s="26" t="s">
        <v>180</v>
      </c>
      <c r="X25" s="26">
        <v>60</v>
      </c>
      <c r="Y25" s="24">
        <v>490.48</v>
      </c>
      <c r="Z25" s="27">
        <f>AA25-Y25</f>
        <v>138.44999999999993</v>
      </c>
      <c r="AA25" s="20">
        <v>628.92999999999995</v>
      </c>
      <c r="AB25" s="20">
        <v>4</v>
      </c>
      <c r="AC25" s="20">
        <v>4</v>
      </c>
      <c r="AD25" s="20">
        <v>4</v>
      </c>
      <c r="AE25" s="20">
        <f>'Ставки аренды'!$B$2*SUM(Лесные!AB25+Лесные!AC25+Лесные!AD25)/Лесные!X25</f>
        <v>140</v>
      </c>
      <c r="AF25" s="20">
        <v>0</v>
      </c>
      <c r="AG25" s="20"/>
      <c r="AH25" s="20">
        <f>0.85*AI25</f>
        <v>3485</v>
      </c>
      <c r="AI25" s="20">
        <f>Цены!$C$11</f>
        <v>4100</v>
      </c>
      <c r="AJ25" s="20"/>
      <c r="AK25" s="21"/>
      <c r="AL25" s="20"/>
      <c r="AM25" s="20"/>
      <c r="AN25" s="29">
        <f>(AI25-AH25-AG25-AF25-AE25-AA25)/AI25</f>
        <v>-3.7543902439024376E-2</v>
      </c>
      <c r="AO25" s="20"/>
      <c r="AP25" s="20"/>
      <c r="AQ25" s="2"/>
      <c r="AR25" s="19"/>
      <c r="AS25" s="42">
        <v>0.8</v>
      </c>
      <c r="AT25" s="41">
        <f>MIN(IF($AS25=100%,1,1+VLOOKUP(($AI25-$AH25-$AG25-$AF25-$AE25-$AA25*(1+AT$3))/$AI25,'Технический лист'!$A:$B,2,1)-VLOOKUP($AN25,'Технический лист'!$A:$B,2,1)),1+(1-$AS25))</f>
        <v>1.1099999999999999</v>
      </c>
      <c r="AU25" s="41">
        <f>MIN(IF($AS25=100%,1,1+VLOOKUP(($AI25-$AH25-$AG25-$AF25-$AE25-$AA25*(1+AU$3))/$AI25,'Технический лист'!$A:$B,2,1)-VLOOKUP($AN25,'Технический лист'!$A:$B,2,1)),1+(1-$AS25))</f>
        <v>1.1099999999999999</v>
      </c>
      <c r="AV25" s="41">
        <f>MIN(IF($AS25=100%,1,1+VLOOKUP(($AI25-$AH25-$AG25-$AF25-$AE25-$AA25*(1+AV$3))/$AI25,'Технический лист'!$A:$B,2,1)-VLOOKUP($AN25,'Технический лист'!$A:$B,2,1)),1+(1-$AS25))</f>
        <v>1.1000000000000001</v>
      </c>
      <c r="AW25" s="41">
        <f>MIN(IF($AS25=100%,1,1+VLOOKUP(($AI25-$AH25-$AG25-$AF25-$AE25-$AA25*(1+AW$3))/$AI25,'Технический лист'!$A:$B,2,1)-VLOOKUP($AN25,'Технический лист'!$A:$B,2,1)),1+(1-$AS25))</f>
        <v>1.1000000000000001</v>
      </c>
      <c r="AX25" s="41">
        <f>MIN(IF($AS25=100%,1,1+VLOOKUP(($AI25-$AH25-$AG25-$AF25-$AE25-$AA25*(1+AX$3))/$AI25,'Технический лист'!$A:$B,2,1)-VLOOKUP($AN25,'Технический лист'!$A:$B,2,1)),1+(1-$AS25))</f>
        <v>1.1000000000000001</v>
      </c>
      <c r="AY25" s="41">
        <f>MIN(IF($AS25=100%,1,1+VLOOKUP(($AI25-$AH25-$AG25-$AF25-$AE25-$AA25*(1+AY$3))/$AI25,'Технический лист'!$A:$B,2,1)-VLOOKUP($AN25,'Технический лист'!$A:$B,2,1)),1+(1-$AS25))</f>
        <v>1.1000000000000001</v>
      </c>
      <c r="AZ25" s="41">
        <f>MIN(IF($AS25=100%,1,1+VLOOKUP(($AI25-$AH25-$AG25-$AF25-$AE25-$AA25*(1+AZ$3))/$AI25,'Технический лист'!$A:$B,2,1)-VLOOKUP($AN25,'Технический лист'!$A:$B,2,1)),1+(1-$AS25))</f>
        <v>1.1000000000000001</v>
      </c>
      <c r="BA25" s="41">
        <f>MIN(IF($AS25=100%,1,1+VLOOKUP(($AI25-$AH25-$AG25-$AF25-$AE25-$AA25*(1+BA$3))/$AI25,'Технический лист'!$A:$B,2,1)-VLOOKUP($AN25,'Технический лист'!$A:$B,2,1)),1+(1-$AS25))</f>
        <v>1.1000000000000001</v>
      </c>
      <c r="BB25" s="41">
        <f>MIN(IF($AS25=100%,1,1+VLOOKUP(($AI25-$AH25-$AG25-$AF25-$AE25-$AA25*(1+BB$3))/$AI25,'Технический лист'!$A:$B,2,1)-VLOOKUP($AN25,'Технический лист'!$A:$B,2,1)),1+(1-$AS25))</f>
        <v>1.0899999999999999</v>
      </c>
      <c r="BC25" s="41">
        <f>MIN(IF($AS25=100%,1,1+VLOOKUP(($AI25-$AH25-$AG25-$AF25-$AE25-$AA25*(1+BC$3))/$AI25,'Технический лист'!$A:$B,2,1)-VLOOKUP($AN25,'Технический лист'!$A:$B,2,1)),1+(1-$AS25))</f>
        <v>1.0899999999999999</v>
      </c>
      <c r="BD25" s="41">
        <f>MIN(IF($AS25=100%,1,1+VLOOKUP(($AI25-$AH25-$AG25-$AF25-$AE25-$AA25*(1+BD$3))/$AI25,'Технический лист'!$A:$B,2,1)-VLOOKUP($AN25,'Технический лист'!$A:$B,2,1)),1+(1-$AS25))</f>
        <v>1.0899999999999999</v>
      </c>
      <c r="BE25" s="41">
        <f>MIN(IF($AS25=100%,1,1+VLOOKUP(($AI25-$AH25-$AG25-$AF25-$AE25-$AA25*(1+BE$3))/$AI25,'Технический лист'!$A:$B,2,1)-VLOOKUP($AN25,'Технический лист'!$A:$B,2,1)),1+(1-$AS25))</f>
        <v>1.0899999999999999</v>
      </c>
      <c r="BF25" s="41">
        <f>MIN(IF($AS25=100%,1,1+VLOOKUP(($AI25-$AH25-$AG25-$AF25-$AE25-$AA25*(1+BF$3))/$AI25,'Технический лист'!$A:$B,2,1)-VLOOKUP($AN25,'Технический лист'!$A:$B,2,1)),1+(1-$AS25))</f>
        <v>1.0899999999999999</v>
      </c>
      <c r="BG25" s="41">
        <f>MIN(IF($AS25=100%,1,1+VLOOKUP(($AI25-$AH25-$AG25-$AF25-$AE25-$AA25*(1+BG$3))/$AI25,'Технический лист'!$A:$B,2,1)-VLOOKUP($AN25,'Технический лист'!$A:$B,2,1)),1+(1-$AS25))</f>
        <v>1.0899999999999999</v>
      </c>
      <c r="BH25" s="41">
        <f>MIN(IF($AS25=100%,1,1+VLOOKUP(($AI25-$AH25-$AG25-$AF25-$AE25-$AA25*(1+BH$3))/$AI25,'Технический лист'!$A:$B,2,1)-VLOOKUP($AN25,'Технический лист'!$A:$B,2,1)),1+(1-$AS25))</f>
        <v>1.0899999999999999</v>
      </c>
      <c r="BI25" s="41">
        <f>MIN(IF($AS25=100%,1,1+VLOOKUP(($AI25-$AH25-$AG25-$AF25-$AE25-$AA25*(1+BI$3))/$AI25,'Технический лист'!$A:$B,2,1)-VLOOKUP($AN25,'Технический лист'!$A:$B,2,1)),1+(1-$AS25))</f>
        <v>1.0749999999999997</v>
      </c>
      <c r="BJ25" s="41">
        <f>MIN(IF($AS25=100%,1,1+VLOOKUP(($AI25-$AH25-$AG25-$AF25-$AE25-$AA25*(1+BJ$3))/$AI25,'Технический лист'!$A:$B,2,1)-VLOOKUP($AN25,'Технический лист'!$A:$B,2,1)),1+(1-$AS25))</f>
        <v>1.0749999999999997</v>
      </c>
      <c r="BK25" s="41">
        <f>MIN(IF($AS25=100%,1,1+VLOOKUP(($AI25-$AH25-$AG25-$AF25-$AE25-$AA25*(1+BK$3))/$AI25,'Технический лист'!$A:$B,2,1)-VLOOKUP($AN25,'Технический лист'!$A:$B,2,1)),1+(1-$AS25))</f>
        <v>1.0749999999999997</v>
      </c>
      <c r="BL25" s="41">
        <f>MIN(IF($AS25=100%,1,1+VLOOKUP(($AI25-$AH25-$AG25-$AF25-$AE25-$AA25*(1+BL$3))/$AI25,'Технический лист'!$A:$B,2,1)-VLOOKUP($AN25,'Технический лист'!$A:$B,2,1)),1+(1-$AS25))</f>
        <v>1.0749999999999997</v>
      </c>
      <c r="BM25" s="41">
        <f>MIN(IF($AS25=100%,1,1+VLOOKUP(($AI25-$AH25-$AG25-$AF25-$AE25-$AA25*(1+BM$3))/$AI25,'Технический лист'!$A:$B,2,1)-VLOOKUP($AN25,'Технический лист'!$A:$B,2,1)),1+(1-$AS25))</f>
        <v>1.0749999999999997</v>
      </c>
      <c r="BN25" s="41">
        <f>MIN(IF($AS25=100%,1,1+VLOOKUP(($AI25-$AH25-$AG25-$AF25-$AE25-$AA25*(1+BN$3))/$AI25,'Технический лист'!$A:$B,2,1)-VLOOKUP($AN25,'Технический лист'!$A:$B,2,1)),1+(1-$AS25))</f>
        <v>1.0749999999999997</v>
      </c>
      <c r="BO25" s="41">
        <f>MIN(IF($AS25=100%,1,1+VLOOKUP(($AI25-$AH25-$AG25-$AF25-$AE25-$AA25*(1+BO$3))/$AI25,'Технический лист'!$A:$B,2,1)-VLOOKUP($AN25,'Технический лист'!$A:$B,2,1)),1+(1-$AS25))</f>
        <v>1.06</v>
      </c>
      <c r="BP25" s="41">
        <f>MIN(IF($AS25=100%,1,1+VLOOKUP(($AI25-$AH25-$AG25-$AF25-$AE25-$AA25*(1+BP$3))/$AI25,'Технический лист'!$A:$B,2,1)-VLOOKUP($AN25,'Технический лист'!$A:$B,2,1)),1+(1-$AS25))</f>
        <v>1.06</v>
      </c>
      <c r="BQ25" s="41">
        <f>MIN(IF($AS25=100%,1,1+VLOOKUP(($AI25-$AH25-$AG25-$AF25-$AE25-$AA25*(1+BQ$3))/$AI25,'Технический лист'!$A:$B,2,1)-VLOOKUP($AN25,'Технический лист'!$A:$B,2,1)),1+(1-$AS25))</f>
        <v>1.06</v>
      </c>
      <c r="BR25" s="41">
        <f>MIN(IF($AS25=100%,1,1+VLOOKUP(($AI25-$AH25-$AG25-$AF25-$AE25-$AA25*(1+BR$3))/$AI25,'Технический лист'!$A:$B,2,1)-VLOOKUP($AN25,'Технический лист'!$A:$B,2,1)),1+(1-$AS25))</f>
        <v>1.06</v>
      </c>
      <c r="BS25" s="41">
        <f>MIN(IF($AS25=100%,1,1+VLOOKUP(($AI25-$AH25-$AG25-$AF25-$AE25-$AA25*(1+BS$3))/$AI25,'Технический лист'!$A:$B,2,1)-VLOOKUP($AN25,'Технический лист'!$A:$B,2,1)),1+(1-$AS25))</f>
        <v>1.06</v>
      </c>
      <c r="BT25" s="41">
        <f>MIN(IF($AS25=100%,1,1+VLOOKUP(($AI25-$AH25-$AG25-$AF25-$AE25-$AA25*(1+BT$3))/$AI25,'Технический лист'!$A:$B,2,1)-VLOOKUP($AN25,'Технический лист'!$A:$B,2,1)),1+(1-$AS25))</f>
        <v>1.06</v>
      </c>
      <c r="BU25" s="41">
        <f>MIN(IF($AS25=100%,1,1+VLOOKUP(($AI25-$AH25-$AG25-$AF25-$AE25-$AA25*(1+BU$3))/$AI25,'Технический лист'!$A:$B,2,1)-VLOOKUP($AN25,'Технический лист'!$A:$B,2,1)),1+(1-$AS25))</f>
        <v>1.06</v>
      </c>
      <c r="BV25" s="41">
        <f>MIN(IF($AS25=100%,1,1+VLOOKUP(($AI25-$AH25-$AG25-$AF25-$AE25-$AA25*(1+BV$3))/$AI25,'Технический лист'!$A:$B,2,1)-VLOOKUP($AN25,'Технический лист'!$A:$B,2,1)),1+(1-$AS25))</f>
        <v>1.0449999999999999</v>
      </c>
      <c r="BW25" s="41">
        <f>MIN(IF($AS25=100%,1,1+VLOOKUP(($AI25-$AH25-$AG25-$AF25-$AE25-$AA25*(1+BW$3))/$AI25,'Технический лист'!$A:$B,2,1)-VLOOKUP($AN25,'Технический лист'!$A:$B,2,1)),1+(1-$AS25))</f>
        <v>1.0449999999999999</v>
      </c>
      <c r="BX25" s="41">
        <f>MIN(IF($AS25=100%,1,1+VLOOKUP(($AI25-$AH25-$AG25-$AF25-$AE25-$AA25*(1+BX$3))/$AI25,'Технический лист'!$A:$B,2,1)-VLOOKUP($AN25,'Технический лист'!$A:$B,2,1)),1+(1-$AS25))</f>
        <v>1.0449999999999999</v>
      </c>
      <c r="BY25" s="41">
        <f>MIN(IF($AS25=100%,1,1+VLOOKUP(($AI25-$AH25-$AG25-$AF25-$AE25-$AA25*(1+BY$3))/$AI25,'Технический лист'!$A:$B,2,1)-VLOOKUP($AN25,'Технический лист'!$A:$B,2,1)),1+(1-$AS25))</f>
        <v>1.0449999999999999</v>
      </c>
      <c r="BZ25" s="41">
        <f>MIN(IF($AS25=100%,1,1+VLOOKUP(($AI25-$AH25-$AG25-$AF25-$AE25-$AA25*(1+BZ$3))/$AI25,'Технический лист'!$A:$B,2,1)-VLOOKUP($AN25,'Технический лист'!$A:$B,2,1)),1+(1-$AS25))</f>
        <v>1.0449999999999999</v>
      </c>
      <c r="CA25" s="41">
        <f>MIN(IF($AS25=100%,1,1+VLOOKUP(($AI25-$AH25-$AG25-$AF25-$AE25-$AA25*(1+CA$3))/$AI25,'Технический лист'!$A:$B,2,1)-VLOOKUP($AN25,'Технический лист'!$A:$B,2,1)),1+(1-$AS25))</f>
        <v>1.0449999999999999</v>
      </c>
      <c r="CB25" s="41">
        <f>MIN(IF($AS25=100%,1,1+VLOOKUP(($AI25-$AH25-$AG25-$AF25-$AE25-$AA25*(1+CB$3))/$AI25,'Технический лист'!$A:$B,2,1)-VLOOKUP($AN25,'Технический лист'!$A:$B,2,1)),1+(1-$AS25))</f>
        <v>1.0299999999999998</v>
      </c>
      <c r="CC25" s="41">
        <f>MIN(IF($AS25=100%,1,1+VLOOKUP(($AI25-$AH25-$AG25-$AF25-$AE25-$AA25*(1+CC$3))/$AI25,'Технический лист'!$A:$B,2,1)-VLOOKUP($AN25,'Технический лист'!$A:$B,2,1)),1+(1-$AS25))</f>
        <v>1.0299999999999998</v>
      </c>
      <c r="CD25" s="41">
        <f>MIN(IF($AS25=100%,1,1+VLOOKUP(($AI25-$AH25-$AG25-$AF25-$AE25-$AA25*(1+CD$3))/$AI25,'Технический лист'!$A:$B,2,1)-VLOOKUP($AN25,'Технический лист'!$A:$B,2,1)),1+(1-$AS25))</f>
        <v>1.0299999999999998</v>
      </c>
      <c r="CE25" s="41">
        <f>MIN(IF($AS25=100%,1,1+VLOOKUP(($AI25-$AH25-$AG25-$AF25-$AE25-$AA25*(1+CE$3))/$AI25,'Технический лист'!$A:$B,2,1)-VLOOKUP($AN25,'Технический лист'!$A:$B,2,1)),1+(1-$AS25))</f>
        <v>1.0299999999999998</v>
      </c>
      <c r="CF25" s="41">
        <f>MIN(IF($AS25=100%,1,1+VLOOKUP(($AI25-$AH25-$AG25-$AF25-$AE25-$AA25*(1+CF$3))/$AI25,'Технический лист'!$A:$B,2,1)-VLOOKUP($AN25,'Технический лист'!$A:$B,2,1)),1+(1-$AS25))</f>
        <v>1.0299999999999998</v>
      </c>
      <c r="CG25" s="41">
        <f>MIN(IF($AS25=100%,1,1+VLOOKUP(($AI25-$AH25-$AG25-$AF25-$AE25-$AA25*(1+CG$3))/$AI25,'Технический лист'!$A:$B,2,1)-VLOOKUP($AN25,'Технический лист'!$A:$B,2,1)),1+(1-$AS25))</f>
        <v>1.0299999999999998</v>
      </c>
      <c r="CH25" s="41">
        <f>MIN(IF($AS25=100%,1,1+VLOOKUP(($AI25-$AH25-$AG25-$AF25-$AE25-$AA25*(1+CH$3))/$AI25,'Технический лист'!$A:$B,2,1)-VLOOKUP($AN25,'Технический лист'!$A:$B,2,1)),1+(1-$AS25))</f>
        <v>1.0299999999999998</v>
      </c>
      <c r="CI25" s="41">
        <f>MIN(IF($AS25=100%,1,1+VLOOKUP(($AI25-$AH25-$AG25-$AF25-$AE25-$AA25*(1+CI$3))/$AI25,'Технический лист'!$A:$B,2,1)-VLOOKUP($AN25,'Технический лист'!$A:$B,2,1)),1+(1-$AS25))</f>
        <v>1.0150000000000001</v>
      </c>
      <c r="CJ25" s="41">
        <f>MIN(IF($AS25=100%,1,1+VLOOKUP(($AI25-$AH25-$AG25-$AF25-$AE25-$AA25*(1+CJ$3))/$AI25,'Технический лист'!$A:$B,2,1)-VLOOKUP($AN25,'Технический лист'!$A:$B,2,1)),1+(1-$AS25))</f>
        <v>1.0150000000000001</v>
      </c>
      <c r="CK25" s="41">
        <f>MIN(IF($AS25=100%,1,1+VLOOKUP(($AI25-$AH25-$AG25-$AF25-$AE25-$AA25*(1+CK$3))/$AI25,'Технический лист'!$A:$B,2,1)-VLOOKUP($AN25,'Технический лист'!$A:$B,2,1)),1+(1-$AS25))</f>
        <v>1.0150000000000001</v>
      </c>
      <c r="CL25" s="41">
        <f>MIN(IF($AS25=100%,1,1+VLOOKUP(($AI25-$AH25-$AG25-$AF25-$AE25-$AA25*(1+CL$3))/$AI25,'Технический лист'!$A:$B,2,1)-VLOOKUP($AN25,'Технический лист'!$A:$B,2,1)),1+(1-$AS25))</f>
        <v>1.0150000000000001</v>
      </c>
      <c r="CM25" s="41">
        <f>MIN(IF($AS25=100%,1,1+VLOOKUP(($AI25-$AH25-$AG25-$AF25-$AE25-$AA25*(1+CM$3))/$AI25,'Технический лист'!$A:$B,2,1)-VLOOKUP($AN25,'Технический лист'!$A:$B,2,1)),1+(1-$AS25))</f>
        <v>1.0150000000000001</v>
      </c>
      <c r="CN25" s="41">
        <f>MIN(IF($AS25=100%,1,1+VLOOKUP(($AI25-$AH25-$AG25-$AF25-$AE25-$AA25*(1+CN$3))/$AI25,'Технический лист'!$A:$B,2,1)-VLOOKUP($AN25,'Технический лист'!$A:$B,2,1)),1+(1-$AS25))</f>
        <v>1.0150000000000001</v>
      </c>
      <c r="CO25" s="41">
        <f>MIN(IF($AS25=100%,1,1+VLOOKUP(($AI25-$AH25-$AG25-$AF25-$AE25-$AA25*(1+CO$3))/$AI25,'Технический лист'!$A:$B,2,1)-VLOOKUP($AN25,'Технический лист'!$A:$B,2,1)),1+(1-$AS25))</f>
        <v>1</v>
      </c>
      <c r="CP25" s="41">
        <f>MIN(IF($AS25=100%,1,1+VLOOKUP(($AI25-$AH25-$AG25-$AF25-$AE25-$AA25*(1+CP$3))/$AI25,'Технический лист'!$A:$B,2,1)-VLOOKUP($AN25,'Технический лист'!$A:$B,2,1)),1+(1-$AS25))</f>
        <v>1</v>
      </c>
      <c r="CQ25" s="41">
        <f>MIN(IF($AS25=100%,1,1+VLOOKUP(($AI25-$AH25-$AG25-$AF25-$AE25-$AA25*(1+CQ$3))/$AI25,'Технический лист'!$A:$B,2,1)-VLOOKUP($AN25,'Технический лист'!$A:$B,2,1)),1+(1-$AS25))</f>
        <v>1</v>
      </c>
      <c r="CR25">
        <v>1</v>
      </c>
      <c r="CS25" s="41">
        <f>MIN(1,MAX(VLOOKUP(($AI25-$AH25-$AG25-$AF25-$AE25-$AA25*(1+CS$3))/$AI25,'[8]Технический лист'!$A:$B,2,1),(CR25-0.05)))</f>
        <v>0.97</v>
      </c>
      <c r="CT25" s="41">
        <f>MIN(1,MAX(VLOOKUP(($AI25-$AH25-$AG25-$AF25-$AE25-$AA25*(1+CT$3))/$AI25,'[8]Технический лист'!$A:$B,2,1),(CS25-0.05)))</f>
        <v>0.97</v>
      </c>
      <c r="CU25" s="41">
        <f>MIN(1,MAX(VLOOKUP(($AI25-$AH25-$AG25-$AF25-$AE25-$AA25*(1+CU$3))/$AI25,'[8]Технический лист'!$A:$B,2,1),(CT25-0.05)))</f>
        <v>0.97</v>
      </c>
      <c r="CV25" s="41">
        <f>MIN(1,MAX(VLOOKUP(($AI25-$AH25-$AG25-$AF25-$AE25-$AA25*(1+CV$3))/$AI25,'[8]Технический лист'!$A:$B,2,1),(CU25-0.05)))</f>
        <v>0.96499999999999997</v>
      </c>
      <c r="CW25" s="41">
        <f>MIN(1,MAX(VLOOKUP(($AI25-$AH25-$AG25-$AF25-$AE25-$AA25*(1+CW$3))/$AI25,'[8]Технический лист'!$A:$B,2,1),(CV25-0.05)))</f>
        <v>0.96499999999999997</v>
      </c>
      <c r="CX25" s="41">
        <f>MIN(1,MAX(VLOOKUP(($AI25-$AH25-$AG25-$AF25-$AE25-$AA25*(1+CX$3))/$AI25,'[8]Технический лист'!$A:$B,2,1),(CW25-0.05)))</f>
        <v>0.96499999999999997</v>
      </c>
      <c r="CY25" s="41">
        <f>MIN(1,MAX(VLOOKUP(($AI25-$AH25-$AG25-$AF25-$AE25-$AA25*(1+CY$3))/$AI25,'[8]Технический лист'!$A:$B,2,1),(CX25-0.05)))</f>
        <v>0.96499999999999997</v>
      </c>
      <c r="CZ25" s="41">
        <f>MIN(1,MAX(VLOOKUP(($AI25-$AH25-$AG25-$AF25-$AE25-$AA25*(1+CZ$3))/$AI25,'[8]Технический лист'!$A:$B,2,1),(CY25-0.05)))</f>
        <v>0.96499999999999997</v>
      </c>
      <c r="DA25" s="41">
        <f>MIN(1,MAX(VLOOKUP(($AI25-$AH25-$AG25-$AF25-$AE25-$AA25*(1+DA$3))/$AI25,'[8]Технический лист'!$A:$B,2,1),(CZ25-0.05)))</f>
        <v>0.96499999999999997</v>
      </c>
      <c r="DB25" s="41">
        <f>MIN(1,MAX(VLOOKUP(($AI25-$AH25-$AG25-$AF25-$AE25-$AA25*(1+DB$3))/$AI25,'[8]Технический лист'!$A:$B,2,1),(DA25-0.05)))</f>
        <v>0.96</v>
      </c>
      <c r="DC25" s="41">
        <f>MIN(1,MAX(VLOOKUP(($AI25-$AH25-$AG25-$AF25-$AE25-$AA25*(1+DC$3))/$AI25,'[8]Технический лист'!$A:$B,2,1),(DB25-0.05)))</f>
        <v>0.96</v>
      </c>
      <c r="DD25" s="41">
        <f>MIN(1,MAX(VLOOKUP(($AI25-$AH25-$AG25-$AF25-$AE25-$AA25*(1+DD$3))/$AI25,'[8]Технический лист'!$A:$B,2,1),(DC25-0.05)))</f>
        <v>0.96</v>
      </c>
      <c r="DE25" s="41">
        <f>MIN(1,MAX(VLOOKUP(($AI25-$AH25-$AG25-$AF25-$AE25-$AA25*(1+DE$3))/$AI25,'[8]Технический лист'!$A:$B,2,1),(DD25-0.05)))</f>
        <v>0.96</v>
      </c>
      <c r="DF25" s="41">
        <f>MIN(1,MAX(VLOOKUP(($AI25-$AH25-$AG25-$AF25-$AE25-$AA25*(1+DF$3))/$AI25,'[8]Технический лист'!$A:$B,2,1),(DE25-0.05)))</f>
        <v>0.96</v>
      </c>
      <c r="DG25" s="41">
        <f>MIN(1,MAX(VLOOKUP(($AI25-$AH25-$AG25-$AF25-$AE25-$AA25*(1+DG$3))/$AI25,'[8]Технический лист'!$A:$B,2,1),(DF25-0.05)))</f>
        <v>0.96</v>
      </c>
      <c r="DH25" s="41">
        <f>MIN(1,MAX(VLOOKUP(($AI25-$AH25-$AG25-$AF25-$AE25-$AA25*(1+DH$3))/$AI25,'[8]Технический лист'!$A:$B,2,1),(DG25-0.05)))</f>
        <v>0.96</v>
      </c>
      <c r="DI25" s="41">
        <f>MIN(1,MAX(VLOOKUP(($AI25-$AH25-$AG25-$AF25-$AE25-$AA25*(1+DI$3))/$AI25,'[8]Технический лист'!$A:$B,2,1),(DH25-0.05)))</f>
        <v>0.95</v>
      </c>
      <c r="DJ25" s="41">
        <f>MIN(1,MAX(VLOOKUP(($AI25-$AH25-$AG25-$AF25-$AE25-$AA25*(1+DJ$3))/$AI25,'[8]Технический лист'!$A:$B,2,1),(DI25-0.05)))</f>
        <v>0.95</v>
      </c>
      <c r="DK25" s="41">
        <f>MIN(1,MAX(VLOOKUP(($AI25-$AH25-$AG25-$AF25-$AE25-$AA25*(1+DK$3))/$AI25,'[8]Технический лист'!$A:$B,2,1),(DJ25-0.05)))</f>
        <v>0.95</v>
      </c>
      <c r="DL25" s="41">
        <f>MIN(1,MAX(VLOOKUP(($AI25-$AH25-$AG25-$AF25-$AE25-$AA25*(1+DL$3))/$AI25,'[8]Технический лист'!$A:$B,2,1),(DK25-0.05)))</f>
        <v>0.95</v>
      </c>
      <c r="DM25" s="41">
        <f>MIN(1,MAX(VLOOKUP(($AI25-$AH25-$AG25-$AF25-$AE25-$AA25*(1+DM$3))/$AI25,'[8]Технический лист'!$A:$B,2,1),(DL25-0.05)))</f>
        <v>0.95</v>
      </c>
      <c r="DN25" s="41">
        <f>MIN(1,MAX(VLOOKUP(($AI25-$AH25-$AG25-$AF25-$AE25-$AA25*(1+DN$3))/$AI25,'[8]Технический лист'!$A:$B,2,1),(DM25-0.05)))</f>
        <v>0.95</v>
      </c>
      <c r="DO25" s="41">
        <f>MIN(1,MAX(VLOOKUP(($AI25-$AH25-$AG25-$AF25-$AE25-$AA25*(1+DO$3))/$AI25,'[8]Технический лист'!$A:$B,2,1),(DN25-0.05)))</f>
        <v>0.94</v>
      </c>
      <c r="DP25" s="41">
        <f>MIN(1,MAX(VLOOKUP(($AI25-$AH25-$AG25-$AF25-$AE25-$AA25*(1+DP$3))/$AI25,'[8]Технический лист'!$A:$B,2,1),(DO25-0.05)))</f>
        <v>0.94</v>
      </c>
      <c r="DQ25" s="41">
        <f>MIN(1,MAX(VLOOKUP(($AI25-$AH25-$AG25-$AF25-$AE25-$AA25*(1+DQ$3))/$AI25,'[8]Технический лист'!$A:$B,2,1),(DP25-0.05)))</f>
        <v>0.94</v>
      </c>
      <c r="DR25" s="41">
        <f>MIN(1,MAX(VLOOKUP(($AI25-$AH25-$AG25-$AF25-$AE25-$AA25*(1+DR$3))/$AI25,'[8]Технический лист'!$A:$B,2,1),(DQ25-0.05)))</f>
        <v>0.94</v>
      </c>
      <c r="DS25" s="41">
        <f>MIN(1,MAX(VLOOKUP(($AI25-$AH25-$AG25-$AF25-$AE25-$AA25*(1+DS$3))/$AI25,'[8]Технический лист'!$A:$B,2,1),(DR25-0.05)))</f>
        <v>0.94</v>
      </c>
      <c r="DT25" s="41">
        <f>MIN(1,MAX(VLOOKUP(($AI25-$AH25-$AG25-$AF25-$AE25-$AA25*(1+DT$3))/$AI25,'[8]Технический лист'!$A:$B,2,1),(DS25-0.05)))</f>
        <v>0.94</v>
      </c>
      <c r="DU25" s="41">
        <f>MIN(1,MAX(VLOOKUP(($AI25-$AH25-$AG25-$AF25-$AE25-$AA25*(1+DU$3))/$AI25,'[8]Технический лист'!$A:$B,2,1),(DT25-0.05)))</f>
        <v>0.94</v>
      </c>
      <c r="DV25" s="41">
        <f>MIN(1,MAX(VLOOKUP(($AI25-$AH25-$AG25-$AF25-$AE25-$AA25*(1+DV$3))/$AI25,'[8]Технический лист'!$A:$B,2,1),(DU25-0.05)))</f>
        <v>0.93</v>
      </c>
      <c r="DW25" s="41">
        <f>MIN(1,MAX(VLOOKUP(($AI25-$AH25-$AG25-$AF25-$AE25-$AA25*(1+DW$3))/$AI25,'[8]Технический лист'!$A:$B,2,1),(DV25-0.05)))</f>
        <v>0.93</v>
      </c>
      <c r="DX25" s="41">
        <f>MIN(1,MAX(VLOOKUP(($AI25-$AH25-$AG25-$AF25-$AE25-$AA25*(1+DX$3))/$AI25,'[8]Технический лист'!$A:$B,2,1),(DW25-0.05)))</f>
        <v>0.93</v>
      </c>
      <c r="DY25" s="41">
        <f>MIN(1,MAX(VLOOKUP(($AI25-$AH25-$AG25-$AF25-$AE25-$AA25*(1+DY$3))/$AI25,'[8]Технический лист'!$A:$B,2,1),(DX25-0.05)))</f>
        <v>0.93</v>
      </c>
      <c r="DZ25" s="41">
        <f>MIN(1,MAX(VLOOKUP(($AI25-$AH25-$AG25-$AF25-$AE25-$AA25*(1+DZ$3))/$AI25,'[8]Технический лист'!$A:$B,2,1),(DY25-0.05)))</f>
        <v>0.93</v>
      </c>
      <c r="EA25" s="41">
        <f>MIN(1,MAX(VLOOKUP(($AI25-$AH25-$AG25-$AF25-$AE25-$AA25*(1+EA$3))/$AI25,'[8]Технический лист'!$A:$B,2,1),(DZ25-0.05)))</f>
        <v>0.93</v>
      </c>
      <c r="EB25" s="41">
        <f>MIN(1,MAX(VLOOKUP(($AI25-$AH25-$AG25-$AF25-$AE25-$AA25*(1+EB$3))/$AI25,'[8]Технический лист'!$A:$B,2,1),(EA25-0.05)))</f>
        <v>0.92</v>
      </c>
      <c r="EC25" s="41">
        <f>MIN(1,MAX(VLOOKUP(($AI25-$AH25-$AG25-$AF25-$AE25-$AA25*(1+EC$3))/$AI25,'[8]Технический лист'!$A:$B,2,1),(EB25-0.05)))</f>
        <v>0.92</v>
      </c>
      <c r="ED25" s="41">
        <f>MIN(1,MAX(VLOOKUP(($AI25-$AH25-$AG25-$AF25-$AE25-$AA25*(1+ED$3))/$AI25,'[8]Технический лист'!$A:$B,2,1),(EC25-0.05)))</f>
        <v>0.92</v>
      </c>
      <c r="EE25" s="41">
        <f>MIN(1,MAX(VLOOKUP(($AI25-$AH25-$AG25-$AF25-$AE25-$AA25*(1+EE$3))/$AI25,'[8]Технический лист'!$A:$B,2,1),(ED25-0.05)))</f>
        <v>0.92</v>
      </c>
      <c r="EF25" s="41">
        <f>MIN(1,MAX(VLOOKUP(($AI25-$AH25-$AG25-$AF25-$AE25-$AA25*(1+EF$3))/$AI25,'[8]Технический лист'!$A:$B,2,1),(EE25-0.05)))</f>
        <v>0.92</v>
      </c>
      <c r="EG25" s="41">
        <f>MIN(1,MAX(VLOOKUP(($AI25-$AH25-$AG25-$AF25-$AE25-$AA25*(1+EG$3))/$AI25,'[8]Технический лист'!$A:$B,2,1),(EF25-0.05)))</f>
        <v>0.92</v>
      </c>
      <c r="EH25" s="41">
        <f>MIN(1,MAX(VLOOKUP(($AI25-$AH25-$AG25-$AF25-$AE25-$AA25*(1+EH$3))/$AI25,'[8]Технический лист'!$A:$B,2,1),(EG25-0.05)))</f>
        <v>0.92</v>
      </c>
      <c r="EI25" s="41">
        <f>MIN(1,MAX(VLOOKUP(($AI25-$AH25-$AG25-$AF25-$AE25-$AA25*(1+EI$3))/$AI25,'[8]Технический лист'!$A:$B,2,1),(EH25-0.05)))</f>
        <v>0.91</v>
      </c>
      <c r="EJ25" s="41">
        <f>MIN(1,MAX(VLOOKUP(($AI25-$AH25-$AG25-$AF25-$AE25-$AA25*(1+EJ$3))/$AI25,'[8]Технический лист'!$A:$B,2,1),(EI25-0.05)))</f>
        <v>0.91</v>
      </c>
      <c r="EK25" s="41">
        <f>MIN(1,MAX(VLOOKUP(($AI25-$AH25-$AG25-$AF25-$AE25-$AA25*(1+EK$3))/$AI25,'[8]Технический лист'!$A:$B,2,1),(EJ25-0.05)))</f>
        <v>0.91</v>
      </c>
      <c r="EL25" s="41">
        <f>MIN(1,MAX(VLOOKUP(($AI25-$AH25-$AG25-$AF25-$AE25-$AA25*(1+EL$3))/$AI25,'[8]Технический лист'!$A:$B,2,1),(EK25-0.05)))</f>
        <v>0.91</v>
      </c>
      <c r="EM25" s="41">
        <f>MIN(1,MAX(VLOOKUP(($AI25-$AH25-$AG25-$AF25-$AE25-$AA25*(1+EM$3))/$AI25,'[8]Технический лист'!$A:$B,2,1),(EL25-0.05)))</f>
        <v>0.91</v>
      </c>
      <c r="EN25" s="41">
        <f>MIN(1,MAX(VLOOKUP(($AI25-$AH25-$AG25-$AF25-$AE25-$AA25*(1+EN$3))/$AI25,'[8]Технический лист'!$A:$B,2,1),(EM25-0.05)))</f>
        <v>0.91</v>
      </c>
      <c r="EO25" s="41">
        <f>MIN(1,MAX(VLOOKUP(($AI25-$AH25-$AG25-$AF25-$AE25-$AA25*(1+EO$3))/$AI25,'[8]Технический лист'!$A:$B,2,1),(EN25-0.05)))</f>
        <v>0.9</v>
      </c>
      <c r="EP25" s="41">
        <f>MIN(1,MAX(VLOOKUP(($AI25-$AH25-$AG25-$AF25-$AE25-$AA25*(1+EP$3))/$AI25,'[8]Технический лист'!$A:$B,2,1),(EO25-0.05)))</f>
        <v>0.9</v>
      </c>
      <c r="EQ25" s="41">
        <f>MIN(1,MAX(VLOOKUP(($AI25-$AH25-$AG25-$AF25-$AE25-$AA25*(1+EQ$3))/$AI25,'[8]Технический лист'!$A:$B,2,1),(EP25-0.05)))</f>
        <v>0.9</v>
      </c>
      <c r="ER25" s="41">
        <f>MIN(1,MAX(VLOOKUP(($AI25-$AH25-$AG25-$AF25-$AE25-$AA25*(1+ER$3))/$AI25,'[8]Технический лист'!$A:$B,2,1),(EQ25-0.05)))</f>
        <v>0.9</v>
      </c>
      <c r="ES25" s="41">
        <f>MIN(1,MAX(VLOOKUP(($AI25-$AH25-$AG25-$AF25-$AE25-$AA25*(1+ES$3))/$AI25,'[8]Технический лист'!$A:$B,2,1),(ER25-0.05)))</f>
        <v>0.9</v>
      </c>
      <c r="ET25" s="41">
        <f>MIN(1,MAX(VLOOKUP(($AI25-$AH25-$AG25-$AF25-$AE25-$AA25*(1+ET$3))/$AI25,'[8]Технический лист'!$A:$B,2,1),(ES25-0.05)))</f>
        <v>0.9</v>
      </c>
      <c r="EU25" s="41">
        <f>MIN(1,MAX(VLOOKUP(($AI25-$AH25-$AG25-$AF25-$AE25-$AA25*(1+EU$3))/$AI25,'[8]Технический лист'!$A:$B,2,1),(ET25-0.05)))</f>
        <v>0.9</v>
      </c>
      <c r="EV25" s="41">
        <f>MIN(1,MAX(VLOOKUP(($AI25-$AH25-$AG25-$AF25-$AE25-$AA25*(1+EV$3))/$AI25,'[8]Технический лист'!$A:$B,2,1),(EU25-0.05)))</f>
        <v>0.88500000000000001</v>
      </c>
      <c r="EW25" s="41">
        <f>MIN(1,MAX(VLOOKUP(($AI25-$AH25-$AG25-$AF25-$AE25-$AA25*(1+EW$3))/$AI25,'[8]Технический лист'!$A:$B,2,1),(EV25-0.05)))</f>
        <v>0.88500000000000001</v>
      </c>
      <c r="EX25" s="41">
        <f>MIN(1,MAX(VLOOKUP(($AI25-$AH25-$AG25-$AF25-$AE25-$AA25*(1+EX$3))/$AI25,'[8]Технический лист'!$A:$B,2,1),(EW25-0.05)))</f>
        <v>0.88500000000000001</v>
      </c>
      <c r="EY25" s="41">
        <f>MIN(1,MAX(VLOOKUP(($AI25-$AH25-$AG25-$AF25-$AE25-$AA25*(1+EY$3))/$AI25,'[8]Технический лист'!$A:$B,2,1),(EX25-0.05)))</f>
        <v>0.88500000000000001</v>
      </c>
      <c r="EZ25" s="41">
        <f>MIN(1,MAX(VLOOKUP(($AI25-$AH25-$AG25-$AF25-$AE25-$AA25*(1+EZ$3))/$AI25,'[8]Технический лист'!$A:$B,2,1),(EY25-0.05)))</f>
        <v>0.88500000000000001</v>
      </c>
      <c r="FA25" s="41">
        <f>MIN(1,MAX(VLOOKUP(($AI25-$AH25-$AG25-$AF25-$AE25-$AA25*(1+FA$3))/$AI25,'[8]Технический лист'!$A:$B,2,1),(EZ25-0.05)))</f>
        <v>0.88500000000000001</v>
      </c>
      <c r="FB25" s="41">
        <f>MIN(1,MAX(VLOOKUP(($AI25-$AH25-$AG25-$AF25-$AE25-$AA25*(1+FB$3))/$AI25,'[8]Технический лист'!$A:$B,2,1),(FA25-0.05)))</f>
        <v>0.87</v>
      </c>
      <c r="FC25" s="41">
        <f>MIN(1,MAX(VLOOKUP(($AI25-$AH25-$AG25-$AF25-$AE25-$AA25*(1+FC$3))/$AI25,'[8]Технический лист'!$A:$B,2,1),(FB25-0.05)))</f>
        <v>0.87</v>
      </c>
      <c r="FD25" s="41">
        <f>MIN(1,MAX(VLOOKUP(($AI25-$AH25-$AG25-$AF25-$AE25-$AA25*(1+FD$3))/$AI25,'[8]Технический лист'!$A:$B,2,1),(FC25-0.05)))</f>
        <v>0.87</v>
      </c>
      <c r="FE25" s="41">
        <f>MIN(1,MAX(VLOOKUP(($AI25-$AH25-$AG25-$AF25-$AE25-$AA25*(1+FE$3))/$AI25,'[8]Технический лист'!$A:$B,2,1),(FD25-0.05)))</f>
        <v>0.87</v>
      </c>
      <c r="FF25" s="41">
        <f>MIN(1,MAX(VLOOKUP(($AI25-$AH25-$AG25-$AF25-$AE25-$AA25*(1+FF$3))/$AI25,'[8]Технический лист'!$A:$B,2,1),(FE25-0.05)))</f>
        <v>0.87</v>
      </c>
      <c r="FG25" s="41">
        <f>MIN(1,MAX(VLOOKUP(($AI25-$AH25-$AG25-$AF25-$AE25-$AA25*(1+FG$3))/$AI25,'[8]Технический лист'!$A:$B,2,1),(FF25-0.05)))</f>
        <v>0.87</v>
      </c>
      <c r="FH25" s="41">
        <f>MIN(1,MAX(VLOOKUP(($AI25-$AH25-$AG25-$AF25-$AE25-$AA25*(1+FH$3))/$AI25,'[8]Технический лист'!$A:$B,2,1),(FG25-0.05)))</f>
        <v>0.87</v>
      </c>
      <c r="FI25" s="41">
        <f>MIN(1,MAX(VLOOKUP(($AI25-$AH25-$AG25-$AF25-$AE25-$AA25*(1+FI$3))/$AI25,'[8]Технический лист'!$A:$B,2,1),(FH25-0.05)))</f>
        <v>0.85499999999999998</v>
      </c>
      <c r="FJ25" s="41">
        <f>MIN(1,MAX(VLOOKUP(($AI25-$AH25-$AG25-$AF25-$AE25-$AA25*(1+FJ$3))/$AI25,'[8]Технический лист'!$A:$B,2,1),(FI25-0.05)))</f>
        <v>0.85499999999999998</v>
      </c>
      <c r="FK25" s="41">
        <f>MIN(1,MAX(VLOOKUP(($AI25-$AH25-$AG25-$AF25-$AE25-$AA25*(1+FK$3))/$AI25,'[8]Технический лист'!$A:$B,2,1),(FJ25-0.05)))</f>
        <v>0.85499999999999998</v>
      </c>
      <c r="FL25" s="41">
        <f>MIN(1,MAX(VLOOKUP(($AI25-$AH25-$AG25-$AF25-$AE25-$AA25*(1+FL$3))/$AI25,'[8]Технический лист'!$A:$B,2,1),(FK25-0.05)))</f>
        <v>0.85499999999999998</v>
      </c>
      <c r="FM25" s="41">
        <f>MIN(1,MAX(VLOOKUP(($AI25-$AH25-$AG25-$AF25-$AE25-$AA25*(1+FM$3))/$AI25,'[8]Технический лист'!$A:$B,2,1),(FL25-0.05)))</f>
        <v>0.85499999999999998</v>
      </c>
      <c r="FN25" s="41">
        <f>MIN(1,MAX(VLOOKUP(($AI25-$AH25-$AG25-$AF25-$AE25-$AA25*(1+FN$3))/$AI25,'[8]Технический лист'!$A:$B,2,1),(FM25-0.05)))</f>
        <v>0.85499999999999998</v>
      </c>
      <c r="FO25" s="41">
        <f>MIN(1,MAX(VLOOKUP(($AI25-$AH25-$AG25-$AF25-$AE25-$AA25*(1+FO$3))/$AI25,'[8]Технический лист'!$A:$B,2,1),(FN25-0.05)))</f>
        <v>0.84</v>
      </c>
      <c r="FP25" s="41">
        <f>MIN(1,MAX(VLOOKUP(($AI25-$AH25-$AG25-$AF25-$AE25-$AA25*(1+FP$3))/$AI25,'[8]Технический лист'!$A:$B,2,1),(FO25-0.05)))</f>
        <v>0.84</v>
      </c>
      <c r="FQ25" s="41">
        <f>MIN(1,MAX(VLOOKUP(($AI25-$AH25-$AG25-$AF25-$AE25-$AA25*(1+FQ$3))/$AI25,'[8]Технический лист'!$A:$B,2,1),(FP25-0.05)))</f>
        <v>0.84</v>
      </c>
      <c r="FR25" s="41">
        <f>MIN(1,MAX(VLOOKUP(($AI25-$AH25-$AG25-$AF25-$AE25-$AA25*(1+FR$3))/$AI25,'[8]Технический лист'!$A:$B,2,1),(FQ25-0.05)))</f>
        <v>0.84</v>
      </c>
      <c r="FS25" s="41">
        <f>MIN(1,MAX(VLOOKUP(($AI25-$AH25-$AG25-$AF25-$AE25-$AA25*(1+FS$3))/$AI25,'[8]Технический лист'!$A:$B,2,1),(FR25-0.05)))</f>
        <v>0.84</v>
      </c>
      <c r="FT25" s="41">
        <f>MIN(1,MAX(VLOOKUP(($AI25-$AH25-$AG25-$AF25-$AE25-$AA25*(1+FT$3))/$AI25,'[8]Технический лист'!$A:$B,2,1),(FS25-0.05)))</f>
        <v>0.84</v>
      </c>
      <c r="FU25" s="41">
        <f>MIN(1,MAX(VLOOKUP(($AI25-$AH25-$AG25-$AF25-$AE25-$AA25*(1+FU$3))/$AI25,'[8]Технический лист'!$A:$B,2,1),(FT25-0.05)))</f>
        <v>0.84</v>
      </c>
      <c r="FV25" s="41">
        <f>MIN(1,MAX(VLOOKUP(($AI25-$AH25-$AG25-$AF25-$AE25-$AA25*(1+FV$3))/$AI25,'[8]Технический лист'!$A:$B,2,1),(FU25-0.05)))</f>
        <v>0.82499999999999996</v>
      </c>
      <c r="FW25" s="41">
        <f>MIN(1,MAX(VLOOKUP(($AI25-$AH25-$AG25-$AF25-$AE25-$AA25*(1+FW$3))/$AI25,'[8]Технический лист'!$A:$B,2,1),(FV25-0.05)))</f>
        <v>0.82499999999999996</v>
      </c>
      <c r="FX25" s="41">
        <f>MIN(1,MAX(VLOOKUP(($AI25-$AH25-$AG25-$AF25-$AE25-$AA25*(1+FX$3))/$AI25,'[8]Технический лист'!$A:$B,2,1),(FW25-0.05)))</f>
        <v>0.82499999999999996</v>
      </c>
      <c r="FY25" s="41">
        <f>MIN(1,MAX(VLOOKUP(($AI25-$AH25-$AG25-$AF25-$AE25-$AA25*(1+FY$3))/$AI25,'[8]Технический лист'!$A:$B,2,1),(FX25-0.05)))</f>
        <v>0.82499999999999996</v>
      </c>
      <c r="FZ25" s="41">
        <f>MIN(1,MAX(VLOOKUP(($AI25-$AH25-$AG25-$AF25-$AE25-$AA25*(1+FZ$3))/$AI25,'[8]Технический лист'!$A:$B,2,1),(FY25-0.05)))</f>
        <v>0.82499999999999996</v>
      </c>
      <c r="GA25" s="41">
        <f>MIN(1,MAX(VLOOKUP(($AI25-$AH25-$AG25-$AF25-$AE25-$AA25*(1+GA$3))/$AI25,'[8]Технический лист'!$A:$B,2,1),(FZ25-0.05)))</f>
        <v>0.82499999999999996</v>
      </c>
      <c r="GB25" s="41">
        <f>MIN(1,MAX(VLOOKUP(($AI25-$AH25-$AG25-$AF25-$AE25-$AA25*(1+GB$3))/$AI25,'[8]Технический лист'!$A:$B,2,1),(GA25-0.05)))</f>
        <v>0.81</v>
      </c>
      <c r="GC25" s="41">
        <f>MIN(1,MAX(VLOOKUP(($AI25-$AH25-$AG25-$AF25-$AE25-$AA25*(1+GC$3))/$AI25,'[8]Технический лист'!$A:$B,2,1),(GB25-0.05)))</f>
        <v>0.81</v>
      </c>
      <c r="GD25" s="41">
        <f>MIN(1,MAX(VLOOKUP(($AI25-$AH25-$AG25-$AF25-$AE25-$AA25*(1+GD$3))/$AI25,'[8]Технический лист'!$A:$B,2,1),(GC25-0.05)))</f>
        <v>0.81</v>
      </c>
      <c r="GE25" s="41">
        <f>MIN(1,MAX(VLOOKUP(($AI25-$AH25-$AG25-$AF25-$AE25-$AA25*(1+GE$3))/$AI25,'[8]Технический лист'!$A:$B,2,1),(GD25-0.05)))</f>
        <v>0.81</v>
      </c>
      <c r="GF25" s="41">
        <f>MIN(1,MAX(VLOOKUP(($AI25-$AH25-$AG25-$AF25-$AE25-$AA25*(1+GF$3))/$AI25,'[8]Технический лист'!$A:$B,2,1),(GE25-0.05)))</f>
        <v>0.81</v>
      </c>
      <c r="GG25" s="41">
        <f>MIN(1,MAX(VLOOKUP(($AI25-$AH25-$AG25-$AF25-$AE25-$AA25*(1+GG$3))/$AI25,'[8]Технический лист'!$A:$B,2,1),(GF25-0.05)))</f>
        <v>0.81</v>
      </c>
      <c r="GH25" s="41">
        <f>MIN(1,MAX(VLOOKUP(($AI25-$AH25-$AG25-$AF25-$AE25-$AA25*(1+GH$3))/$AI25,'[8]Технический лист'!$A:$B,2,1),(GG25-0.05)))</f>
        <v>0.81</v>
      </c>
      <c r="GI25" s="41">
        <f>MIN(1,MAX(VLOOKUP(($AI25-$AH25-$AG25-$AF25-$AE25-$AA25*(1+GI$3))/$AI25,'[8]Технический лист'!$A:$B,2,1),(GH25-0.05)))</f>
        <v>0.79</v>
      </c>
      <c r="GJ25" s="41">
        <f>MIN(1,MAX(VLOOKUP(($AI25-$AH25-$AG25-$AF25-$AE25-$AA25*(1+GJ$3))/$AI25,'[8]Технический лист'!$A:$B,2,1),(GI25-0.05)))</f>
        <v>0.79</v>
      </c>
      <c r="GK25" s="41">
        <f>MIN(1,MAX(VLOOKUP(($AI25-$AH25-$AG25-$AF25-$AE25-$AA25*(1+GK$3))/$AI25,'[8]Технический лист'!$A:$B,2,1),(GJ25-0.05)))</f>
        <v>0.79</v>
      </c>
      <c r="GL25" s="41">
        <f>MIN(1,MAX(VLOOKUP(($AI25-$AH25-$AG25-$AF25-$AE25-$AA25*(1+GL$3))/$AI25,'[8]Технический лист'!$A:$B,2,1),(GK25-0.05)))</f>
        <v>0.79</v>
      </c>
      <c r="GM25" s="41">
        <f>MIN(1,MAX(VLOOKUP(($AI25-$AH25-$AG25-$AF25-$AE25-$AA25*(1+GM$3))/$AI25,'[8]Технический лист'!$A:$B,2,1),(GL25-0.05)))</f>
        <v>0.79</v>
      </c>
      <c r="GN25" s="41">
        <f>MIN(1,MAX(VLOOKUP(($AI25-$AH25-$AG25-$AF25-$AE25-$AA25*(1+GN$3))/$AI25,'[8]Технический лист'!$A:$B,2,1),(GM25-0.05)))</f>
        <v>0.79</v>
      </c>
    </row>
    <row r="26" spans="1:196">
      <c r="Z26" t="s">
        <v>185</v>
      </c>
    </row>
    <row r="27" spans="1:196">
      <c r="J27" s="23"/>
      <c r="M27" s="22"/>
      <c r="N27" s="22"/>
      <c r="O27"/>
    </row>
    <row r="28" spans="1:196">
      <c r="J28" s="23"/>
      <c r="M28" s="22"/>
      <c r="N28" s="22"/>
      <c r="O28"/>
    </row>
    <row r="29" spans="1:196">
      <c r="J29" s="23"/>
      <c r="M29" s="22"/>
      <c r="N29" s="22"/>
      <c r="O29"/>
    </row>
    <row r="30" spans="1:196">
      <c r="J30" s="23"/>
      <c r="M30" s="22"/>
      <c r="N30" s="22"/>
      <c r="O30"/>
    </row>
    <row r="31" spans="1:196">
      <c r="J31" s="23"/>
      <c r="M31" s="22"/>
      <c r="N31" s="22"/>
      <c r="O31"/>
    </row>
    <row r="32" spans="1:196">
      <c r="J32" s="23"/>
      <c r="M32" s="22"/>
      <c r="N32" s="22"/>
      <c r="O32"/>
    </row>
    <row r="33" spans="10:15">
      <c r="J33" s="23"/>
      <c r="M33" s="22"/>
      <c r="N33" s="22"/>
      <c r="O33"/>
    </row>
    <row r="34" spans="10:15">
      <c r="J34" s="23"/>
      <c r="M34" s="22"/>
      <c r="N34" s="22"/>
      <c r="O34"/>
    </row>
    <row r="35" spans="10:15">
      <c r="J35" s="23"/>
      <c r="M35" s="22"/>
      <c r="N35" s="22"/>
      <c r="O35"/>
    </row>
    <row r="36" spans="10:15">
      <c r="J36" s="23"/>
      <c r="M36" s="22"/>
      <c r="N36" s="22"/>
      <c r="O36"/>
    </row>
    <row r="37" spans="10:15">
      <c r="J37" s="23"/>
      <c r="M37" s="22"/>
      <c r="N37" s="22"/>
      <c r="O37"/>
    </row>
    <row r="38" spans="10:15">
      <c r="J38" s="23"/>
      <c r="M38" s="22"/>
      <c r="N38" s="22"/>
      <c r="O38"/>
    </row>
    <row r="39" spans="10:15">
      <c r="J39" s="23"/>
      <c r="M39" s="22"/>
      <c r="N39" s="22"/>
      <c r="O39"/>
    </row>
    <row r="40" spans="10:15">
      <c r="J40" s="23"/>
      <c r="M40" s="22"/>
      <c r="N40" s="22"/>
      <c r="O40"/>
    </row>
    <row r="41" spans="10:15">
      <c r="J41" s="23"/>
      <c r="M41" s="22"/>
      <c r="N41" s="22"/>
      <c r="O41"/>
    </row>
    <row r="42" spans="10:15">
      <c r="J42" s="23"/>
      <c r="M42" s="22"/>
      <c r="N42" s="22"/>
      <c r="O42"/>
    </row>
    <row r="43" spans="10:15">
      <c r="J43" s="23"/>
      <c r="M43" s="22"/>
      <c r="N43" s="22"/>
      <c r="O43"/>
    </row>
    <row r="44" spans="10:15">
      <c r="J44" s="23"/>
      <c r="M44" s="22"/>
      <c r="N44" s="22"/>
      <c r="O44"/>
    </row>
    <row r="45" spans="10:15">
      <c r="J45" s="23"/>
      <c r="M45" s="22"/>
      <c r="N45" s="22"/>
      <c r="O45"/>
    </row>
    <row r="46" spans="10:15">
      <c r="J46" s="23"/>
      <c r="M46" s="22"/>
      <c r="N46" s="22"/>
      <c r="O46"/>
    </row>
    <row r="47" spans="10:15">
      <c r="J47" s="23"/>
      <c r="M47" s="22"/>
      <c r="N47" s="22"/>
      <c r="O47"/>
    </row>
    <row r="48" spans="10:15">
      <c r="J48" s="23"/>
      <c r="M48" s="22"/>
      <c r="N48" s="22"/>
      <c r="O48"/>
    </row>
    <row r="49" spans="10:15">
      <c r="J49" s="23"/>
      <c r="M49" s="22"/>
      <c r="N49" s="22"/>
      <c r="O49"/>
    </row>
    <row r="50" spans="10:15">
      <c r="J50" s="23"/>
      <c r="M50" s="22"/>
      <c r="N50" s="22"/>
      <c r="O50"/>
    </row>
    <row r="51" spans="10:15">
      <c r="J51" s="23"/>
      <c r="M51" s="22"/>
      <c r="N51" s="22"/>
      <c r="O51"/>
    </row>
    <row r="52" spans="10:15">
      <c r="J52" s="23"/>
      <c r="M52" s="22"/>
      <c r="N52" s="22"/>
      <c r="O52"/>
    </row>
    <row r="53" spans="10:15">
      <c r="J53" s="23"/>
      <c r="M53" s="22"/>
      <c r="N53" s="22"/>
      <c r="O53"/>
    </row>
    <row r="54" spans="10:15">
      <c r="J54" s="23"/>
      <c r="M54" s="22"/>
      <c r="N54" s="22"/>
      <c r="O54"/>
    </row>
    <row r="55" spans="10:15">
      <c r="J55" s="23"/>
      <c r="M55" s="22"/>
      <c r="N55" s="22"/>
      <c r="O55"/>
    </row>
    <row r="56" spans="10:15">
      <c r="J56" s="23"/>
      <c r="M56" s="22"/>
      <c r="N56" s="22"/>
      <c r="O56"/>
    </row>
    <row r="57" spans="10:15">
      <c r="J57" s="23"/>
      <c r="M57" s="22"/>
      <c r="N57" s="22"/>
      <c r="O57"/>
    </row>
    <row r="58" spans="10:15">
      <c r="J58" s="23"/>
      <c r="M58" s="22"/>
      <c r="N58" s="22"/>
      <c r="O58"/>
    </row>
    <row r="59" spans="10:15">
      <c r="J59" s="23"/>
      <c r="M59" s="22"/>
      <c r="N59" s="22"/>
      <c r="O59"/>
    </row>
    <row r="60" spans="10:15">
      <c r="J60" s="23"/>
      <c r="M60" s="22"/>
      <c r="N60" s="22"/>
      <c r="O60"/>
    </row>
    <row r="61" spans="10:15">
      <c r="J61" s="23"/>
      <c r="M61" s="22"/>
      <c r="N61" s="22"/>
      <c r="O61"/>
    </row>
    <row r="62" spans="10:15">
      <c r="J62" s="23"/>
      <c r="M62" s="22"/>
      <c r="N62" s="22"/>
      <c r="O62"/>
    </row>
    <row r="63" spans="10:15">
      <c r="J63" s="23"/>
      <c r="M63" s="22"/>
      <c r="N63" s="22"/>
      <c r="O63"/>
    </row>
    <row r="64" spans="10:15">
      <c r="J64" s="23"/>
      <c r="M64" s="22"/>
      <c r="N64" s="22"/>
      <c r="O64"/>
    </row>
    <row r="65" spans="10:15">
      <c r="J65" s="23"/>
      <c r="M65" s="22"/>
      <c r="N65" s="22"/>
      <c r="O65"/>
    </row>
    <row r="66" spans="10:15">
      <c r="J66" s="23"/>
      <c r="M66" s="22"/>
      <c r="N66" s="22"/>
      <c r="O66"/>
    </row>
    <row r="67" spans="10:15">
      <c r="J67" s="23"/>
      <c r="M67" s="22"/>
      <c r="N67" s="22"/>
      <c r="O67"/>
    </row>
    <row r="68" spans="10:15">
      <c r="J68" s="23"/>
      <c r="M68" s="22"/>
      <c r="N68" s="22"/>
      <c r="O68"/>
    </row>
    <row r="69" spans="10:15">
      <c r="J69" s="23"/>
      <c r="M69" s="22"/>
      <c r="N69" s="22"/>
      <c r="O69"/>
    </row>
    <row r="70" spans="10:15">
      <c r="J70" s="23"/>
      <c r="M70" s="22"/>
      <c r="N70" s="22"/>
      <c r="O70"/>
    </row>
    <row r="71" spans="10:15">
      <c r="J71" s="23"/>
      <c r="M71" s="22"/>
      <c r="N71" s="22"/>
      <c r="O71"/>
    </row>
    <row r="72" spans="10:15">
      <c r="J72" s="23"/>
      <c r="M72" s="22"/>
      <c r="N72" s="22"/>
      <c r="O72"/>
    </row>
    <row r="73" spans="10:15">
      <c r="J73" s="23"/>
      <c r="M73" s="22"/>
      <c r="N73" s="22"/>
      <c r="O73"/>
    </row>
    <row r="74" spans="10:15">
      <c r="J74" s="23"/>
      <c r="M74" s="22"/>
      <c r="N74" s="22"/>
      <c r="O74"/>
    </row>
    <row r="75" spans="10:15">
      <c r="J75" s="23"/>
      <c r="M75" s="22"/>
      <c r="N75" s="22"/>
      <c r="O75"/>
    </row>
    <row r="76" spans="10:15">
      <c r="J76" s="23"/>
      <c r="M76" s="22"/>
      <c r="N76" s="22"/>
      <c r="O76"/>
    </row>
    <row r="77" spans="10:15">
      <c r="J77" s="23"/>
      <c r="M77" s="22"/>
      <c r="N77" s="22"/>
      <c r="O77"/>
    </row>
    <row r="78" spans="10:15">
      <c r="J78" s="23"/>
      <c r="M78" s="22"/>
      <c r="N78" s="22"/>
      <c r="O78"/>
    </row>
    <row r="79" spans="10:15">
      <c r="J79" s="23"/>
      <c r="M79" s="22"/>
      <c r="N79" s="22"/>
      <c r="O79"/>
    </row>
    <row r="80" spans="10:15">
      <c r="J80" s="23"/>
      <c r="M80" s="22"/>
      <c r="N80" s="22"/>
      <c r="O80"/>
    </row>
    <row r="81" spans="15:15">
      <c r="O81"/>
    </row>
    <row r="82" spans="15:15">
      <c r="O82"/>
    </row>
  </sheetData>
  <autoFilter ref="A3:AR26" xr:uid="{00000000-0009-0000-0000-000000000000}"/>
  <mergeCells count="4">
    <mergeCell ref="A2:Q2"/>
    <mergeCell ref="AR2:AR3"/>
    <mergeCell ref="Y2:AQ2"/>
    <mergeCell ref="AT2:GN2"/>
  </mergeCells>
  <conditionalFormatting sqref="AT4:CQ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4:GN2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S4:GN2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08C08-5273-4B99-8861-026104A592B5}">
  <dimension ref="A1:C103"/>
  <sheetViews>
    <sheetView showGridLines="0" topLeftCell="A68" zoomScaleNormal="100" workbookViewId="0">
      <selection activeCell="B74" sqref="B74:B103"/>
    </sheetView>
  </sheetViews>
  <sheetFormatPr defaultRowHeight="14.6"/>
  <sheetData>
    <row r="1" spans="1:3">
      <c r="A1" s="34" t="s">
        <v>197</v>
      </c>
      <c r="B1" s="34" t="s">
        <v>198</v>
      </c>
      <c r="C1" s="34"/>
    </row>
    <row r="2" spans="1:3">
      <c r="A2" s="35">
        <v>-3</v>
      </c>
      <c r="B2" s="34">
        <v>0</v>
      </c>
      <c r="C2" s="34"/>
    </row>
    <row r="3" spans="1:3">
      <c r="A3" s="35">
        <v>-0.49</v>
      </c>
      <c r="B3" s="34">
        <v>0</v>
      </c>
      <c r="C3" s="34"/>
    </row>
    <row r="4" spans="1:3">
      <c r="A4" s="35">
        <v>-0.48</v>
      </c>
      <c r="B4" s="34">
        <v>0</v>
      </c>
      <c r="C4" s="34"/>
    </row>
    <row r="5" spans="1:3">
      <c r="A5" s="35">
        <v>-0.47</v>
      </c>
      <c r="B5" s="34">
        <v>0</v>
      </c>
      <c r="C5" s="34"/>
    </row>
    <row r="6" spans="1:3">
      <c r="A6" s="35">
        <v>-0.46</v>
      </c>
      <c r="B6" s="34">
        <v>0</v>
      </c>
      <c r="C6" s="34"/>
    </row>
    <row r="7" spans="1:3">
      <c r="A7" s="35">
        <v>-0.45</v>
      </c>
      <c r="B7" s="34">
        <v>0</v>
      </c>
      <c r="C7" s="34"/>
    </row>
    <row r="8" spans="1:3">
      <c r="A8" s="35">
        <v>-0.44</v>
      </c>
      <c r="B8" s="34">
        <v>0</v>
      </c>
      <c r="C8" s="34"/>
    </row>
    <row r="9" spans="1:3">
      <c r="A9" s="35">
        <v>-0.43</v>
      </c>
      <c r="B9" s="34">
        <v>0</v>
      </c>
      <c r="C9" s="34"/>
    </row>
    <row r="10" spans="1:3">
      <c r="A10" s="35">
        <v>-0.42</v>
      </c>
      <c r="B10" s="34">
        <v>0</v>
      </c>
      <c r="C10" s="34"/>
    </row>
    <row r="11" spans="1:3">
      <c r="A11" s="35">
        <v>-0.41</v>
      </c>
      <c r="B11" s="34">
        <v>0</v>
      </c>
      <c r="C11" s="34"/>
    </row>
    <row r="12" spans="1:3">
      <c r="A12" s="35">
        <v>-0.4</v>
      </c>
      <c r="B12" s="34">
        <v>0</v>
      </c>
      <c r="C12" s="34"/>
    </row>
    <row r="13" spans="1:3">
      <c r="A13" s="35">
        <v>-0.39</v>
      </c>
      <c r="B13" s="34">
        <v>0</v>
      </c>
      <c r="C13" s="34"/>
    </row>
    <row r="14" spans="1:3">
      <c r="A14" s="35">
        <v>-0.38</v>
      </c>
      <c r="B14" s="34">
        <v>0</v>
      </c>
      <c r="C14" s="34"/>
    </row>
    <row r="15" spans="1:3">
      <c r="A15" s="35">
        <v>-0.37</v>
      </c>
      <c r="B15" s="34">
        <v>0</v>
      </c>
      <c r="C15" s="34"/>
    </row>
    <row r="16" spans="1:3">
      <c r="A16" s="35">
        <v>-0.36</v>
      </c>
      <c r="B16" s="34">
        <v>0</v>
      </c>
      <c r="C16" s="34"/>
    </row>
    <row r="17" spans="1:3">
      <c r="A17" s="35">
        <v>-0.35</v>
      </c>
      <c r="B17" s="34">
        <v>0</v>
      </c>
      <c r="C17" s="36"/>
    </row>
    <row r="18" spans="1:3">
      <c r="A18" s="35">
        <v>-0.34</v>
      </c>
      <c r="B18" s="34">
        <v>0</v>
      </c>
      <c r="C18" s="36"/>
    </row>
    <row r="19" spans="1:3">
      <c r="A19" s="35">
        <v>-0.33</v>
      </c>
      <c r="B19" s="34">
        <v>0</v>
      </c>
      <c r="C19" s="34"/>
    </row>
    <row r="20" spans="1:3">
      <c r="A20" s="35">
        <v>-0.32</v>
      </c>
      <c r="B20" s="34">
        <v>0</v>
      </c>
      <c r="C20" s="34"/>
    </row>
    <row r="21" spans="1:3">
      <c r="A21" s="35">
        <v>-0.31</v>
      </c>
      <c r="B21" s="34">
        <v>0</v>
      </c>
      <c r="C21" s="37">
        <f t="shared" ref="C21:C63" si="0">B22-B21</f>
        <v>0</v>
      </c>
    </row>
    <row r="22" spans="1:3">
      <c r="A22" s="35">
        <v>-0.3</v>
      </c>
      <c r="B22" s="34">
        <v>0</v>
      </c>
      <c r="C22" s="37">
        <f t="shared" si="0"/>
        <v>0</v>
      </c>
    </row>
    <row r="23" spans="1:3">
      <c r="A23" s="35">
        <v>-0.28999999999999998</v>
      </c>
      <c r="B23" s="34">
        <v>0</v>
      </c>
      <c r="C23" s="37">
        <f t="shared" si="0"/>
        <v>0</v>
      </c>
    </row>
    <row r="24" spans="1:3">
      <c r="A24" s="35">
        <v>-0.28000000000000003</v>
      </c>
      <c r="B24" s="34">
        <v>0</v>
      </c>
      <c r="C24" s="37">
        <f t="shared" si="0"/>
        <v>0</v>
      </c>
    </row>
    <row r="25" spans="1:3">
      <c r="A25" s="35">
        <v>-0.27</v>
      </c>
      <c r="B25" s="34">
        <v>0</v>
      </c>
      <c r="C25" s="37">
        <f t="shared" si="0"/>
        <v>0</v>
      </c>
    </row>
    <row r="26" spans="1:3">
      <c r="A26" s="35">
        <v>-0.26</v>
      </c>
      <c r="B26" s="34">
        <v>0</v>
      </c>
      <c r="C26" s="37">
        <f t="shared" si="0"/>
        <v>0</v>
      </c>
    </row>
    <row r="27" spans="1:3">
      <c r="A27" s="35">
        <v>-0.25</v>
      </c>
      <c r="B27" s="34">
        <v>0</v>
      </c>
      <c r="C27" s="37">
        <f t="shared" si="0"/>
        <v>0</v>
      </c>
    </row>
    <row r="28" spans="1:3">
      <c r="A28" s="35">
        <v>-0.24</v>
      </c>
      <c r="B28" s="34">
        <v>0</v>
      </c>
      <c r="C28" s="37">
        <f t="shared" si="0"/>
        <v>0</v>
      </c>
    </row>
    <row r="29" spans="1:3">
      <c r="A29" s="35">
        <v>-0.23</v>
      </c>
      <c r="B29" s="34">
        <v>0</v>
      </c>
      <c r="C29" s="37">
        <f t="shared" si="0"/>
        <v>0</v>
      </c>
    </row>
    <row r="30" spans="1:3">
      <c r="A30" s="35">
        <v>-0.22</v>
      </c>
      <c r="B30" s="34">
        <v>0</v>
      </c>
      <c r="C30" s="37">
        <f t="shared" si="0"/>
        <v>0</v>
      </c>
    </row>
    <row r="31" spans="1:3">
      <c r="A31" s="35">
        <v>-0.21</v>
      </c>
      <c r="B31" s="34">
        <v>0</v>
      </c>
      <c r="C31" s="37">
        <f t="shared" si="0"/>
        <v>0</v>
      </c>
    </row>
    <row r="32" spans="1:3">
      <c r="A32" s="35">
        <v>-0.2</v>
      </c>
      <c r="B32" s="34">
        <v>0</v>
      </c>
      <c r="C32" s="37">
        <f t="shared" si="0"/>
        <v>0</v>
      </c>
    </row>
    <row r="33" spans="1:3">
      <c r="A33" s="35">
        <v>-0.19</v>
      </c>
      <c r="B33" s="34">
        <v>0</v>
      </c>
      <c r="C33" s="37">
        <f t="shared" si="0"/>
        <v>0</v>
      </c>
    </row>
    <row r="34" spans="1:3">
      <c r="A34" s="35">
        <v>-0.18</v>
      </c>
      <c r="B34" s="34">
        <v>0</v>
      </c>
      <c r="C34" s="37">
        <f t="shared" si="0"/>
        <v>0</v>
      </c>
    </row>
    <row r="35" spans="1:3">
      <c r="A35" s="35">
        <v>-0.17</v>
      </c>
      <c r="B35" s="34">
        <v>0</v>
      </c>
      <c r="C35" s="38">
        <f t="shared" si="0"/>
        <v>0.05</v>
      </c>
    </row>
    <row r="36" spans="1:3">
      <c r="A36" s="35">
        <v>-0.16500000000000001</v>
      </c>
      <c r="B36" s="34">
        <v>0.05</v>
      </c>
      <c r="C36" s="38">
        <f t="shared" si="0"/>
        <v>0.05</v>
      </c>
    </row>
    <row r="37" spans="1:3">
      <c r="A37" s="35">
        <v>-0.16</v>
      </c>
      <c r="B37" s="34">
        <v>0.1</v>
      </c>
      <c r="C37" s="38">
        <f t="shared" si="0"/>
        <v>4.9999999999999989E-2</v>
      </c>
    </row>
    <row r="38" spans="1:3">
      <c r="A38" s="35">
        <v>-0.155</v>
      </c>
      <c r="B38" s="34">
        <v>0.15</v>
      </c>
      <c r="C38" s="38">
        <f t="shared" si="0"/>
        <v>5.0000000000000017E-2</v>
      </c>
    </row>
    <row r="39" spans="1:3">
      <c r="A39" s="35">
        <v>-0.15</v>
      </c>
      <c r="B39" s="34">
        <v>0.2</v>
      </c>
      <c r="C39" s="38">
        <f t="shared" si="0"/>
        <v>4.4999999999999984E-2</v>
      </c>
    </row>
    <row r="40" spans="1:3">
      <c r="A40" s="35">
        <v>-0.14499999999999999</v>
      </c>
      <c r="B40" s="34">
        <v>0.245</v>
      </c>
      <c r="C40" s="38">
        <f t="shared" si="0"/>
        <v>4.4999999999999984E-2</v>
      </c>
    </row>
    <row r="41" spans="1:3">
      <c r="A41" s="35">
        <v>-0.14000000000000001</v>
      </c>
      <c r="B41" s="34">
        <v>0.28999999999999998</v>
      </c>
      <c r="C41" s="38">
        <f t="shared" si="0"/>
        <v>4.0000000000000036E-2</v>
      </c>
    </row>
    <row r="42" spans="1:3">
      <c r="A42" s="35">
        <v>-0.13500000000000001</v>
      </c>
      <c r="B42" s="34">
        <v>0.33</v>
      </c>
      <c r="C42" s="38">
        <f t="shared" si="0"/>
        <v>3.999999999999998E-2</v>
      </c>
    </row>
    <row r="43" spans="1:3">
      <c r="A43" s="35">
        <v>-0.13</v>
      </c>
      <c r="B43" s="34">
        <v>0.37</v>
      </c>
      <c r="C43" s="38">
        <f t="shared" si="0"/>
        <v>3.999999999999998E-2</v>
      </c>
    </row>
    <row r="44" spans="1:3">
      <c r="A44" s="35">
        <v>-0.125</v>
      </c>
      <c r="B44" s="34">
        <v>0.41</v>
      </c>
      <c r="C44" s="38">
        <f t="shared" si="0"/>
        <v>4.0000000000000036E-2</v>
      </c>
    </row>
    <row r="45" spans="1:3">
      <c r="A45" s="35">
        <v>-0.12</v>
      </c>
      <c r="B45" s="34">
        <v>0.45</v>
      </c>
      <c r="C45" s="38">
        <f t="shared" si="0"/>
        <v>3.4999999999999976E-2</v>
      </c>
    </row>
    <row r="46" spans="1:3">
      <c r="A46" s="35">
        <v>-0.115</v>
      </c>
      <c r="B46" s="34">
        <v>0.48499999999999999</v>
      </c>
      <c r="C46" s="38">
        <f t="shared" si="0"/>
        <v>3.5000000000000031E-2</v>
      </c>
    </row>
    <row r="47" spans="1:3">
      <c r="A47" s="35">
        <v>-0.11</v>
      </c>
      <c r="B47" s="34">
        <v>0.52</v>
      </c>
      <c r="C47" s="38">
        <f t="shared" si="0"/>
        <v>3.5000000000000031E-2</v>
      </c>
    </row>
    <row r="48" spans="1:3">
      <c r="A48" s="35">
        <v>-0.105</v>
      </c>
      <c r="B48" s="34">
        <v>0.55500000000000005</v>
      </c>
      <c r="C48" s="38">
        <f t="shared" si="0"/>
        <v>3.499999999999992E-2</v>
      </c>
    </row>
    <row r="49" spans="1:3">
      <c r="A49" s="35">
        <v>-0.1</v>
      </c>
      <c r="B49" s="34">
        <v>0.59</v>
      </c>
      <c r="C49" s="38">
        <f t="shared" si="0"/>
        <v>3.0000000000000027E-2</v>
      </c>
    </row>
    <row r="50" spans="1:3">
      <c r="A50" s="35">
        <v>-9.5000000000000001E-2</v>
      </c>
      <c r="B50" s="34">
        <v>0.62</v>
      </c>
      <c r="C50" s="38">
        <f t="shared" si="0"/>
        <v>3.0000000000000027E-2</v>
      </c>
    </row>
    <row r="51" spans="1:3">
      <c r="A51" s="35">
        <v>-0.09</v>
      </c>
      <c r="B51" s="34">
        <v>0.65</v>
      </c>
      <c r="C51" s="38">
        <f t="shared" si="0"/>
        <v>3.0000000000000027E-2</v>
      </c>
    </row>
    <row r="52" spans="1:3">
      <c r="A52" s="35">
        <v>-8.5000000000000006E-2</v>
      </c>
      <c r="B52" s="34">
        <v>0.68</v>
      </c>
      <c r="C52" s="38">
        <f t="shared" si="0"/>
        <v>2.9999999999999916E-2</v>
      </c>
    </row>
    <row r="53" spans="1:3">
      <c r="A53" s="35">
        <v>-0.08</v>
      </c>
      <c r="B53" s="34">
        <v>0.71</v>
      </c>
      <c r="C53" s="38">
        <f t="shared" si="0"/>
        <v>2.5000000000000022E-2</v>
      </c>
    </row>
    <row r="54" spans="1:3">
      <c r="A54" s="35">
        <v>-7.4999999999999997E-2</v>
      </c>
      <c r="B54" s="34">
        <v>0.73499999999999999</v>
      </c>
      <c r="C54" s="38">
        <f t="shared" si="0"/>
        <v>2.5000000000000022E-2</v>
      </c>
    </row>
    <row r="55" spans="1:3">
      <c r="A55" s="35">
        <v>-7.0000000000000007E-2</v>
      </c>
      <c r="B55" s="34">
        <v>0.76</v>
      </c>
      <c r="C55" s="38">
        <f t="shared" si="0"/>
        <v>2.5000000000000022E-2</v>
      </c>
    </row>
    <row r="56" spans="1:3">
      <c r="A56" s="35">
        <v>-6.5000000000000002E-2</v>
      </c>
      <c r="B56" s="34">
        <v>0.78500000000000003</v>
      </c>
      <c r="C56" s="38">
        <f t="shared" si="0"/>
        <v>2.5000000000000022E-2</v>
      </c>
    </row>
    <row r="57" spans="1:3">
      <c r="A57" s="35">
        <v>-0.06</v>
      </c>
      <c r="B57" s="34">
        <v>0.81</v>
      </c>
      <c r="C57" s="38">
        <f t="shared" si="0"/>
        <v>1.9999999999999907E-2</v>
      </c>
    </row>
    <row r="58" spans="1:3">
      <c r="A58" s="35">
        <v>-5.5E-2</v>
      </c>
      <c r="B58" s="34">
        <v>0.83</v>
      </c>
      <c r="C58" s="38">
        <f t="shared" si="0"/>
        <v>2.0000000000000018E-2</v>
      </c>
    </row>
    <row r="59" spans="1:3">
      <c r="A59" s="35">
        <v>-0.05</v>
      </c>
      <c r="B59" s="34">
        <v>0.85</v>
      </c>
      <c r="C59" s="38">
        <f t="shared" si="0"/>
        <v>2.0000000000000018E-2</v>
      </c>
    </row>
    <row r="60" spans="1:3">
      <c r="A60" s="35">
        <v>-4.4999999999999998E-2</v>
      </c>
      <c r="B60" s="34">
        <v>0.87</v>
      </c>
      <c r="C60" s="38">
        <f t="shared" si="0"/>
        <v>2.0000000000000018E-2</v>
      </c>
    </row>
    <row r="61" spans="1:3">
      <c r="A61" s="35">
        <v>-0.04</v>
      </c>
      <c r="B61" s="34">
        <v>0.89</v>
      </c>
      <c r="C61" s="38">
        <f t="shared" si="0"/>
        <v>1.5000000000000013E-2</v>
      </c>
    </row>
    <row r="62" spans="1:3">
      <c r="A62" s="35">
        <v>-3.5000000000000003E-2</v>
      </c>
      <c r="B62" s="34">
        <v>0.90500000000000003</v>
      </c>
      <c r="C62" s="38">
        <f t="shared" si="0"/>
        <v>1.5000000000000013E-2</v>
      </c>
    </row>
    <row r="63" spans="1:3">
      <c r="A63" s="35">
        <v>-0.03</v>
      </c>
      <c r="B63" s="34">
        <v>0.92</v>
      </c>
      <c r="C63" s="38">
        <f t="shared" si="0"/>
        <v>1.5000000000000013E-2</v>
      </c>
    </row>
    <row r="64" spans="1:3">
      <c r="A64" s="39">
        <v>-2.5000000000000001E-2</v>
      </c>
      <c r="B64" s="34">
        <v>0.93500000000000005</v>
      </c>
      <c r="C64" s="38">
        <f>B65-B64</f>
        <v>1.4999999999999902E-2</v>
      </c>
    </row>
    <row r="65" spans="1:3">
      <c r="A65" s="35">
        <v>-0.02</v>
      </c>
      <c r="B65" s="34">
        <v>0.95</v>
      </c>
      <c r="C65" s="38">
        <f t="shared" ref="C65:C68" si="1">B66-B65</f>
        <v>1.5000000000000013E-2</v>
      </c>
    </row>
    <row r="66" spans="1:3">
      <c r="A66" s="39">
        <v>-1.4999999999999999E-2</v>
      </c>
      <c r="B66" s="34">
        <v>0.96499999999999997</v>
      </c>
      <c r="C66" s="38">
        <f t="shared" si="1"/>
        <v>1.5000000000000013E-2</v>
      </c>
    </row>
    <row r="67" spans="1:3">
      <c r="A67" s="35">
        <v>-0.01</v>
      </c>
      <c r="B67" s="34">
        <v>0.98</v>
      </c>
      <c r="C67" s="38">
        <f t="shared" si="1"/>
        <v>1.0000000000000009E-2</v>
      </c>
    </row>
    <row r="68" spans="1:3">
      <c r="A68" s="39">
        <v>-5.0000000000000001E-3</v>
      </c>
      <c r="B68" s="34">
        <v>0.99</v>
      </c>
      <c r="C68" s="38">
        <f t="shared" si="1"/>
        <v>1.0000000000000009E-2</v>
      </c>
    </row>
    <row r="69" spans="1:3">
      <c r="A69" s="39">
        <v>0</v>
      </c>
      <c r="B69" s="40">
        <v>1</v>
      </c>
      <c r="C69" s="34"/>
    </row>
    <row r="70" spans="1:3">
      <c r="A70" s="39">
        <v>5.0000000000000001E-3</v>
      </c>
      <c r="B70" s="43">
        <f>B69+C70</f>
        <v>1.01</v>
      </c>
      <c r="C70">
        <v>1.0000000000000009E-2</v>
      </c>
    </row>
    <row r="71" spans="1:3">
      <c r="A71" s="39">
        <v>0.01</v>
      </c>
      <c r="B71" s="43">
        <f t="shared" ref="B71:B103" si="2">B70+C71</f>
        <v>1.02</v>
      </c>
      <c r="C71">
        <v>1.0000000000000009E-2</v>
      </c>
    </row>
    <row r="72" spans="1:3">
      <c r="A72" s="39">
        <v>1.4999999999999999E-2</v>
      </c>
      <c r="B72" s="43">
        <f t="shared" si="2"/>
        <v>1.0350000000000001</v>
      </c>
      <c r="C72">
        <v>1.5000000000000013E-2</v>
      </c>
    </row>
    <row r="73" spans="1:3">
      <c r="A73" s="39">
        <v>0.02</v>
      </c>
      <c r="B73" s="43">
        <f t="shared" si="2"/>
        <v>1.0500000000000003</v>
      </c>
      <c r="C73">
        <v>1.5000000000000013E-2</v>
      </c>
    </row>
    <row r="74" spans="1:3">
      <c r="A74" s="39">
        <v>2.5000000000000001E-2</v>
      </c>
      <c r="B74" s="43">
        <f t="shared" si="2"/>
        <v>1.0650000000000002</v>
      </c>
      <c r="C74">
        <v>1.4999999999999902E-2</v>
      </c>
    </row>
    <row r="75" spans="1:3">
      <c r="A75" s="39">
        <v>0.03</v>
      </c>
      <c r="B75" s="43">
        <f t="shared" si="2"/>
        <v>1.08</v>
      </c>
      <c r="C75">
        <v>1.5000000000000013E-2</v>
      </c>
    </row>
    <row r="76" spans="1:3">
      <c r="A76" s="39">
        <v>3.5000000000000003E-2</v>
      </c>
      <c r="B76" s="43">
        <f t="shared" si="2"/>
        <v>1.0950000000000002</v>
      </c>
      <c r="C76">
        <v>1.5000000000000013E-2</v>
      </c>
    </row>
    <row r="77" spans="1:3">
      <c r="A77" s="39">
        <v>0.04</v>
      </c>
      <c r="B77" s="43">
        <f t="shared" si="2"/>
        <v>1.1100000000000001</v>
      </c>
      <c r="C77">
        <v>1.4999999999999999E-2</v>
      </c>
    </row>
    <row r="78" spans="1:3">
      <c r="A78" s="39">
        <v>4.4999999999999998E-2</v>
      </c>
      <c r="B78" s="43">
        <f t="shared" si="2"/>
        <v>1.1299999999999999</v>
      </c>
      <c r="C78" s="43">
        <v>1.9999999999999907E-2</v>
      </c>
    </row>
    <row r="79" spans="1:3">
      <c r="A79" s="39">
        <v>0.05</v>
      </c>
      <c r="B79" s="43">
        <f t="shared" si="2"/>
        <v>1.1499999999999999</v>
      </c>
      <c r="C79" s="43">
        <v>2.0000000000000018E-2</v>
      </c>
    </row>
    <row r="80" spans="1:3">
      <c r="A80" s="39">
        <v>5.5E-2</v>
      </c>
      <c r="B80" s="43">
        <f t="shared" si="2"/>
        <v>1.17</v>
      </c>
      <c r="C80" s="43">
        <v>2.0000000000000018E-2</v>
      </c>
    </row>
    <row r="81" spans="1:3">
      <c r="A81" s="39">
        <v>0.06</v>
      </c>
      <c r="B81" s="43">
        <f t="shared" si="2"/>
        <v>1.19</v>
      </c>
      <c r="C81" s="43">
        <v>2.0000000000000018E-2</v>
      </c>
    </row>
    <row r="82" spans="1:3">
      <c r="A82" s="39">
        <v>6.5000000000000002E-2</v>
      </c>
      <c r="B82" s="43">
        <f t="shared" si="2"/>
        <v>1.2149999999999999</v>
      </c>
      <c r="C82">
        <v>2.5000000000000022E-2</v>
      </c>
    </row>
    <row r="83" spans="1:3">
      <c r="A83" s="39">
        <v>7.0000000000000007E-2</v>
      </c>
      <c r="B83" s="43">
        <f t="shared" si="2"/>
        <v>1.2399999999999998</v>
      </c>
      <c r="C83">
        <v>2.5000000000000022E-2</v>
      </c>
    </row>
    <row r="84" spans="1:3">
      <c r="A84" s="39">
        <v>7.4999999999999997E-2</v>
      </c>
      <c r="B84" s="43">
        <f t="shared" si="2"/>
        <v>1.2649999999999997</v>
      </c>
      <c r="C84">
        <v>2.5000000000000022E-2</v>
      </c>
    </row>
    <row r="85" spans="1:3">
      <c r="A85" s="39">
        <v>0.08</v>
      </c>
      <c r="B85" s="43">
        <f t="shared" si="2"/>
        <v>1.2899999999999996</v>
      </c>
      <c r="C85">
        <v>2.5000000000000022E-2</v>
      </c>
    </row>
    <row r="86" spans="1:3">
      <c r="A86" s="39">
        <v>8.5000000000000006E-2</v>
      </c>
      <c r="B86" s="43">
        <f t="shared" si="2"/>
        <v>1.3199999999999996</v>
      </c>
      <c r="C86">
        <v>3.0000000000000027E-2</v>
      </c>
    </row>
    <row r="87" spans="1:3">
      <c r="A87" s="39">
        <v>9.0000000000000094E-2</v>
      </c>
      <c r="B87" s="43">
        <f t="shared" si="2"/>
        <v>1.3499999999999996</v>
      </c>
      <c r="C87">
        <v>3.0000000000000027E-2</v>
      </c>
    </row>
    <row r="88" spans="1:3">
      <c r="A88" s="39">
        <v>9.5000000000000098E-2</v>
      </c>
      <c r="B88" s="43">
        <f t="shared" si="2"/>
        <v>1.3799999999999997</v>
      </c>
      <c r="C88">
        <v>3.0000000000000027E-2</v>
      </c>
    </row>
    <row r="89" spans="1:3">
      <c r="A89" s="39">
        <v>0.1</v>
      </c>
      <c r="B89" s="43">
        <f t="shared" si="2"/>
        <v>1.4099999999999997</v>
      </c>
      <c r="C89">
        <v>2.9999999999999916E-2</v>
      </c>
    </row>
    <row r="90" spans="1:3">
      <c r="A90" s="39">
        <v>0.105</v>
      </c>
      <c r="B90" s="43">
        <f t="shared" si="2"/>
        <v>1.4449999999999996</v>
      </c>
      <c r="C90">
        <v>3.4999999999999976E-2</v>
      </c>
    </row>
    <row r="91" spans="1:3">
      <c r="A91" s="39">
        <v>0.11</v>
      </c>
      <c r="B91" s="43">
        <f t="shared" si="2"/>
        <v>1.4799999999999995</v>
      </c>
      <c r="C91">
        <v>3.5000000000000031E-2</v>
      </c>
    </row>
    <row r="92" spans="1:3">
      <c r="A92" s="39">
        <v>0.115</v>
      </c>
      <c r="B92" s="43">
        <f t="shared" si="2"/>
        <v>1.5149999999999997</v>
      </c>
      <c r="C92">
        <v>3.5000000000000031E-2</v>
      </c>
    </row>
    <row r="93" spans="1:3">
      <c r="A93" s="39">
        <v>0.12</v>
      </c>
      <c r="B93" s="43">
        <f t="shared" si="2"/>
        <v>1.5499999999999996</v>
      </c>
      <c r="C93">
        <v>3.499999999999992E-2</v>
      </c>
    </row>
    <row r="94" spans="1:3">
      <c r="A94" s="39">
        <v>0.125</v>
      </c>
      <c r="B94" s="43">
        <f t="shared" si="2"/>
        <v>1.5899999999999996</v>
      </c>
      <c r="C94">
        <v>4.0000000000000036E-2</v>
      </c>
    </row>
    <row r="95" spans="1:3">
      <c r="A95" s="39">
        <v>0.13</v>
      </c>
      <c r="B95" s="43">
        <f t="shared" si="2"/>
        <v>1.6299999999999997</v>
      </c>
      <c r="C95">
        <v>3.999999999999998E-2</v>
      </c>
    </row>
    <row r="96" spans="1:3">
      <c r="A96" s="39">
        <v>0.13500000000000001</v>
      </c>
      <c r="B96" s="43">
        <f t="shared" si="2"/>
        <v>1.6699999999999997</v>
      </c>
      <c r="C96">
        <v>3.999999999999998E-2</v>
      </c>
    </row>
    <row r="97" spans="1:3">
      <c r="A97" s="39">
        <v>0.14000000000000001</v>
      </c>
      <c r="B97" s="43">
        <f t="shared" si="2"/>
        <v>1.7099999999999997</v>
      </c>
      <c r="C97">
        <v>4.0000000000000036E-2</v>
      </c>
    </row>
    <row r="98" spans="1:3">
      <c r="A98" s="39">
        <v>0.14499999999999999</v>
      </c>
      <c r="B98" s="43">
        <f t="shared" si="2"/>
        <v>1.7549999999999997</v>
      </c>
      <c r="C98">
        <v>4.4999999999999984E-2</v>
      </c>
    </row>
    <row r="99" spans="1:3">
      <c r="A99" s="39">
        <v>0.15</v>
      </c>
      <c r="B99" s="43">
        <f t="shared" si="2"/>
        <v>1.7999999999999996</v>
      </c>
      <c r="C99">
        <v>4.4999999999999984E-2</v>
      </c>
    </row>
    <row r="100" spans="1:3">
      <c r="A100" s="39">
        <v>0.155</v>
      </c>
      <c r="B100" s="43">
        <f t="shared" si="2"/>
        <v>1.8499999999999996</v>
      </c>
      <c r="C100">
        <v>0.05</v>
      </c>
    </row>
    <row r="101" spans="1:3">
      <c r="A101" s="39">
        <v>0.16</v>
      </c>
      <c r="B101" s="43">
        <f t="shared" si="2"/>
        <v>1.8999999999999997</v>
      </c>
      <c r="C101">
        <v>0.05</v>
      </c>
    </row>
    <row r="102" spans="1:3">
      <c r="A102" s="39">
        <v>0.16500000000000001</v>
      </c>
      <c r="B102" s="43">
        <f t="shared" si="2"/>
        <v>1.9499999999999997</v>
      </c>
      <c r="C102">
        <v>4.9999999999999989E-2</v>
      </c>
    </row>
    <row r="103" spans="1:3">
      <c r="A103" s="39">
        <v>0.17</v>
      </c>
      <c r="B103" s="43">
        <f t="shared" si="2"/>
        <v>1.9999999999999998</v>
      </c>
      <c r="C103">
        <v>5.0000000000000017E-2</v>
      </c>
    </row>
  </sheetData>
  <conditionalFormatting sqref="A2:A103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E854B-1A61-4186-828E-194747884E45}">
  <dimension ref="A1:B5"/>
  <sheetViews>
    <sheetView showGridLines="0" workbookViewId="0">
      <selection activeCell="A38" sqref="A38"/>
    </sheetView>
  </sheetViews>
  <sheetFormatPr defaultRowHeight="14.6"/>
  <cols>
    <col min="1" max="1" width="22.3046875" customWidth="1"/>
  </cols>
  <sheetData>
    <row r="1" spans="1:2">
      <c r="A1" t="s">
        <v>192</v>
      </c>
      <c r="B1" t="s">
        <v>190</v>
      </c>
    </row>
    <row r="2" spans="1:2">
      <c r="A2" t="s">
        <v>191</v>
      </c>
      <c r="B2">
        <v>700</v>
      </c>
    </row>
    <row r="3" spans="1:2">
      <c r="A3" t="s">
        <v>83</v>
      </c>
      <c r="B3">
        <v>3000</v>
      </c>
    </row>
    <row r="4" spans="1:2">
      <c r="A4" t="s">
        <v>193</v>
      </c>
      <c r="B4">
        <f>1000+300*2</f>
        <v>1600</v>
      </c>
    </row>
    <row r="5" spans="1:2">
      <c r="A5" t="s">
        <v>194</v>
      </c>
      <c r="B5">
        <v>1100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805DA-6C35-44E4-B66C-47548A948843}">
  <dimension ref="A1:D5"/>
  <sheetViews>
    <sheetView showGridLines="0" workbookViewId="0">
      <selection activeCell="D4" sqref="D4"/>
    </sheetView>
  </sheetViews>
  <sheetFormatPr defaultRowHeight="14.6"/>
  <sheetData>
    <row r="1" spans="1:4">
      <c r="A1" t="s">
        <v>186</v>
      </c>
      <c r="B1" t="s">
        <v>188</v>
      </c>
    </row>
    <row r="2" spans="1:4">
      <c r="A2" t="s">
        <v>187</v>
      </c>
      <c r="B2" s="28">
        <v>22500</v>
      </c>
    </row>
    <row r="3" spans="1:4">
      <c r="D3" t="s">
        <v>174</v>
      </c>
    </row>
    <row r="4" spans="1:4">
      <c r="A4" t="s">
        <v>189</v>
      </c>
      <c r="B4">
        <v>1000</v>
      </c>
      <c r="C4" t="s">
        <v>173</v>
      </c>
      <c r="D4" s="20">
        <v>0.65</v>
      </c>
    </row>
    <row r="5" spans="1:4">
      <c r="B5" s="20">
        <f>B4/D4</f>
        <v>1538.4615384615383</v>
      </c>
      <c r="C5" s="20" t="s">
        <v>175</v>
      </c>
      <c r="D5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D1821-15E4-4A0A-B725-ACCDF2B517AF}">
  <dimension ref="A1:E11"/>
  <sheetViews>
    <sheetView showGridLines="0" workbookViewId="0">
      <selection activeCell="E2" sqref="E2"/>
    </sheetView>
  </sheetViews>
  <sheetFormatPr defaultRowHeight="14.6"/>
  <cols>
    <col min="1" max="1" width="17.84375" customWidth="1"/>
  </cols>
  <sheetData>
    <row r="1" spans="1:5">
      <c r="A1" s="20" t="s">
        <v>170</v>
      </c>
      <c r="B1" s="20" t="s">
        <v>171</v>
      </c>
      <c r="C1" s="20" t="s">
        <v>172</v>
      </c>
      <c r="D1" s="20"/>
      <c r="E1" s="20" t="s">
        <v>174</v>
      </c>
    </row>
    <row r="2" spans="1:5">
      <c r="A2" s="25" t="s">
        <v>64</v>
      </c>
      <c r="B2" s="20" t="s">
        <v>17</v>
      </c>
      <c r="C2" s="20">
        <v>16100</v>
      </c>
      <c r="D2" s="20" t="s">
        <v>173</v>
      </c>
      <c r="E2" s="20">
        <v>0.65</v>
      </c>
    </row>
    <row r="3" spans="1:5">
      <c r="A3" s="25"/>
      <c r="B3" s="20" t="s">
        <v>17</v>
      </c>
      <c r="C3" s="20">
        <f>C2/E2</f>
        <v>24769.23076923077</v>
      </c>
      <c r="D3" s="20" t="s">
        <v>175</v>
      </c>
      <c r="E3" s="20"/>
    </row>
    <row r="4" spans="1:5">
      <c r="A4" s="25" t="s">
        <v>78</v>
      </c>
      <c r="B4" s="20" t="s">
        <v>17</v>
      </c>
      <c r="C4" s="20">
        <v>16500</v>
      </c>
      <c r="D4" s="20" t="s">
        <v>173</v>
      </c>
      <c r="E4" s="20">
        <v>0.68</v>
      </c>
    </row>
    <row r="5" spans="1:5">
      <c r="A5" s="25"/>
      <c r="B5" s="20" t="s">
        <v>17</v>
      </c>
      <c r="C5" s="20">
        <f>C4/E4</f>
        <v>24264.705882352941</v>
      </c>
      <c r="D5" s="20" t="s">
        <v>175</v>
      </c>
      <c r="E5" s="20"/>
    </row>
    <row r="6" spans="1:5">
      <c r="A6" s="25" t="s">
        <v>108</v>
      </c>
      <c r="B6" s="20" t="s">
        <v>17</v>
      </c>
      <c r="C6" s="20">
        <v>45900</v>
      </c>
      <c r="D6" s="20" t="s">
        <v>173</v>
      </c>
      <c r="E6" s="20">
        <v>0.7</v>
      </c>
    </row>
    <row r="7" spans="1:5">
      <c r="A7" s="25"/>
      <c r="B7" s="20" t="s">
        <v>17</v>
      </c>
      <c r="C7" s="20">
        <f>C6/E6</f>
        <v>65571.42857142858</v>
      </c>
      <c r="D7" s="20" t="s">
        <v>175</v>
      </c>
      <c r="E7" s="20"/>
    </row>
    <row r="8" spans="1:5">
      <c r="A8" s="25" t="s">
        <v>142</v>
      </c>
      <c r="B8" s="20" t="s">
        <v>176</v>
      </c>
      <c r="C8" s="20">
        <v>1700</v>
      </c>
      <c r="D8" s="20" t="s">
        <v>177</v>
      </c>
      <c r="E8" s="20">
        <v>0.5</v>
      </c>
    </row>
    <row r="9" spans="1:5">
      <c r="A9" s="25"/>
      <c r="B9" s="20" t="s">
        <v>176</v>
      </c>
      <c r="C9" s="20">
        <f>C8/E8</f>
        <v>3400</v>
      </c>
      <c r="D9" s="20" t="s">
        <v>175</v>
      </c>
      <c r="E9" s="20"/>
    </row>
    <row r="10" spans="1:5">
      <c r="A10" s="25" t="s">
        <v>151</v>
      </c>
      <c r="B10" s="20" t="s">
        <v>176</v>
      </c>
      <c r="C10" s="20">
        <v>2050</v>
      </c>
      <c r="D10" s="20" t="s">
        <v>177</v>
      </c>
      <c r="E10" s="20">
        <v>0.5</v>
      </c>
    </row>
    <row r="11" spans="1:5">
      <c r="A11" s="20"/>
      <c r="B11" s="20"/>
      <c r="C11" s="20">
        <f>C10/E10</f>
        <v>4100</v>
      </c>
      <c r="D11" s="20" t="s">
        <v>175</v>
      </c>
      <c r="E11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Лесные</vt:lpstr>
      <vt:lpstr>Технический лист</vt:lpstr>
      <vt:lpstr>Ставки аренды</vt:lpstr>
      <vt:lpstr>Ставки перевалки</vt:lpstr>
      <vt:lpstr>Цены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kurkinda</dc:creator>
  <cp:lastModifiedBy>Пользователь</cp:lastModifiedBy>
  <dcterms:created xsi:type="dcterms:W3CDTF">2026-04-22T14:39:13Z</dcterms:created>
  <dcterms:modified xsi:type="dcterms:W3CDTF">2026-07-29T07:56:35Z</dcterms:modified>
</cp:coreProperties>
</file>